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Todd L. Cooper, Jr\2023 Elections\110723\Canvass\"/>
    </mc:Choice>
  </mc:AlternateContent>
  <xr:revisionPtr revIDLastSave="0" documentId="13_ncr:1_{889644D8-43CA-4FBD-A498-05EA6423DFB2}" xr6:coauthVersionLast="47" xr6:coauthVersionMax="47" xr10:uidLastSave="{00000000-0000-0000-0000-000000000000}"/>
  <bookViews>
    <workbookView xWindow="-110" yWindow="-110" windowWidth="38620" windowHeight="21220" tabRatio="712" xr2:uid="{00000000-000D-0000-FFFF-FFFF00000000}"/>
  </bookViews>
  <sheets>
    <sheet name="Judicial" sheetId="7" r:id="rId1"/>
    <sheet name="Cincinnati" sheetId="8" r:id="rId2"/>
    <sheet name="Other Cities" sheetId="2" r:id="rId3"/>
    <sheet name="Villages" sheetId="3" r:id="rId4"/>
    <sheet name="Townships" sheetId="4" r:id="rId5"/>
    <sheet name="Boards of Education" sheetId="5" r:id="rId6"/>
    <sheet name="Issues" sheetId="6" r:id="rId7"/>
  </sheets>
  <definedNames>
    <definedName name="_xlnm.Print_Area" localSheetId="5">'Boards of Education'!$A$1:$CI$3</definedName>
    <definedName name="_xlnm.Print_Area" localSheetId="1">Cincinnati!$A$1:$F$3</definedName>
    <definedName name="_xlnm.Print_Area" localSheetId="0">Judicial!$A$1:$F$3</definedName>
    <definedName name="_xlnm.Print_Area" localSheetId="2">'Other Cities'!$A$1:$EA$4</definedName>
    <definedName name="_xlnm.Print_Area" localSheetId="4">Townships!$A$1:$AM$3</definedName>
    <definedName name="_xlnm.Print_Area" localSheetId="3">Villages!$A$1:$CT$4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39" i="4" l="1"/>
  <c r="AL239" i="4"/>
  <c r="AK239" i="4"/>
  <c r="AJ239" i="4"/>
  <c r="AI239" i="4"/>
  <c r="AH239" i="4"/>
  <c r="AG239" i="4"/>
  <c r="AF239" i="4"/>
  <c r="AE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AD239" i="4"/>
  <c r="O234" i="4"/>
  <c r="N234" i="4"/>
  <c r="M234" i="4"/>
  <c r="L234" i="4"/>
  <c r="K234" i="4"/>
  <c r="J234" i="4"/>
  <c r="I234" i="4"/>
  <c r="H234" i="4"/>
  <c r="G234" i="4"/>
  <c r="F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M233" i="4"/>
  <c r="L233" i="4"/>
  <c r="K233" i="4"/>
  <c r="J233" i="4"/>
  <c r="I233" i="4"/>
  <c r="H233" i="4"/>
  <c r="G233" i="4"/>
  <c r="F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BK45" i="3"/>
  <c r="AC670" i="5"/>
  <c r="AA669" i="5"/>
  <c r="W668" i="5"/>
  <c r="S667" i="5"/>
  <c r="F667" i="5"/>
  <c r="M666" i="5"/>
  <c r="L666" i="5"/>
  <c r="K666" i="5"/>
  <c r="J666" i="5"/>
  <c r="I666" i="5"/>
  <c r="H666" i="5"/>
  <c r="G666" i="5"/>
  <c r="F666" i="5"/>
  <c r="CI666" i="5"/>
  <c r="CH666" i="5"/>
  <c r="CG666" i="5"/>
  <c r="CF666" i="5"/>
  <c r="CE666" i="5"/>
  <c r="CD666" i="5"/>
  <c r="CC666" i="5"/>
  <c r="CB666" i="5"/>
  <c r="CA666" i="5"/>
  <c r="BZ666" i="5"/>
  <c r="BY666" i="5"/>
  <c r="BX666" i="5"/>
  <c r="BW666" i="5"/>
  <c r="BV666" i="5"/>
  <c r="BU666" i="5"/>
  <c r="BT666" i="5"/>
  <c r="BS666" i="5"/>
  <c r="BR666" i="5"/>
  <c r="BQ666" i="5"/>
  <c r="BP666" i="5"/>
  <c r="BO666" i="5"/>
  <c r="BN666" i="5"/>
  <c r="BM666" i="5"/>
  <c r="BL666" i="5"/>
  <c r="BK666" i="5"/>
  <c r="BJ666" i="5"/>
  <c r="BI666" i="5"/>
  <c r="BH666" i="5"/>
  <c r="BG666" i="5"/>
  <c r="BF666" i="5"/>
  <c r="BE666" i="5"/>
  <c r="BD666" i="5"/>
  <c r="BC666" i="5"/>
  <c r="BB666" i="5"/>
  <c r="BA666" i="5"/>
  <c r="AZ666" i="5"/>
  <c r="AY666" i="5"/>
  <c r="AX666" i="5"/>
  <c r="AW666" i="5"/>
  <c r="AV666" i="5"/>
  <c r="AU666" i="5"/>
  <c r="AT666" i="5"/>
  <c r="AS666" i="5"/>
  <c r="AR666" i="5"/>
  <c r="AQ666" i="5"/>
  <c r="AP666" i="5"/>
  <c r="AO666" i="5"/>
  <c r="AN666" i="5"/>
  <c r="AM666" i="5"/>
  <c r="AL666" i="5"/>
  <c r="AK666" i="5"/>
  <c r="AJ666" i="5"/>
  <c r="AI666" i="5"/>
  <c r="AH666" i="5"/>
  <c r="AG666" i="5"/>
  <c r="AF666" i="5"/>
  <c r="AE666" i="5"/>
  <c r="AD666" i="5"/>
  <c r="AC666" i="5"/>
  <c r="AB666" i="5"/>
  <c r="AA666" i="5"/>
  <c r="Z666" i="5"/>
  <c r="Y666" i="5"/>
  <c r="X666" i="5"/>
  <c r="W666" i="5"/>
  <c r="V666" i="5"/>
  <c r="U666" i="5"/>
  <c r="T666" i="5"/>
  <c r="S666" i="5"/>
  <c r="R666" i="5"/>
  <c r="Q666" i="5"/>
  <c r="P666" i="5"/>
  <c r="O666" i="5"/>
  <c r="N666" i="5"/>
  <c r="N669" i="5"/>
  <c r="K665" i="5"/>
  <c r="BK644" i="6"/>
  <c r="BJ644" i="6"/>
  <c r="BI644" i="6"/>
  <c r="BH644" i="6"/>
  <c r="BG644" i="6"/>
  <c r="BF644" i="6"/>
  <c r="BE644" i="6"/>
  <c r="BD644" i="6"/>
  <c r="BC644" i="6"/>
  <c r="BB644" i="6"/>
  <c r="BA644" i="6"/>
  <c r="AZ644" i="6"/>
  <c r="AY644" i="6"/>
  <c r="AX644" i="6"/>
  <c r="AW644" i="6"/>
  <c r="AV644" i="6"/>
  <c r="AU644" i="6"/>
  <c r="AT644" i="6"/>
  <c r="AS644" i="6"/>
  <c r="AR644" i="6"/>
  <c r="AQ644" i="6"/>
  <c r="AP644" i="6"/>
  <c r="AO644" i="6"/>
  <c r="AN644" i="6"/>
  <c r="AM644" i="6"/>
  <c r="AL644" i="6"/>
  <c r="AK644" i="6"/>
  <c r="AJ644" i="6"/>
  <c r="AI644" i="6"/>
  <c r="AH644" i="6"/>
  <c r="AG644" i="6"/>
  <c r="AF644" i="6"/>
  <c r="AE644" i="6"/>
  <c r="AD644" i="6"/>
  <c r="AC644" i="6"/>
  <c r="AB644" i="6"/>
  <c r="AA644" i="6"/>
  <c r="Z644" i="6"/>
  <c r="Y644" i="6"/>
  <c r="X644" i="6"/>
  <c r="W644" i="6"/>
  <c r="V644" i="6"/>
  <c r="U644" i="6"/>
  <c r="T644" i="6"/>
  <c r="S644" i="6"/>
  <c r="R644" i="6"/>
  <c r="Q644" i="6"/>
  <c r="P644" i="6"/>
  <c r="O644" i="6"/>
  <c r="N644" i="6"/>
  <c r="M644" i="6"/>
  <c r="L644" i="6"/>
  <c r="K644" i="6"/>
  <c r="J644" i="6"/>
  <c r="I644" i="6"/>
  <c r="H644" i="6"/>
  <c r="G644" i="6"/>
  <c r="F644" i="6"/>
  <c r="BK643" i="6"/>
  <c r="BJ643" i="6"/>
  <c r="BI643" i="6"/>
  <c r="BH643" i="6"/>
  <c r="BG643" i="6"/>
  <c r="BF643" i="6"/>
  <c r="BE643" i="6"/>
  <c r="BD643" i="6"/>
  <c r="BC643" i="6"/>
  <c r="BB643" i="6"/>
  <c r="BA643" i="6"/>
  <c r="AZ643" i="6"/>
  <c r="AY643" i="6"/>
  <c r="AX643" i="6"/>
  <c r="AW643" i="6"/>
  <c r="AV643" i="6"/>
  <c r="AU643" i="6"/>
  <c r="AT643" i="6"/>
  <c r="AS643" i="6"/>
  <c r="AR643" i="6"/>
  <c r="AQ643" i="6"/>
  <c r="AP643" i="6"/>
  <c r="AO643" i="6"/>
  <c r="AN643" i="6"/>
  <c r="AM643" i="6"/>
  <c r="AL643" i="6"/>
  <c r="AK643" i="6"/>
  <c r="AJ643" i="6"/>
  <c r="AI643" i="6"/>
  <c r="AH643" i="6"/>
  <c r="AG643" i="6"/>
  <c r="AF643" i="6"/>
  <c r="AE643" i="6"/>
  <c r="AD643" i="6"/>
  <c r="AC643" i="6"/>
  <c r="AB643" i="6"/>
  <c r="AA643" i="6"/>
  <c r="Z643" i="6"/>
  <c r="Y643" i="6"/>
  <c r="X643" i="6"/>
  <c r="W643" i="6"/>
  <c r="V643" i="6"/>
  <c r="U643" i="6"/>
  <c r="T643" i="6"/>
  <c r="S643" i="6"/>
  <c r="R643" i="6"/>
  <c r="Q643" i="6"/>
  <c r="P643" i="6"/>
  <c r="O643" i="6"/>
  <c r="N643" i="6"/>
  <c r="M643" i="6"/>
  <c r="L643" i="6"/>
  <c r="K643" i="6"/>
  <c r="J643" i="6"/>
  <c r="I643" i="6"/>
  <c r="H643" i="6"/>
  <c r="G643" i="6"/>
  <c r="F643" i="6"/>
  <c r="BK642" i="6"/>
  <c r="BJ642" i="6"/>
  <c r="BI642" i="6"/>
  <c r="BH642" i="6"/>
  <c r="BG642" i="6"/>
  <c r="BF642" i="6"/>
  <c r="BE642" i="6"/>
  <c r="BD642" i="6"/>
  <c r="BC642" i="6"/>
  <c r="BB642" i="6"/>
  <c r="BA642" i="6"/>
  <c r="AZ642" i="6"/>
  <c r="AY642" i="6"/>
  <c r="AX642" i="6"/>
  <c r="AW642" i="6"/>
  <c r="AV642" i="6"/>
  <c r="AU642" i="6"/>
  <c r="AT642" i="6"/>
  <c r="AS642" i="6"/>
  <c r="AR642" i="6"/>
  <c r="AQ642" i="6"/>
  <c r="AP642" i="6"/>
  <c r="AO642" i="6"/>
  <c r="AN642" i="6"/>
  <c r="AM642" i="6"/>
  <c r="AL642" i="6"/>
  <c r="AK642" i="6"/>
  <c r="AJ642" i="6"/>
  <c r="AI642" i="6"/>
  <c r="AH642" i="6"/>
  <c r="AG642" i="6"/>
  <c r="AF642" i="6"/>
  <c r="AE642" i="6"/>
  <c r="AD642" i="6"/>
  <c r="AC642" i="6"/>
  <c r="AB642" i="6"/>
  <c r="AA642" i="6"/>
  <c r="Z642" i="6"/>
  <c r="Y642" i="6"/>
  <c r="X642" i="6"/>
  <c r="W642" i="6"/>
  <c r="V642" i="6"/>
  <c r="U642" i="6"/>
  <c r="T642" i="6"/>
  <c r="S642" i="6"/>
  <c r="R642" i="6"/>
  <c r="Q642" i="6"/>
  <c r="P642" i="6"/>
  <c r="O642" i="6"/>
  <c r="N642" i="6"/>
  <c r="M642" i="6"/>
  <c r="L642" i="6"/>
  <c r="K642" i="6"/>
  <c r="J642" i="6"/>
  <c r="I642" i="6"/>
  <c r="H642" i="6"/>
  <c r="G642" i="6"/>
  <c r="F642" i="6"/>
  <c r="BK641" i="6"/>
  <c r="BJ641" i="6"/>
  <c r="BI641" i="6"/>
  <c r="BH641" i="6"/>
  <c r="BG641" i="6"/>
  <c r="BF641" i="6"/>
  <c r="BE641" i="6"/>
  <c r="BD641" i="6"/>
  <c r="BC641" i="6"/>
  <c r="BB641" i="6"/>
  <c r="BA641" i="6"/>
  <c r="AZ641" i="6"/>
  <c r="AY641" i="6"/>
  <c r="AX641" i="6"/>
  <c r="AW641" i="6"/>
  <c r="AV641" i="6"/>
  <c r="AU641" i="6"/>
  <c r="AT641" i="6"/>
  <c r="AS641" i="6"/>
  <c r="AR641" i="6"/>
  <c r="AQ641" i="6"/>
  <c r="AP641" i="6"/>
  <c r="AO641" i="6"/>
  <c r="AN641" i="6"/>
  <c r="AM641" i="6"/>
  <c r="AL641" i="6"/>
  <c r="AK641" i="6"/>
  <c r="AJ641" i="6"/>
  <c r="AI641" i="6"/>
  <c r="AH641" i="6"/>
  <c r="AG641" i="6"/>
  <c r="AF641" i="6"/>
  <c r="AE641" i="6"/>
  <c r="AD641" i="6"/>
  <c r="AC641" i="6"/>
  <c r="AB641" i="6"/>
  <c r="AA641" i="6"/>
  <c r="Z641" i="6"/>
  <c r="Y641" i="6"/>
  <c r="X641" i="6"/>
  <c r="W641" i="6"/>
  <c r="V641" i="6"/>
  <c r="U641" i="6"/>
  <c r="T641" i="6"/>
  <c r="S641" i="6"/>
  <c r="R641" i="6"/>
  <c r="Q641" i="6"/>
  <c r="P641" i="6"/>
  <c r="O641" i="6"/>
  <c r="N641" i="6"/>
  <c r="M641" i="6"/>
  <c r="L641" i="6"/>
  <c r="K641" i="6"/>
  <c r="J641" i="6"/>
  <c r="I641" i="6"/>
  <c r="H641" i="6"/>
  <c r="G641" i="6"/>
  <c r="F641" i="6"/>
  <c r="BK640" i="6"/>
  <c r="BJ640" i="6"/>
  <c r="BI640" i="6"/>
  <c r="BH640" i="6"/>
  <c r="BG640" i="6"/>
  <c r="BF640" i="6"/>
  <c r="BE640" i="6"/>
  <c r="BD640" i="6"/>
  <c r="BC640" i="6"/>
  <c r="BB640" i="6"/>
  <c r="BA640" i="6"/>
  <c r="AZ640" i="6"/>
  <c r="AY640" i="6"/>
  <c r="AX640" i="6"/>
  <c r="AW640" i="6"/>
  <c r="AV640" i="6"/>
  <c r="AU640" i="6"/>
  <c r="AT640" i="6"/>
  <c r="AS640" i="6"/>
  <c r="AR640" i="6"/>
  <c r="AQ640" i="6"/>
  <c r="AP640" i="6"/>
  <c r="AO640" i="6"/>
  <c r="AN640" i="6"/>
  <c r="AM640" i="6"/>
  <c r="AL640" i="6"/>
  <c r="AK640" i="6"/>
  <c r="AJ640" i="6"/>
  <c r="AI640" i="6"/>
  <c r="AH640" i="6"/>
  <c r="AG640" i="6"/>
  <c r="AF640" i="6"/>
  <c r="AE640" i="6"/>
  <c r="AD640" i="6"/>
  <c r="AC640" i="6"/>
  <c r="AB640" i="6"/>
  <c r="AA640" i="6"/>
  <c r="Z640" i="6"/>
  <c r="Y640" i="6"/>
  <c r="X640" i="6"/>
  <c r="W640" i="6"/>
  <c r="V640" i="6"/>
  <c r="U640" i="6"/>
  <c r="T640" i="6"/>
  <c r="S640" i="6"/>
  <c r="R640" i="6"/>
  <c r="Q640" i="6"/>
  <c r="P640" i="6"/>
  <c r="O640" i="6"/>
  <c r="N640" i="6"/>
  <c r="M640" i="6"/>
  <c r="L640" i="6"/>
  <c r="K640" i="6"/>
  <c r="J640" i="6"/>
  <c r="I640" i="6"/>
  <c r="H640" i="6"/>
  <c r="G640" i="6"/>
  <c r="F640" i="6"/>
  <c r="BK639" i="6"/>
  <c r="BJ639" i="6"/>
  <c r="BI639" i="6"/>
  <c r="BH639" i="6"/>
  <c r="BG639" i="6"/>
  <c r="BF639" i="6"/>
  <c r="BE639" i="6"/>
  <c r="BD639" i="6"/>
  <c r="BC639" i="6"/>
  <c r="BB639" i="6"/>
  <c r="BA639" i="6"/>
  <c r="AZ639" i="6"/>
  <c r="AY639" i="6"/>
  <c r="AX639" i="6"/>
  <c r="AW639" i="6"/>
  <c r="AV639" i="6"/>
  <c r="AU639" i="6"/>
  <c r="AT639" i="6"/>
  <c r="AS639" i="6"/>
  <c r="AR639" i="6"/>
  <c r="AQ639" i="6"/>
  <c r="AP639" i="6"/>
  <c r="AO639" i="6"/>
  <c r="AN639" i="6"/>
  <c r="AM639" i="6"/>
  <c r="AL639" i="6"/>
  <c r="AK639" i="6"/>
  <c r="AJ639" i="6"/>
  <c r="AI639" i="6"/>
  <c r="AH639" i="6"/>
  <c r="AG639" i="6"/>
  <c r="AF639" i="6"/>
  <c r="AE639" i="6"/>
  <c r="AD639" i="6"/>
  <c r="AC639" i="6"/>
  <c r="AB639" i="6"/>
  <c r="AA639" i="6"/>
  <c r="Z639" i="6"/>
  <c r="Y639" i="6"/>
  <c r="X639" i="6"/>
  <c r="W639" i="6"/>
  <c r="V639" i="6"/>
  <c r="U639" i="6"/>
  <c r="T639" i="6"/>
  <c r="S639" i="6"/>
  <c r="R639" i="6"/>
  <c r="Q639" i="6"/>
  <c r="P639" i="6"/>
  <c r="O639" i="6"/>
  <c r="N639" i="6"/>
  <c r="M639" i="6"/>
  <c r="L639" i="6"/>
  <c r="K639" i="6"/>
  <c r="J639" i="6"/>
  <c r="I639" i="6"/>
  <c r="H639" i="6"/>
  <c r="G639" i="6"/>
  <c r="F639" i="6"/>
  <c r="BK638" i="6"/>
  <c r="BJ638" i="6"/>
  <c r="BI638" i="6"/>
  <c r="BH638" i="6"/>
  <c r="BG638" i="6"/>
  <c r="BF638" i="6"/>
  <c r="BE638" i="6"/>
  <c r="BD638" i="6"/>
  <c r="BC638" i="6"/>
  <c r="BB638" i="6"/>
  <c r="BA638" i="6"/>
  <c r="AZ638" i="6"/>
  <c r="AY638" i="6"/>
  <c r="AX638" i="6"/>
  <c r="AW638" i="6"/>
  <c r="AV638" i="6"/>
  <c r="AU638" i="6"/>
  <c r="AT638" i="6"/>
  <c r="AS638" i="6"/>
  <c r="AR638" i="6"/>
  <c r="AQ638" i="6"/>
  <c r="AP638" i="6"/>
  <c r="AO638" i="6"/>
  <c r="AN638" i="6"/>
  <c r="AM638" i="6"/>
  <c r="AL638" i="6"/>
  <c r="AK638" i="6"/>
  <c r="AJ638" i="6"/>
  <c r="AI638" i="6"/>
  <c r="AH638" i="6"/>
  <c r="AG638" i="6"/>
  <c r="AF638" i="6"/>
  <c r="AE638" i="6"/>
  <c r="AD638" i="6"/>
  <c r="AC638" i="6"/>
  <c r="AB638" i="6"/>
  <c r="AA638" i="6"/>
  <c r="Z638" i="6"/>
  <c r="Y638" i="6"/>
  <c r="X638" i="6"/>
  <c r="W638" i="6"/>
  <c r="V638" i="6"/>
  <c r="U638" i="6"/>
  <c r="T638" i="6"/>
  <c r="S638" i="6"/>
  <c r="R638" i="6"/>
  <c r="Q638" i="6"/>
  <c r="P638" i="6"/>
  <c r="O638" i="6"/>
  <c r="N638" i="6"/>
  <c r="M638" i="6"/>
  <c r="L638" i="6"/>
  <c r="K638" i="6"/>
  <c r="J638" i="6"/>
  <c r="I638" i="6"/>
  <c r="H638" i="6"/>
  <c r="G638" i="6"/>
  <c r="F638" i="6"/>
  <c r="BK637" i="6"/>
  <c r="BJ637" i="6"/>
  <c r="BI637" i="6"/>
  <c r="BH637" i="6"/>
  <c r="BG637" i="6"/>
  <c r="BF637" i="6"/>
  <c r="BE637" i="6"/>
  <c r="BD637" i="6"/>
  <c r="BC637" i="6"/>
  <c r="BB637" i="6"/>
  <c r="BA637" i="6"/>
  <c r="AZ637" i="6"/>
  <c r="AY637" i="6"/>
  <c r="AX637" i="6"/>
  <c r="AW637" i="6"/>
  <c r="AV637" i="6"/>
  <c r="AU637" i="6"/>
  <c r="AT637" i="6"/>
  <c r="AS637" i="6"/>
  <c r="AR637" i="6"/>
  <c r="AQ637" i="6"/>
  <c r="AP637" i="6"/>
  <c r="AO637" i="6"/>
  <c r="AN637" i="6"/>
  <c r="AM637" i="6"/>
  <c r="AL637" i="6"/>
  <c r="AK637" i="6"/>
  <c r="AJ637" i="6"/>
  <c r="AI637" i="6"/>
  <c r="AH637" i="6"/>
  <c r="AG637" i="6"/>
  <c r="AF637" i="6"/>
  <c r="AE637" i="6"/>
  <c r="AD637" i="6"/>
  <c r="AC637" i="6"/>
  <c r="AB637" i="6"/>
  <c r="AA637" i="6"/>
  <c r="Z637" i="6"/>
  <c r="Y637" i="6"/>
  <c r="X637" i="6"/>
  <c r="W637" i="6"/>
  <c r="V637" i="6"/>
  <c r="U637" i="6"/>
  <c r="T637" i="6"/>
  <c r="S637" i="6"/>
  <c r="R637" i="6"/>
  <c r="Q637" i="6"/>
  <c r="P637" i="6"/>
  <c r="O637" i="6"/>
  <c r="N637" i="6"/>
  <c r="M637" i="6"/>
  <c r="L637" i="6"/>
  <c r="K637" i="6"/>
  <c r="J637" i="6"/>
  <c r="I637" i="6"/>
  <c r="H637" i="6"/>
  <c r="G637" i="6"/>
  <c r="F637" i="6"/>
  <c r="BK636" i="6"/>
  <c r="BJ636" i="6"/>
  <c r="BI636" i="6"/>
  <c r="BH636" i="6"/>
  <c r="BG636" i="6"/>
  <c r="BF636" i="6"/>
  <c r="BE636" i="6"/>
  <c r="BD636" i="6"/>
  <c r="BC636" i="6"/>
  <c r="BB636" i="6"/>
  <c r="BA636" i="6"/>
  <c r="AZ636" i="6"/>
  <c r="AY636" i="6"/>
  <c r="AX636" i="6"/>
  <c r="AW636" i="6"/>
  <c r="AV636" i="6"/>
  <c r="AU636" i="6"/>
  <c r="AT636" i="6"/>
  <c r="AS636" i="6"/>
  <c r="AR636" i="6"/>
  <c r="AQ636" i="6"/>
  <c r="AP636" i="6"/>
  <c r="AO636" i="6"/>
  <c r="AN636" i="6"/>
  <c r="AM636" i="6"/>
  <c r="AL636" i="6"/>
  <c r="AK636" i="6"/>
  <c r="AJ636" i="6"/>
  <c r="AI636" i="6"/>
  <c r="AH636" i="6"/>
  <c r="AG636" i="6"/>
  <c r="AF636" i="6"/>
  <c r="AE636" i="6"/>
  <c r="AD636" i="6"/>
  <c r="AC636" i="6"/>
  <c r="AB636" i="6"/>
  <c r="AA636" i="6"/>
  <c r="Z636" i="6"/>
  <c r="Y636" i="6"/>
  <c r="X636" i="6"/>
  <c r="W636" i="6"/>
  <c r="V636" i="6"/>
  <c r="U636" i="6"/>
  <c r="T636" i="6"/>
  <c r="S636" i="6"/>
  <c r="R636" i="6"/>
  <c r="Q636" i="6"/>
  <c r="P636" i="6"/>
  <c r="O636" i="6"/>
  <c r="N636" i="6"/>
  <c r="M636" i="6"/>
  <c r="L636" i="6"/>
  <c r="K636" i="6"/>
  <c r="J636" i="6"/>
  <c r="I636" i="6"/>
  <c r="H636" i="6"/>
  <c r="G636" i="6"/>
  <c r="F636" i="6"/>
  <c r="BK635" i="6"/>
  <c r="BJ635" i="6"/>
  <c r="BI635" i="6"/>
  <c r="BH635" i="6"/>
  <c r="BG635" i="6"/>
  <c r="BF635" i="6"/>
  <c r="BE635" i="6"/>
  <c r="BD635" i="6"/>
  <c r="BC635" i="6"/>
  <c r="BB635" i="6"/>
  <c r="BA635" i="6"/>
  <c r="AZ635" i="6"/>
  <c r="AY635" i="6"/>
  <c r="AX635" i="6"/>
  <c r="AW635" i="6"/>
  <c r="AV635" i="6"/>
  <c r="AU635" i="6"/>
  <c r="AT635" i="6"/>
  <c r="AS635" i="6"/>
  <c r="AR635" i="6"/>
  <c r="AQ635" i="6"/>
  <c r="AP635" i="6"/>
  <c r="AO635" i="6"/>
  <c r="AN635" i="6"/>
  <c r="AM635" i="6"/>
  <c r="AL635" i="6"/>
  <c r="AK635" i="6"/>
  <c r="AJ635" i="6"/>
  <c r="AI635" i="6"/>
  <c r="AH635" i="6"/>
  <c r="AG635" i="6"/>
  <c r="AF635" i="6"/>
  <c r="AE635" i="6"/>
  <c r="AD635" i="6"/>
  <c r="AC635" i="6"/>
  <c r="AB635" i="6"/>
  <c r="AA635" i="6"/>
  <c r="Z635" i="6"/>
  <c r="Y635" i="6"/>
  <c r="X635" i="6"/>
  <c r="W635" i="6"/>
  <c r="V635" i="6"/>
  <c r="U635" i="6"/>
  <c r="T635" i="6"/>
  <c r="S635" i="6"/>
  <c r="R635" i="6"/>
  <c r="Q635" i="6"/>
  <c r="P635" i="6"/>
  <c r="O635" i="6"/>
  <c r="N635" i="6"/>
  <c r="M635" i="6"/>
  <c r="L635" i="6"/>
  <c r="K635" i="6"/>
  <c r="J635" i="6"/>
  <c r="I635" i="6"/>
  <c r="H635" i="6"/>
  <c r="G635" i="6"/>
  <c r="F635" i="6"/>
  <c r="BK634" i="6"/>
  <c r="BJ634" i="6"/>
  <c r="BI634" i="6"/>
  <c r="BH634" i="6"/>
  <c r="BG634" i="6"/>
  <c r="BF634" i="6"/>
  <c r="BE634" i="6"/>
  <c r="BD634" i="6"/>
  <c r="BC634" i="6"/>
  <c r="BB634" i="6"/>
  <c r="BA634" i="6"/>
  <c r="AZ634" i="6"/>
  <c r="AY634" i="6"/>
  <c r="AX634" i="6"/>
  <c r="AW634" i="6"/>
  <c r="AV634" i="6"/>
  <c r="AU634" i="6"/>
  <c r="AT634" i="6"/>
  <c r="AS634" i="6"/>
  <c r="AR634" i="6"/>
  <c r="AQ634" i="6"/>
  <c r="AP634" i="6"/>
  <c r="AO634" i="6"/>
  <c r="AN634" i="6"/>
  <c r="AM634" i="6"/>
  <c r="AL634" i="6"/>
  <c r="AK634" i="6"/>
  <c r="AJ634" i="6"/>
  <c r="AI634" i="6"/>
  <c r="AH634" i="6"/>
  <c r="AG634" i="6"/>
  <c r="AF634" i="6"/>
  <c r="AE634" i="6"/>
  <c r="AD634" i="6"/>
  <c r="AC634" i="6"/>
  <c r="AB634" i="6"/>
  <c r="AA634" i="6"/>
  <c r="Z634" i="6"/>
  <c r="Y634" i="6"/>
  <c r="X634" i="6"/>
  <c r="W634" i="6"/>
  <c r="V634" i="6"/>
  <c r="U634" i="6"/>
  <c r="T634" i="6"/>
  <c r="S634" i="6"/>
  <c r="R634" i="6"/>
  <c r="Q634" i="6"/>
  <c r="P634" i="6"/>
  <c r="O634" i="6"/>
  <c r="N634" i="6"/>
  <c r="M634" i="6"/>
  <c r="L634" i="6"/>
  <c r="K634" i="6"/>
  <c r="J634" i="6"/>
  <c r="I634" i="6"/>
  <c r="H634" i="6"/>
  <c r="G634" i="6"/>
  <c r="F634" i="6"/>
  <c r="BK633" i="6"/>
  <c r="BJ633" i="6"/>
  <c r="BI633" i="6"/>
  <c r="BH633" i="6"/>
  <c r="BG633" i="6"/>
  <c r="BF633" i="6"/>
  <c r="BE633" i="6"/>
  <c r="BD633" i="6"/>
  <c r="BC633" i="6"/>
  <c r="BB633" i="6"/>
  <c r="BA633" i="6"/>
  <c r="AZ633" i="6"/>
  <c r="AY633" i="6"/>
  <c r="AX633" i="6"/>
  <c r="AW633" i="6"/>
  <c r="AV633" i="6"/>
  <c r="AU633" i="6"/>
  <c r="AT633" i="6"/>
  <c r="AS633" i="6"/>
  <c r="AR633" i="6"/>
  <c r="AQ633" i="6"/>
  <c r="AP633" i="6"/>
  <c r="AO633" i="6"/>
  <c r="AN633" i="6"/>
  <c r="AM633" i="6"/>
  <c r="AL633" i="6"/>
  <c r="AK633" i="6"/>
  <c r="AJ633" i="6"/>
  <c r="AI633" i="6"/>
  <c r="AH633" i="6"/>
  <c r="AG633" i="6"/>
  <c r="AF633" i="6"/>
  <c r="AE633" i="6"/>
  <c r="AD633" i="6"/>
  <c r="AC633" i="6"/>
  <c r="AB633" i="6"/>
  <c r="AA633" i="6"/>
  <c r="Z633" i="6"/>
  <c r="Y633" i="6"/>
  <c r="X633" i="6"/>
  <c r="W633" i="6"/>
  <c r="V633" i="6"/>
  <c r="U633" i="6"/>
  <c r="T633" i="6"/>
  <c r="S633" i="6"/>
  <c r="R633" i="6"/>
  <c r="Q633" i="6"/>
  <c r="P633" i="6"/>
  <c r="O633" i="6"/>
  <c r="N633" i="6"/>
  <c r="M633" i="6"/>
  <c r="L633" i="6"/>
  <c r="K633" i="6"/>
  <c r="J633" i="6"/>
  <c r="I633" i="6"/>
  <c r="H633" i="6"/>
  <c r="G633" i="6"/>
  <c r="F633" i="6"/>
  <c r="BK632" i="6"/>
  <c r="BJ632" i="6"/>
  <c r="BI632" i="6"/>
  <c r="BH632" i="6"/>
  <c r="BG632" i="6"/>
  <c r="BF632" i="6"/>
  <c r="BE632" i="6"/>
  <c r="BD632" i="6"/>
  <c r="BC632" i="6"/>
  <c r="BB632" i="6"/>
  <c r="BA632" i="6"/>
  <c r="AZ632" i="6"/>
  <c r="AY632" i="6"/>
  <c r="AX632" i="6"/>
  <c r="AW632" i="6"/>
  <c r="AV632" i="6"/>
  <c r="AU632" i="6"/>
  <c r="AT632" i="6"/>
  <c r="AS632" i="6"/>
  <c r="AR632" i="6"/>
  <c r="AQ632" i="6"/>
  <c r="AP632" i="6"/>
  <c r="AO632" i="6"/>
  <c r="AN632" i="6"/>
  <c r="AM632" i="6"/>
  <c r="AL632" i="6"/>
  <c r="AK632" i="6"/>
  <c r="AJ632" i="6"/>
  <c r="AI632" i="6"/>
  <c r="AH632" i="6"/>
  <c r="AG632" i="6"/>
  <c r="AF632" i="6"/>
  <c r="AE632" i="6"/>
  <c r="AD632" i="6"/>
  <c r="AC632" i="6"/>
  <c r="AB632" i="6"/>
  <c r="AA632" i="6"/>
  <c r="Z632" i="6"/>
  <c r="Y632" i="6"/>
  <c r="X632" i="6"/>
  <c r="W632" i="6"/>
  <c r="V632" i="6"/>
  <c r="U632" i="6"/>
  <c r="T632" i="6"/>
  <c r="S632" i="6"/>
  <c r="R632" i="6"/>
  <c r="Q632" i="6"/>
  <c r="P632" i="6"/>
  <c r="O632" i="6"/>
  <c r="N632" i="6"/>
  <c r="M632" i="6"/>
  <c r="L632" i="6"/>
  <c r="K632" i="6"/>
  <c r="J632" i="6"/>
  <c r="I632" i="6"/>
  <c r="H632" i="6"/>
  <c r="G632" i="6"/>
  <c r="F632" i="6"/>
  <c r="BK631" i="6"/>
  <c r="BJ631" i="6"/>
  <c r="BI631" i="6"/>
  <c r="BH631" i="6"/>
  <c r="BG631" i="6"/>
  <c r="BF631" i="6"/>
  <c r="BE631" i="6"/>
  <c r="BD631" i="6"/>
  <c r="BC631" i="6"/>
  <c r="BB631" i="6"/>
  <c r="BA631" i="6"/>
  <c r="AZ631" i="6"/>
  <c r="AY631" i="6"/>
  <c r="AX631" i="6"/>
  <c r="AW631" i="6"/>
  <c r="AV631" i="6"/>
  <c r="AU631" i="6"/>
  <c r="AT631" i="6"/>
  <c r="AS631" i="6"/>
  <c r="AR631" i="6"/>
  <c r="AQ631" i="6"/>
  <c r="AP631" i="6"/>
  <c r="AO631" i="6"/>
  <c r="AN631" i="6"/>
  <c r="AM631" i="6"/>
  <c r="AL631" i="6"/>
  <c r="AK631" i="6"/>
  <c r="AJ631" i="6"/>
  <c r="AI631" i="6"/>
  <c r="AH631" i="6"/>
  <c r="AG631" i="6"/>
  <c r="AF631" i="6"/>
  <c r="AE631" i="6"/>
  <c r="AD631" i="6"/>
  <c r="AC631" i="6"/>
  <c r="AB631" i="6"/>
  <c r="AA631" i="6"/>
  <c r="Z631" i="6"/>
  <c r="Y631" i="6"/>
  <c r="X631" i="6"/>
  <c r="W631" i="6"/>
  <c r="V631" i="6"/>
  <c r="U631" i="6"/>
  <c r="T631" i="6"/>
  <c r="S631" i="6"/>
  <c r="R631" i="6"/>
  <c r="Q631" i="6"/>
  <c r="P631" i="6"/>
  <c r="O631" i="6"/>
  <c r="N631" i="6"/>
  <c r="M631" i="6"/>
  <c r="L631" i="6"/>
  <c r="K631" i="6"/>
  <c r="J631" i="6"/>
  <c r="I631" i="6"/>
  <c r="H631" i="6"/>
  <c r="G631" i="6"/>
  <c r="F631" i="6"/>
  <c r="BK630" i="6"/>
  <c r="BJ630" i="6"/>
  <c r="BI630" i="6"/>
  <c r="BH630" i="6"/>
  <c r="BG630" i="6"/>
  <c r="BF630" i="6"/>
  <c r="BE630" i="6"/>
  <c r="BD630" i="6"/>
  <c r="BC630" i="6"/>
  <c r="BB630" i="6"/>
  <c r="BA630" i="6"/>
  <c r="AZ630" i="6"/>
  <c r="AY630" i="6"/>
  <c r="AX630" i="6"/>
  <c r="AW630" i="6"/>
  <c r="AV630" i="6"/>
  <c r="AU630" i="6"/>
  <c r="AT630" i="6"/>
  <c r="AS630" i="6"/>
  <c r="AR630" i="6"/>
  <c r="AQ630" i="6"/>
  <c r="AP630" i="6"/>
  <c r="AO630" i="6"/>
  <c r="AN630" i="6"/>
  <c r="AM630" i="6"/>
  <c r="AL630" i="6"/>
  <c r="AK630" i="6"/>
  <c r="AJ630" i="6"/>
  <c r="AI630" i="6"/>
  <c r="AH630" i="6"/>
  <c r="AG630" i="6"/>
  <c r="AF630" i="6"/>
  <c r="AE630" i="6"/>
  <c r="AD630" i="6"/>
  <c r="AC630" i="6"/>
  <c r="AB630" i="6"/>
  <c r="AA630" i="6"/>
  <c r="Z630" i="6"/>
  <c r="Y630" i="6"/>
  <c r="X630" i="6"/>
  <c r="W630" i="6"/>
  <c r="V630" i="6"/>
  <c r="U630" i="6"/>
  <c r="T630" i="6"/>
  <c r="S630" i="6"/>
  <c r="R630" i="6"/>
  <c r="Q630" i="6"/>
  <c r="P630" i="6"/>
  <c r="O630" i="6"/>
  <c r="N630" i="6"/>
  <c r="M630" i="6"/>
  <c r="L630" i="6"/>
  <c r="K630" i="6"/>
  <c r="J630" i="6"/>
  <c r="I630" i="6"/>
  <c r="H630" i="6"/>
  <c r="G630" i="6"/>
  <c r="F630" i="6"/>
  <c r="BK629" i="6"/>
  <c r="BJ629" i="6"/>
  <c r="BI629" i="6"/>
  <c r="BH629" i="6"/>
  <c r="BG629" i="6"/>
  <c r="BF629" i="6"/>
  <c r="BE629" i="6"/>
  <c r="BD629" i="6"/>
  <c r="BC629" i="6"/>
  <c r="BB629" i="6"/>
  <c r="BA629" i="6"/>
  <c r="AZ629" i="6"/>
  <c r="AY629" i="6"/>
  <c r="AX629" i="6"/>
  <c r="AW629" i="6"/>
  <c r="AV629" i="6"/>
  <c r="AU629" i="6"/>
  <c r="AT629" i="6"/>
  <c r="AS629" i="6"/>
  <c r="AR629" i="6"/>
  <c r="AQ629" i="6"/>
  <c r="AP629" i="6"/>
  <c r="AO629" i="6"/>
  <c r="AN629" i="6"/>
  <c r="AM629" i="6"/>
  <c r="AL629" i="6"/>
  <c r="AK629" i="6"/>
  <c r="AJ629" i="6"/>
  <c r="AI629" i="6"/>
  <c r="AH629" i="6"/>
  <c r="AG629" i="6"/>
  <c r="AF629" i="6"/>
  <c r="AE629" i="6"/>
  <c r="AD629" i="6"/>
  <c r="AC629" i="6"/>
  <c r="AB629" i="6"/>
  <c r="AA629" i="6"/>
  <c r="Z629" i="6"/>
  <c r="Y629" i="6"/>
  <c r="X629" i="6"/>
  <c r="W629" i="6"/>
  <c r="V629" i="6"/>
  <c r="U629" i="6"/>
  <c r="T629" i="6"/>
  <c r="S629" i="6"/>
  <c r="R629" i="6"/>
  <c r="Q629" i="6"/>
  <c r="P629" i="6"/>
  <c r="O629" i="6"/>
  <c r="N629" i="6"/>
  <c r="M629" i="6"/>
  <c r="L629" i="6"/>
  <c r="K629" i="6"/>
  <c r="J629" i="6"/>
  <c r="I629" i="6"/>
  <c r="H629" i="6"/>
  <c r="G629" i="6"/>
  <c r="F629" i="6"/>
  <c r="BK628" i="6"/>
  <c r="BJ628" i="6"/>
  <c r="BI628" i="6"/>
  <c r="BH628" i="6"/>
  <c r="BG628" i="6"/>
  <c r="BF628" i="6"/>
  <c r="BE628" i="6"/>
  <c r="BD628" i="6"/>
  <c r="BC628" i="6"/>
  <c r="BB628" i="6"/>
  <c r="BA628" i="6"/>
  <c r="AZ628" i="6"/>
  <c r="AY628" i="6"/>
  <c r="AX628" i="6"/>
  <c r="AW628" i="6"/>
  <c r="AV628" i="6"/>
  <c r="AU628" i="6"/>
  <c r="AT628" i="6"/>
  <c r="AS628" i="6"/>
  <c r="AR628" i="6"/>
  <c r="AQ628" i="6"/>
  <c r="AP628" i="6"/>
  <c r="AO628" i="6"/>
  <c r="AN628" i="6"/>
  <c r="AM628" i="6"/>
  <c r="AL628" i="6"/>
  <c r="AK628" i="6"/>
  <c r="AJ628" i="6"/>
  <c r="AI628" i="6"/>
  <c r="AH628" i="6"/>
  <c r="AG628" i="6"/>
  <c r="AF628" i="6"/>
  <c r="AE628" i="6"/>
  <c r="AD628" i="6"/>
  <c r="AC628" i="6"/>
  <c r="AB628" i="6"/>
  <c r="AA628" i="6"/>
  <c r="Z628" i="6"/>
  <c r="Y628" i="6"/>
  <c r="X628" i="6"/>
  <c r="W628" i="6"/>
  <c r="V628" i="6"/>
  <c r="U628" i="6"/>
  <c r="T628" i="6"/>
  <c r="S628" i="6"/>
  <c r="R628" i="6"/>
  <c r="Q628" i="6"/>
  <c r="P628" i="6"/>
  <c r="O628" i="6"/>
  <c r="N628" i="6"/>
  <c r="M628" i="6"/>
  <c r="L628" i="6"/>
  <c r="K628" i="6"/>
  <c r="J628" i="6"/>
  <c r="I628" i="6"/>
  <c r="H628" i="6"/>
  <c r="G628" i="6"/>
  <c r="F628" i="6"/>
  <c r="BK627" i="6"/>
  <c r="BJ627" i="6"/>
  <c r="BI627" i="6"/>
  <c r="BH627" i="6"/>
  <c r="BG627" i="6"/>
  <c r="BF627" i="6"/>
  <c r="BE627" i="6"/>
  <c r="BD627" i="6"/>
  <c r="BC627" i="6"/>
  <c r="BB627" i="6"/>
  <c r="BA627" i="6"/>
  <c r="AZ627" i="6"/>
  <c r="AY627" i="6"/>
  <c r="AX627" i="6"/>
  <c r="AW627" i="6"/>
  <c r="AV627" i="6"/>
  <c r="AU627" i="6"/>
  <c r="AT627" i="6"/>
  <c r="AS627" i="6"/>
  <c r="AR627" i="6"/>
  <c r="AQ627" i="6"/>
  <c r="AP627" i="6"/>
  <c r="AO627" i="6"/>
  <c r="AN627" i="6"/>
  <c r="AM627" i="6"/>
  <c r="AL627" i="6"/>
  <c r="AK627" i="6"/>
  <c r="AJ627" i="6"/>
  <c r="AI627" i="6"/>
  <c r="AH627" i="6"/>
  <c r="AG627" i="6"/>
  <c r="AF627" i="6"/>
  <c r="AE627" i="6"/>
  <c r="AD627" i="6"/>
  <c r="AC627" i="6"/>
  <c r="AB627" i="6"/>
  <c r="AA627" i="6"/>
  <c r="Z627" i="6"/>
  <c r="Y627" i="6"/>
  <c r="X627" i="6"/>
  <c r="W627" i="6"/>
  <c r="V627" i="6"/>
  <c r="U627" i="6"/>
  <c r="T627" i="6"/>
  <c r="S627" i="6"/>
  <c r="R627" i="6"/>
  <c r="Q627" i="6"/>
  <c r="P627" i="6"/>
  <c r="O627" i="6"/>
  <c r="N627" i="6"/>
  <c r="M627" i="6"/>
  <c r="L627" i="6"/>
  <c r="K627" i="6"/>
  <c r="J627" i="6"/>
  <c r="I627" i="6"/>
  <c r="H627" i="6"/>
  <c r="G627" i="6"/>
  <c r="F627" i="6"/>
  <c r="BK626" i="6"/>
  <c r="BJ626" i="6"/>
  <c r="BI626" i="6"/>
  <c r="BH626" i="6"/>
  <c r="BG626" i="6"/>
  <c r="BF626" i="6"/>
  <c r="BE626" i="6"/>
  <c r="BD626" i="6"/>
  <c r="BC626" i="6"/>
  <c r="BB626" i="6"/>
  <c r="BA626" i="6"/>
  <c r="AZ626" i="6"/>
  <c r="AY626" i="6"/>
  <c r="AX626" i="6"/>
  <c r="AW626" i="6"/>
  <c r="AV626" i="6"/>
  <c r="AU626" i="6"/>
  <c r="AT626" i="6"/>
  <c r="AS626" i="6"/>
  <c r="AR626" i="6"/>
  <c r="AQ626" i="6"/>
  <c r="AP626" i="6"/>
  <c r="AO626" i="6"/>
  <c r="AN626" i="6"/>
  <c r="AM626" i="6"/>
  <c r="AL626" i="6"/>
  <c r="AK626" i="6"/>
  <c r="AJ626" i="6"/>
  <c r="AI626" i="6"/>
  <c r="AH626" i="6"/>
  <c r="AG626" i="6"/>
  <c r="AF626" i="6"/>
  <c r="AE626" i="6"/>
  <c r="AD626" i="6"/>
  <c r="AC626" i="6"/>
  <c r="AB626" i="6"/>
  <c r="AA626" i="6"/>
  <c r="Z626" i="6"/>
  <c r="Y626" i="6"/>
  <c r="X626" i="6"/>
  <c r="W626" i="6"/>
  <c r="V626" i="6"/>
  <c r="U626" i="6"/>
  <c r="T626" i="6"/>
  <c r="S626" i="6"/>
  <c r="R626" i="6"/>
  <c r="Q626" i="6"/>
  <c r="P626" i="6"/>
  <c r="O626" i="6"/>
  <c r="N626" i="6"/>
  <c r="M626" i="6"/>
  <c r="L626" i="6"/>
  <c r="K626" i="6"/>
  <c r="J626" i="6"/>
  <c r="I626" i="6"/>
  <c r="H626" i="6"/>
  <c r="G626" i="6"/>
  <c r="F626" i="6"/>
  <c r="BK625" i="6"/>
  <c r="BJ625" i="6"/>
  <c r="BI625" i="6"/>
  <c r="BH625" i="6"/>
  <c r="BG625" i="6"/>
  <c r="BF625" i="6"/>
  <c r="BE625" i="6"/>
  <c r="BD625" i="6"/>
  <c r="BC625" i="6"/>
  <c r="BB625" i="6"/>
  <c r="BA625" i="6"/>
  <c r="AZ625" i="6"/>
  <c r="AY625" i="6"/>
  <c r="AX625" i="6"/>
  <c r="AW625" i="6"/>
  <c r="AV625" i="6"/>
  <c r="AU625" i="6"/>
  <c r="AT625" i="6"/>
  <c r="AS625" i="6"/>
  <c r="AR625" i="6"/>
  <c r="AQ625" i="6"/>
  <c r="AP625" i="6"/>
  <c r="AO625" i="6"/>
  <c r="AN625" i="6"/>
  <c r="AM625" i="6"/>
  <c r="AL625" i="6"/>
  <c r="AK625" i="6"/>
  <c r="AJ625" i="6"/>
  <c r="AI625" i="6"/>
  <c r="AH625" i="6"/>
  <c r="AG625" i="6"/>
  <c r="AF625" i="6"/>
  <c r="AE625" i="6"/>
  <c r="AD625" i="6"/>
  <c r="AC625" i="6"/>
  <c r="AB625" i="6"/>
  <c r="AA625" i="6"/>
  <c r="Z625" i="6"/>
  <c r="Y625" i="6"/>
  <c r="X625" i="6"/>
  <c r="W625" i="6"/>
  <c r="V625" i="6"/>
  <c r="U625" i="6"/>
  <c r="T625" i="6"/>
  <c r="S625" i="6"/>
  <c r="R625" i="6"/>
  <c r="Q625" i="6"/>
  <c r="P625" i="6"/>
  <c r="O625" i="6"/>
  <c r="N625" i="6"/>
  <c r="M625" i="6"/>
  <c r="L625" i="6"/>
  <c r="K625" i="6"/>
  <c r="J625" i="6"/>
  <c r="I625" i="6"/>
  <c r="H625" i="6"/>
  <c r="G625" i="6"/>
  <c r="F625" i="6"/>
  <c r="BK624" i="6"/>
  <c r="BJ624" i="6"/>
  <c r="BI624" i="6"/>
  <c r="BH624" i="6"/>
  <c r="BG624" i="6"/>
  <c r="BF624" i="6"/>
  <c r="BE624" i="6"/>
  <c r="BD624" i="6"/>
  <c r="BC624" i="6"/>
  <c r="BB624" i="6"/>
  <c r="BA624" i="6"/>
  <c r="AZ624" i="6"/>
  <c r="AY624" i="6"/>
  <c r="AX624" i="6"/>
  <c r="AW624" i="6"/>
  <c r="AV624" i="6"/>
  <c r="AU624" i="6"/>
  <c r="AT624" i="6"/>
  <c r="AS624" i="6"/>
  <c r="AR624" i="6"/>
  <c r="AQ624" i="6"/>
  <c r="AP624" i="6"/>
  <c r="AO624" i="6"/>
  <c r="AN624" i="6"/>
  <c r="AM624" i="6"/>
  <c r="AL624" i="6"/>
  <c r="AK624" i="6"/>
  <c r="AJ624" i="6"/>
  <c r="AI624" i="6"/>
  <c r="AH624" i="6"/>
  <c r="AG624" i="6"/>
  <c r="AF624" i="6"/>
  <c r="AE624" i="6"/>
  <c r="AD624" i="6"/>
  <c r="AC624" i="6"/>
  <c r="AB624" i="6"/>
  <c r="AA624" i="6"/>
  <c r="Z624" i="6"/>
  <c r="Y624" i="6"/>
  <c r="X624" i="6"/>
  <c r="W624" i="6"/>
  <c r="V624" i="6"/>
  <c r="U624" i="6"/>
  <c r="T624" i="6"/>
  <c r="S624" i="6"/>
  <c r="R624" i="6"/>
  <c r="Q624" i="6"/>
  <c r="P624" i="6"/>
  <c r="O624" i="6"/>
  <c r="N624" i="6"/>
  <c r="M624" i="6"/>
  <c r="L624" i="6"/>
  <c r="K624" i="6"/>
  <c r="J624" i="6"/>
  <c r="I624" i="6"/>
  <c r="H624" i="6"/>
  <c r="G624" i="6"/>
  <c r="F624" i="6"/>
  <c r="BK623" i="6"/>
  <c r="BJ623" i="6"/>
  <c r="BI623" i="6"/>
  <c r="BH623" i="6"/>
  <c r="BG623" i="6"/>
  <c r="BF623" i="6"/>
  <c r="BE623" i="6"/>
  <c r="BD623" i="6"/>
  <c r="BC623" i="6"/>
  <c r="BB623" i="6"/>
  <c r="BA623" i="6"/>
  <c r="AZ623" i="6"/>
  <c r="AY623" i="6"/>
  <c r="AX623" i="6"/>
  <c r="AW623" i="6"/>
  <c r="AV623" i="6"/>
  <c r="AU623" i="6"/>
  <c r="AT623" i="6"/>
  <c r="AS623" i="6"/>
  <c r="AR623" i="6"/>
  <c r="AQ623" i="6"/>
  <c r="AP623" i="6"/>
  <c r="AO623" i="6"/>
  <c r="AN623" i="6"/>
  <c r="AM623" i="6"/>
  <c r="AL623" i="6"/>
  <c r="AK623" i="6"/>
  <c r="AJ623" i="6"/>
  <c r="AI623" i="6"/>
  <c r="AH623" i="6"/>
  <c r="AG623" i="6"/>
  <c r="AF623" i="6"/>
  <c r="AE623" i="6"/>
  <c r="AD623" i="6"/>
  <c r="AC623" i="6"/>
  <c r="AB623" i="6"/>
  <c r="AA623" i="6"/>
  <c r="Z623" i="6"/>
  <c r="Y623" i="6"/>
  <c r="X623" i="6"/>
  <c r="W623" i="6"/>
  <c r="V623" i="6"/>
  <c r="U623" i="6"/>
  <c r="T623" i="6"/>
  <c r="S623" i="6"/>
  <c r="R623" i="6"/>
  <c r="Q623" i="6"/>
  <c r="P623" i="6"/>
  <c r="O623" i="6"/>
  <c r="N623" i="6"/>
  <c r="M623" i="6"/>
  <c r="L623" i="6"/>
  <c r="K623" i="6"/>
  <c r="J623" i="6"/>
  <c r="I623" i="6"/>
  <c r="H623" i="6"/>
  <c r="G623" i="6"/>
  <c r="F623" i="6"/>
  <c r="BK622" i="6"/>
  <c r="BJ622" i="6"/>
  <c r="BI622" i="6"/>
  <c r="BH622" i="6"/>
  <c r="BG622" i="6"/>
  <c r="BF622" i="6"/>
  <c r="BE622" i="6"/>
  <c r="BD622" i="6"/>
  <c r="BC622" i="6"/>
  <c r="BB622" i="6"/>
  <c r="BA622" i="6"/>
  <c r="AZ622" i="6"/>
  <c r="AY622" i="6"/>
  <c r="AX622" i="6"/>
  <c r="AW622" i="6"/>
  <c r="AV622" i="6"/>
  <c r="AU622" i="6"/>
  <c r="AT622" i="6"/>
  <c r="AS622" i="6"/>
  <c r="AR622" i="6"/>
  <c r="AQ622" i="6"/>
  <c r="AP622" i="6"/>
  <c r="AO622" i="6"/>
  <c r="AN622" i="6"/>
  <c r="AM622" i="6"/>
  <c r="AL622" i="6"/>
  <c r="AK622" i="6"/>
  <c r="AJ622" i="6"/>
  <c r="AI622" i="6"/>
  <c r="AH622" i="6"/>
  <c r="AG622" i="6"/>
  <c r="AF622" i="6"/>
  <c r="AE622" i="6"/>
  <c r="AD622" i="6"/>
  <c r="AC622" i="6"/>
  <c r="AB622" i="6"/>
  <c r="AA622" i="6"/>
  <c r="Z622" i="6"/>
  <c r="Y622" i="6"/>
  <c r="X622" i="6"/>
  <c r="W622" i="6"/>
  <c r="V622" i="6"/>
  <c r="U622" i="6"/>
  <c r="T622" i="6"/>
  <c r="S622" i="6"/>
  <c r="R622" i="6"/>
  <c r="Q622" i="6"/>
  <c r="P622" i="6"/>
  <c r="O622" i="6"/>
  <c r="N622" i="6"/>
  <c r="M622" i="6"/>
  <c r="L622" i="6"/>
  <c r="K622" i="6"/>
  <c r="J622" i="6"/>
  <c r="I622" i="6"/>
  <c r="H622" i="6"/>
  <c r="G622" i="6"/>
  <c r="F622" i="6"/>
  <c r="BK621" i="6"/>
  <c r="BJ621" i="6"/>
  <c r="BI621" i="6"/>
  <c r="BH621" i="6"/>
  <c r="BG621" i="6"/>
  <c r="BF621" i="6"/>
  <c r="BE621" i="6"/>
  <c r="BD621" i="6"/>
  <c r="BC621" i="6"/>
  <c r="BB621" i="6"/>
  <c r="BA621" i="6"/>
  <c r="AZ621" i="6"/>
  <c r="AY621" i="6"/>
  <c r="AX621" i="6"/>
  <c r="AW621" i="6"/>
  <c r="AV621" i="6"/>
  <c r="AU621" i="6"/>
  <c r="AT621" i="6"/>
  <c r="AS621" i="6"/>
  <c r="AR621" i="6"/>
  <c r="AQ621" i="6"/>
  <c r="AP621" i="6"/>
  <c r="AO621" i="6"/>
  <c r="AN621" i="6"/>
  <c r="AM621" i="6"/>
  <c r="AL621" i="6"/>
  <c r="AK621" i="6"/>
  <c r="AJ621" i="6"/>
  <c r="AI621" i="6"/>
  <c r="AH621" i="6"/>
  <c r="AG621" i="6"/>
  <c r="AF621" i="6"/>
  <c r="AE621" i="6"/>
  <c r="AD621" i="6"/>
  <c r="AC621" i="6"/>
  <c r="AB621" i="6"/>
  <c r="AA621" i="6"/>
  <c r="Z621" i="6"/>
  <c r="Y621" i="6"/>
  <c r="X621" i="6"/>
  <c r="W621" i="6"/>
  <c r="V621" i="6"/>
  <c r="U621" i="6"/>
  <c r="T621" i="6"/>
  <c r="S621" i="6"/>
  <c r="R621" i="6"/>
  <c r="Q621" i="6"/>
  <c r="P621" i="6"/>
  <c r="O621" i="6"/>
  <c r="N621" i="6"/>
  <c r="M621" i="6"/>
  <c r="L621" i="6"/>
  <c r="K621" i="6"/>
  <c r="J621" i="6"/>
  <c r="I621" i="6"/>
  <c r="H621" i="6"/>
  <c r="G621" i="6"/>
  <c r="F621" i="6"/>
  <c r="BK620" i="6"/>
  <c r="BJ620" i="6"/>
  <c r="BI620" i="6"/>
  <c r="BH620" i="6"/>
  <c r="BG620" i="6"/>
  <c r="BF620" i="6"/>
  <c r="BE620" i="6"/>
  <c r="BD620" i="6"/>
  <c r="BC620" i="6"/>
  <c r="BB620" i="6"/>
  <c r="BA620" i="6"/>
  <c r="AZ620" i="6"/>
  <c r="AY620" i="6"/>
  <c r="AX620" i="6"/>
  <c r="AW620" i="6"/>
  <c r="AV620" i="6"/>
  <c r="AU620" i="6"/>
  <c r="AT620" i="6"/>
  <c r="AS620" i="6"/>
  <c r="AR620" i="6"/>
  <c r="AQ620" i="6"/>
  <c r="AP620" i="6"/>
  <c r="AO620" i="6"/>
  <c r="AN620" i="6"/>
  <c r="AM620" i="6"/>
  <c r="AL620" i="6"/>
  <c r="AK620" i="6"/>
  <c r="AJ620" i="6"/>
  <c r="AI620" i="6"/>
  <c r="AH620" i="6"/>
  <c r="AG620" i="6"/>
  <c r="AF620" i="6"/>
  <c r="AE620" i="6"/>
  <c r="AD620" i="6"/>
  <c r="AC620" i="6"/>
  <c r="AB620" i="6"/>
  <c r="AA620" i="6"/>
  <c r="Z620" i="6"/>
  <c r="Y620" i="6"/>
  <c r="X620" i="6"/>
  <c r="W620" i="6"/>
  <c r="V620" i="6"/>
  <c r="U620" i="6"/>
  <c r="T620" i="6"/>
  <c r="S620" i="6"/>
  <c r="R620" i="6"/>
  <c r="Q620" i="6"/>
  <c r="P620" i="6"/>
  <c r="O620" i="6"/>
  <c r="N620" i="6"/>
  <c r="M620" i="6"/>
  <c r="L620" i="6"/>
  <c r="K620" i="6"/>
  <c r="J620" i="6"/>
  <c r="I620" i="6"/>
  <c r="H620" i="6"/>
  <c r="G620" i="6"/>
  <c r="F620" i="6"/>
  <c r="BK619" i="6"/>
  <c r="BJ619" i="6"/>
  <c r="BI619" i="6"/>
  <c r="BH619" i="6"/>
  <c r="BG619" i="6"/>
  <c r="BF619" i="6"/>
  <c r="BE619" i="6"/>
  <c r="BD619" i="6"/>
  <c r="BC619" i="6"/>
  <c r="BB619" i="6"/>
  <c r="BA619" i="6"/>
  <c r="AZ619" i="6"/>
  <c r="AY619" i="6"/>
  <c r="AX619" i="6"/>
  <c r="AW619" i="6"/>
  <c r="AV619" i="6"/>
  <c r="AU619" i="6"/>
  <c r="AT619" i="6"/>
  <c r="AS619" i="6"/>
  <c r="AR619" i="6"/>
  <c r="AQ619" i="6"/>
  <c r="AP619" i="6"/>
  <c r="AO619" i="6"/>
  <c r="AN619" i="6"/>
  <c r="AM619" i="6"/>
  <c r="AL619" i="6"/>
  <c r="AK619" i="6"/>
  <c r="AJ619" i="6"/>
  <c r="AI619" i="6"/>
  <c r="AH619" i="6"/>
  <c r="AG619" i="6"/>
  <c r="AF619" i="6"/>
  <c r="AE619" i="6"/>
  <c r="AD619" i="6"/>
  <c r="AC619" i="6"/>
  <c r="AB619" i="6"/>
  <c r="AA619" i="6"/>
  <c r="Z619" i="6"/>
  <c r="Y619" i="6"/>
  <c r="X619" i="6"/>
  <c r="W619" i="6"/>
  <c r="V619" i="6"/>
  <c r="U619" i="6"/>
  <c r="T619" i="6"/>
  <c r="S619" i="6"/>
  <c r="R619" i="6"/>
  <c r="Q619" i="6"/>
  <c r="P619" i="6"/>
  <c r="O619" i="6"/>
  <c r="N619" i="6"/>
  <c r="M619" i="6"/>
  <c r="L619" i="6"/>
  <c r="K619" i="6"/>
  <c r="J619" i="6"/>
  <c r="I619" i="6"/>
  <c r="H619" i="6"/>
  <c r="G619" i="6"/>
  <c r="F619" i="6"/>
  <c r="BK618" i="6"/>
  <c r="BJ618" i="6"/>
  <c r="BI618" i="6"/>
  <c r="BH618" i="6"/>
  <c r="BG618" i="6"/>
  <c r="BF618" i="6"/>
  <c r="BE618" i="6"/>
  <c r="BD618" i="6"/>
  <c r="BC618" i="6"/>
  <c r="BB618" i="6"/>
  <c r="BA618" i="6"/>
  <c r="AZ618" i="6"/>
  <c r="AY618" i="6"/>
  <c r="AX618" i="6"/>
  <c r="AW618" i="6"/>
  <c r="AV618" i="6"/>
  <c r="AU618" i="6"/>
  <c r="AT618" i="6"/>
  <c r="AS618" i="6"/>
  <c r="AR618" i="6"/>
  <c r="AQ618" i="6"/>
  <c r="AP618" i="6"/>
  <c r="AO618" i="6"/>
  <c r="AN618" i="6"/>
  <c r="AM618" i="6"/>
  <c r="AL618" i="6"/>
  <c r="AK618" i="6"/>
  <c r="AJ618" i="6"/>
  <c r="AI618" i="6"/>
  <c r="AH618" i="6"/>
  <c r="AG618" i="6"/>
  <c r="AF618" i="6"/>
  <c r="AE618" i="6"/>
  <c r="AD618" i="6"/>
  <c r="AC618" i="6"/>
  <c r="AB618" i="6"/>
  <c r="AA618" i="6"/>
  <c r="Z618" i="6"/>
  <c r="Y618" i="6"/>
  <c r="X618" i="6"/>
  <c r="W618" i="6"/>
  <c r="V618" i="6"/>
  <c r="U618" i="6"/>
  <c r="T618" i="6"/>
  <c r="S618" i="6"/>
  <c r="R618" i="6"/>
  <c r="Q618" i="6"/>
  <c r="P618" i="6"/>
  <c r="O618" i="6"/>
  <c r="N618" i="6"/>
  <c r="M618" i="6"/>
  <c r="L618" i="6"/>
  <c r="K618" i="6"/>
  <c r="J618" i="6"/>
  <c r="I618" i="6"/>
  <c r="H618" i="6"/>
  <c r="G618" i="6"/>
  <c r="F618" i="6"/>
  <c r="BK617" i="6"/>
  <c r="BJ617" i="6"/>
  <c r="BI617" i="6"/>
  <c r="BH617" i="6"/>
  <c r="BG617" i="6"/>
  <c r="BF617" i="6"/>
  <c r="BE617" i="6"/>
  <c r="BD617" i="6"/>
  <c r="BC617" i="6"/>
  <c r="BB617" i="6"/>
  <c r="BA617" i="6"/>
  <c r="AZ617" i="6"/>
  <c r="AY617" i="6"/>
  <c r="AX617" i="6"/>
  <c r="AW617" i="6"/>
  <c r="AV617" i="6"/>
  <c r="AU617" i="6"/>
  <c r="AT617" i="6"/>
  <c r="AS617" i="6"/>
  <c r="AR617" i="6"/>
  <c r="AQ617" i="6"/>
  <c r="AP617" i="6"/>
  <c r="AO617" i="6"/>
  <c r="AN617" i="6"/>
  <c r="AM617" i="6"/>
  <c r="AL617" i="6"/>
  <c r="AK617" i="6"/>
  <c r="AJ617" i="6"/>
  <c r="AI617" i="6"/>
  <c r="AH617" i="6"/>
  <c r="AG617" i="6"/>
  <c r="AF617" i="6"/>
  <c r="AE617" i="6"/>
  <c r="AD617" i="6"/>
  <c r="AC617" i="6"/>
  <c r="AB617" i="6"/>
  <c r="AA617" i="6"/>
  <c r="Z617" i="6"/>
  <c r="Y617" i="6"/>
  <c r="X617" i="6"/>
  <c r="W617" i="6"/>
  <c r="V617" i="6"/>
  <c r="U617" i="6"/>
  <c r="T617" i="6"/>
  <c r="S617" i="6"/>
  <c r="R617" i="6"/>
  <c r="Q617" i="6"/>
  <c r="P617" i="6"/>
  <c r="O617" i="6"/>
  <c r="N617" i="6"/>
  <c r="M617" i="6"/>
  <c r="L617" i="6"/>
  <c r="K617" i="6"/>
  <c r="J617" i="6"/>
  <c r="I617" i="6"/>
  <c r="H617" i="6"/>
  <c r="G617" i="6"/>
  <c r="F617" i="6"/>
  <c r="BK616" i="6"/>
  <c r="BJ616" i="6"/>
  <c r="BI616" i="6"/>
  <c r="BH616" i="6"/>
  <c r="BG616" i="6"/>
  <c r="BF616" i="6"/>
  <c r="BE616" i="6"/>
  <c r="BD616" i="6"/>
  <c r="BC616" i="6"/>
  <c r="BB616" i="6"/>
  <c r="BA616" i="6"/>
  <c r="AZ616" i="6"/>
  <c r="AY616" i="6"/>
  <c r="AX616" i="6"/>
  <c r="AW616" i="6"/>
  <c r="AV616" i="6"/>
  <c r="AU616" i="6"/>
  <c r="AT616" i="6"/>
  <c r="AS616" i="6"/>
  <c r="AR616" i="6"/>
  <c r="AQ616" i="6"/>
  <c r="AP616" i="6"/>
  <c r="AO616" i="6"/>
  <c r="AN616" i="6"/>
  <c r="AM616" i="6"/>
  <c r="AL616" i="6"/>
  <c r="AK616" i="6"/>
  <c r="AJ616" i="6"/>
  <c r="AI616" i="6"/>
  <c r="AH616" i="6"/>
  <c r="AG616" i="6"/>
  <c r="AF616" i="6"/>
  <c r="AE616" i="6"/>
  <c r="AD616" i="6"/>
  <c r="AC616" i="6"/>
  <c r="AB616" i="6"/>
  <c r="AA616" i="6"/>
  <c r="Z616" i="6"/>
  <c r="Y616" i="6"/>
  <c r="X616" i="6"/>
  <c r="W616" i="6"/>
  <c r="V616" i="6"/>
  <c r="U616" i="6"/>
  <c r="T616" i="6"/>
  <c r="S616" i="6"/>
  <c r="R616" i="6"/>
  <c r="Q616" i="6"/>
  <c r="P616" i="6"/>
  <c r="O616" i="6"/>
  <c r="N616" i="6"/>
  <c r="M616" i="6"/>
  <c r="L616" i="6"/>
  <c r="K616" i="6"/>
  <c r="J616" i="6"/>
  <c r="I616" i="6"/>
  <c r="H616" i="6"/>
  <c r="G616" i="6"/>
  <c r="F616" i="6"/>
  <c r="BK615" i="6"/>
  <c r="BJ615" i="6"/>
  <c r="BI615" i="6"/>
  <c r="BH615" i="6"/>
  <c r="BG615" i="6"/>
  <c r="BF615" i="6"/>
  <c r="BE615" i="6"/>
  <c r="BD615" i="6"/>
  <c r="BC615" i="6"/>
  <c r="BB615" i="6"/>
  <c r="BA615" i="6"/>
  <c r="AZ615" i="6"/>
  <c r="AY615" i="6"/>
  <c r="AX615" i="6"/>
  <c r="AW615" i="6"/>
  <c r="AV615" i="6"/>
  <c r="AU615" i="6"/>
  <c r="AT615" i="6"/>
  <c r="AS615" i="6"/>
  <c r="AR615" i="6"/>
  <c r="AQ615" i="6"/>
  <c r="AP615" i="6"/>
  <c r="AO615" i="6"/>
  <c r="AN615" i="6"/>
  <c r="AM615" i="6"/>
  <c r="AL615" i="6"/>
  <c r="AK615" i="6"/>
  <c r="AJ615" i="6"/>
  <c r="AI615" i="6"/>
  <c r="AH615" i="6"/>
  <c r="AG615" i="6"/>
  <c r="AF615" i="6"/>
  <c r="AE615" i="6"/>
  <c r="AD615" i="6"/>
  <c r="AC615" i="6"/>
  <c r="AB615" i="6"/>
  <c r="AA615" i="6"/>
  <c r="Z615" i="6"/>
  <c r="Y615" i="6"/>
  <c r="X615" i="6"/>
  <c r="W615" i="6"/>
  <c r="V615" i="6"/>
  <c r="U615" i="6"/>
  <c r="T615" i="6"/>
  <c r="S615" i="6"/>
  <c r="R615" i="6"/>
  <c r="Q615" i="6"/>
  <c r="P615" i="6"/>
  <c r="O615" i="6"/>
  <c r="N615" i="6"/>
  <c r="M615" i="6"/>
  <c r="L615" i="6"/>
  <c r="K615" i="6"/>
  <c r="J615" i="6"/>
  <c r="I615" i="6"/>
  <c r="H615" i="6"/>
  <c r="G615" i="6"/>
  <c r="F615" i="6"/>
  <c r="BK614" i="6"/>
  <c r="BJ614" i="6"/>
  <c r="BI614" i="6"/>
  <c r="BH614" i="6"/>
  <c r="BG614" i="6"/>
  <c r="BF614" i="6"/>
  <c r="BE614" i="6"/>
  <c r="BD614" i="6"/>
  <c r="BC614" i="6"/>
  <c r="BB614" i="6"/>
  <c r="BA614" i="6"/>
  <c r="AZ614" i="6"/>
  <c r="AY614" i="6"/>
  <c r="AX614" i="6"/>
  <c r="AW614" i="6"/>
  <c r="AV614" i="6"/>
  <c r="AU614" i="6"/>
  <c r="AT614" i="6"/>
  <c r="AS614" i="6"/>
  <c r="AR614" i="6"/>
  <c r="AQ614" i="6"/>
  <c r="AP614" i="6"/>
  <c r="AO614" i="6"/>
  <c r="AN614" i="6"/>
  <c r="AM614" i="6"/>
  <c r="AL614" i="6"/>
  <c r="AK614" i="6"/>
  <c r="AJ614" i="6"/>
  <c r="AI614" i="6"/>
  <c r="AH614" i="6"/>
  <c r="AG614" i="6"/>
  <c r="AF614" i="6"/>
  <c r="AE614" i="6"/>
  <c r="AD614" i="6"/>
  <c r="AC614" i="6"/>
  <c r="AB614" i="6"/>
  <c r="AA614" i="6"/>
  <c r="Z614" i="6"/>
  <c r="Y614" i="6"/>
  <c r="X614" i="6"/>
  <c r="W614" i="6"/>
  <c r="V614" i="6"/>
  <c r="U614" i="6"/>
  <c r="T614" i="6"/>
  <c r="S614" i="6"/>
  <c r="R614" i="6"/>
  <c r="Q614" i="6"/>
  <c r="P614" i="6"/>
  <c r="O614" i="6"/>
  <c r="N614" i="6"/>
  <c r="M614" i="6"/>
  <c r="L614" i="6"/>
  <c r="K614" i="6"/>
  <c r="J614" i="6"/>
  <c r="I614" i="6"/>
  <c r="H614" i="6"/>
  <c r="G614" i="6"/>
  <c r="F614" i="6"/>
  <c r="BK613" i="6"/>
  <c r="BJ613" i="6"/>
  <c r="BI613" i="6"/>
  <c r="BH613" i="6"/>
  <c r="BG613" i="6"/>
  <c r="BF613" i="6"/>
  <c r="BE613" i="6"/>
  <c r="BD613" i="6"/>
  <c r="BC613" i="6"/>
  <c r="BB613" i="6"/>
  <c r="BA613" i="6"/>
  <c r="AZ613" i="6"/>
  <c r="AY613" i="6"/>
  <c r="AX613" i="6"/>
  <c r="AW613" i="6"/>
  <c r="AV613" i="6"/>
  <c r="AU613" i="6"/>
  <c r="AT613" i="6"/>
  <c r="AS613" i="6"/>
  <c r="AR613" i="6"/>
  <c r="AQ613" i="6"/>
  <c r="AP613" i="6"/>
  <c r="AO613" i="6"/>
  <c r="AN613" i="6"/>
  <c r="AM613" i="6"/>
  <c r="AL613" i="6"/>
  <c r="AK613" i="6"/>
  <c r="AJ613" i="6"/>
  <c r="AI613" i="6"/>
  <c r="AH613" i="6"/>
  <c r="AG613" i="6"/>
  <c r="AF613" i="6"/>
  <c r="AE613" i="6"/>
  <c r="AD613" i="6"/>
  <c r="AC613" i="6"/>
  <c r="AB613" i="6"/>
  <c r="AA613" i="6"/>
  <c r="Z613" i="6"/>
  <c r="Y613" i="6"/>
  <c r="X613" i="6"/>
  <c r="W613" i="6"/>
  <c r="V613" i="6"/>
  <c r="U613" i="6"/>
  <c r="T613" i="6"/>
  <c r="S613" i="6"/>
  <c r="R613" i="6"/>
  <c r="Q613" i="6"/>
  <c r="P613" i="6"/>
  <c r="O613" i="6"/>
  <c r="N613" i="6"/>
  <c r="M613" i="6"/>
  <c r="L613" i="6"/>
  <c r="K613" i="6"/>
  <c r="J613" i="6"/>
  <c r="I613" i="6"/>
  <c r="H613" i="6"/>
  <c r="G613" i="6"/>
  <c r="F613" i="6"/>
  <c r="BK612" i="6"/>
  <c r="BJ612" i="6"/>
  <c r="BI612" i="6"/>
  <c r="BH612" i="6"/>
  <c r="BG612" i="6"/>
  <c r="BF612" i="6"/>
  <c r="BE612" i="6"/>
  <c r="BD612" i="6"/>
  <c r="BC612" i="6"/>
  <c r="BB612" i="6"/>
  <c r="BA612" i="6"/>
  <c r="AZ612" i="6"/>
  <c r="AY612" i="6"/>
  <c r="AX612" i="6"/>
  <c r="AW612" i="6"/>
  <c r="AV612" i="6"/>
  <c r="AU612" i="6"/>
  <c r="AT612" i="6"/>
  <c r="AS612" i="6"/>
  <c r="AR612" i="6"/>
  <c r="AQ612" i="6"/>
  <c r="AP612" i="6"/>
  <c r="AO612" i="6"/>
  <c r="AN612" i="6"/>
  <c r="AM612" i="6"/>
  <c r="AL612" i="6"/>
  <c r="AK612" i="6"/>
  <c r="AJ612" i="6"/>
  <c r="AI612" i="6"/>
  <c r="AH612" i="6"/>
  <c r="AG612" i="6"/>
  <c r="AF612" i="6"/>
  <c r="AE612" i="6"/>
  <c r="AD612" i="6"/>
  <c r="AC612" i="6"/>
  <c r="AB612" i="6"/>
  <c r="AA612" i="6"/>
  <c r="Z612" i="6"/>
  <c r="Y612" i="6"/>
  <c r="X612" i="6"/>
  <c r="W612" i="6"/>
  <c r="V612" i="6"/>
  <c r="U612" i="6"/>
  <c r="T612" i="6"/>
  <c r="S612" i="6"/>
  <c r="R612" i="6"/>
  <c r="Q612" i="6"/>
  <c r="P612" i="6"/>
  <c r="O612" i="6"/>
  <c r="N612" i="6"/>
  <c r="M612" i="6"/>
  <c r="L612" i="6"/>
  <c r="K612" i="6"/>
  <c r="J612" i="6"/>
  <c r="I612" i="6"/>
  <c r="H612" i="6"/>
  <c r="G612" i="6"/>
  <c r="F612" i="6"/>
  <c r="BK611" i="6"/>
  <c r="BJ611" i="6"/>
  <c r="BI611" i="6"/>
  <c r="BH611" i="6"/>
  <c r="BG611" i="6"/>
  <c r="BF611" i="6"/>
  <c r="BE611" i="6"/>
  <c r="BD611" i="6"/>
  <c r="BC611" i="6"/>
  <c r="BB611" i="6"/>
  <c r="BA611" i="6"/>
  <c r="AZ611" i="6"/>
  <c r="AY611" i="6"/>
  <c r="AX611" i="6"/>
  <c r="AW611" i="6"/>
  <c r="AV611" i="6"/>
  <c r="AU611" i="6"/>
  <c r="AT611" i="6"/>
  <c r="AS611" i="6"/>
  <c r="AR611" i="6"/>
  <c r="AQ611" i="6"/>
  <c r="AP611" i="6"/>
  <c r="AO611" i="6"/>
  <c r="AN611" i="6"/>
  <c r="AM611" i="6"/>
  <c r="AL611" i="6"/>
  <c r="AK611" i="6"/>
  <c r="AJ611" i="6"/>
  <c r="AI611" i="6"/>
  <c r="AH611" i="6"/>
  <c r="AG611" i="6"/>
  <c r="AF611" i="6"/>
  <c r="AE611" i="6"/>
  <c r="AD611" i="6"/>
  <c r="AC611" i="6"/>
  <c r="AB611" i="6"/>
  <c r="AA611" i="6"/>
  <c r="Z611" i="6"/>
  <c r="Y611" i="6"/>
  <c r="X611" i="6"/>
  <c r="W611" i="6"/>
  <c r="V611" i="6"/>
  <c r="U611" i="6"/>
  <c r="T611" i="6"/>
  <c r="S611" i="6"/>
  <c r="R611" i="6"/>
  <c r="Q611" i="6"/>
  <c r="P611" i="6"/>
  <c r="O611" i="6"/>
  <c r="N611" i="6"/>
  <c r="M611" i="6"/>
  <c r="L611" i="6"/>
  <c r="K611" i="6"/>
  <c r="J611" i="6"/>
  <c r="I611" i="6"/>
  <c r="H611" i="6"/>
  <c r="G611" i="6"/>
  <c r="F611" i="6"/>
  <c r="BK610" i="6"/>
  <c r="BJ610" i="6"/>
  <c r="BI610" i="6"/>
  <c r="BH610" i="6"/>
  <c r="BG610" i="6"/>
  <c r="BF610" i="6"/>
  <c r="BE610" i="6"/>
  <c r="BD610" i="6"/>
  <c r="BC610" i="6"/>
  <c r="BB610" i="6"/>
  <c r="BA610" i="6"/>
  <c r="AZ610" i="6"/>
  <c r="AY610" i="6"/>
  <c r="AX610" i="6"/>
  <c r="AW610" i="6"/>
  <c r="AV610" i="6"/>
  <c r="AU610" i="6"/>
  <c r="AT610" i="6"/>
  <c r="AS610" i="6"/>
  <c r="AR610" i="6"/>
  <c r="AQ610" i="6"/>
  <c r="AP610" i="6"/>
  <c r="AO610" i="6"/>
  <c r="AN610" i="6"/>
  <c r="AM610" i="6"/>
  <c r="AL610" i="6"/>
  <c r="AK610" i="6"/>
  <c r="AJ610" i="6"/>
  <c r="AI610" i="6"/>
  <c r="AH610" i="6"/>
  <c r="AG610" i="6"/>
  <c r="AF610" i="6"/>
  <c r="AE610" i="6"/>
  <c r="AD610" i="6"/>
  <c r="AC610" i="6"/>
  <c r="AB610" i="6"/>
  <c r="AA610" i="6"/>
  <c r="Z610" i="6"/>
  <c r="Y610" i="6"/>
  <c r="X610" i="6"/>
  <c r="W610" i="6"/>
  <c r="V610" i="6"/>
  <c r="U610" i="6"/>
  <c r="T610" i="6"/>
  <c r="S610" i="6"/>
  <c r="R610" i="6"/>
  <c r="Q610" i="6"/>
  <c r="P610" i="6"/>
  <c r="O610" i="6"/>
  <c r="N610" i="6"/>
  <c r="M610" i="6"/>
  <c r="L610" i="6"/>
  <c r="K610" i="6"/>
  <c r="J610" i="6"/>
  <c r="I610" i="6"/>
  <c r="H610" i="6"/>
  <c r="G610" i="6"/>
  <c r="F610" i="6"/>
  <c r="BK609" i="6"/>
  <c r="BJ609" i="6"/>
  <c r="BI609" i="6"/>
  <c r="BH609" i="6"/>
  <c r="BG609" i="6"/>
  <c r="BF609" i="6"/>
  <c r="BE609" i="6"/>
  <c r="BD609" i="6"/>
  <c r="BC609" i="6"/>
  <c r="BB609" i="6"/>
  <c r="BA609" i="6"/>
  <c r="AZ609" i="6"/>
  <c r="AY609" i="6"/>
  <c r="AX609" i="6"/>
  <c r="AW609" i="6"/>
  <c r="AV609" i="6"/>
  <c r="AU609" i="6"/>
  <c r="AT609" i="6"/>
  <c r="AS609" i="6"/>
  <c r="AR609" i="6"/>
  <c r="AQ609" i="6"/>
  <c r="AP609" i="6"/>
  <c r="AO609" i="6"/>
  <c r="AN609" i="6"/>
  <c r="AM609" i="6"/>
  <c r="AL609" i="6"/>
  <c r="AK609" i="6"/>
  <c r="AJ609" i="6"/>
  <c r="AI609" i="6"/>
  <c r="AH609" i="6"/>
  <c r="AG609" i="6"/>
  <c r="AF609" i="6"/>
  <c r="AE609" i="6"/>
  <c r="AD609" i="6"/>
  <c r="AC609" i="6"/>
  <c r="AB609" i="6"/>
  <c r="AA609" i="6"/>
  <c r="Z609" i="6"/>
  <c r="Y609" i="6"/>
  <c r="X609" i="6"/>
  <c r="W609" i="6"/>
  <c r="V609" i="6"/>
  <c r="U609" i="6"/>
  <c r="T609" i="6"/>
  <c r="S609" i="6"/>
  <c r="R609" i="6"/>
  <c r="Q609" i="6"/>
  <c r="P609" i="6"/>
  <c r="O609" i="6"/>
  <c r="N609" i="6"/>
  <c r="M609" i="6"/>
  <c r="L609" i="6"/>
  <c r="K609" i="6"/>
  <c r="J609" i="6"/>
  <c r="I609" i="6"/>
  <c r="H609" i="6"/>
  <c r="G609" i="6"/>
  <c r="F609" i="6"/>
  <c r="BK608" i="6"/>
  <c r="BJ608" i="6"/>
  <c r="BI608" i="6"/>
  <c r="BH608" i="6"/>
  <c r="BG608" i="6"/>
  <c r="BF608" i="6"/>
  <c r="BE608" i="6"/>
  <c r="BD608" i="6"/>
  <c r="BC608" i="6"/>
  <c r="BB608" i="6"/>
  <c r="BA608" i="6"/>
  <c r="AZ608" i="6"/>
  <c r="AY608" i="6"/>
  <c r="AX608" i="6"/>
  <c r="AW608" i="6"/>
  <c r="AV608" i="6"/>
  <c r="AU608" i="6"/>
  <c r="AT608" i="6"/>
  <c r="AS608" i="6"/>
  <c r="AR608" i="6"/>
  <c r="AQ608" i="6"/>
  <c r="AP608" i="6"/>
  <c r="AO608" i="6"/>
  <c r="AN608" i="6"/>
  <c r="AM608" i="6"/>
  <c r="AL608" i="6"/>
  <c r="AK608" i="6"/>
  <c r="AJ608" i="6"/>
  <c r="AI608" i="6"/>
  <c r="AH608" i="6"/>
  <c r="AG608" i="6"/>
  <c r="AF608" i="6"/>
  <c r="AE608" i="6"/>
  <c r="AD608" i="6"/>
  <c r="AC608" i="6"/>
  <c r="AB608" i="6"/>
  <c r="AA608" i="6"/>
  <c r="Z608" i="6"/>
  <c r="Y608" i="6"/>
  <c r="X608" i="6"/>
  <c r="W608" i="6"/>
  <c r="V608" i="6"/>
  <c r="U608" i="6"/>
  <c r="T608" i="6"/>
  <c r="S608" i="6"/>
  <c r="R608" i="6"/>
  <c r="Q608" i="6"/>
  <c r="P608" i="6"/>
  <c r="O608" i="6"/>
  <c r="N608" i="6"/>
  <c r="M608" i="6"/>
  <c r="L608" i="6"/>
  <c r="K608" i="6"/>
  <c r="J608" i="6"/>
  <c r="I608" i="6"/>
  <c r="H608" i="6"/>
  <c r="G608" i="6"/>
  <c r="F608" i="6"/>
  <c r="BK607" i="6"/>
  <c r="BJ607" i="6"/>
  <c r="BI607" i="6"/>
  <c r="BH607" i="6"/>
  <c r="BG607" i="6"/>
  <c r="BF607" i="6"/>
  <c r="BE607" i="6"/>
  <c r="BD607" i="6"/>
  <c r="BC607" i="6"/>
  <c r="BB607" i="6"/>
  <c r="BA607" i="6"/>
  <c r="AZ607" i="6"/>
  <c r="AY607" i="6"/>
  <c r="AX607" i="6"/>
  <c r="AW607" i="6"/>
  <c r="AV607" i="6"/>
  <c r="AU607" i="6"/>
  <c r="AT607" i="6"/>
  <c r="AS607" i="6"/>
  <c r="AR607" i="6"/>
  <c r="AQ607" i="6"/>
  <c r="AP607" i="6"/>
  <c r="AO607" i="6"/>
  <c r="AN607" i="6"/>
  <c r="AM607" i="6"/>
  <c r="AL607" i="6"/>
  <c r="AK607" i="6"/>
  <c r="AJ607" i="6"/>
  <c r="AI607" i="6"/>
  <c r="AH607" i="6"/>
  <c r="AG607" i="6"/>
  <c r="AF607" i="6"/>
  <c r="AE607" i="6"/>
  <c r="AD607" i="6"/>
  <c r="AC607" i="6"/>
  <c r="AB607" i="6"/>
  <c r="AA607" i="6"/>
  <c r="Z607" i="6"/>
  <c r="Y607" i="6"/>
  <c r="X607" i="6"/>
  <c r="W607" i="6"/>
  <c r="V607" i="6"/>
  <c r="U607" i="6"/>
  <c r="T607" i="6"/>
  <c r="S607" i="6"/>
  <c r="R607" i="6"/>
  <c r="Q607" i="6"/>
  <c r="P607" i="6"/>
  <c r="O607" i="6"/>
  <c r="N607" i="6"/>
  <c r="M607" i="6"/>
  <c r="L607" i="6"/>
  <c r="K607" i="6"/>
  <c r="J607" i="6"/>
  <c r="I607" i="6"/>
  <c r="H607" i="6"/>
  <c r="G607" i="6"/>
  <c r="F607" i="6"/>
  <c r="BK606" i="6"/>
  <c r="BJ606" i="6"/>
  <c r="BI606" i="6"/>
  <c r="BH606" i="6"/>
  <c r="BG606" i="6"/>
  <c r="BF606" i="6"/>
  <c r="BE606" i="6"/>
  <c r="BD606" i="6"/>
  <c r="BC606" i="6"/>
  <c r="BB606" i="6"/>
  <c r="BA606" i="6"/>
  <c r="AZ606" i="6"/>
  <c r="AY606" i="6"/>
  <c r="AX606" i="6"/>
  <c r="AW606" i="6"/>
  <c r="AV606" i="6"/>
  <c r="AU606" i="6"/>
  <c r="AT606" i="6"/>
  <c r="AS606" i="6"/>
  <c r="AR606" i="6"/>
  <c r="AQ606" i="6"/>
  <c r="AP606" i="6"/>
  <c r="AO606" i="6"/>
  <c r="AN606" i="6"/>
  <c r="AM606" i="6"/>
  <c r="AL606" i="6"/>
  <c r="AK606" i="6"/>
  <c r="AJ606" i="6"/>
  <c r="AI606" i="6"/>
  <c r="AH606" i="6"/>
  <c r="AG606" i="6"/>
  <c r="AF606" i="6"/>
  <c r="AE606" i="6"/>
  <c r="AD606" i="6"/>
  <c r="AC606" i="6"/>
  <c r="AB606" i="6"/>
  <c r="AA606" i="6"/>
  <c r="Z606" i="6"/>
  <c r="Y606" i="6"/>
  <c r="X606" i="6"/>
  <c r="W606" i="6"/>
  <c r="V606" i="6"/>
  <c r="U606" i="6"/>
  <c r="T606" i="6"/>
  <c r="S606" i="6"/>
  <c r="R606" i="6"/>
  <c r="Q606" i="6"/>
  <c r="P606" i="6"/>
  <c r="O606" i="6"/>
  <c r="N606" i="6"/>
  <c r="M606" i="6"/>
  <c r="L606" i="6"/>
  <c r="K606" i="6"/>
  <c r="J606" i="6"/>
  <c r="I606" i="6"/>
  <c r="H606" i="6"/>
  <c r="G606" i="6"/>
  <c r="F606" i="6"/>
  <c r="BK605" i="6"/>
  <c r="BJ605" i="6"/>
  <c r="BI605" i="6"/>
  <c r="BH605" i="6"/>
  <c r="BG605" i="6"/>
  <c r="BF605" i="6"/>
  <c r="BE605" i="6"/>
  <c r="BD605" i="6"/>
  <c r="BC605" i="6"/>
  <c r="BB605" i="6"/>
  <c r="BA605" i="6"/>
  <c r="AZ605" i="6"/>
  <c r="AY605" i="6"/>
  <c r="AX605" i="6"/>
  <c r="AW605" i="6"/>
  <c r="AV605" i="6"/>
  <c r="AU605" i="6"/>
  <c r="AT605" i="6"/>
  <c r="AS605" i="6"/>
  <c r="AR605" i="6"/>
  <c r="AQ605" i="6"/>
  <c r="AP605" i="6"/>
  <c r="AO605" i="6"/>
  <c r="AN605" i="6"/>
  <c r="AM605" i="6"/>
  <c r="AL605" i="6"/>
  <c r="AK605" i="6"/>
  <c r="AJ605" i="6"/>
  <c r="AI605" i="6"/>
  <c r="AH605" i="6"/>
  <c r="AG605" i="6"/>
  <c r="AF605" i="6"/>
  <c r="AE605" i="6"/>
  <c r="AD605" i="6"/>
  <c r="AC605" i="6"/>
  <c r="AB605" i="6"/>
  <c r="AA605" i="6"/>
  <c r="Z605" i="6"/>
  <c r="Y605" i="6"/>
  <c r="X605" i="6"/>
  <c r="W605" i="6"/>
  <c r="V605" i="6"/>
  <c r="U605" i="6"/>
  <c r="T605" i="6"/>
  <c r="S605" i="6"/>
  <c r="R605" i="6"/>
  <c r="Q605" i="6"/>
  <c r="P605" i="6"/>
  <c r="O605" i="6"/>
  <c r="N605" i="6"/>
  <c r="M605" i="6"/>
  <c r="L605" i="6"/>
  <c r="K605" i="6"/>
  <c r="J605" i="6"/>
  <c r="I605" i="6"/>
  <c r="H605" i="6"/>
  <c r="G605" i="6"/>
  <c r="F605" i="6"/>
  <c r="BK604" i="6"/>
  <c r="BJ604" i="6"/>
  <c r="BI604" i="6"/>
  <c r="BH604" i="6"/>
  <c r="BG604" i="6"/>
  <c r="BF604" i="6"/>
  <c r="BE604" i="6"/>
  <c r="BD604" i="6"/>
  <c r="BC604" i="6"/>
  <c r="BB604" i="6"/>
  <c r="BA604" i="6"/>
  <c r="AZ604" i="6"/>
  <c r="AY604" i="6"/>
  <c r="AX604" i="6"/>
  <c r="AW604" i="6"/>
  <c r="AV604" i="6"/>
  <c r="AU604" i="6"/>
  <c r="AT604" i="6"/>
  <c r="AS604" i="6"/>
  <c r="AR604" i="6"/>
  <c r="AQ604" i="6"/>
  <c r="AP604" i="6"/>
  <c r="AO604" i="6"/>
  <c r="AN604" i="6"/>
  <c r="AM604" i="6"/>
  <c r="AL604" i="6"/>
  <c r="AK604" i="6"/>
  <c r="AJ604" i="6"/>
  <c r="AI604" i="6"/>
  <c r="AH604" i="6"/>
  <c r="AG604" i="6"/>
  <c r="AF604" i="6"/>
  <c r="AE604" i="6"/>
  <c r="AD604" i="6"/>
  <c r="AC604" i="6"/>
  <c r="AB604" i="6"/>
  <c r="AA604" i="6"/>
  <c r="Z604" i="6"/>
  <c r="Y604" i="6"/>
  <c r="X604" i="6"/>
  <c r="W604" i="6"/>
  <c r="V604" i="6"/>
  <c r="U604" i="6"/>
  <c r="T604" i="6"/>
  <c r="S604" i="6"/>
  <c r="R604" i="6"/>
  <c r="Q604" i="6"/>
  <c r="P604" i="6"/>
  <c r="O604" i="6"/>
  <c r="N604" i="6"/>
  <c r="M604" i="6"/>
  <c r="L604" i="6"/>
  <c r="K604" i="6"/>
  <c r="J604" i="6"/>
  <c r="I604" i="6"/>
  <c r="H604" i="6"/>
  <c r="G604" i="6"/>
  <c r="F604" i="6"/>
  <c r="BK603" i="6"/>
  <c r="BJ603" i="6"/>
  <c r="BI603" i="6"/>
  <c r="BH603" i="6"/>
  <c r="BG603" i="6"/>
  <c r="BF603" i="6"/>
  <c r="BE603" i="6"/>
  <c r="BD603" i="6"/>
  <c r="BC603" i="6"/>
  <c r="BB603" i="6"/>
  <c r="BA603" i="6"/>
  <c r="AZ603" i="6"/>
  <c r="AY603" i="6"/>
  <c r="AX603" i="6"/>
  <c r="AW603" i="6"/>
  <c r="AV603" i="6"/>
  <c r="AU603" i="6"/>
  <c r="AT603" i="6"/>
  <c r="AS603" i="6"/>
  <c r="AR603" i="6"/>
  <c r="AQ603" i="6"/>
  <c r="AP603" i="6"/>
  <c r="AO603" i="6"/>
  <c r="AN603" i="6"/>
  <c r="AM603" i="6"/>
  <c r="AL603" i="6"/>
  <c r="AK603" i="6"/>
  <c r="AJ603" i="6"/>
  <c r="AI603" i="6"/>
  <c r="AH603" i="6"/>
  <c r="AG603" i="6"/>
  <c r="AF603" i="6"/>
  <c r="AE603" i="6"/>
  <c r="AD603" i="6"/>
  <c r="AC603" i="6"/>
  <c r="AB603" i="6"/>
  <c r="AA603" i="6"/>
  <c r="Z603" i="6"/>
  <c r="Y603" i="6"/>
  <c r="X603" i="6"/>
  <c r="W603" i="6"/>
  <c r="V603" i="6"/>
  <c r="U603" i="6"/>
  <c r="T603" i="6"/>
  <c r="S603" i="6"/>
  <c r="R603" i="6"/>
  <c r="Q603" i="6"/>
  <c r="P603" i="6"/>
  <c r="O603" i="6"/>
  <c r="N603" i="6"/>
  <c r="M603" i="6"/>
  <c r="L603" i="6"/>
  <c r="K603" i="6"/>
  <c r="J603" i="6"/>
  <c r="I603" i="6"/>
  <c r="H603" i="6"/>
  <c r="G603" i="6"/>
  <c r="F603" i="6"/>
  <c r="BK602" i="6"/>
  <c r="BJ602" i="6"/>
  <c r="BI602" i="6"/>
  <c r="BH602" i="6"/>
  <c r="BG602" i="6"/>
  <c r="BF602" i="6"/>
  <c r="BE602" i="6"/>
  <c r="BD602" i="6"/>
  <c r="BC602" i="6"/>
  <c r="BB602" i="6"/>
  <c r="BA602" i="6"/>
  <c r="AZ602" i="6"/>
  <c r="AY602" i="6"/>
  <c r="AX602" i="6"/>
  <c r="AW602" i="6"/>
  <c r="AV602" i="6"/>
  <c r="AU602" i="6"/>
  <c r="AT602" i="6"/>
  <c r="AS602" i="6"/>
  <c r="AR602" i="6"/>
  <c r="AQ602" i="6"/>
  <c r="AP602" i="6"/>
  <c r="AO602" i="6"/>
  <c r="AN602" i="6"/>
  <c r="AM602" i="6"/>
  <c r="AL602" i="6"/>
  <c r="AK602" i="6"/>
  <c r="AJ602" i="6"/>
  <c r="AI602" i="6"/>
  <c r="AH602" i="6"/>
  <c r="AG602" i="6"/>
  <c r="AF602" i="6"/>
  <c r="AE602" i="6"/>
  <c r="AD602" i="6"/>
  <c r="AC60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G602" i="6"/>
  <c r="F602" i="6"/>
  <c r="BK601" i="6"/>
  <c r="BJ601" i="6"/>
  <c r="BI601" i="6"/>
  <c r="BH601" i="6"/>
  <c r="BG601" i="6"/>
  <c r="BF601" i="6"/>
  <c r="BE601" i="6"/>
  <c r="BD601" i="6"/>
  <c r="BC601" i="6"/>
  <c r="BB601" i="6"/>
  <c r="BA601" i="6"/>
  <c r="AZ601" i="6"/>
  <c r="AY601" i="6"/>
  <c r="AX601" i="6"/>
  <c r="AW601" i="6"/>
  <c r="AV601" i="6"/>
  <c r="AU601" i="6"/>
  <c r="AT601" i="6"/>
  <c r="AS601" i="6"/>
  <c r="AR601" i="6"/>
  <c r="AQ601" i="6"/>
  <c r="AP601" i="6"/>
  <c r="AO601" i="6"/>
  <c r="AN601" i="6"/>
  <c r="AM601" i="6"/>
  <c r="AL601" i="6"/>
  <c r="AK601" i="6"/>
  <c r="AJ601" i="6"/>
  <c r="AI601" i="6"/>
  <c r="AH601" i="6"/>
  <c r="AG601" i="6"/>
  <c r="AF601" i="6"/>
  <c r="AE601" i="6"/>
  <c r="AD601" i="6"/>
  <c r="AC601" i="6"/>
  <c r="AB601" i="6"/>
  <c r="AA601" i="6"/>
  <c r="Z601" i="6"/>
  <c r="Y601" i="6"/>
  <c r="X601" i="6"/>
  <c r="W601" i="6"/>
  <c r="V601" i="6"/>
  <c r="U601" i="6"/>
  <c r="T601" i="6"/>
  <c r="S601" i="6"/>
  <c r="R601" i="6"/>
  <c r="Q601" i="6"/>
  <c r="P601" i="6"/>
  <c r="O601" i="6"/>
  <c r="N601" i="6"/>
  <c r="M601" i="6"/>
  <c r="L601" i="6"/>
  <c r="K601" i="6"/>
  <c r="J601" i="6"/>
  <c r="I601" i="6"/>
  <c r="H601" i="6"/>
  <c r="G601" i="6"/>
  <c r="F601" i="6"/>
  <c r="BK600" i="6"/>
  <c r="BJ600" i="6"/>
  <c r="BI600" i="6"/>
  <c r="BH600" i="6"/>
  <c r="BG600" i="6"/>
  <c r="BF600" i="6"/>
  <c r="BE600" i="6"/>
  <c r="BD600" i="6"/>
  <c r="BC600" i="6"/>
  <c r="BB600" i="6"/>
  <c r="BA600" i="6"/>
  <c r="AZ600" i="6"/>
  <c r="AY600" i="6"/>
  <c r="AX600" i="6"/>
  <c r="AW600" i="6"/>
  <c r="AV600" i="6"/>
  <c r="AU600" i="6"/>
  <c r="AT600" i="6"/>
  <c r="AS600" i="6"/>
  <c r="AR600" i="6"/>
  <c r="AQ600" i="6"/>
  <c r="AP600" i="6"/>
  <c r="AO600" i="6"/>
  <c r="AN600" i="6"/>
  <c r="AM600" i="6"/>
  <c r="AL600" i="6"/>
  <c r="AK600" i="6"/>
  <c r="AJ600" i="6"/>
  <c r="AI600" i="6"/>
  <c r="AH600" i="6"/>
  <c r="AG600" i="6"/>
  <c r="AF600" i="6"/>
  <c r="AE600" i="6"/>
  <c r="AD600" i="6"/>
  <c r="AC600" i="6"/>
  <c r="AB600" i="6"/>
  <c r="AA600" i="6"/>
  <c r="Z600" i="6"/>
  <c r="Y600" i="6"/>
  <c r="X600" i="6"/>
  <c r="W600" i="6"/>
  <c r="V600" i="6"/>
  <c r="U600" i="6"/>
  <c r="T600" i="6"/>
  <c r="S600" i="6"/>
  <c r="R600" i="6"/>
  <c r="Q600" i="6"/>
  <c r="P600" i="6"/>
  <c r="O600" i="6"/>
  <c r="N600" i="6"/>
  <c r="M600" i="6"/>
  <c r="L600" i="6"/>
  <c r="K600" i="6"/>
  <c r="J600" i="6"/>
  <c r="I600" i="6"/>
  <c r="H600" i="6"/>
  <c r="G600" i="6"/>
  <c r="F600" i="6"/>
  <c r="BK599" i="6"/>
  <c r="BJ599" i="6"/>
  <c r="BI599" i="6"/>
  <c r="BH599" i="6"/>
  <c r="BG599" i="6"/>
  <c r="BF599" i="6"/>
  <c r="BE599" i="6"/>
  <c r="BD599" i="6"/>
  <c r="BC599" i="6"/>
  <c r="BB599" i="6"/>
  <c r="BA599" i="6"/>
  <c r="AZ599" i="6"/>
  <c r="AY599" i="6"/>
  <c r="AX599" i="6"/>
  <c r="AW599" i="6"/>
  <c r="AV599" i="6"/>
  <c r="AU599" i="6"/>
  <c r="AT599" i="6"/>
  <c r="AS599" i="6"/>
  <c r="AR599" i="6"/>
  <c r="AQ599" i="6"/>
  <c r="AP599" i="6"/>
  <c r="AO599" i="6"/>
  <c r="AN599" i="6"/>
  <c r="AM599" i="6"/>
  <c r="AL599" i="6"/>
  <c r="AK599" i="6"/>
  <c r="AJ599" i="6"/>
  <c r="AI599" i="6"/>
  <c r="AH599" i="6"/>
  <c r="AG599" i="6"/>
  <c r="AF599" i="6"/>
  <c r="AE599" i="6"/>
  <c r="AD599" i="6"/>
  <c r="AC599" i="6"/>
  <c r="AB599" i="6"/>
  <c r="AA599" i="6"/>
  <c r="Z599" i="6"/>
  <c r="Y599" i="6"/>
  <c r="X599" i="6"/>
  <c r="W599" i="6"/>
  <c r="V599" i="6"/>
  <c r="U599" i="6"/>
  <c r="T599" i="6"/>
  <c r="S599" i="6"/>
  <c r="R599" i="6"/>
  <c r="Q599" i="6"/>
  <c r="P599" i="6"/>
  <c r="O599" i="6"/>
  <c r="N599" i="6"/>
  <c r="M599" i="6"/>
  <c r="L599" i="6"/>
  <c r="K599" i="6"/>
  <c r="J599" i="6"/>
  <c r="I599" i="6"/>
  <c r="H599" i="6"/>
  <c r="G599" i="6"/>
  <c r="F599" i="6"/>
  <c r="BK598" i="6"/>
  <c r="BJ598" i="6"/>
  <c r="BI598" i="6"/>
  <c r="BH598" i="6"/>
  <c r="BG598" i="6"/>
  <c r="BF598" i="6"/>
  <c r="BE598" i="6"/>
  <c r="BD598" i="6"/>
  <c r="BC598" i="6"/>
  <c r="BB598" i="6"/>
  <c r="BA598" i="6"/>
  <c r="AZ598" i="6"/>
  <c r="AY598" i="6"/>
  <c r="AX598" i="6"/>
  <c r="AW598" i="6"/>
  <c r="AV598" i="6"/>
  <c r="AU598" i="6"/>
  <c r="AT598" i="6"/>
  <c r="AS598" i="6"/>
  <c r="AR598" i="6"/>
  <c r="AQ598" i="6"/>
  <c r="AP598" i="6"/>
  <c r="AO598" i="6"/>
  <c r="AN598" i="6"/>
  <c r="AM598" i="6"/>
  <c r="AL598" i="6"/>
  <c r="AK598" i="6"/>
  <c r="AJ598" i="6"/>
  <c r="AI598" i="6"/>
  <c r="AH598" i="6"/>
  <c r="AG598" i="6"/>
  <c r="AF598" i="6"/>
  <c r="AE598" i="6"/>
  <c r="AD598" i="6"/>
  <c r="AC598" i="6"/>
  <c r="AB598" i="6"/>
  <c r="AA598" i="6"/>
  <c r="Z598" i="6"/>
  <c r="Y598" i="6"/>
  <c r="X598" i="6"/>
  <c r="W598" i="6"/>
  <c r="V598" i="6"/>
  <c r="U598" i="6"/>
  <c r="T598" i="6"/>
  <c r="S598" i="6"/>
  <c r="R598" i="6"/>
  <c r="Q598" i="6"/>
  <c r="P598" i="6"/>
  <c r="O598" i="6"/>
  <c r="N598" i="6"/>
  <c r="M598" i="6"/>
  <c r="L598" i="6"/>
  <c r="K598" i="6"/>
  <c r="J598" i="6"/>
  <c r="I598" i="6"/>
  <c r="H598" i="6"/>
  <c r="G598" i="6"/>
  <c r="F598" i="6"/>
  <c r="BK597" i="6"/>
  <c r="BJ597" i="6"/>
  <c r="BI597" i="6"/>
  <c r="BH597" i="6"/>
  <c r="BG597" i="6"/>
  <c r="BF597" i="6"/>
  <c r="BE597" i="6"/>
  <c r="BD597" i="6"/>
  <c r="BC597" i="6"/>
  <c r="BB597" i="6"/>
  <c r="BA597" i="6"/>
  <c r="AZ597" i="6"/>
  <c r="AY597" i="6"/>
  <c r="AX597" i="6"/>
  <c r="AW597" i="6"/>
  <c r="AV597" i="6"/>
  <c r="AU597" i="6"/>
  <c r="AT597" i="6"/>
  <c r="AS597" i="6"/>
  <c r="AR597" i="6"/>
  <c r="AQ597" i="6"/>
  <c r="AP597" i="6"/>
  <c r="AO597" i="6"/>
  <c r="AN597" i="6"/>
  <c r="AM597" i="6"/>
  <c r="AL597" i="6"/>
  <c r="AK597" i="6"/>
  <c r="AJ597" i="6"/>
  <c r="AI597" i="6"/>
  <c r="AH597" i="6"/>
  <c r="AG597" i="6"/>
  <c r="AF597" i="6"/>
  <c r="AE597" i="6"/>
  <c r="AD597" i="6"/>
  <c r="AC597" i="6"/>
  <c r="AB597" i="6"/>
  <c r="AA597" i="6"/>
  <c r="Z597" i="6"/>
  <c r="Y597" i="6"/>
  <c r="X597" i="6"/>
  <c r="W597" i="6"/>
  <c r="V597" i="6"/>
  <c r="U597" i="6"/>
  <c r="T597" i="6"/>
  <c r="S597" i="6"/>
  <c r="R597" i="6"/>
  <c r="Q597" i="6"/>
  <c r="P597" i="6"/>
  <c r="O597" i="6"/>
  <c r="N597" i="6"/>
  <c r="M597" i="6"/>
  <c r="L597" i="6"/>
  <c r="K597" i="6"/>
  <c r="J597" i="6"/>
  <c r="I597" i="6"/>
  <c r="H597" i="6"/>
  <c r="G597" i="6"/>
  <c r="F597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C636" i="6"/>
  <c r="C618" i="6"/>
  <c r="C617" i="6"/>
  <c r="C616" i="6"/>
  <c r="C606" i="6"/>
  <c r="C604" i="6"/>
  <c r="C603" i="6"/>
  <c r="C602" i="6"/>
  <c r="C598" i="6"/>
  <c r="C597" i="6"/>
  <c r="C637" i="6"/>
  <c r="C601" i="6"/>
  <c r="AG134" i="2"/>
  <c r="AF134" i="2"/>
  <c r="AE134" i="2"/>
  <c r="AD134" i="2"/>
  <c r="AB670" i="5" l="1"/>
  <c r="AA670" i="5"/>
  <c r="Z670" i="5"/>
  <c r="Y670" i="5"/>
  <c r="X670" i="5"/>
  <c r="W670" i="5"/>
  <c r="V670" i="5"/>
  <c r="U670" i="5"/>
  <c r="T670" i="5"/>
  <c r="S670" i="5"/>
  <c r="R670" i="5"/>
  <c r="Q670" i="5"/>
  <c r="P670" i="5"/>
  <c r="O670" i="5"/>
  <c r="N670" i="5"/>
  <c r="M670" i="5"/>
  <c r="L670" i="5"/>
  <c r="K670" i="5"/>
  <c r="J670" i="5"/>
  <c r="I670" i="5"/>
  <c r="H670" i="5"/>
  <c r="G670" i="5"/>
  <c r="F670" i="5"/>
  <c r="CI670" i="5"/>
  <c r="CH670" i="5"/>
  <c r="CG670" i="5"/>
  <c r="CF670" i="5"/>
  <c r="CE670" i="5"/>
  <c r="CD670" i="5"/>
  <c r="CC670" i="5"/>
  <c r="CB670" i="5"/>
  <c r="CA670" i="5"/>
  <c r="BZ670" i="5"/>
  <c r="BY670" i="5"/>
  <c r="BX670" i="5"/>
  <c r="BW670" i="5"/>
  <c r="BV670" i="5"/>
  <c r="BU670" i="5"/>
  <c r="BT670" i="5"/>
  <c r="BS670" i="5"/>
  <c r="BR670" i="5"/>
  <c r="BQ670" i="5"/>
  <c r="BP670" i="5"/>
  <c r="BO670" i="5"/>
  <c r="BN670" i="5"/>
  <c r="BM670" i="5"/>
  <c r="BL670" i="5"/>
  <c r="BK670" i="5"/>
  <c r="BJ670" i="5"/>
  <c r="BI670" i="5"/>
  <c r="BH670" i="5"/>
  <c r="BG670" i="5"/>
  <c r="BF670" i="5"/>
  <c r="BE670" i="5"/>
  <c r="BD670" i="5"/>
  <c r="BC670" i="5"/>
  <c r="BB670" i="5"/>
  <c r="BA670" i="5"/>
  <c r="AZ670" i="5"/>
  <c r="AY670" i="5"/>
  <c r="AX670" i="5"/>
  <c r="AW670" i="5"/>
  <c r="AV670" i="5"/>
  <c r="AU670" i="5"/>
  <c r="AT670" i="5"/>
  <c r="AS670" i="5"/>
  <c r="AR670" i="5"/>
  <c r="AQ670" i="5"/>
  <c r="AP670" i="5"/>
  <c r="AO670" i="5"/>
  <c r="AN670" i="5"/>
  <c r="AM670" i="5"/>
  <c r="AL670" i="5"/>
  <c r="AK670" i="5"/>
  <c r="AJ670" i="5"/>
  <c r="AI670" i="5"/>
  <c r="AH670" i="5"/>
  <c r="AG670" i="5"/>
  <c r="AF670" i="5"/>
  <c r="AE670" i="5"/>
  <c r="AD670" i="5"/>
  <c r="Z669" i="5"/>
  <c r="Y669" i="5"/>
  <c r="X669" i="5"/>
  <c r="W669" i="5"/>
  <c r="V669" i="5"/>
  <c r="U669" i="5"/>
  <c r="T669" i="5"/>
  <c r="S669" i="5"/>
  <c r="R669" i="5"/>
  <c r="Q669" i="5"/>
  <c r="P669" i="5"/>
  <c r="O669" i="5"/>
  <c r="M669" i="5"/>
  <c r="L669" i="5"/>
  <c r="K669" i="5"/>
  <c r="J669" i="5"/>
  <c r="I669" i="5"/>
  <c r="H669" i="5"/>
  <c r="G669" i="5"/>
  <c r="F669" i="5"/>
  <c r="CI669" i="5"/>
  <c r="CH669" i="5"/>
  <c r="CG669" i="5"/>
  <c r="CF669" i="5"/>
  <c r="CE669" i="5"/>
  <c r="CD669" i="5"/>
  <c r="CC669" i="5"/>
  <c r="CB669" i="5"/>
  <c r="CA669" i="5"/>
  <c r="BZ669" i="5"/>
  <c r="BY669" i="5"/>
  <c r="BX669" i="5"/>
  <c r="BW669" i="5"/>
  <c r="BV669" i="5"/>
  <c r="BU669" i="5"/>
  <c r="BT669" i="5"/>
  <c r="BS669" i="5"/>
  <c r="BR669" i="5"/>
  <c r="BQ669" i="5"/>
  <c r="BP669" i="5"/>
  <c r="BO669" i="5"/>
  <c r="BN669" i="5"/>
  <c r="BM669" i="5"/>
  <c r="BL669" i="5"/>
  <c r="BK669" i="5"/>
  <c r="BJ669" i="5"/>
  <c r="BI669" i="5"/>
  <c r="BH669" i="5"/>
  <c r="BG669" i="5"/>
  <c r="BF669" i="5"/>
  <c r="BE669" i="5"/>
  <c r="BD669" i="5"/>
  <c r="BC669" i="5"/>
  <c r="BB669" i="5"/>
  <c r="BA669" i="5"/>
  <c r="AZ669" i="5"/>
  <c r="AY669" i="5"/>
  <c r="AX669" i="5"/>
  <c r="AW669" i="5"/>
  <c r="AV669" i="5"/>
  <c r="AU669" i="5"/>
  <c r="AT669" i="5"/>
  <c r="AS669" i="5"/>
  <c r="AR669" i="5"/>
  <c r="AQ669" i="5"/>
  <c r="AP669" i="5"/>
  <c r="AO669" i="5"/>
  <c r="AN669" i="5"/>
  <c r="AM669" i="5"/>
  <c r="AL669" i="5"/>
  <c r="AK669" i="5"/>
  <c r="AJ669" i="5"/>
  <c r="AI669" i="5"/>
  <c r="AH669" i="5"/>
  <c r="AG669" i="5"/>
  <c r="AF669" i="5"/>
  <c r="AE669" i="5"/>
  <c r="AD669" i="5"/>
  <c r="AC669" i="5"/>
  <c r="AB669" i="5"/>
  <c r="CI664" i="5"/>
  <c r="CH664" i="5"/>
  <c r="CG664" i="5"/>
  <c r="CF664" i="5"/>
  <c r="CE664" i="5"/>
  <c r="CD664" i="5"/>
  <c r="CC664" i="5"/>
  <c r="CB664" i="5"/>
  <c r="CA664" i="5"/>
  <c r="BZ664" i="5"/>
  <c r="BY664" i="5"/>
  <c r="BX664" i="5"/>
  <c r="BW664" i="5"/>
  <c r="BV664" i="5"/>
  <c r="BU664" i="5"/>
  <c r="BT664" i="5"/>
  <c r="BS664" i="5"/>
  <c r="BR664" i="5"/>
  <c r="BQ664" i="5"/>
  <c r="BP664" i="5"/>
  <c r="BO664" i="5"/>
  <c r="BN664" i="5"/>
  <c r="BM664" i="5"/>
  <c r="BL664" i="5"/>
  <c r="BK664" i="5"/>
  <c r="BJ664" i="5"/>
  <c r="BI664" i="5"/>
  <c r="BH664" i="5"/>
  <c r="BG664" i="5"/>
  <c r="BF664" i="5"/>
  <c r="BE664" i="5"/>
  <c r="BD664" i="5"/>
  <c r="BC664" i="5"/>
  <c r="BB664" i="5"/>
  <c r="BA664" i="5"/>
  <c r="AZ664" i="5"/>
  <c r="AY664" i="5"/>
  <c r="AX664" i="5"/>
  <c r="AW664" i="5"/>
  <c r="AV664" i="5"/>
  <c r="AU664" i="5"/>
  <c r="AT664" i="5"/>
  <c r="AS664" i="5"/>
  <c r="AR664" i="5"/>
  <c r="AQ664" i="5"/>
  <c r="AP664" i="5"/>
  <c r="AO664" i="5"/>
  <c r="AN664" i="5"/>
  <c r="AM664" i="5"/>
  <c r="AL664" i="5"/>
  <c r="AK664" i="5"/>
  <c r="AJ664" i="5"/>
  <c r="AI664" i="5"/>
  <c r="AH664" i="5"/>
  <c r="AG664" i="5"/>
  <c r="AF664" i="5"/>
  <c r="AE664" i="5"/>
  <c r="AD664" i="5"/>
  <c r="AC664" i="5"/>
  <c r="AB664" i="5"/>
  <c r="AA664" i="5"/>
  <c r="Z664" i="5"/>
  <c r="Y664" i="5"/>
  <c r="X664" i="5"/>
  <c r="W664" i="5"/>
  <c r="V664" i="5"/>
  <c r="U664" i="5"/>
  <c r="T664" i="5"/>
  <c r="S664" i="5"/>
  <c r="R664" i="5"/>
  <c r="Q664" i="5"/>
  <c r="P664" i="5"/>
  <c r="O664" i="5"/>
  <c r="N664" i="5"/>
  <c r="M664" i="5"/>
  <c r="L664" i="5"/>
  <c r="K664" i="5"/>
  <c r="J664" i="5"/>
  <c r="I664" i="5"/>
  <c r="H664" i="5"/>
  <c r="G664" i="5"/>
  <c r="F664" i="5"/>
  <c r="CI656" i="5"/>
  <c r="CH656" i="5"/>
  <c r="CG656" i="5"/>
  <c r="CF656" i="5"/>
  <c r="CE656" i="5"/>
  <c r="CD656" i="5"/>
  <c r="CC656" i="5"/>
  <c r="CB656" i="5"/>
  <c r="CA656" i="5"/>
  <c r="BZ656" i="5"/>
  <c r="BY656" i="5"/>
  <c r="BX656" i="5"/>
  <c r="BW656" i="5"/>
  <c r="BV656" i="5"/>
  <c r="BU656" i="5"/>
  <c r="BT656" i="5"/>
  <c r="BS656" i="5"/>
  <c r="BR656" i="5"/>
  <c r="BQ656" i="5"/>
  <c r="BP656" i="5"/>
  <c r="BO656" i="5"/>
  <c r="BN656" i="5"/>
  <c r="BM656" i="5"/>
  <c r="BL656" i="5"/>
  <c r="BK656" i="5"/>
  <c r="BJ656" i="5"/>
  <c r="BI656" i="5"/>
  <c r="BH656" i="5"/>
  <c r="BG656" i="5"/>
  <c r="BF656" i="5"/>
  <c r="BE656" i="5"/>
  <c r="BD656" i="5"/>
  <c r="BC656" i="5"/>
  <c r="BB656" i="5"/>
  <c r="BA656" i="5"/>
  <c r="AZ656" i="5"/>
  <c r="AY656" i="5"/>
  <c r="AX656" i="5"/>
  <c r="AW656" i="5"/>
  <c r="AV656" i="5"/>
  <c r="AU656" i="5"/>
  <c r="AT656" i="5"/>
  <c r="AS656" i="5"/>
  <c r="AR656" i="5"/>
  <c r="AQ656" i="5"/>
  <c r="AP656" i="5"/>
  <c r="AO656" i="5"/>
  <c r="AN656" i="5"/>
  <c r="AM656" i="5"/>
  <c r="AL656" i="5"/>
  <c r="AK656" i="5"/>
  <c r="AJ656" i="5"/>
  <c r="AI656" i="5"/>
  <c r="AH656" i="5"/>
  <c r="AG656" i="5"/>
  <c r="AF656" i="5"/>
  <c r="AE656" i="5"/>
  <c r="AD656" i="5"/>
  <c r="AC656" i="5"/>
  <c r="AB656" i="5"/>
  <c r="AA656" i="5"/>
  <c r="Z656" i="5"/>
  <c r="Y656" i="5"/>
  <c r="X656" i="5"/>
  <c r="W656" i="5"/>
  <c r="V656" i="5"/>
  <c r="U656" i="5"/>
  <c r="T656" i="5"/>
  <c r="S656" i="5"/>
  <c r="R656" i="5"/>
  <c r="Q656" i="5"/>
  <c r="P656" i="5"/>
  <c r="O656" i="5"/>
  <c r="N656" i="5"/>
  <c r="M656" i="5"/>
  <c r="L656" i="5"/>
  <c r="K656" i="5"/>
  <c r="J656" i="5"/>
  <c r="I656" i="5"/>
  <c r="H656" i="5"/>
  <c r="G656" i="5"/>
  <c r="CI655" i="5"/>
  <c r="CH655" i="5"/>
  <c r="CG655" i="5"/>
  <c r="CF655" i="5"/>
  <c r="CE655" i="5"/>
  <c r="CD655" i="5"/>
  <c r="CC655" i="5"/>
  <c r="CB655" i="5"/>
  <c r="CA655" i="5"/>
  <c r="BZ655" i="5"/>
  <c r="BY655" i="5"/>
  <c r="BX655" i="5"/>
  <c r="BW655" i="5"/>
  <c r="BV655" i="5"/>
  <c r="BU655" i="5"/>
  <c r="BT655" i="5"/>
  <c r="BS655" i="5"/>
  <c r="BR655" i="5"/>
  <c r="BQ655" i="5"/>
  <c r="BP655" i="5"/>
  <c r="BO655" i="5"/>
  <c r="BN655" i="5"/>
  <c r="BM655" i="5"/>
  <c r="BL655" i="5"/>
  <c r="BK655" i="5"/>
  <c r="BJ655" i="5"/>
  <c r="BI655" i="5"/>
  <c r="BH655" i="5"/>
  <c r="BG655" i="5"/>
  <c r="BF655" i="5"/>
  <c r="BE655" i="5"/>
  <c r="BD655" i="5"/>
  <c r="BC655" i="5"/>
  <c r="BB655" i="5"/>
  <c r="BA655" i="5"/>
  <c r="AZ655" i="5"/>
  <c r="AY655" i="5"/>
  <c r="AX655" i="5"/>
  <c r="AW655" i="5"/>
  <c r="AV655" i="5"/>
  <c r="AU655" i="5"/>
  <c r="AT655" i="5"/>
  <c r="AS655" i="5"/>
  <c r="AR655" i="5"/>
  <c r="AQ655" i="5"/>
  <c r="AP655" i="5"/>
  <c r="AO655" i="5"/>
  <c r="AN655" i="5"/>
  <c r="AM655" i="5"/>
  <c r="AL655" i="5"/>
  <c r="AK655" i="5"/>
  <c r="AJ655" i="5"/>
  <c r="AI655" i="5"/>
  <c r="AH655" i="5"/>
  <c r="AG655" i="5"/>
  <c r="AF655" i="5"/>
  <c r="AE655" i="5"/>
  <c r="AD655" i="5"/>
  <c r="AC655" i="5"/>
  <c r="AB655" i="5"/>
  <c r="AA655" i="5"/>
  <c r="Z655" i="5"/>
  <c r="Y655" i="5"/>
  <c r="X655" i="5"/>
  <c r="W655" i="5"/>
  <c r="V655" i="5"/>
  <c r="U655" i="5"/>
  <c r="T655" i="5"/>
  <c r="S655" i="5"/>
  <c r="R655" i="5"/>
  <c r="Q655" i="5"/>
  <c r="P655" i="5"/>
  <c r="O655" i="5"/>
  <c r="N655" i="5"/>
  <c r="M655" i="5"/>
  <c r="L655" i="5"/>
  <c r="K655" i="5"/>
  <c r="J655" i="5"/>
  <c r="I655" i="5"/>
  <c r="H655" i="5"/>
  <c r="G655" i="5"/>
  <c r="CI654" i="5"/>
  <c r="CH654" i="5"/>
  <c r="CG654" i="5"/>
  <c r="CF654" i="5"/>
  <c r="CE654" i="5"/>
  <c r="CD654" i="5"/>
  <c r="CC654" i="5"/>
  <c r="CB654" i="5"/>
  <c r="CA654" i="5"/>
  <c r="BZ654" i="5"/>
  <c r="BY654" i="5"/>
  <c r="BX654" i="5"/>
  <c r="BW654" i="5"/>
  <c r="BV654" i="5"/>
  <c r="BU654" i="5"/>
  <c r="BT654" i="5"/>
  <c r="BS654" i="5"/>
  <c r="BR654" i="5"/>
  <c r="BQ654" i="5"/>
  <c r="BP654" i="5"/>
  <c r="BO654" i="5"/>
  <c r="BN654" i="5"/>
  <c r="BM654" i="5"/>
  <c r="BL654" i="5"/>
  <c r="BK654" i="5"/>
  <c r="BJ654" i="5"/>
  <c r="BI654" i="5"/>
  <c r="BH654" i="5"/>
  <c r="BG654" i="5"/>
  <c r="BF654" i="5"/>
  <c r="BE654" i="5"/>
  <c r="BD654" i="5"/>
  <c r="BC654" i="5"/>
  <c r="BB654" i="5"/>
  <c r="BA654" i="5"/>
  <c r="AZ654" i="5"/>
  <c r="AY654" i="5"/>
  <c r="AX654" i="5"/>
  <c r="AW654" i="5"/>
  <c r="AV654" i="5"/>
  <c r="AU654" i="5"/>
  <c r="AT654" i="5"/>
  <c r="AS654" i="5"/>
  <c r="AR654" i="5"/>
  <c r="AQ654" i="5"/>
  <c r="AP654" i="5"/>
  <c r="AO654" i="5"/>
  <c r="AN654" i="5"/>
  <c r="AM654" i="5"/>
  <c r="AL654" i="5"/>
  <c r="AK654" i="5"/>
  <c r="AJ654" i="5"/>
  <c r="AI654" i="5"/>
  <c r="AH654" i="5"/>
  <c r="AG654" i="5"/>
  <c r="AF654" i="5"/>
  <c r="AE654" i="5"/>
  <c r="AD654" i="5"/>
  <c r="AC654" i="5"/>
  <c r="AB654" i="5"/>
  <c r="AA654" i="5"/>
  <c r="Z654" i="5"/>
  <c r="Y654" i="5"/>
  <c r="X654" i="5"/>
  <c r="W654" i="5"/>
  <c r="V654" i="5"/>
  <c r="U654" i="5"/>
  <c r="T654" i="5"/>
  <c r="S654" i="5"/>
  <c r="R654" i="5"/>
  <c r="Q654" i="5"/>
  <c r="P654" i="5"/>
  <c r="O654" i="5"/>
  <c r="N654" i="5"/>
  <c r="M654" i="5"/>
  <c r="L654" i="5"/>
  <c r="K654" i="5"/>
  <c r="J654" i="5"/>
  <c r="I654" i="5"/>
  <c r="H654" i="5"/>
  <c r="G654" i="5"/>
  <c r="CI653" i="5"/>
  <c r="CH653" i="5"/>
  <c r="CG653" i="5"/>
  <c r="CF653" i="5"/>
  <c r="CE653" i="5"/>
  <c r="CD653" i="5"/>
  <c r="CC653" i="5"/>
  <c r="CB653" i="5"/>
  <c r="CA653" i="5"/>
  <c r="BZ653" i="5"/>
  <c r="BY653" i="5"/>
  <c r="BX653" i="5"/>
  <c r="BW653" i="5"/>
  <c r="BV653" i="5"/>
  <c r="BU653" i="5"/>
  <c r="BT653" i="5"/>
  <c r="BS653" i="5"/>
  <c r="BR653" i="5"/>
  <c r="BQ653" i="5"/>
  <c r="BP653" i="5"/>
  <c r="BO653" i="5"/>
  <c r="BN653" i="5"/>
  <c r="BM653" i="5"/>
  <c r="BL653" i="5"/>
  <c r="BK653" i="5"/>
  <c r="BJ653" i="5"/>
  <c r="BI653" i="5"/>
  <c r="BH653" i="5"/>
  <c r="BG653" i="5"/>
  <c r="BF653" i="5"/>
  <c r="BE653" i="5"/>
  <c r="BD653" i="5"/>
  <c r="BC653" i="5"/>
  <c r="BB653" i="5"/>
  <c r="BA653" i="5"/>
  <c r="AZ653" i="5"/>
  <c r="AY653" i="5"/>
  <c r="AX653" i="5"/>
  <c r="AW653" i="5"/>
  <c r="AV653" i="5"/>
  <c r="AU653" i="5"/>
  <c r="AT653" i="5"/>
  <c r="AS653" i="5"/>
  <c r="AR653" i="5"/>
  <c r="AQ653" i="5"/>
  <c r="AP653" i="5"/>
  <c r="AO653" i="5"/>
  <c r="AN653" i="5"/>
  <c r="AM653" i="5"/>
  <c r="AL653" i="5"/>
  <c r="AK653" i="5"/>
  <c r="AJ653" i="5"/>
  <c r="AI653" i="5"/>
  <c r="AH653" i="5"/>
  <c r="AG653" i="5"/>
  <c r="AF653" i="5"/>
  <c r="AE653" i="5"/>
  <c r="AD653" i="5"/>
  <c r="AC653" i="5"/>
  <c r="AB653" i="5"/>
  <c r="AA653" i="5"/>
  <c r="Z653" i="5"/>
  <c r="Y653" i="5"/>
  <c r="X653" i="5"/>
  <c r="W653" i="5"/>
  <c r="V653" i="5"/>
  <c r="U653" i="5"/>
  <c r="T653" i="5"/>
  <c r="S653" i="5"/>
  <c r="R653" i="5"/>
  <c r="Q653" i="5"/>
  <c r="P653" i="5"/>
  <c r="O653" i="5"/>
  <c r="N653" i="5"/>
  <c r="M653" i="5"/>
  <c r="L653" i="5"/>
  <c r="K653" i="5"/>
  <c r="J653" i="5"/>
  <c r="I653" i="5"/>
  <c r="H653" i="5"/>
  <c r="G653" i="5"/>
  <c r="CI652" i="5"/>
  <c r="CH652" i="5"/>
  <c r="CG652" i="5"/>
  <c r="CF652" i="5"/>
  <c r="CE652" i="5"/>
  <c r="CD652" i="5"/>
  <c r="CC652" i="5"/>
  <c r="CB652" i="5"/>
  <c r="CA652" i="5"/>
  <c r="BZ652" i="5"/>
  <c r="BY652" i="5"/>
  <c r="BX652" i="5"/>
  <c r="BW652" i="5"/>
  <c r="BV652" i="5"/>
  <c r="BU652" i="5"/>
  <c r="BT652" i="5"/>
  <c r="BS652" i="5"/>
  <c r="BR652" i="5"/>
  <c r="BQ652" i="5"/>
  <c r="BP652" i="5"/>
  <c r="BO652" i="5"/>
  <c r="BN652" i="5"/>
  <c r="BM652" i="5"/>
  <c r="BL652" i="5"/>
  <c r="BK652" i="5"/>
  <c r="BJ652" i="5"/>
  <c r="BI652" i="5"/>
  <c r="BH652" i="5"/>
  <c r="BG652" i="5"/>
  <c r="BF652" i="5"/>
  <c r="BE652" i="5"/>
  <c r="BD652" i="5"/>
  <c r="BC652" i="5"/>
  <c r="BB652" i="5"/>
  <c r="BA652" i="5"/>
  <c r="AZ652" i="5"/>
  <c r="AY652" i="5"/>
  <c r="AX652" i="5"/>
  <c r="AW652" i="5"/>
  <c r="AV652" i="5"/>
  <c r="AU652" i="5"/>
  <c r="AT652" i="5"/>
  <c r="AS652" i="5"/>
  <c r="AR652" i="5"/>
  <c r="AQ652" i="5"/>
  <c r="AP652" i="5"/>
  <c r="AO652" i="5"/>
  <c r="AN652" i="5"/>
  <c r="AM652" i="5"/>
  <c r="AL652" i="5"/>
  <c r="AK652" i="5"/>
  <c r="AJ652" i="5"/>
  <c r="AI652" i="5"/>
  <c r="AH652" i="5"/>
  <c r="AG652" i="5"/>
  <c r="AF652" i="5"/>
  <c r="AE652" i="5"/>
  <c r="AD652" i="5"/>
  <c r="AC652" i="5"/>
  <c r="AB652" i="5"/>
  <c r="AA652" i="5"/>
  <c r="Z652" i="5"/>
  <c r="Y652" i="5"/>
  <c r="X652" i="5"/>
  <c r="W652" i="5"/>
  <c r="V652" i="5"/>
  <c r="U652" i="5"/>
  <c r="T652" i="5"/>
  <c r="S652" i="5"/>
  <c r="R652" i="5"/>
  <c r="Q652" i="5"/>
  <c r="P652" i="5"/>
  <c r="O652" i="5"/>
  <c r="N652" i="5"/>
  <c r="M652" i="5"/>
  <c r="L652" i="5"/>
  <c r="K652" i="5"/>
  <c r="J652" i="5"/>
  <c r="I652" i="5"/>
  <c r="H652" i="5"/>
  <c r="G652" i="5"/>
  <c r="CI651" i="5"/>
  <c r="CH651" i="5"/>
  <c r="CG651" i="5"/>
  <c r="CF651" i="5"/>
  <c r="CE651" i="5"/>
  <c r="CD651" i="5"/>
  <c r="CC651" i="5"/>
  <c r="CB651" i="5"/>
  <c r="CA651" i="5"/>
  <c r="BZ651" i="5"/>
  <c r="BY651" i="5"/>
  <c r="BX651" i="5"/>
  <c r="BW651" i="5"/>
  <c r="BV651" i="5"/>
  <c r="BU651" i="5"/>
  <c r="BT651" i="5"/>
  <c r="BS651" i="5"/>
  <c r="BR651" i="5"/>
  <c r="BQ651" i="5"/>
  <c r="BP651" i="5"/>
  <c r="BO651" i="5"/>
  <c r="BN651" i="5"/>
  <c r="BM651" i="5"/>
  <c r="BL651" i="5"/>
  <c r="BK651" i="5"/>
  <c r="BJ651" i="5"/>
  <c r="BI651" i="5"/>
  <c r="BH651" i="5"/>
  <c r="BG651" i="5"/>
  <c r="BF651" i="5"/>
  <c r="BE651" i="5"/>
  <c r="BD651" i="5"/>
  <c r="BC651" i="5"/>
  <c r="BB651" i="5"/>
  <c r="BA651" i="5"/>
  <c r="AZ651" i="5"/>
  <c r="AY651" i="5"/>
  <c r="AX651" i="5"/>
  <c r="AW651" i="5"/>
  <c r="AV651" i="5"/>
  <c r="AU651" i="5"/>
  <c r="AT651" i="5"/>
  <c r="AS651" i="5"/>
  <c r="AR651" i="5"/>
  <c r="AQ651" i="5"/>
  <c r="AP651" i="5"/>
  <c r="AO651" i="5"/>
  <c r="AN651" i="5"/>
  <c r="AM651" i="5"/>
  <c r="AL651" i="5"/>
  <c r="AK651" i="5"/>
  <c r="AJ651" i="5"/>
  <c r="AI651" i="5"/>
  <c r="AH651" i="5"/>
  <c r="AG651" i="5"/>
  <c r="AF651" i="5"/>
  <c r="AE651" i="5"/>
  <c r="AD651" i="5"/>
  <c r="AC651" i="5"/>
  <c r="AB651" i="5"/>
  <c r="AA651" i="5"/>
  <c r="Z651" i="5"/>
  <c r="Y651" i="5"/>
  <c r="X651" i="5"/>
  <c r="W651" i="5"/>
  <c r="V651" i="5"/>
  <c r="U651" i="5"/>
  <c r="T651" i="5"/>
  <c r="S651" i="5"/>
  <c r="R651" i="5"/>
  <c r="Q651" i="5"/>
  <c r="P651" i="5"/>
  <c r="O651" i="5"/>
  <c r="N651" i="5"/>
  <c r="M651" i="5"/>
  <c r="L651" i="5"/>
  <c r="K651" i="5"/>
  <c r="J651" i="5"/>
  <c r="I651" i="5"/>
  <c r="H651" i="5"/>
  <c r="G651" i="5"/>
  <c r="CI650" i="5"/>
  <c r="CH650" i="5"/>
  <c r="CG650" i="5"/>
  <c r="CF650" i="5"/>
  <c r="CE650" i="5"/>
  <c r="CD650" i="5"/>
  <c r="CC650" i="5"/>
  <c r="CB650" i="5"/>
  <c r="CA650" i="5"/>
  <c r="BZ650" i="5"/>
  <c r="BY650" i="5"/>
  <c r="BX650" i="5"/>
  <c r="BW650" i="5"/>
  <c r="BV650" i="5"/>
  <c r="BU650" i="5"/>
  <c r="BT650" i="5"/>
  <c r="BS650" i="5"/>
  <c r="BR650" i="5"/>
  <c r="BQ650" i="5"/>
  <c r="BP650" i="5"/>
  <c r="BO650" i="5"/>
  <c r="BN650" i="5"/>
  <c r="BM650" i="5"/>
  <c r="BL650" i="5"/>
  <c r="BK650" i="5"/>
  <c r="BJ650" i="5"/>
  <c r="BI650" i="5"/>
  <c r="BH650" i="5"/>
  <c r="BG650" i="5"/>
  <c r="BF650" i="5"/>
  <c r="BE650" i="5"/>
  <c r="BD650" i="5"/>
  <c r="BC650" i="5"/>
  <c r="BB650" i="5"/>
  <c r="BA650" i="5"/>
  <c r="AZ650" i="5"/>
  <c r="AY650" i="5"/>
  <c r="AX650" i="5"/>
  <c r="AW650" i="5"/>
  <c r="AV650" i="5"/>
  <c r="AU650" i="5"/>
  <c r="AT650" i="5"/>
  <c r="AS650" i="5"/>
  <c r="AR650" i="5"/>
  <c r="AQ650" i="5"/>
  <c r="AP650" i="5"/>
  <c r="AO650" i="5"/>
  <c r="AN650" i="5"/>
  <c r="AM650" i="5"/>
  <c r="AL650" i="5"/>
  <c r="AK650" i="5"/>
  <c r="AJ650" i="5"/>
  <c r="AI650" i="5"/>
  <c r="AH650" i="5"/>
  <c r="AG650" i="5"/>
  <c r="AF650" i="5"/>
  <c r="AE650" i="5"/>
  <c r="AD650" i="5"/>
  <c r="AC650" i="5"/>
  <c r="AB650" i="5"/>
  <c r="AA650" i="5"/>
  <c r="Z650" i="5"/>
  <c r="Y650" i="5"/>
  <c r="X650" i="5"/>
  <c r="W650" i="5"/>
  <c r="V650" i="5"/>
  <c r="U650" i="5"/>
  <c r="T650" i="5"/>
  <c r="S650" i="5"/>
  <c r="R650" i="5"/>
  <c r="Q650" i="5"/>
  <c r="P650" i="5"/>
  <c r="O650" i="5"/>
  <c r="N650" i="5"/>
  <c r="M650" i="5"/>
  <c r="L650" i="5"/>
  <c r="K650" i="5"/>
  <c r="J650" i="5"/>
  <c r="I650" i="5"/>
  <c r="H650" i="5"/>
  <c r="G650" i="5"/>
  <c r="CI649" i="5"/>
  <c r="CH649" i="5"/>
  <c r="CG649" i="5"/>
  <c r="CF649" i="5"/>
  <c r="CE649" i="5"/>
  <c r="CD649" i="5"/>
  <c r="CC649" i="5"/>
  <c r="CB649" i="5"/>
  <c r="CA649" i="5"/>
  <c r="BZ649" i="5"/>
  <c r="BY649" i="5"/>
  <c r="BX649" i="5"/>
  <c r="BW649" i="5"/>
  <c r="BV649" i="5"/>
  <c r="BU649" i="5"/>
  <c r="BT649" i="5"/>
  <c r="BS649" i="5"/>
  <c r="BR649" i="5"/>
  <c r="BQ649" i="5"/>
  <c r="BP649" i="5"/>
  <c r="BO649" i="5"/>
  <c r="BN649" i="5"/>
  <c r="BM649" i="5"/>
  <c r="BL649" i="5"/>
  <c r="BK649" i="5"/>
  <c r="BJ649" i="5"/>
  <c r="BI649" i="5"/>
  <c r="BH649" i="5"/>
  <c r="BG649" i="5"/>
  <c r="BF649" i="5"/>
  <c r="BE649" i="5"/>
  <c r="BD649" i="5"/>
  <c r="BC649" i="5"/>
  <c r="BB649" i="5"/>
  <c r="BA649" i="5"/>
  <c r="AZ649" i="5"/>
  <c r="AY649" i="5"/>
  <c r="AX649" i="5"/>
  <c r="AW649" i="5"/>
  <c r="AV649" i="5"/>
  <c r="AU649" i="5"/>
  <c r="AT649" i="5"/>
  <c r="AS649" i="5"/>
  <c r="AR649" i="5"/>
  <c r="AQ649" i="5"/>
  <c r="AP649" i="5"/>
  <c r="AO649" i="5"/>
  <c r="AN649" i="5"/>
  <c r="AM649" i="5"/>
  <c r="AL649" i="5"/>
  <c r="AK649" i="5"/>
  <c r="AJ649" i="5"/>
  <c r="AI649" i="5"/>
  <c r="AH649" i="5"/>
  <c r="AG649" i="5"/>
  <c r="AF649" i="5"/>
  <c r="AE649" i="5"/>
  <c r="AD649" i="5"/>
  <c r="AC649" i="5"/>
  <c r="AB649" i="5"/>
  <c r="AA649" i="5"/>
  <c r="Z649" i="5"/>
  <c r="Y649" i="5"/>
  <c r="X649" i="5"/>
  <c r="W649" i="5"/>
  <c r="V649" i="5"/>
  <c r="U649" i="5"/>
  <c r="T649" i="5"/>
  <c r="S649" i="5"/>
  <c r="R649" i="5"/>
  <c r="Q649" i="5"/>
  <c r="P649" i="5"/>
  <c r="O649" i="5"/>
  <c r="N649" i="5"/>
  <c r="M649" i="5"/>
  <c r="L649" i="5"/>
  <c r="K649" i="5"/>
  <c r="J649" i="5"/>
  <c r="I649" i="5"/>
  <c r="H649" i="5"/>
  <c r="G649" i="5"/>
  <c r="CI648" i="5"/>
  <c r="CH648" i="5"/>
  <c r="CG648" i="5"/>
  <c r="CF648" i="5"/>
  <c r="CE648" i="5"/>
  <c r="CD648" i="5"/>
  <c r="CC648" i="5"/>
  <c r="CB648" i="5"/>
  <c r="CA648" i="5"/>
  <c r="BZ648" i="5"/>
  <c r="BY648" i="5"/>
  <c r="BX648" i="5"/>
  <c r="BW648" i="5"/>
  <c r="BV648" i="5"/>
  <c r="BU648" i="5"/>
  <c r="BT648" i="5"/>
  <c r="BS648" i="5"/>
  <c r="BR648" i="5"/>
  <c r="BQ648" i="5"/>
  <c r="BP648" i="5"/>
  <c r="BO648" i="5"/>
  <c r="BN648" i="5"/>
  <c r="BM648" i="5"/>
  <c r="BL648" i="5"/>
  <c r="BK648" i="5"/>
  <c r="BJ648" i="5"/>
  <c r="BI648" i="5"/>
  <c r="BH648" i="5"/>
  <c r="BG648" i="5"/>
  <c r="BF648" i="5"/>
  <c r="BE648" i="5"/>
  <c r="BD648" i="5"/>
  <c r="BC648" i="5"/>
  <c r="BB648" i="5"/>
  <c r="BA648" i="5"/>
  <c r="AZ648" i="5"/>
  <c r="AY648" i="5"/>
  <c r="AX648" i="5"/>
  <c r="AW648" i="5"/>
  <c r="AV648" i="5"/>
  <c r="AU648" i="5"/>
  <c r="AT648" i="5"/>
  <c r="AS648" i="5"/>
  <c r="AR648" i="5"/>
  <c r="AQ648" i="5"/>
  <c r="AP648" i="5"/>
  <c r="AO648" i="5"/>
  <c r="AN648" i="5"/>
  <c r="AM648" i="5"/>
  <c r="AL648" i="5"/>
  <c r="AK648" i="5"/>
  <c r="AJ648" i="5"/>
  <c r="AI648" i="5"/>
  <c r="AH648" i="5"/>
  <c r="AG648" i="5"/>
  <c r="AF648" i="5"/>
  <c r="AE648" i="5"/>
  <c r="AD648" i="5"/>
  <c r="AC648" i="5"/>
  <c r="AB648" i="5"/>
  <c r="AA648" i="5"/>
  <c r="Z648" i="5"/>
  <c r="Y648" i="5"/>
  <c r="X648" i="5"/>
  <c r="W648" i="5"/>
  <c r="V648" i="5"/>
  <c r="U648" i="5"/>
  <c r="T648" i="5"/>
  <c r="S648" i="5"/>
  <c r="R648" i="5"/>
  <c r="Q648" i="5"/>
  <c r="P648" i="5"/>
  <c r="O648" i="5"/>
  <c r="N648" i="5"/>
  <c r="M648" i="5"/>
  <c r="L648" i="5"/>
  <c r="K648" i="5"/>
  <c r="J648" i="5"/>
  <c r="I648" i="5"/>
  <c r="H648" i="5"/>
  <c r="G648" i="5"/>
  <c r="CI647" i="5"/>
  <c r="CH647" i="5"/>
  <c r="CG647" i="5"/>
  <c r="CF647" i="5"/>
  <c r="CE647" i="5"/>
  <c r="CD647" i="5"/>
  <c r="CC647" i="5"/>
  <c r="CB647" i="5"/>
  <c r="CA647" i="5"/>
  <c r="BZ647" i="5"/>
  <c r="BY647" i="5"/>
  <c r="BX647" i="5"/>
  <c r="BW647" i="5"/>
  <c r="BV647" i="5"/>
  <c r="BU647" i="5"/>
  <c r="BT647" i="5"/>
  <c r="BS647" i="5"/>
  <c r="BR647" i="5"/>
  <c r="BQ647" i="5"/>
  <c r="BP647" i="5"/>
  <c r="BO647" i="5"/>
  <c r="BN647" i="5"/>
  <c r="BM647" i="5"/>
  <c r="BL647" i="5"/>
  <c r="BK647" i="5"/>
  <c r="BJ647" i="5"/>
  <c r="BI647" i="5"/>
  <c r="BH647" i="5"/>
  <c r="BG647" i="5"/>
  <c r="BF647" i="5"/>
  <c r="BE647" i="5"/>
  <c r="BD647" i="5"/>
  <c r="BC647" i="5"/>
  <c r="BB647" i="5"/>
  <c r="BA647" i="5"/>
  <c r="AZ647" i="5"/>
  <c r="AY647" i="5"/>
  <c r="AX647" i="5"/>
  <c r="AW647" i="5"/>
  <c r="AV647" i="5"/>
  <c r="AU647" i="5"/>
  <c r="AT647" i="5"/>
  <c r="AS647" i="5"/>
  <c r="AR647" i="5"/>
  <c r="AQ647" i="5"/>
  <c r="AP647" i="5"/>
  <c r="AO647" i="5"/>
  <c r="AN647" i="5"/>
  <c r="AM647" i="5"/>
  <c r="AL647" i="5"/>
  <c r="AK647" i="5"/>
  <c r="AJ647" i="5"/>
  <c r="AI647" i="5"/>
  <c r="AH647" i="5"/>
  <c r="AG647" i="5"/>
  <c r="AF647" i="5"/>
  <c r="AE647" i="5"/>
  <c r="AD647" i="5"/>
  <c r="AC647" i="5"/>
  <c r="AB647" i="5"/>
  <c r="AA647" i="5"/>
  <c r="Z647" i="5"/>
  <c r="Y647" i="5"/>
  <c r="X647" i="5"/>
  <c r="W647" i="5"/>
  <c r="V647" i="5"/>
  <c r="U647" i="5"/>
  <c r="T647" i="5"/>
  <c r="S647" i="5"/>
  <c r="R647" i="5"/>
  <c r="Q647" i="5"/>
  <c r="P647" i="5"/>
  <c r="O647" i="5"/>
  <c r="N647" i="5"/>
  <c r="M647" i="5"/>
  <c r="L647" i="5"/>
  <c r="K647" i="5"/>
  <c r="J647" i="5"/>
  <c r="I647" i="5"/>
  <c r="H647" i="5"/>
  <c r="G647" i="5"/>
  <c r="D656" i="5"/>
  <c r="D655" i="5"/>
  <c r="D654" i="5"/>
  <c r="D653" i="5"/>
  <c r="D652" i="5"/>
  <c r="D651" i="5"/>
  <c r="D650" i="5"/>
  <c r="D649" i="5"/>
  <c r="D648" i="5"/>
  <c r="D647" i="5"/>
  <c r="C656" i="5"/>
  <c r="C655" i="5"/>
  <c r="C654" i="5"/>
  <c r="C653" i="5"/>
  <c r="C652" i="5"/>
  <c r="C651" i="5"/>
  <c r="C650" i="5"/>
  <c r="C649" i="5"/>
  <c r="C648" i="5"/>
  <c r="C647" i="5"/>
  <c r="F657" i="7"/>
  <c r="CI616" i="5"/>
  <c r="CH616" i="5"/>
  <c r="CG616" i="5"/>
  <c r="CF616" i="5"/>
  <c r="CE616" i="5"/>
  <c r="CD616" i="5"/>
  <c r="CC616" i="5"/>
  <c r="CB616" i="5"/>
  <c r="CA616" i="5"/>
  <c r="BZ616" i="5"/>
  <c r="BY616" i="5"/>
  <c r="BX616" i="5"/>
  <c r="BW616" i="5"/>
  <c r="BV616" i="5"/>
  <c r="BU616" i="5"/>
  <c r="BT616" i="5"/>
  <c r="BS616" i="5"/>
  <c r="BR616" i="5"/>
  <c r="BQ616" i="5"/>
  <c r="BP616" i="5"/>
  <c r="BO616" i="5"/>
  <c r="BN616" i="5"/>
  <c r="BM616" i="5"/>
  <c r="BL616" i="5"/>
  <c r="BK616" i="5"/>
  <c r="BJ616" i="5"/>
  <c r="BI616" i="5"/>
  <c r="BH616" i="5"/>
  <c r="BG616" i="5"/>
  <c r="BF616" i="5"/>
  <c r="BE616" i="5"/>
  <c r="BD616" i="5"/>
  <c r="BC616" i="5"/>
  <c r="BB616" i="5"/>
  <c r="BA616" i="5"/>
  <c r="AZ616" i="5"/>
  <c r="AY616" i="5"/>
  <c r="AX616" i="5"/>
  <c r="AW616" i="5"/>
  <c r="AV616" i="5"/>
  <c r="AU616" i="5"/>
  <c r="AT616" i="5"/>
  <c r="AS616" i="5"/>
  <c r="AR616" i="5"/>
  <c r="AQ616" i="5"/>
  <c r="AP616" i="5"/>
  <c r="AO616" i="5"/>
  <c r="AN616" i="5"/>
  <c r="AM616" i="5"/>
  <c r="AL616" i="5"/>
  <c r="AK616" i="5"/>
  <c r="AJ616" i="5"/>
  <c r="AI616" i="5"/>
  <c r="AH616" i="5"/>
  <c r="AG616" i="5"/>
  <c r="AF616" i="5"/>
  <c r="AE616" i="5"/>
  <c r="AD616" i="5"/>
  <c r="AC616" i="5"/>
  <c r="AB616" i="5"/>
  <c r="AA616" i="5"/>
  <c r="Z616" i="5"/>
  <c r="Y616" i="5"/>
  <c r="X616" i="5"/>
  <c r="W616" i="5"/>
  <c r="V616" i="5"/>
  <c r="U616" i="5"/>
  <c r="T616" i="5"/>
  <c r="S616" i="5"/>
  <c r="R616" i="5"/>
  <c r="Q616" i="5"/>
  <c r="P616" i="5"/>
  <c r="O616" i="5"/>
  <c r="N616" i="5"/>
  <c r="M616" i="5"/>
  <c r="L616" i="5"/>
  <c r="K616" i="5"/>
  <c r="J616" i="5"/>
  <c r="I616" i="5"/>
  <c r="H616" i="5"/>
  <c r="G616" i="5"/>
  <c r="D616" i="5"/>
  <c r="C616" i="5"/>
  <c r="F616" i="5"/>
  <c r="M616" i="7"/>
  <c r="L616" i="7"/>
  <c r="K616" i="7"/>
  <c r="J616" i="7"/>
  <c r="I616" i="7"/>
  <c r="H616" i="7"/>
  <c r="G616" i="7"/>
  <c r="F616" i="7"/>
  <c r="BK566" i="6"/>
  <c r="BK567" i="6" s="1"/>
  <c r="BJ566" i="6"/>
  <c r="BJ567" i="6" s="1"/>
  <c r="BI566" i="6"/>
  <c r="BI567" i="6" s="1"/>
  <c r="BH566" i="6"/>
  <c r="BH567" i="6" s="1"/>
  <c r="BG566" i="6"/>
  <c r="BG567" i="6" s="1"/>
  <c r="BF566" i="6"/>
  <c r="BF567" i="6" s="1"/>
  <c r="BE566" i="6"/>
  <c r="BE567" i="6" s="1"/>
  <c r="BD566" i="6"/>
  <c r="BD567" i="6" s="1"/>
  <c r="BC566" i="6"/>
  <c r="BC567" i="6" s="1"/>
  <c r="BB566" i="6"/>
  <c r="BB567" i="6" s="1"/>
  <c r="BA566" i="6"/>
  <c r="BA567" i="6" s="1"/>
  <c r="AZ566" i="6"/>
  <c r="AZ567" i="6" s="1"/>
  <c r="AY566" i="6"/>
  <c r="AY567" i="6" s="1"/>
  <c r="AX566" i="6"/>
  <c r="AX567" i="6" s="1"/>
  <c r="AW566" i="6"/>
  <c r="AW567" i="6" s="1"/>
  <c r="AV566" i="6"/>
  <c r="AV567" i="6" s="1"/>
  <c r="AU566" i="6"/>
  <c r="AU567" i="6" s="1"/>
  <c r="AT566" i="6"/>
  <c r="AT567" i="6" s="1"/>
  <c r="AS566" i="6"/>
  <c r="AS567" i="6" s="1"/>
  <c r="AR566" i="6"/>
  <c r="AR567" i="6" s="1"/>
  <c r="AQ566" i="6"/>
  <c r="AQ567" i="6" s="1"/>
  <c r="AP566" i="6"/>
  <c r="AP567" i="6" s="1"/>
  <c r="AO566" i="6"/>
  <c r="AO567" i="6" s="1"/>
  <c r="AN566" i="6"/>
  <c r="AN567" i="6" s="1"/>
  <c r="AM566" i="6"/>
  <c r="AM567" i="6" s="1"/>
  <c r="AL566" i="6"/>
  <c r="AL567" i="6" s="1"/>
  <c r="AK566" i="6"/>
  <c r="AK567" i="6" s="1"/>
  <c r="AJ566" i="6"/>
  <c r="AJ567" i="6" s="1"/>
  <c r="AI566" i="6"/>
  <c r="AI567" i="6" s="1"/>
  <c r="AH566" i="6"/>
  <c r="AH567" i="6" s="1"/>
  <c r="AG566" i="6"/>
  <c r="AG567" i="6" s="1"/>
  <c r="AF566" i="6"/>
  <c r="AF567" i="6" s="1"/>
  <c r="AE566" i="6"/>
  <c r="AE567" i="6" s="1"/>
  <c r="AD566" i="6"/>
  <c r="AD567" i="6" s="1"/>
  <c r="AC566" i="6"/>
  <c r="AC567" i="6" s="1"/>
  <c r="AB566" i="6"/>
  <c r="AB567" i="6" s="1"/>
  <c r="AA566" i="6"/>
  <c r="AA567" i="6" s="1"/>
  <c r="Z566" i="6"/>
  <c r="Z567" i="6" s="1"/>
  <c r="Y566" i="6"/>
  <c r="Y567" i="6" s="1"/>
  <c r="X566" i="6"/>
  <c r="X567" i="6" s="1"/>
  <c r="W566" i="6"/>
  <c r="W567" i="6" s="1"/>
  <c r="V566" i="6"/>
  <c r="V567" i="6" s="1"/>
  <c r="U566" i="6"/>
  <c r="U567" i="6" s="1"/>
  <c r="T566" i="6"/>
  <c r="T567" i="6" s="1"/>
  <c r="S566" i="6"/>
  <c r="S567" i="6" s="1"/>
  <c r="R566" i="6"/>
  <c r="R567" i="6" s="1"/>
  <c r="Q566" i="6"/>
  <c r="Q567" i="6" s="1"/>
  <c r="P566" i="6"/>
  <c r="P567" i="6" s="1"/>
  <c r="O566" i="6"/>
  <c r="O567" i="6" s="1"/>
  <c r="N566" i="6"/>
  <c r="N567" i="6" s="1"/>
  <c r="M566" i="6"/>
  <c r="M567" i="6" s="1"/>
  <c r="L566" i="6"/>
  <c r="L567" i="6" s="1"/>
  <c r="K566" i="6"/>
  <c r="K567" i="6" s="1"/>
  <c r="J566" i="6"/>
  <c r="J567" i="6" s="1"/>
  <c r="I566" i="6"/>
  <c r="I567" i="6" s="1"/>
  <c r="H566" i="6"/>
  <c r="H567" i="6" s="1"/>
  <c r="G566" i="6"/>
  <c r="G567" i="6" s="1"/>
  <c r="F566" i="6"/>
  <c r="F567" i="6" s="1"/>
  <c r="C566" i="7"/>
  <c r="C566" i="6"/>
  <c r="E568" i="6" s="1"/>
  <c r="D566" i="6"/>
  <c r="D567" i="6" s="1"/>
  <c r="BK663" i="6"/>
  <c r="BJ663" i="6"/>
  <c r="BI663" i="6"/>
  <c r="BH663" i="6"/>
  <c r="BG663" i="6"/>
  <c r="BF663" i="6"/>
  <c r="BE663" i="6"/>
  <c r="BD663" i="6"/>
  <c r="BC663" i="6"/>
  <c r="BB663" i="6"/>
  <c r="BA663" i="6"/>
  <c r="AZ663" i="6"/>
  <c r="AY663" i="6"/>
  <c r="AX663" i="6"/>
  <c r="AW663" i="6"/>
  <c r="AV663" i="6"/>
  <c r="AU663" i="6"/>
  <c r="AT663" i="6"/>
  <c r="AS663" i="6"/>
  <c r="AR663" i="6"/>
  <c r="AQ663" i="6"/>
  <c r="AP663" i="6"/>
  <c r="AO663" i="6"/>
  <c r="AN663" i="6"/>
  <c r="AM663" i="6"/>
  <c r="AL663" i="6"/>
  <c r="AK663" i="6"/>
  <c r="AJ663" i="6"/>
  <c r="AI663" i="6"/>
  <c r="AH663" i="6"/>
  <c r="AG663" i="6"/>
  <c r="AF663" i="6"/>
  <c r="AE663" i="6"/>
  <c r="AD663" i="6"/>
  <c r="AC663" i="6"/>
  <c r="AB663" i="6"/>
  <c r="AA663" i="6"/>
  <c r="Z663" i="6"/>
  <c r="Y663" i="6"/>
  <c r="X663" i="6"/>
  <c r="W663" i="6"/>
  <c r="V663" i="6"/>
  <c r="U663" i="6"/>
  <c r="T663" i="6"/>
  <c r="BK662" i="6"/>
  <c r="BJ662" i="6"/>
  <c r="BI662" i="6"/>
  <c r="BH662" i="6"/>
  <c r="BG662" i="6"/>
  <c r="BF662" i="6"/>
  <c r="BE662" i="6"/>
  <c r="BD662" i="6"/>
  <c r="BC662" i="6"/>
  <c r="BB662" i="6"/>
  <c r="BA662" i="6"/>
  <c r="AZ662" i="6"/>
  <c r="AY662" i="6"/>
  <c r="AX662" i="6"/>
  <c r="AW662" i="6"/>
  <c r="AV662" i="6"/>
  <c r="AU662" i="6"/>
  <c r="AT662" i="6"/>
  <c r="AS662" i="6"/>
  <c r="AR662" i="6"/>
  <c r="AQ662" i="6"/>
  <c r="AP662" i="6"/>
  <c r="AO662" i="6"/>
  <c r="AN662" i="6"/>
  <c r="AM662" i="6"/>
  <c r="AL662" i="6"/>
  <c r="AK662" i="6"/>
  <c r="AJ662" i="6"/>
  <c r="AI662" i="6"/>
  <c r="AH662" i="6"/>
  <c r="AG662" i="6"/>
  <c r="AF662" i="6"/>
  <c r="AE662" i="6"/>
  <c r="AD662" i="6"/>
  <c r="AC662" i="6"/>
  <c r="AB662" i="6"/>
  <c r="AA662" i="6"/>
  <c r="Z662" i="6"/>
  <c r="Y662" i="6"/>
  <c r="X662" i="6"/>
  <c r="W662" i="6"/>
  <c r="V662" i="6"/>
  <c r="U662" i="6"/>
  <c r="T662" i="6"/>
  <c r="BK661" i="6"/>
  <c r="BJ661" i="6"/>
  <c r="BI661" i="6"/>
  <c r="BH661" i="6"/>
  <c r="BG661" i="6"/>
  <c r="BF661" i="6"/>
  <c r="BE661" i="6"/>
  <c r="BD661" i="6"/>
  <c r="BC661" i="6"/>
  <c r="BB661" i="6"/>
  <c r="BA661" i="6"/>
  <c r="AZ661" i="6"/>
  <c r="AY661" i="6"/>
  <c r="AX661" i="6"/>
  <c r="AW661" i="6"/>
  <c r="AV661" i="6"/>
  <c r="AU661" i="6"/>
  <c r="AT661" i="6"/>
  <c r="AS661" i="6"/>
  <c r="AR661" i="6"/>
  <c r="AQ661" i="6"/>
  <c r="AP661" i="6"/>
  <c r="AO661" i="6"/>
  <c r="AN661" i="6"/>
  <c r="AM661" i="6"/>
  <c r="AL661" i="6"/>
  <c r="AK661" i="6"/>
  <c r="AJ661" i="6"/>
  <c r="AI661" i="6"/>
  <c r="AH661" i="6"/>
  <c r="AG661" i="6"/>
  <c r="AF661" i="6"/>
  <c r="AE661" i="6"/>
  <c r="AD661" i="6"/>
  <c r="AC661" i="6"/>
  <c r="AB661" i="6"/>
  <c r="AA661" i="6"/>
  <c r="Z661" i="6"/>
  <c r="Y661" i="6"/>
  <c r="X661" i="6"/>
  <c r="W661" i="6"/>
  <c r="V661" i="6"/>
  <c r="U661" i="6"/>
  <c r="T661" i="6"/>
  <c r="BK660" i="6"/>
  <c r="BJ660" i="6"/>
  <c r="BI660" i="6"/>
  <c r="BH660" i="6"/>
  <c r="BG660" i="6"/>
  <c r="BF660" i="6"/>
  <c r="BE660" i="6"/>
  <c r="BD660" i="6"/>
  <c r="BC660" i="6"/>
  <c r="BB660" i="6"/>
  <c r="BA660" i="6"/>
  <c r="AZ660" i="6"/>
  <c r="AY660" i="6"/>
  <c r="AX660" i="6"/>
  <c r="AW660" i="6"/>
  <c r="AV660" i="6"/>
  <c r="AU660" i="6"/>
  <c r="AT660" i="6"/>
  <c r="AS660" i="6"/>
  <c r="AR660" i="6"/>
  <c r="AQ660" i="6"/>
  <c r="AP660" i="6"/>
  <c r="AO660" i="6"/>
  <c r="AN660" i="6"/>
  <c r="AM660" i="6"/>
  <c r="AL660" i="6"/>
  <c r="AK660" i="6"/>
  <c r="AJ660" i="6"/>
  <c r="AI660" i="6"/>
  <c r="AH660" i="6"/>
  <c r="AG660" i="6"/>
  <c r="AF660" i="6"/>
  <c r="AE660" i="6"/>
  <c r="AD660" i="6"/>
  <c r="AC660" i="6"/>
  <c r="AB660" i="6"/>
  <c r="AA660" i="6"/>
  <c r="Z660" i="6"/>
  <c r="Y660" i="6"/>
  <c r="X660" i="6"/>
  <c r="W660" i="6"/>
  <c r="V660" i="6"/>
  <c r="U660" i="6"/>
  <c r="T660" i="6"/>
  <c r="BK659" i="6"/>
  <c r="BJ659" i="6"/>
  <c r="BI659" i="6"/>
  <c r="BH659" i="6"/>
  <c r="BG659" i="6"/>
  <c r="BF659" i="6"/>
  <c r="BE659" i="6"/>
  <c r="BD659" i="6"/>
  <c r="BC659" i="6"/>
  <c r="BB659" i="6"/>
  <c r="BA659" i="6"/>
  <c r="AZ659" i="6"/>
  <c r="AY659" i="6"/>
  <c r="AX659" i="6"/>
  <c r="AW659" i="6"/>
  <c r="AV659" i="6"/>
  <c r="AU659" i="6"/>
  <c r="AT659" i="6"/>
  <c r="AS659" i="6"/>
  <c r="AR659" i="6"/>
  <c r="AQ659" i="6"/>
  <c r="AP659" i="6"/>
  <c r="AO659" i="6"/>
  <c r="AN659" i="6"/>
  <c r="AM659" i="6"/>
  <c r="AL659" i="6"/>
  <c r="AK659" i="6"/>
  <c r="AJ659" i="6"/>
  <c r="AI659" i="6"/>
  <c r="AH659" i="6"/>
  <c r="AG659" i="6"/>
  <c r="AF659" i="6"/>
  <c r="AE659" i="6"/>
  <c r="AD659" i="6"/>
  <c r="AC659" i="6"/>
  <c r="AB659" i="6"/>
  <c r="AA659" i="6"/>
  <c r="Z659" i="6"/>
  <c r="Y659" i="6"/>
  <c r="X659" i="6"/>
  <c r="W659" i="6"/>
  <c r="V659" i="6"/>
  <c r="U659" i="6"/>
  <c r="T659" i="6"/>
  <c r="BK658" i="6"/>
  <c r="BJ658" i="6"/>
  <c r="BI658" i="6"/>
  <c r="BH658" i="6"/>
  <c r="BG658" i="6"/>
  <c r="BF658" i="6"/>
  <c r="BE658" i="6"/>
  <c r="BD658" i="6"/>
  <c r="BC658" i="6"/>
  <c r="BB658" i="6"/>
  <c r="BA658" i="6"/>
  <c r="AZ658" i="6"/>
  <c r="AY658" i="6"/>
  <c r="AX658" i="6"/>
  <c r="AW658" i="6"/>
  <c r="AV658" i="6"/>
  <c r="AU658" i="6"/>
  <c r="AT658" i="6"/>
  <c r="AS658" i="6"/>
  <c r="AR658" i="6"/>
  <c r="AQ658" i="6"/>
  <c r="AP658" i="6"/>
  <c r="AO658" i="6"/>
  <c r="AN658" i="6"/>
  <c r="AM658" i="6"/>
  <c r="AL658" i="6"/>
  <c r="AK658" i="6"/>
  <c r="AJ658" i="6"/>
  <c r="AI658" i="6"/>
  <c r="AH658" i="6"/>
  <c r="AG658" i="6"/>
  <c r="AF658" i="6"/>
  <c r="AE658" i="6"/>
  <c r="AD658" i="6"/>
  <c r="AC658" i="6"/>
  <c r="AB658" i="6"/>
  <c r="AA658" i="6"/>
  <c r="Z658" i="6"/>
  <c r="Y658" i="6"/>
  <c r="X658" i="6"/>
  <c r="W658" i="6"/>
  <c r="V658" i="6"/>
  <c r="U658" i="6"/>
  <c r="T658" i="6"/>
  <c r="BK657" i="6"/>
  <c r="BJ657" i="6"/>
  <c r="BI657" i="6"/>
  <c r="BH657" i="6"/>
  <c r="BG657" i="6"/>
  <c r="BF657" i="6"/>
  <c r="BE657" i="6"/>
  <c r="BD657" i="6"/>
  <c r="BC657" i="6"/>
  <c r="BB657" i="6"/>
  <c r="BA657" i="6"/>
  <c r="AZ657" i="6"/>
  <c r="AY657" i="6"/>
  <c r="AX657" i="6"/>
  <c r="AW657" i="6"/>
  <c r="AV657" i="6"/>
  <c r="AU657" i="6"/>
  <c r="AT657" i="6"/>
  <c r="AS657" i="6"/>
  <c r="AR657" i="6"/>
  <c r="AQ657" i="6"/>
  <c r="AP657" i="6"/>
  <c r="AO657" i="6"/>
  <c r="AN657" i="6"/>
  <c r="AM657" i="6"/>
  <c r="AL657" i="6"/>
  <c r="AK657" i="6"/>
  <c r="AJ657" i="6"/>
  <c r="AI657" i="6"/>
  <c r="AH657" i="6"/>
  <c r="AG657" i="6"/>
  <c r="AF657" i="6"/>
  <c r="AE657" i="6"/>
  <c r="AD657" i="6"/>
  <c r="AC657" i="6"/>
  <c r="AB657" i="6"/>
  <c r="AA657" i="6"/>
  <c r="Z657" i="6"/>
  <c r="Y657" i="6"/>
  <c r="X657" i="6"/>
  <c r="W657" i="6"/>
  <c r="V657" i="6"/>
  <c r="U657" i="6"/>
  <c r="T657" i="6"/>
  <c r="BK656" i="6"/>
  <c r="BJ656" i="6"/>
  <c r="BI656" i="6"/>
  <c r="BH656" i="6"/>
  <c r="BG656" i="6"/>
  <c r="BF656" i="6"/>
  <c r="BE656" i="6"/>
  <c r="BD656" i="6"/>
  <c r="BC656" i="6"/>
  <c r="BB656" i="6"/>
  <c r="BA656" i="6"/>
  <c r="AZ656" i="6"/>
  <c r="AY656" i="6"/>
  <c r="AX656" i="6"/>
  <c r="AW656" i="6"/>
  <c r="AV656" i="6"/>
  <c r="AU656" i="6"/>
  <c r="AT656" i="6"/>
  <c r="AS656" i="6"/>
  <c r="AR656" i="6"/>
  <c r="AQ656" i="6"/>
  <c r="AP656" i="6"/>
  <c r="AO656" i="6"/>
  <c r="AN656" i="6"/>
  <c r="AM656" i="6"/>
  <c r="AL656" i="6"/>
  <c r="AK656" i="6"/>
  <c r="AJ656" i="6"/>
  <c r="AI656" i="6"/>
  <c r="AH656" i="6"/>
  <c r="AG656" i="6"/>
  <c r="AF656" i="6"/>
  <c r="AE656" i="6"/>
  <c r="AD656" i="6"/>
  <c r="AC656" i="6"/>
  <c r="AB656" i="6"/>
  <c r="AA656" i="6"/>
  <c r="Z656" i="6"/>
  <c r="Y656" i="6"/>
  <c r="X656" i="6"/>
  <c r="W656" i="6"/>
  <c r="V656" i="6"/>
  <c r="U656" i="6"/>
  <c r="T656" i="6"/>
  <c r="BK655" i="6"/>
  <c r="BJ655" i="6"/>
  <c r="BI655" i="6"/>
  <c r="BH655" i="6"/>
  <c r="BG655" i="6"/>
  <c r="BF655" i="6"/>
  <c r="BE655" i="6"/>
  <c r="BD655" i="6"/>
  <c r="BC655" i="6"/>
  <c r="BB655" i="6"/>
  <c r="BA655" i="6"/>
  <c r="AZ655" i="6"/>
  <c r="AY655" i="6"/>
  <c r="AX655" i="6"/>
  <c r="AW655" i="6"/>
  <c r="AV655" i="6"/>
  <c r="AU655" i="6"/>
  <c r="AT655" i="6"/>
  <c r="AS655" i="6"/>
  <c r="AR655" i="6"/>
  <c r="AQ655" i="6"/>
  <c r="AP655" i="6"/>
  <c r="AO655" i="6"/>
  <c r="AN655" i="6"/>
  <c r="AM655" i="6"/>
  <c r="AL655" i="6"/>
  <c r="AK655" i="6"/>
  <c r="AJ655" i="6"/>
  <c r="AI655" i="6"/>
  <c r="AH655" i="6"/>
  <c r="AG655" i="6"/>
  <c r="AF655" i="6"/>
  <c r="AE655" i="6"/>
  <c r="AD655" i="6"/>
  <c r="AC655" i="6"/>
  <c r="AB655" i="6"/>
  <c r="AA655" i="6"/>
  <c r="Z655" i="6"/>
  <c r="Y655" i="6"/>
  <c r="X655" i="6"/>
  <c r="W655" i="6"/>
  <c r="V655" i="6"/>
  <c r="U655" i="6"/>
  <c r="T655" i="6"/>
  <c r="BK654" i="6"/>
  <c r="BJ654" i="6"/>
  <c r="BI654" i="6"/>
  <c r="BH654" i="6"/>
  <c r="BG654" i="6"/>
  <c r="BF654" i="6"/>
  <c r="BE654" i="6"/>
  <c r="BD654" i="6"/>
  <c r="BC654" i="6"/>
  <c r="BB654" i="6"/>
  <c r="BA654" i="6"/>
  <c r="AZ654" i="6"/>
  <c r="AY654" i="6"/>
  <c r="AX654" i="6"/>
  <c r="AW654" i="6"/>
  <c r="AV654" i="6"/>
  <c r="AU654" i="6"/>
  <c r="AT654" i="6"/>
  <c r="AS654" i="6"/>
  <c r="AR654" i="6"/>
  <c r="AQ654" i="6"/>
  <c r="AP654" i="6"/>
  <c r="AO654" i="6"/>
  <c r="AN654" i="6"/>
  <c r="AM654" i="6"/>
  <c r="AL654" i="6"/>
  <c r="AK654" i="6"/>
  <c r="AJ654" i="6"/>
  <c r="AI654" i="6"/>
  <c r="AH654" i="6"/>
  <c r="AG654" i="6"/>
  <c r="AF654" i="6"/>
  <c r="AE654" i="6"/>
  <c r="AD654" i="6"/>
  <c r="AC654" i="6"/>
  <c r="AB654" i="6"/>
  <c r="AA654" i="6"/>
  <c r="Z654" i="6"/>
  <c r="Y654" i="6"/>
  <c r="X654" i="6"/>
  <c r="W654" i="6"/>
  <c r="V654" i="6"/>
  <c r="U654" i="6"/>
  <c r="T654" i="6"/>
  <c r="BK653" i="6"/>
  <c r="BJ653" i="6"/>
  <c r="BI653" i="6"/>
  <c r="BH653" i="6"/>
  <c r="BG653" i="6"/>
  <c r="BF653" i="6"/>
  <c r="BE653" i="6"/>
  <c r="BD653" i="6"/>
  <c r="BC653" i="6"/>
  <c r="BB653" i="6"/>
  <c r="BA653" i="6"/>
  <c r="AZ653" i="6"/>
  <c r="AY653" i="6"/>
  <c r="AX653" i="6"/>
  <c r="AW653" i="6"/>
  <c r="AV653" i="6"/>
  <c r="AU653" i="6"/>
  <c r="AT653" i="6"/>
  <c r="AS653" i="6"/>
  <c r="AR653" i="6"/>
  <c r="AQ653" i="6"/>
  <c r="AP653" i="6"/>
  <c r="AO653" i="6"/>
  <c r="AN653" i="6"/>
  <c r="AM653" i="6"/>
  <c r="AL653" i="6"/>
  <c r="AK653" i="6"/>
  <c r="AJ653" i="6"/>
  <c r="AI653" i="6"/>
  <c r="AH653" i="6"/>
  <c r="AG653" i="6"/>
  <c r="AF653" i="6"/>
  <c r="AE653" i="6"/>
  <c r="AD653" i="6"/>
  <c r="AC653" i="6"/>
  <c r="AB653" i="6"/>
  <c r="AA653" i="6"/>
  <c r="Z653" i="6"/>
  <c r="Y653" i="6"/>
  <c r="X653" i="6"/>
  <c r="W653" i="6"/>
  <c r="V653" i="6"/>
  <c r="U653" i="6"/>
  <c r="T653" i="6"/>
  <c r="BK652" i="6"/>
  <c r="BJ652" i="6"/>
  <c r="BI652" i="6"/>
  <c r="BH652" i="6"/>
  <c r="BG652" i="6"/>
  <c r="BF652" i="6"/>
  <c r="BE652" i="6"/>
  <c r="BD652" i="6"/>
  <c r="BC652" i="6"/>
  <c r="BB652" i="6"/>
  <c r="BA652" i="6"/>
  <c r="AZ652" i="6"/>
  <c r="AY652" i="6"/>
  <c r="AX652" i="6"/>
  <c r="AW652" i="6"/>
  <c r="AV652" i="6"/>
  <c r="AU652" i="6"/>
  <c r="AT652" i="6"/>
  <c r="AS652" i="6"/>
  <c r="AR652" i="6"/>
  <c r="AQ652" i="6"/>
  <c r="AP652" i="6"/>
  <c r="AO652" i="6"/>
  <c r="AN652" i="6"/>
  <c r="AM652" i="6"/>
  <c r="AL652" i="6"/>
  <c r="AK652" i="6"/>
  <c r="AJ652" i="6"/>
  <c r="AI652" i="6"/>
  <c r="AH652" i="6"/>
  <c r="AG652" i="6"/>
  <c r="AF652" i="6"/>
  <c r="AE652" i="6"/>
  <c r="AD652" i="6"/>
  <c r="AC652" i="6"/>
  <c r="AB652" i="6"/>
  <c r="AA652" i="6"/>
  <c r="Z652" i="6"/>
  <c r="Y652" i="6"/>
  <c r="X652" i="6"/>
  <c r="W652" i="6"/>
  <c r="V652" i="6"/>
  <c r="U652" i="6"/>
  <c r="T652" i="6"/>
  <c r="BK651" i="6"/>
  <c r="BJ651" i="6"/>
  <c r="BI651" i="6"/>
  <c r="BH651" i="6"/>
  <c r="BG651" i="6"/>
  <c r="BF651" i="6"/>
  <c r="BE651" i="6"/>
  <c r="BD651" i="6"/>
  <c r="BC651" i="6"/>
  <c r="BB651" i="6"/>
  <c r="BA651" i="6"/>
  <c r="AZ651" i="6"/>
  <c r="AY651" i="6"/>
  <c r="AX651" i="6"/>
  <c r="AW651" i="6"/>
  <c r="AV651" i="6"/>
  <c r="AU651" i="6"/>
  <c r="AT651" i="6"/>
  <c r="AS651" i="6"/>
  <c r="AR651" i="6"/>
  <c r="AQ651" i="6"/>
  <c r="AP651" i="6"/>
  <c r="AO651" i="6"/>
  <c r="AN651" i="6"/>
  <c r="AM651" i="6"/>
  <c r="AL651" i="6"/>
  <c r="AK651" i="6"/>
  <c r="AJ651" i="6"/>
  <c r="AI651" i="6"/>
  <c r="AH651" i="6"/>
  <c r="AG651" i="6"/>
  <c r="AF651" i="6"/>
  <c r="AE651" i="6"/>
  <c r="AD651" i="6"/>
  <c r="AC651" i="6"/>
  <c r="AB651" i="6"/>
  <c r="AA651" i="6"/>
  <c r="Z651" i="6"/>
  <c r="Y651" i="6"/>
  <c r="X651" i="6"/>
  <c r="W651" i="6"/>
  <c r="V651" i="6"/>
  <c r="U651" i="6"/>
  <c r="T651" i="6"/>
  <c r="BK650" i="6"/>
  <c r="BJ650" i="6"/>
  <c r="BI650" i="6"/>
  <c r="BH650" i="6"/>
  <c r="BG650" i="6"/>
  <c r="BF650" i="6"/>
  <c r="BE650" i="6"/>
  <c r="BD650" i="6"/>
  <c r="BC650" i="6"/>
  <c r="BB650" i="6"/>
  <c r="BA650" i="6"/>
  <c r="AZ650" i="6"/>
  <c r="AY650" i="6"/>
  <c r="AX650" i="6"/>
  <c r="AW650" i="6"/>
  <c r="AV650" i="6"/>
  <c r="AU650" i="6"/>
  <c r="AT650" i="6"/>
  <c r="AS650" i="6"/>
  <c r="AR650" i="6"/>
  <c r="AQ650" i="6"/>
  <c r="AP650" i="6"/>
  <c r="AO650" i="6"/>
  <c r="AN650" i="6"/>
  <c r="AM650" i="6"/>
  <c r="AL650" i="6"/>
  <c r="AK650" i="6"/>
  <c r="AJ650" i="6"/>
  <c r="AI650" i="6"/>
  <c r="AH650" i="6"/>
  <c r="AG650" i="6"/>
  <c r="AF650" i="6"/>
  <c r="AE650" i="6"/>
  <c r="AD650" i="6"/>
  <c r="AC650" i="6"/>
  <c r="AB650" i="6"/>
  <c r="AA650" i="6"/>
  <c r="Z650" i="6"/>
  <c r="Y650" i="6"/>
  <c r="X650" i="6"/>
  <c r="W650" i="6"/>
  <c r="V650" i="6"/>
  <c r="U650" i="6"/>
  <c r="T650" i="6"/>
  <c r="BK649" i="6"/>
  <c r="BJ649" i="6"/>
  <c r="BI649" i="6"/>
  <c r="BH649" i="6"/>
  <c r="BG649" i="6"/>
  <c r="BF649" i="6"/>
  <c r="BE649" i="6"/>
  <c r="BD649" i="6"/>
  <c r="BC649" i="6"/>
  <c r="BB649" i="6"/>
  <c r="BA649" i="6"/>
  <c r="AZ649" i="6"/>
  <c r="AY649" i="6"/>
  <c r="AX649" i="6"/>
  <c r="AW649" i="6"/>
  <c r="AV649" i="6"/>
  <c r="AU649" i="6"/>
  <c r="AT649" i="6"/>
  <c r="AS649" i="6"/>
  <c r="AR649" i="6"/>
  <c r="AQ649" i="6"/>
  <c r="AP649" i="6"/>
  <c r="AO649" i="6"/>
  <c r="AN649" i="6"/>
  <c r="AM649" i="6"/>
  <c r="AL649" i="6"/>
  <c r="AK649" i="6"/>
  <c r="AJ649" i="6"/>
  <c r="AI649" i="6"/>
  <c r="AH649" i="6"/>
  <c r="AG649" i="6"/>
  <c r="AF649" i="6"/>
  <c r="AE649" i="6"/>
  <c r="AD649" i="6"/>
  <c r="AC649" i="6"/>
  <c r="AB649" i="6"/>
  <c r="AA649" i="6"/>
  <c r="Z649" i="6"/>
  <c r="Y649" i="6"/>
  <c r="X649" i="6"/>
  <c r="W649" i="6"/>
  <c r="V649" i="6"/>
  <c r="U649" i="6"/>
  <c r="T649" i="6"/>
  <c r="BK648" i="6"/>
  <c r="BJ648" i="6"/>
  <c r="BI648" i="6"/>
  <c r="BH648" i="6"/>
  <c r="BG648" i="6"/>
  <c r="BF648" i="6"/>
  <c r="BE648" i="6"/>
  <c r="BD648" i="6"/>
  <c r="BC648" i="6"/>
  <c r="BB648" i="6"/>
  <c r="BA648" i="6"/>
  <c r="AZ648" i="6"/>
  <c r="AY648" i="6"/>
  <c r="AX648" i="6"/>
  <c r="AW648" i="6"/>
  <c r="AV648" i="6"/>
  <c r="AU648" i="6"/>
  <c r="AT648" i="6"/>
  <c r="AS648" i="6"/>
  <c r="AR648" i="6"/>
  <c r="AQ648" i="6"/>
  <c r="AP648" i="6"/>
  <c r="AO648" i="6"/>
  <c r="AN648" i="6"/>
  <c r="AM648" i="6"/>
  <c r="AL648" i="6"/>
  <c r="AK648" i="6"/>
  <c r="AJ648" i="6"/>
  <c r="AI648" i="6"/>
  <c r="AH648" i="6"/>
  <c r="AG648" i="6"/>
  <c r="AF648" i="6"/>
  <c r="AE648" i="6"/>
  <c r="AD648" i="6"/>
  <c r="AC648" i="6"/>
  <c r="AB648" i="6"/>
  <c r="AA648" i="6"/>
  <c r="Z648" i="6"/>
  <c r="Y648" i="6"/>
  <c r="X648" i="6"/>
  <c r="W648" i="6"/>
  <c r="V648" i="6"/>
  <c r="U648" i="6"/>
  <c r="T648" i="6"/>
  <c r="BK647" i="6"/>
  <c r="BJ647" i="6"/>
  <c r="BI647" i="6"/>
  <c r="BH647" i="6"/>
  <c r="BG647" i="6"/>
  <c r="BF647" i="6"/>
  <c r="BE647" i="6"/>
  <c r="BD647" i="6"/>
  <c r="BC647" i="6"/>
  <c r="BB647" i="6"/>
  <c r="BA647" i="6"/>
  <c r="AZ647" i="6"/>
  <c r="AY647" i="6"/>
  <c r="AX647" i="6"/>
  <c r="AW647" i="6"/>
  <c r="AV647" i="6"/>
  <c r="AU647" i="6"/>
  <c r="AT647" i="6"/>
  <c r="AS647" i="6"/>
  <c r="AR647" i="6"/>
  <c r="AQ647" i="6"/>
  <c r="AP647" i="6"/>
  <c r="AO647" i="6"/>
  <c r="AN647" i="6"/>
  <c r="AM647" i="6"/>
  <c r="AL647" i="6"/>
  <c r="AK647" i="6"/>
  <c r="AJ647" i="6"/>
  <c r="AI647" i="6"/>
  <c r="AH647" i="6"/>
  <c r="AG647" i="6"/>
  <c r="AF647" i="6"/>
  <c r="AE647" i="6"/>
  <c r="AD647" i="6"/>
  <c r="AC647" i="6"/>
  <c r="AB647" i="6"/>
  <c r="AA647" i="6"/>
  <c r="Z647" i="6"/>
  <c r="Y647" i="6"/>
  <c r="X647" i="6"/>
  <c r="W647" i="6"/>
  <c r="V647" i="6"/>
  <c r="U647" i="6"/>
  <c r="T647" i="6"/>
  <c r="BK646" i="6"/>
  <c r="BJ646" i="6"/>
  <c r="BI646" i="6"/>
  <c r="BH646" i="6"/>
  <c r="BG646" i="6"/>
  <c r="BF646" i="6"/>
  <c r="BE646" i="6"/>
  <c r="BD646" i="6"/>
  <c r="BC646" i="6"/>
  <c r="BB646" i="6"/>
  <c r="BA646" i="6"/>
  <c r="AZ646" i="6"/>
  <c r="AY646" i="6"/>
  <c r="AX646" i="6"/>
  <c r="AW646" i="6"/>
  <c r="AV646" i="6"/>
  <c r="AU646" i="6"/>
  <c r="AT646" i="6"/>
  <c r="AS646" i="6"/>
  <c r="AR646" i="6"/>
  <c r="AQ646" i="6"/>
  <c r="AP646" i="6"/>
  <c r="AO646" i="6"/>
  <c r="AN646" i="6"/>
  <c r="AM646" i="6"/>
  <c r="AL646" i="6"/>
  <c r="AK646" i="6"/>
  <c r="AJ646" i="6"/>
  <c r="AI646" i="6"/>
  <c r="AH646" i="6"/>
  <c r="AG646" i="6"/>
  <c r="AF646" i="6"/>
  <c r="AE646" i="6"/>
  <c r="AD646" i="6"/>
  <c r="AC646" i="6"/>
  <c r="AB646" i="6"/>
  <c r="AA646" i="6"/>
  <c r="Z646" i="6"/>
  <c r="Y646" i="6"/>
  <c r="X646" i="6"/>
  <c r="W646" i="6"/>
  <c r="V646" i="6"/>
  <c r="U646" i="6"/>
  <c r="T646" i="6"/>
  <c r="BK645" i="6"/>
  <c r="BJ645" i="6"/>
  <c r="BI645" i="6"/>
  <c r="BH645" i="6"/>
  <c r="BG645" i="6"/>
  <c r="BF645" i="6"/>
  <c r="BE645" i="6"/>
  <c r="BD645" i="6"/>
  <c r="BC645" i="6"/>
  <c r="BB645" i="6"/>
  <c r="BA645" i="6"/>
  <c r="AZ645" i="6"/>
  <c r="AY645" i="6"/>
  <c r="AX645" i="6"/>
  <c r="AW645" i="6"/>
  <c r="AV645" i="6"/>
  <c r="AU645" i="6"/>
  <c r="AT645" i="6"/>
  <c r="AS645" i="6"/>
  <c r="AR645" i="6"/>
  <c r="AQ645" i="6"/>
  <c r="AP645" i="6"/>
  <c r="AO645" i="6"/>
  <c r="AN645" i="6"/>
  <c r="AM645" i="6"/>
  <c r="AL645" i="6"/>
  <c r="AK645" i="6"/>
  <c r="AJ645" i="6"/>
  <c r="AI645" i="6"/>
  <c r="AH645" i="6"/>
  <c r="AG645" i="6"/>
  <c r="AF645" i="6"/>
  <c r="AE645" i="6"/>
  <c r="AD645" i="6"/>
  <c r="AC645" i="6"/>
  <c r="AB645" i="6"/>
  <c r="AA645" i="6"/>
  <c r="Z645" i="6"/>
  <c r="Y645" i="6"/>
  <c r="X645" i="6"/>
  <c r="W645" i="6"/>
  <c r="V645" i="6"/>
  <c r="U645" i="6"/>
  <c r="T645" i="6"/>
  <c r="BK596" i="6"/>
  <c r="BJ596" i="6"/>
  <c r="BI596" i="6"/>
  <c r="BH596" i="6"/>
  <c r="BG596" i="6"/>
  <c r="BF596" i="6"/>
  <c r="BE596" i="6"/>
  <c r="BD596" i="6"/>
  <c r="BC596" i="6"/>
  <c r="BB596" i="6"/>
  <c r="BA596" i="6"/>
  <c r="AZ596" i="6"/>
  <c r="AY596" i="6"/>
  <c r="AX596" i="6"/>
  <c r="AW596" i="6"/>
  <c r="AV596" i="6"/>
  <c r="AU596" i="6"/>
  <c r="AT596" i="6"/>
  <c r="AS596" i="6"/>
  <c r="AR596" i="6"/>
  <c r="AQ596" i="6"/>
  <c r="AP596" i="6"/>
  <c r="AO596" i="6"/>
  <c r="AN596" i="6"/>
  <c r="AM596" i="6"/>
  <c r="AL596" i="6"/>
  <c r="AK596" i="6"/>
  <c r="AJ596" i="6"/>
  <c r="AI596" i="6"/>
  <c r="AH596" i="6"/>
  <c r="AG596" i="6"/>
  <c r="AF596" i="6"/>
  <c r="AE596" i="6"/>
  <c r="AD596" i="6"/>
  <c r="AC596" i="6"/>
  <c r="AB596" i="6"/>
  <c r="AA596" i="6"/>
  <c r="Z596" i="6"/>
  <c r="Y596" i="6"/>
  <c r="X596" i="6"/>
  <c r="W596" i="6"/>
  <c r="V596" i="6"/>
  <c r="U596" i="6"/>
  <c r="T596" i="6"/>
  <c r="BK595" i="6"/>
  <c r="BJ595" i="6"/>
  <c r="BI595" i="6"/>
  <c r="BH595" i="6"/>
  <c r="BG595" i="6"/>
  <c r="BF595" i="6"/>
  <c r="BE595" i="6"/>
  <c r="BD595" i="6"/>
  <c r="BC595" i="6"/>
  <c r="BB595" i="6"/>
  <c r="BA595" i="6"/>
  <c r="AZ595" i="6"/>
  <c r="AY595" i="6"/>
  <c r="AX595" i="6"/>
  <c r="AW595" i="6"/>
  <c r="AV595" i="6"/>
  <c r="AU595" i="6"/>
  <c r="AT595" i="6"/>
  <c r="AS595" i="6"/>
  <c r="AR595" i="6"/>
  <c r="AQ595" i="6"/>
  <c r="AP595" i="6"/>
  <c r="AO595" i="6"/>
  <c r="AN595" i="6"/>
  <c r="AM595" i="6"/>
  <c r="AL595" i="6"/>
  <c r="AK595" i="6"/>
  <c r="AJ595" i="6"/>
  <c r="AI595" i="6"/>
  <c r="AH595" i="6"/>
  <c r="AG595" i="6"/>
  <c r="AF595" i="6"/>
  <c r="AE595" i="6"/>
  <c r="AD595" i="6"/>
  <c r="AC595" i="6"/>
  <c r="AB595" i="6"/>
  <c r="AA595" i="6"/>
  <c r="Z595" i="6"/>
  <c r="Y595" i="6"/>
  <c r="X595" i="6"/>
  <c r="W595" i="6"/>
  <c r="V595" i="6"/>
  <c r="U595" i="6"/>
  <c r="T595" i="6"/>
  <c r="BK594" i="6"/>
  <c r="BJ594" i="6"/>
  <c r="BI594" i="6"/>
  <c r="BH594" i="6"/>
  <c r="BG594" i="6"/>
  <c r="BF594" i="6"/>
  <c r="BE594" i="6"/>
  <c r="BD594" i="6"/>
  <c r="BC594" i="6"/>
  <c r="BB594" i="6"/>
  <c r="BA594" i="6"/>
  <c r="AZ594" i="6"/>
  <c r="AY594" i="6"/>
  <c r="AX594" i="6"/>
  <c r="AW594" i="6"/>
  <c r="AV594" i="6"/>
  <c r="AU594" i="6"/>
  <c r="AT594" i="6"/>
  <c r="AS594" i="6"/>
  <c r="AR594" i="6"/>
  <c r="AQ594" i="6"/>
  <c r="AP594" i="6"/>
  <c r="AO594" i="6"/>
  <c r="AN594" i="6"/>
  <c r="AM594" i="6"/>
  <c r="AL594" i="6"/>
  <c r="AK594" i="6"/>
  <c r="AJ594" i="6"/>
  <c r="AI594" i="6"/>
  <c r="AH594" i="6"/>
  <c r="AG594" i="6"/>
  <c r="AF594" i="6"/>
  <c r="AE594" i="6"/>
  <c r="AD594" i="6"/>
  <c r="AC594" i="6"/>
  <c r="AB594" i="6"/>
  <c r="AA594" i="6"/>
  <c r="Z594" i="6"/>
  <c r="Y594" i="6"/>
  <c r="X594" i="6"/>
  <c r="W594" i="6"/>
  <c r="V594" i="6"/>
  <c r="U594" i="6"/>
  <c r="T594" i="6"/>
  <c r="BK593" i="6"/>
  <c r="BJ593" i="6"/>
  <c r="BI593" i="6"/>
  <c r="BH593" i="6"/>
  <c r="BG593" i="6"/>
  <c r="BF593" i="6"/>
  <c r="BE593" i="6"/>
  <c r="BD593" i="6"/>
  <c r="BC593" i="6"/>
  <c r="BB593" i="6"/>
  <c r="BA593" i="6"/>
  <c r="AZ593" i="6"/>
  <c r="AY593" i="6"/>
  <c r="AX593" i="6"/>
  <c r="AW593" i="6"/>
  <c r="AV593" i="6"/>
  <c r="AU593" i="6"/>
  <c r="AT593" i="6"/>
  <c r="AS593" i="6"/>
  <c r="AR593" i="6"/>
  <c r="AQ593" i="6"/>
  <c r="AP593" i="6"/>
  <c r="AO593" i="6"/>
  <c r="AN593" i="6"/>
  <c r="AM593" i="6"/>
  <c r="AL593" i="6"/>
  <c r="AK593" i="6"/>
  <c r="AJ593" i="6"/>
  <c r="AI593" i="6"/>
  <c r="AH593" i="6"/>
  <c r="AG593" i="6"/>
  <c r="AF593" i="6"/>
  <c r="AE593" i="6"/>
  <c r="AD593" i="6"/>
  <c r="AC593" i="6"/>
  <c r="AB593" i="6"/>
  <c r="AA593" i="6"/>
  <c r="Z593" i="6"/>
  <c r="Y593" i="6"/>
  <c r="X593" i="6"/>
  <c r="W593" i="6"/>
  <c r="V593" i="6"/>
  <c r="U593" i="6"/>
  <c r="T593" i="6"/>
  <c r="BK592" i="6"/>
  <c r="BJ592" i="6"/>
  <c r="BI592" i="6"/>
  <c r="BH592" i="6"/>
  <c r="BG592" i="6"/>
  <c r="BF592" i="6"/>
  <c r="BE592" i="6"/>
  <c r="BD592" i="6"/>
  <c r="BC592" i="6"/>
  <c r="BB592" i="6"/>
  <c r="BA592" i="6"/>
  <c r="AZ592" i="6"/>
  <c r="AY592" i="6"/>
  <c r="AX592" i="6"/>
  <c r="AW592" i="6"/>
  <c r="AV592" i="6"/>
  <c r="AU592" i="6"/>
  <c r="AT592" i="6"/>
  <c r="AS592" i="6"/>
  <c r="AR592" i="6"/>
  <c r="AQ592" i="6"/>
  <c r="AP592" i="6"/>
  <c r="AO592" i="6"/>
  <c r="AN592" i="6"/>
  <c r="AM592" i="6"/>
  <c r="AL592" i="6"/>
  <c r="AK592" i="6"/>
  <c r="AJ592" i="6"/>
  <c r="AI592" i="6"/>
  <c r="AH592" i="6"/>
  <c r="AG592" i="6"/>
  <c r="AF592" i="6"/>
  <c r="AE592" i="6"/>
  <c r="AD592" i="6"/>
  <c r="AC592" i="6"/>
  <c r="AB592" i="6"/>
  <c r="AA592" i="6"/>
  <c r="Z592" i="6"/>
  <c r="Y592" i="6"/>
  <c r="X592" i="6"/>
  <c r="W592" i="6"/>
  <c r="V592" i="6"/>
  <c r="U592" i="6"/>
  <c r="T592" i="6"/>
  <c r="BK591" i="6"/>
  <c r="BJ591" i="6"/>
  <c r="BI591" i="6"/>
  <c r="BH591" i="6"/>
  <c r="BG591" i="6"/>
  <c r="BF591" i="6"/>
  <c r="BE591" i="6"/>
  <c r="BD591" i="6"/>
  <c r="BC591" i="6"/>
  <c r="BB591" i="6"/>
  <c r="BA591" i="6"/>
  <c r="AZ591" i="6"/>
  <c r="AY591" i="6"/>
  <c r="AX591" i="6"/>
  <c r="AW591" i="6"/>
  <c r="AV591" i="6"/>
  <c r="AU591" i="6"/>
  <c r="AT591" i="6"/>
  <c r="AS591" i="6"/>
  <c r="AR591" i="6"/>
  <c r="AQ591" i="6"/>
  <c r="AP591" i="6"/>
  <c r="AO591" i="6"/>
  <c r="AN591" i="6"/>
  <c r="AM591" i="6"/>
  <c r="AL591" i="6"/>
  <c r="AK591" i="6"/>
  <c r="AJ591" i="6"/>
  <c r="AI591" i="6"/>
  <c r="AH591" i="6"/>
  <c r="AG591" i="6"/>
  <c r="AF591" i="6"/>
  <c r="AE591" i="6"/>
  <c r="AD591" i="6"/>
  <c r="AC591" i="6"/>
  <c r="AB591" i="6"/>
  <c r="AA591" i="6"/>
  <c r="Z591" i="6"/>
  <c r="Y591" i="6"/>
  <c r="X591" i="6"/>
  <c r="W591" i="6"/>
  <c r="V591" i="6"/>
  <c r="U591" i="6"/>
  <c r="T591" i="6"/>
  <c r="BK590" i="6"/>
  <c r="BJ590" i="6"/>
  <c r="BI590" i="6"/>
  <c r="BH590" i="6"/>
  <c r="BG590" i="6"/>
  <c r="BF590" i="6"/>
  <c r="BE590" i="6"/>
  <c r="BD590" i="6"/>
  <c r="BC590" i="6"/>
  <c r="BB590" i="6"/>
  <c r="BA590" i="6"/>
  <c r="AZ590" i="6"/>
  <c r="AY590" i="6"/>
  <c r="AX590" i="6"/>
  <c r="AW590" i="6"/>
  <c r="AV590" i="6"/>
  <c r="AU590" i="6"/>
  <c r="AT590" i="6"/>
  <c r="AS590" i="6"/>
  <c r="AR590" i="6"/>
  <c r="AQ590" i="6"/>
  <c r="AP590" i="6"/>
  <c r="AO590" i="6"/>
  <c r="AN590" i="6"/>
  <c r="AM590" i="6"/>
  <c r="AL590" i="6"/>
  <c r="AK590" i="6"/>
  <c r="AJ590" i="6"/>
  <c r="AI590" i="6"/>
  <c r="AH590" i="6"/>
  <c r="AG590" i="6"/>
  <c r="AF590" i="6"/>
  <c r="AE590" i="6"/>
  <c r="AD590" i="6"/>
  <c r="AC590" i="6"/>
  <c r="AB590" i="6"/>
  <c r="AA590" i="6"/>
  <c r="Z590" i="6"/>
  <c r="Y590" i="6"/>
  <c r="X590" i="6"/>
  <c r="W590" i="6"/>
  <c r="V590" i="6"/>
  <c r="U590" i="6"/>
  <c r="T590" i="6"/>
  <c r="BK589" i="6"/>
  <c r="BJ589" i="6"/>
  <c r="BI589" i="6"/>
  <c r="BH589" i="6"/>
  <c r="BG589" i="6"/>
  <c r="BF589" i="6"/>
  <c r="BE589" i="6"/>
  <c r="BD589" i="6"/>
  <c r="BC589" i="6"/>
  <c r="BB589" i="6"/>
  <c r="BA589" i="6"/>
  <c r="AZ589" i="6"/>
  <c r="AY589" i="6"/>
  <c r="AX589" i="6"/>
  <c r="AW589" i="6"/>
  <c r="AV589" i="6"/>
  <c r="AU589" i="6"/>
  <c r="AT589" i="6"/>
  <c r="AS589" i="6"/>
  <c r="AR589" i="6"/>
  <c r="AQ589" i="6"/>
  <c r="AP589" i="6"/>
  <c r="AO589" i="6"/>
  <c r="AN589" i="6"/>
  <c r="AM589" i="6"/>
  <c r="AL589" i="6"/>
  <c r="AK589" i="6"/>
  <c r="AJ589" i="6"/>
  <c r="AI589" i="6"/>
  <c r="AH589" i="6"/>
  <c r="AG589" i="6"/>
  <c r="AF589" i="6"/>
  <c r="AE589" i="6"/>
  <c r="AD589" i="6"/>
  <c r="AC589" i="6"/>
  <c r="AB589" i="6"/>
  <c r="AA589" i="6"/>
  <c r="Z589" i="6"/>
  <c r="Y589" i="6"/>
  <c r="X589" i="6"/>
  <c r="W589" i="6"/>
  <c r="V589" i="6"/>
  <c r="U589" i="6"/>
  <c r="T589" i="6"/>
  <c r="BK588" i="6"/>
  <c r="BJ588" i="6"/>
  <c r="BI588" i="6"/>
  <c r="BH588" i="6"/>
  <c r="BG588" i="6"/>
  <c r="BF588" i="6"/>
  <c r="BE588" i="6"/>
  <c r="BD588" i="6"/>
  <c r="BC588" i="6"/>
  <c r="BB588" i="6"/>
  <c r="BA588" i="6"/>
  <c r="AZ588" i="6"/>
  <c r="AY588" i="6"/>
  <c r="AX588" i="6"/>
  <c r="AW588" i="6"/>
  <c r="AV588" i="6"/>
  <c r="AU588" i="6"/>
  <c r="AT588" i="6"/>
  <c r="AS588" i="6"/>
  <c r="AR588" i="6"/>
  <c r="AQ588" i="6"/>
  <c r="AP588" i="6"/>
  <c r="AO588" i="6"/>
  <c r="AN588" i="6"/>
  <c r="AM588" i="6"/>
  <c r="AL588" i="6"/>
  <c r="AK588" i="6"/>
  <c r="AJ588" i="6"/>
  <c r="AI588" i="6"/>
  <c r="AH588" i="6"/>
  <c r="AG588" i="6"/>
  <c r="AF588" i="6"/>
  <c r="AE588" i="6"/>
  <c r="AD588" i="6"/>
  <c r="AC588" i="6"/>
  <c r="AB588" i="6"/>
  <c r="AA588" i="6"/>
  <c r="Z588" i="6"/>
  <c r="Y588" i="6"/>
  <c r="X588" i="6"/>
  <c r="W588" i="6"/>
  <c r="V588" i="6"/>
  <c r="U588" i="6"/>
  <c r="T588" i="6"/>
  <c r="BK587" i="6"/>
  <c r="BJ587" i="6"/>
  <c r="BI587" i="6"/>
  <c r="BH587" i="6"/>
  <c r="BG587" i="6"/>
  <c r="BF587" i="6"/>
  <c r="BE587" i="6"/>
  <c r="BD587" i="6"/>
  <c r="BC587" i="6"/>
  <c r="BB587" i="6"/>
  <c r="BA587" i="6"/>
  <c r="AZ587" i="6"/>
  <c r="AY587" i="6"/>
  <c r="AX587" i="6"/>
  <c r="AW587" i="6"/>
  <c r="AV587" i="6"/>
  <c r="AU587" i="6"/>
  <c r="AT587" i="6"/>
  <c r="AS587" i="6"/>
  <c r="AR587" i="6"/>
  <c r="AQ587" i="6"/>
  <c r="AP587" i="6"/>
  <c r="AO587" i="6"/>
  <c r="AN587" i="6"/>
  <c r="AM587" i="6"/>
  <c r="AL587" i="6"/>
  <c r="AK587" i="6"/>
  <c r="AJ587" i="6"/>
  <c r="AI587" i="6"/>
  <c r="AH587" i="6"/>
  <c r="AG587" i="6"/>
  <c r="AF587" i="6"/>
  <c r="AE587" i="6"/>
  <c r="AD587" i="6"/>
  <c r="AC587" i="6"/>
  <c r="AB587" i="6"/>
  <c r="AA587" i="6"/>
  <c r="Z587" i="6"/>
  <c r="Y587" i="6"/>
  <c r="X587" i="6"/>
  <c r="W587" i="6"/>
  <c r="V587" i="6"/>
  <c r="U587" i="6"/>
  <c r="T587" i="6"/>
  <c r="BK586" i="6"/>
  <c r="BJ586" i="6"/>
  <c r="BI586" i="6"/>
  <c r="BH586" i="6"/>
  <c r="BG586" i="6"/>
  <c r="BF586" i="6"/>
  <c r="BE586" i="6"/>
  <c r="BD586" i="6"/>
  <c r="BC586" i="6"/>
  <c r="BB586" i="6"/>
  <c r="BA586" i="6"/>
  <c r="AZ586" i="6"/>
  <c r="AY586" i="6"/>
  <c r="AX586" i="6"/>
  <c r="AW586" i="6"/>
  <c r="AV586" i="6"/>
  <c r="AU586" i="6"/>
  <c r="AT586" i="6"/>
  <c r="AS586" i="6"/>
  <c r="AR586" i="6"/>
  <c r="AQ586" i="6"/>
  <c r="AP586" i="6"/>
  <c r="AO586" i="6"/>
  <c r="AN586" i="6"/>
  <c r="AM586" i="6"/>
  <c r="AL586" i="6"/>
  <c r="AK586" i="6"/>
  <c r="AJ586" i="6"/>
  <c r="AI586" i="6"/>
  <c r="AH586" i="6"/>
  <c r="AG586" i="6"/>
  <c r="AF586" i="6"/>
  <c r="AE586" i="6"/>
  <c r="AD586" i="6"/>
  <c r="AC586" i="6"/>
  <c r="AB586" i="6"/>
  <c r="AA586" i="6"/>
  <c r="Z586" i="6"/>
  <c r="Y586" i="6"/>
  <c r="X586" i="6"/>
  <c r="W586" i="6"/>
  <c r="V586" i="6"/>
  <c r="U586" i="6"/>
  <c r="T586" i="6"/>
  <c r="BK585" i="6"/>
  <c r="BJ585" i="6"/>
  <c r="BI585" i="6"/>
  <c r="BH585" i="6"/>
  <c r="BG585" i="6"/>
  <c r="BF585" i="6"/>
  <c r="BE585" i="6"/>
  <c r="BD585" i="6"/>
  <c r="BC585" i="6"/>
  <c r="BB585" i="6"/>
  <c r="BA585" i="6"/>
  <c r="AZ585" i="6"/>
  <c r="AY585" i="6"/>
  <c r="AX585" i="6"/>
  <c r="AW585" i="6"/>
  <c r="AV585" i="6"/>
  <c r="AU585" i="6"/>
  <c r="AT585" i="6"/>
  <c r="AS585" i="6"/>
  <c r="AR585" i="6"/>
  <c r="AQ585" i="6"/>
  <c r="AP585" i="6"/>
  <c r="AO585" i="6"/>
  <c r="AN585" i="6"/>
  <c r="AM585" i="6"/>
  <c r="AL585" i="6"/>
  <c r="AK585" i="6"/>
  <c r="AJ585" i="6"/>
  <c r="AI585" i="6"/>
  <c r="AH585" i="6"/>
  <c r="AG585" i="6"/>
  <c r="AF585" i="6"/>
  <c r="AE585" i="6"/>
  <c r="AD585" i="6"/>
  <c r="AC585" i="6"/>
  <c r="AB585" i="6"/>
  <c r="AA585" i="6"/>
  <c r="Z585" i="6"/>
  <c r="Y585" i="6"/>
  <c r="X585" i="6"/>
  <c r="W585" i="6"/>
  <c r="V585" i="6"/>
  <c r="U585" i="6"/>
  <c r="T585" i="6"/>
  <c r="BK584" i="6"/>
  <c r="BJ584" i="6"/>
  <c r="BI584" i="6"/>
  <c r="BH584" i="6"/>
  <c r="BG584" i="6"/>
  <c r="BF584" i="6"/>
  <c r="BE584" i="6"/>
  <c r="BD584" i="6"/>
  <c r="BC584" i="6"/>
  <c r="BB584" i="6"/>
  <c r="BA584" i="6"/>
  <c r="AZ584" i="6"/>
  <c r="AY584" i="6"/>
  <c r="AX584" i="6"/>
  <c r="AW584" i="6"/>
  <c r="AV584" i="6"/>
  <c r="AU584" i="6"/>
  <c r="AT584" i="6"/>
  <c r="AS584" i="6"/>
  <c r="AR584" i="6"/>
  <c r="AQ584" i="6"/>
  <c r="AP584" i="6"/>
  <c r="AO584" i="6"/>
  <c r="AN584" i="6"/>
  <c r="AM584" i="6"/>
  <c r="AL584" i="6"/>
  <c r="AK584" i="6"/>
  <c r="AJ584" i="6"/>
  <c r="AI584" i="6"/>
  <c r="AH584" i="6"/>
  <c r="AG584" i="6"/>
  <c r="AF584" i="6"/>
  <c r="AE584" i="6"/>
  <c r="AD584" i="6"/>
  <c r="AC584" i="6"/>
  <c r="AB584" i="6"/>
  <c r="AA584" i="6"/>
  <c r="Z584" i="6"/>
  <c r="Y584" i="6"/>
  <c r="X584" i="6"/>
  <c r="W584" i="6"/>
  <c r="V584" i="6"/>
  <c r="U584" i="6"/>
  <c r="T584" i="6"/>
  <c r="BK583" i="6"/>
  <c r="BJ583" i="6"/>
  <c r="BI583" i="6"/>
  <c r="BH583" i="6"/>
  <c r="BG583" i="6"/>
  <c r="BF583" i="6"/>
  <c r="BE583" i="6"/>
  <c r="BD583" i="6"/>
  <c r="BC583" i="6"/>
  <c r="BB583" i="6"/>
  <c r="BA583" i="6"/>
  <c r="AZ583" i="6"/>
  <c r="AY583" i="6"/>
  <c r="AX583" i="6"/>
  <c r="AW583" i="6"/>
  <c r="AV583" i="6"/>
  <c r="AU583" i="6"/>
  <c r="AT583" i="6"/>
  <c r="AS583" i="6"/>
  <c r="AR583" i="6"/>
  <c r="AQ583" i="6"/>
  <c r="AP583" i="6"/>
  <c r="AO583" i="6"/>
  <c r="AN583" i="6"/>
  <c r="AM583" i="6"/>
  <c r="AL583" i="6"/>
  <c r="AK583" i="6"/>
  <c r="AJ583" i="6"/>
  <c r="AI583" i="6"/>
  <c r="AH583" i="6"/>
  <c r="AG583" i="6"/>
  <c r="AF583" i="6"/>
  <c r="AE583" i="6"/>
  <c r="AD583" i="6"/>
  <c r="AC583" i="6"/>
  <c r="AB583" i="6"/>
  <c r="AA583" i="6"/>
  <c r="Z583" i="6"/>
  <c r="Y583" i="6"/>
  <c r="X583" i="6"/>
  <c r="W583" i="6"/>
  <c r="V583" i="6"/>
  <c r="U583" i="6"/>
  <c r="T583" i="6"/>
  <c r="BK582" i="6"/>
  <c r="BJ582" i="6"/>
  <c r="BI582" i="6"/>
  <c r="BH582" i="6"/>
  <c r="BG582" i="6"/>
  <c r="BF582" i="6"/>
  <c r="BE582" i="6"/>
  <c r="BD582" i="6"/>
  <c r="BC582" i="6"/>
  <c r="BB582" i="6"/>
  <c r="BA582" i="6"/>
  <c r="AZ582" i="6"/>
  <c r="AY582" i="6"/>
  <c r="AX582" i="6"/>
  <c r="AW582" i="6"/>
  <c r="AV582" i="6"/>
  <c r="AU582" i="6"/>
  <c r="AT582" i="6"/>
  <c r="AS582" i="6"/>
  <c r="AR582" i="6"/>
  <c r="AQ582" i="6"/>
  <c r="AP582" i="6"/>
  <c r="AO582" i="6"/>
  <c r="AN582" i="6"/>
  <c r="AM582" i="6"/>
  <c r="AL582" i="6"/>
  <c r="AK582" i="6"/>
  <c r="AJ582" i="6"/>
  <c r="AI582" i="6"/>
  <c r="AH582" i="6"/>
  <c r="AG582" i="6"/>
  <c r="AF582" i="6"/>
  <c r="AE582" i="6"/>
  <c r="AD582" i="6"/>
  <c r="AC582" i="6"/>
  <c r="AB582" i="6"/>
  <c r="AA582" i="6"/>
  <c r="Z582" i="6"/>
  <c r="Y582" i="6"/>
  <c r="X582" i="6"/>
  <c r="W582" i="6"/>
  <c r="V582" i="6"/>
  <c r="U582" i="6"/>
  <c r="T582" i="6"/>
  <c r="BK581" i="6"/>
  <c r="BJ581" i="6"/>
  <c r="BI581" i="6"/>
  <c r="BH581" i="6"/>
  <c r="BG581" i="6"/>
  <c r="BF581" i="6"/>
  <c r="BE581" i="6"/>
  <c r="BD581" i="6"/>
  <c r="BC581" i="6"/>
  <c r="BB581" i="6"/>
  <c r="BA581" i="6"/>
  <c r="AZ581" i="6"/>
  <c r="AY581" i="6"/>
  <c r="AX581" i="6"/>
  <c r="AW581" i="6"/>
  <c r="AV581" i="6"/>
  <c r="AU581" i="6"/>
  <c r="AT581" i="6"/>
  <c r="AS581" i="6"/>
  <c r="AR581" i="6"/>
  <c r="AQ581" i="6"/>
  <c r="AP581" i="6"/>
  <c r="AO581" i="6"/>
  <c r="AN581" i="6"/>
  <c r="AM581" i="6"/>
  <c r="AL581" i="6"/>
  <c r="AK581" i="6"/>
  <c r="AJ581" i="6"/>
  <c r="AI581" i="6"/>
  <c r="AH581" i="6"/>
  <c r="AG581" i="6"/>
  <c r="AF581" i="6"/>
  <c r="AE581" i="6"/>
  <c r="AD581" i="6"/>
  <c r="AC581" i="6"/>
  <c r="AB581" i="6"/>
  <c r="AA581" i="6"/>
  <c r="Z581" i="6"/>
  <c r="Y581" i="6"/>
  <c r="X581" i="6"/>
  <c r="W581" i="6"/>
  <c r="V581" i="6"/>
  <c r="U581" i="6"/>
  <c r="T581" i="6"/>
  <c r="BK580" i="6"/>
  <c r="BJ580" i="6"/>
  <c r="BI580" i="6"/>
  <c r="BH580" i="6"/>
  <c r="BG580" i="6"/>
  <c r="BF580" i="6"/>
  <c r="BE580" i="6"/>
  <c r="BD580" i="6"/>
  <c r="BC580" i="6"/>
  <c r="BB580" i="6"/>
  <c r="BA580" i="6"/>
  <c r="AZ580" i="6"/>
  <c r="AY580" i="6"/>
  <c r="AX580" i="6"/>
  <c r="AW580" i="6"/>
  <c r="AV580" i="6"/>
  <c r="AU580" i="6"/>
  <c r="AT580" i="6"/>
  <c r="AS580" i="6"/>
  <c r="AR580" i="6"/>
  <c r="AQ580" i="6"/>
  <c r="AP580" i="6"/>
  <c r="AO580" i="6"/>
  <c r="AN580" i="6"/>
  <c r="AM580" i="6"/>
  <c r="AL580" i="6"/>
  <c r="AK580" i="6"/>
  <c r="AJ580" i="6"/>
  <c r="AI580" i="6"/>
  <c r="AH580" i="6"/>
  <c r="AG580" i="6"/>
  <c r="AF580" i="6"/>
  <c r="AE580" i="6"/>
  <c r="AD580" i="6"/>
  <c r="AC580" i="6"/>
  <c r="AB580" i="6"/>
  <c r="AA580" i="6"/>
  <c r="Z580" i="6"/>
  <c r="Y580" i="6"/>
  <c r="X580" i="6"/>
  <c r="W580" i="6"/>
  <c r="V580" i="6"/>
  <c r="U580" i="6"/>
  <c r="T580" i="6"/>
  <c r="BK579" i="6"/>
  <c r="BJ579" i="6"/>
  <c r="BI579" i="6"/>
  <c r="BH579" i="6"/>
  <c r="BG579" i="6"/>
  <c r="BF579" i="6"/>
  <c r="BE579" i="6"/>
  <c r="BD579" i="6"/>
  <c r="BC579" i="6"/>
  <c r="BB579" i="6"/>
  <c r="BA579" i="6"/>
  <c r="AZ579" i="6"/>
  <c r="AY579" i="6"/>
  <c r="AX579" i="6"/>
  <c r="AW579" i="6"/>
  <c r="AV579" i="6"/>
  <c r="AU579" i="6"/>
  <c r="AT579" i="6"/>
  <c r="AS579" i="6"/>
  <c r="AR579" i="6"/>
  <c r="AQ579" i="6"/>
  <c r="AP579" i="6"/>
  <c r="AO579" i="6"/>
  <c r="AN579" i="6"/>
  <c r="AM579" i="6"/>
  <c r="AL579" i="6"/>
  <c r="AK579" i="6"/>
  <c r="AJ579" i="6"/>
  <c r="AI579" i="6"/>
  <c r="AH579" i="6"/>
  <c r="AG579" i="6"/>
  <c r="AF579" i="6"/>
  <c r="AE579" i="6"/>
  <c r="AD579" i="6"/>
  <c r="AC579" i="6"/>
  <c r="AB579" i="6"/>
  <c r="AA579" i="6"/>
  <c r="Z579" i="6"/>
  <c r="Y579" i="6"/>
  <c r="X579" i="6"/>
  <c r="W579" i="6"/>
  <c r="V579" i="6"/>
  <c r="U579" i="6"/>
  <c r="T579" i="6"/>
  <c r="BK578" i="6"/>
  <c r="BJ578" i="6"/>
  <c r="BI578" i="6"/>
  <c r="BH578" i="6"/>
  <c r="BG578" i="6"/>
  <c r="BF578" i="6"/>
  <c r="BE578" i="6"/>
  <c r="BD578" i="6"/>
  <c r="BC578" i="6"/>
  <c r="BB578" i="6"/>
  <c r="BA578" i="6"/>
  <c r="AZ578" i="6"/>
  <c r="AY578" i="6"/>
  <c r="AX578" i="6"/>
  <c r="AW578" i="6"/>
  <c r="AV578" i="6"/>
  <c r="AU578" i="6"/>
  <c r="AT578" i="6"/>
  <c r="AS578" i="6"/>
  <c r="AR578" i="6"/>
  <c r="AQ578" i="6"/>
  <c r="AP578" i="6"/>
  <c r="AO578" i="6"/>
  <c r="AN578" i="6"/>
  <c r="AM578" i="6"/>
  <c r="AL578" i="6"/>
  <c r="AK578" i="6"/>
  <c r="AJ578" i="6"/>
  <c r="AI578" i="6"/>
  <c r="AH578" i="6"/>
  <c r="AG578" i="6"/>
  <c r="AF578" i="6"/>
  <c r="AE578" i="6"/>
  <c r="AD578" i="6"/>
  <c r="AC578" i="6"/>
  <c r="AB578" i="6"/>
  <c r="AA578" i="6"/>
  <c r="Z578" i="6"/>
  <c r="Y578" i="6"/>
  <c r="X578" i="6"/>
  <c r="W578" i="6"/>
  <c r="V578" i="6"/>
  <c r="U578" i="6"/>
  <c r="T578" i="6"/>
  <c r="BK577" i="6"/>
  <c r="BJ577" i="6"/>
  <c r="BI577" i="6"/>
  <c r="BH577" i="6"/>
  <c r="BG577" i="6"/>
  <c r="BF577" i="6"/>
  <c r="BE577" i="6"/>
  <c r="BD577" i="6"/>
  <c r="BC577" i="6"/>
  <c r="BB577" i="6"/>
  <c r="BA577" i="6"/>
  <c r="AZ577" i="6"/>
  <c r="AY577" i="6"/>
  <c r="AX577" i="6"/>
  <c r="AW577" i="6"/>
  <c r="AV577" i="6"/>
  <c r="AU577" i="6"/>
  <c r="AT577" i="6"/>
  <c r="AS577" i="6"/>
  <c r="AR577" i="6"/>
  <c r="AQ577" i="6"/>
  <c r="AP577" i="6"/>
  <c r="AO577" i="6"/>
  <c r="AN577" i="6"/>
  <c r="AM577" i="6"/>
  <c r="AL577" i="6"/>
  <c r="AK577" i="6"/>
  <c r="AJ577" i="6"/>
  <c r="AI577" i="6"/>
  <c r="AH577" i="6"/>
  <c r="AG577" i="6"/>
  <c r="AF577" i="6"/>
  <c r="AE577" i="6"/>
  <c r="AD577" i="6"/>
  <c r="AC577" i="6"/>
  <c r="AB577" i="6"/>
  <c r="AA577" i="6"/>
  <c r="Z577" i="6"/>
  <c r="Y577" i="6"/>
  <c r="X577" i="6"/>
  <c r="W577" i="6"/>
  <c r="V577" i="6"/>
  <c r="U577" i="6"/>
  <c r="T577" i="6"/>
  <c r="BK576" i="6"/>
  <c r="BJ576" i="6"/>
  <c r="BI576" i="6"/>
  <c r="BH576" i="6"/>
  <c r="BG576" i="6"/>
  <c r="BF576" i="6"/>
  <c r="BE576" i="6"/>
  <c r="BD576" i="6"/>
  <c r="BC576" i="6"/>
  <c r="BB576" i="6"/>
  <c r="BA576" i="6"/>
  <c r="AZ576" i="6"/>
  <c r="AY576" i="6"/>
  <c r="AX576" i="6"/>
  <c r="AW576" i="6"/>
  <c r="AV576" i="6"/>
  <c r="AU576" i="6"/>
  <c r="AT576" i="6"/>
  <c r="AS576" i="6"/>
  <c r="AR576" i="6"/>
  <c r="AQ576" i="6"/>
  <c r="AP576" i="6"/>
  <c r="AO576" i="6"/>
  <c r="AN576" i="6"/>
  <c r="AM576" i="6"/>
  <c r="AL576" i="6"/>
  <c r="AK576" i="6"/>
  <c r="AJ576" i="6"/>
  <c r="AI576" i="6"/>
  <c r="AH576" i="6"/>
  <c r="AG576" i="6"/>
  <c r="AF576" i="6"/>
  <c r="AE576" i="6"/>
  <c r="AD576" i="6"/>
  <c r="AC576" i="6"/>
  <c r="AB576" i="6"/>
  <c r="AA576" i="6"/>
  <c r="Z576" i="6"/>
  <c r="Y576" i="6"/>
  <c r="X576" i="6"/>
  <c r="W576" i="6"/>
  <c r="V576" i="6"/>
  <c r="U576" i="6"/>
  <c r="T576" i="6"/>
  <c r="BK575" i="6"/>
  <c r="BJ575" i="6"/>
  <c r="BI575" i="6"/>
  <c r="BH575" i="6"/>
  <c r="BG575" i="6"/>
  <c r="BF575" i="6"/>
  <c r="BE575" i="6"/>
  <c r="BD575" i="6"/>
  <c r="BC575" i="6"/>
  <c r="BB575" i="6"/>
  <c r="BA575" i="6"/>
  <c r="AZ575" i="6"/>
  <c r="AY575" i="6"/>
  <c r="AX575" i="6"/>
  <c r="AW575" i="6"/>
  <c r="AV575" i="6"/>
  <c r="AU575" i="6"/>
  <c r="AT575" i="6"/>
  <c r="AS575" i="6"/>
  <c r="AR575" i="6"/>
  <c r="AQ575" i="6"/>
  <c r="AP575" i="6"/>
  <c r="AO575" i="6"/>
  <c r="AN575" i="6"/>
  <c r="AM575" i="6"/>
  <c r="AL575" i="6"/>
  <c r="AK575" i="6"/>
  <c r="AJ575" i="6"/>
  <c r="AI575" i="6"/>
  <c r="AH575" i="6"/>
  <c r="AG575" i="6"/>
  <c r="AF575" i="6"/>
  <c r="AE575" i="6"/>
  <c r="AD575" i="6"/>
  <c r="AC575" i="6"/>
  <c r="AB575" i="6"/>
  <c r="AA575" i="6"/>
  <c r="Z575" i="6"/>
  <c r="Y575" i="6"/>
  <c r="X575" i="6"/>
  <c r="W575" i="6"/>
  <c r="V575" i="6"/>
  <c r="U575" i="6"/>
  <c r="T575" i="6"/>
  <c r="BK574" i="6"/>
  <c r="BJ574" i="6"/>
  <c r="BI574" i="6"/>
  <c r="BH574" i="6"/>
  <c r="BG574" i="6"/>
  <c r="BF574" i="6"/>
  <c r="BE574" i="6"/>
  <c r="BD574" i="6"/>
  <c r="BC574" i="6"/>
  <c r="BB574" i="6"/>
  <c r="BA574" i="6"/>
  <c r="AZ574" i="6"/>
  <c r="AY574" i="6"/>
  <c r="AX574" i="6"/>
  <c r="AW574" i="6"/>
  <c r="AV574" i="6"/>
  <c r="AU574" i="6"/>
  <c r="AT574" i="6"/>
  <c r="AS574" i="6"/>
  <c r="AR574" i="6"/>
  <c r="AQ574" i="6"/>
  <c r="AP574" i="6"/>
  <c r="AO574" i="6"/>
  <c r="AN574" i="6"/>
  <c r="AM574" i="6"/>
  <c r="AL574" i="6"/>
  <c r="AK574" i="6"/>
  <c r="AJ574" i="6"/>
  <c r="AI574" i="6"/>
  <c r="AH574" i="6"/>
  <c r="AG574" i="6"/>
  <c r="AF574" i="6"/>
  <c r="AE574" i="6"/>
  <c r="AD574" i="6"/>
  <c r="AC574" i="6"/>
  <c r="AB574" i="6"/>
  <c r="AA574" i="6"/>
  <c r="Z574" i="6"/>
  <c r="Y574" i="6"/>
  <c r="X574" i="6"/>
  <c r="W574" i="6"/>
  <c r="V574" i="6"/>
  <c r="U574" i="6"/>
  <c r="T574" i="6"/>
  <c r="BK573" i="6"/>
  <c r="BJ573" i="6"/>
  <c r="BI573" i="6"/>
  <c r="BH573" i="6"/>
  <c r="BG573" i="6"/>
  <c r="BF573" i="6"/>
  <c r="BE573" i="6"/>
  <c r="BD573" i="6"/>
  <c r="BC573" i="6"/>
  <c r="BB573" i="6"/>
  <c r="BA573" i="6"/>
  <c r="AZ573" i="6"/>
  <c r="AY573" i="6"/>
  <c r="AX573" i="6"/>
  <c r="AW573" i="6"/>
  <c r="AV573" i="6"/>
  <c r="AU573" i="6"/>
  <c r="AT573" i="6"/>
  <c r="AS573" i="6"/>
  <c r="AR573" i="6"/>
  <c r="AQ573" i="6"/>
  <c r="AP573" i="6"/>
  <c r="AO573" i="6"/>
  <c r="AN573" i="6"/>
  <c r="AM573" i="6"/>
  <c r="AL573" i="6"/>
  <c r="AK573" i="6"/>
  <c r="AJ573" i="6"/>
  <c r="AI573" i="6"/>
  <c r="AH573" i="6"/>
  <c r="AG573" i="6"/>
  <c r="AF573" i="6"/>
  <c r="AE573" i="6"/>
  <c r="AD573" i="6"/>
  <c r="AC573" i="6"/>
  <c r="AB573" i="6"/>
  <c r="AA573" i="6"/>
  <c r="Z573" i="6"/>
  <c r="Y573" i="6"/>
  <c r="X573" i="6"/>
  <c r="W573" i="6"/>
  <c r="V573" i="6"/>
  <c r="U573" i="6"/>
  <c r="T573" i="6"/>
  <c r="BK572" i="6"/>
  <c r="BJ572" i="6"/>
  <c r="BI572" i="6"/>
  <c r="BH572" i="6"/>
  <c r="BG572" i="6"/>
  <c r="BF572" i="6"/>
  <c r="BE572" i="6"/>
  <c r="BD572" i="6"/>
  <c r="BC572" i="6"/>
  <c r="BB572" i="6"/>
  <c r="BA572" i="6"/>
  <c r="AZ572" i="6"/>
  <c r="AY572" i="6"/>
  <c r="AX572" i="6"/>
  <c r="AW572" i="6"/>
  <c r="AV572" i="6"/>
  <c r="AU572" i="6"/>
  <c r="AT572" i="6"/>
  <c r="AS572" i="6"/>
  <c r="AR572" i="6"/>
  <c r="AQ572" i="6"/>
  <c r="AP572" i="6"/>
  <c r="AO572" i="6"/>
  <c r="AN572" i="6"/>
  <c r="AM572" i="6"/>
  <c r="AL572" i="6"/>
  <c r="AK572" i="6"/>
  <c r="AJ572" i="6"/>
  <c r="AI572" i="6"/>
  <c r="AH572" i="6"/>
  <c r="AG572" i="6"/>
  <c r="AF572" i="6"/>
  <c r="AE572" i="6"/>
  <c r="AD572" i="6"/>
  <c r="AC572" i="6"/>
  <c r="AB572" i="6"/>
  <c r="AA572" i="6"/>
  <c r="Z572" i="6"/>
  <c r="Y572" i="6"/>
  <c r="X572" i="6"/>
  <c r="W572" i="6"/>
  <c r="V572" i="6"/>
  <c r="U572" i="6"/>
  <c r="T572" i="6"/>
  <c r="BK571" i="6"/>
  <c r="BJ571" i="6"/>
  <c r="BI571" i="6"/>
  <c r="BH571" i="6"/>
  <c r="BG571" i="6"/>
  <c r="BF571" i="6"/>
  <c r="BE571" i="6"/>
  <c r="BD571" i="6"/>
  <c r="BC571" i="6"/>
  <c r="BB571" i="6"/>
  <c r="BA571" i="6"/>
  <c r="AZ571" i="6"/>
  <c r="AY571" i="6"/>
  <c r="AX571" i="6"/>
  <c r="AW571" i="6"/>
  <c r="AV571" i="6"/>
  <c r="AU571" i="6"/>
  <c r="AT571" i="6"/>
  <c r="AS571" i="6"/>
  <c r="AR571" i="6"/>
  <c r="AQ571" i="6"/>
  <c r="AP571" i="6"/>
  <c r="AO571" i="6"/>
  <c r="AN571" i="6"/>
  <c r="AM571" i="6"/>
  <c r="AL571" i="6"/>
  <c r="AK571" i="6"/>
  <c r="AJ571" i="6"/>
  <c r="AI571" i="6"/>
  <c r="AH571" i="6"/>
  <c r="AG571" i="6"/>
  <c r="AF571" i="6"/>
  <c r="AE571" i="6"/>
  <c r="AD571" i="6"/>
  <c r="AC571" i="6"/>
  <c r="AB571" i="6"/>
  <c r="AA571" i="6"/>
  <c r="Z571" i="6"/>
  <c r="Y571" i="6"/>
  <c r="X571" i="6"/>
  <c r="W571" i="6"/>
  <c r="V571" i="6"/>
  <c r="U571" i="6"/>
  <c r="T571" i="6"/>
  <c r="BK570" i="6"/>
  <c r="BJ570" i="6"/>
  <c r="BI570" i="6"/>
  <c r="BH570" i="6"/>
  <c r="BG570" i="6"/>
  <c r="BF570" i="6"/>
  <c r="BE570" i="6"/>
  <c r="BD570" i="6"/>
  <c r="BC570" i="6"/>
  <c r="BB570" i="6"/>
  <c r="BA570" i="6"/>
  <c r="AZ570" i="6"/>
  <c r="AY570" i="6"/>
  <c r="AX570" i="6"/>
  <c r="AW570" i="6"/>
  <c r="AV570" i="6"/>
  <c r="AU570" i="6"/>
  <c r="AT570" i="6"/>
  <c r="AS570" i="6"/>
  <c r="AR570" i="6"/>
  <c r="AQ570" i="6"/>
  <c r="AP570" i="6"/>
  <c r="AO570" i="6"/>
  <c r="AN570" i="6"/>
  <c r="AM570" i="6"/>
  <c r="AL570" i="6"/>
  <c r="AK570" i="6"/>
  <c r="AJ570" i="6"/>
  <c r="AI570" i="6"/>
  <c r="AH570" i="6"/>
  <c r="AG570" i="6"/>
  <c r="AF570" i="6"/>
  <c r="AE570" i="6"/>
  <c r="AD570" i="6"/>
  <c r="AC570" i="6"/>
  <c r="AB570" i="6"/>
  <c r="AA570" i="6"/>
  <c r="Z570" i="6"/>
  <c r="Y570" i="6"/>
  <c r="X570" i="6"/>
  <c r="W570" i="6"/>
  <c r="V570" i="6"/>
  <c r="U570" i="6"/>
  <c r="T570" i="6"/>
  <c r="S663" i="6"/>
  <c r="R663" i="6"/>
  <c r="Q663" i="6"/>
  <c r="P663" i="6"/>
  <c r="O663" i="6"/>
  <c r="N663" i="6"/>
  <c r="M663" i="6"/>
  <c r="L663" i="6"/>
  <c r="K663" i="6"/>
  <c r="J663" i="6"/>
  <c r="I663" i="6"/>
  <c r="H663" i="6"/>
  <c r="G663" i="6"/>
  <c r="F663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G662" i="6"/>
  <c r="F662" i="6"/>
  <c r="S661" i="6"/>
  <c r="R661" i="6"/>
  <c r="Q661" i="6"/>
  <c r="P661" i="6"/>
  <c r="O661" i="6"/>
  <c r="N661" i="6"/>
  <c r="M661" i="6"/>
  <c r="L661" i="6"/>
  <c r="K661" i="6"/>
  <c r="J661" i="6"/>
  <c r="I661" i="6"/>
  <c r="H661" i="6"/>
  <c r="G661" i="6"/>
  <c r="F661" i="6"/>
  <c r="S660" i="6"/>
  <c r="R660" i="6"/>
  <c r="Q660" i="6"/>
  <c r="P660" i="6"/>
  <c r="O660" i="6"/>
  <c r="N660" i="6"/>
  <c r="M660" i="6"/>
  <c r="L660" i="6"/>
  <c r="K660" i="6"/>
  <c r="J660" i="6"/>
  <c r="I660" i="6"/>
  <c r="H660" i="6"/>
  <c r="G660" i="6"/>
  <c r="F660" i="6"/>
  <c r="S659" i="6"/>
  <c r="R659" i="6"/>
  <c r="Q659" i="6"/>
  <c r="P659" i="6"/>
  <c r="O659" i="6"/>
  <c r="N659" i="6"/>
  <c r="M659" i="6"/>
  <c r="L659" i="6"/>
  <c r="K659" i="6"/>
  <c r="J659" i="6"/>
  <c r="I659" i="6"/>
  <c r="H659" i="6"/>
  <c r="G659" i="6"/>
  <c r="F659" i="6"/>
  <c r="S658" i="6"/>
  <c r="R658" i="6"/>
  <c r="Q658" i="6"/>
  <c r="P658" i="6"/>
  <c r="O658" i="6"/>
  <c r="N658" i="6"/>
  <c r="M658" i="6"/>
  <c r="L658" i="6"/>
  <c r="K658" i="6"/>
  <c r="J658" i="6"/>
  <c r="I658" i="6"/>
  <c r="H658" i="6"/>
  <c r="G658" i="6"/>
  <c r="F658" i="6"/>
  <c r="S657" i="6"/>
  <c r="R657" i="6"/>
  <c r="Q657" i="6"/>
  <c r="P657" i="6"/>
  <c r="O657" i="6"/>
  <c r="N657" i="6"/>
  <c r="M657" i="6"/>
  <c r="L657" i="6"/>
  <c r="K657" i="6"/>
  <c r="J657" i="6"/>
  <c r="I657" i="6"/>
  <c r="H657" i="6"/>
  <c r="G657" i="6"/>
  <c r="F657" i="6"/>
  <c r="S656" i="6"/>
  <c r="R656" i="6"/>
  <c r="Q656" i="6"/>
  <c r="P656" i="6"/>
  <c r="O656" i="6"/>
  <c r="N656" i="6"/>
  <c r="M656" i="6"/>
  <c r="L656" i="6"/>
  <c r="K656" i="6"/>
  <c r="J656" i="6"/>
  <c r="I656" i="6"/>
  <c r="H656" i="6"/>
  <c r="G656" i="6"/>
  <c r="F656" i="6"/>
  <c r="S655" i="6"/>
  <c r="R655" i="6"/>
  <c r="Q655" i="6"/>
  <c r="P655" i="6"/>
  <c r="O655" i="6"/>
  <c r="N655" i="6"/>
  <c r="M655" i="6"/>
  <c r="L655" i="6"/>
  <c r="K655" i="6"/>
  <c r="J655" i="6"/>
  <c r="I655" i="6"/>
  <c r="H655" i="6"/>
  <c r="G655" i="6"/>
  <c r="F655" i="6"/>
  <c r="S654" i="6"/>
  <c r="R654" i="6"/>
  <c r="Q654" i="6"/>
  <c r="P654" i="6"/>
  <c r="O654" i="6"/>
  <c r="N654" i="6"/>
  <c r="M654" i="6"/>
  <c r="L654" i="6"/>
  <c r="K654" i="6"/>
  <c r="J654" i="6"/>
  <c r="I654" i="6"/>
  <c r="H654" i="6"/>
  <c r="G654" i="6"/>
  <c r="F654" i="6"/>
  <c r="S653" i="6"/>
  <c r="R653" i="6"/>
  <c r="Q653" i="6"/>
  <c r="P653" i="6"/>
  <c r="O653" i="6"/>
  <c r="N653" i="6"/>
  <c r="M653" i="6"/>
  <c r="L653" i="6"/>
  <c r="K653" i="6"/>
  <c r="J653" i="6"/>
  <c r="I653" i="6"/>
  <c r="H653" i="6"/>
  <c r="G653" i="6"/>
  <c r="F653" i="6"/>
  <c r="S652" i="6"/>
  <c r="R652" i="6"/>
  <c r="Q652" i="6"/>
  <c r="P652" i="6"/>
  <c r="O652" i="6"/>
  <c r="N652" i="6"/>
  <c r="M652" i="6"/>
  <c r="L652" i="6"/>
  <c r="K652" i="6"/>
  <c r="J652" i="6"/>
  <c r="I652" i="6"/>
  <c r="H652" i="6"/>
  <c r="G652" i="6"/>
  <c r="F652" i="6"/>
  <c r="S651" i="6"/>
  <c r="R651" i="6"/>
  <c r="Q651" i="6"/>
  <c r="P651" i="6"/>
  <c r="O651" i="6"/>
  <c r="N651" i="6"/>
  <c r="M651" i="6"/>
  <c r="L651" i="6"/>
  <c r="K651" i="6"/>
  <c r="J651" i="6"/>
  <c r="I651" i="6"/>
  <c r="H651" i="6"/>
  <c r="G651" i="6"/>
  <c r="F651" i="6"/>
  <c r="S650" i="6"/>
  <c r="R650" i="6"/>
  <c r="Q650" i="6"/>
  <c r="P650" i="6"/>
  <c r="O650" i="6"/>
  <c r="N650" i="6"/>
  <c r="M650" i="6"/>
  <c r="L650" i="6"/>
  <c r="K650" i="6"/>
  <c r="J650" i="6"/>
  <c r="I650" i="6"/>
  <c r="H650" i="6"/>
  <c r="G650" i="6"/>
  <c r="F650" i="6"/>
  <c r="S649" i="6"/>
  <c r="R649" i="6"/>
  <c r="Q649" i="6"/>
  <c r="P649" i="6"/>
  <c r="O649" i="6"/>
  <c r="N649" i="6"/>
  <c r="M649" i="6"/>
  <c r="L649" i="6"/>
  <c r="K649" i="6"/>
  <c r="J649" i="6"/>
  <c r="I649" i="6"/>
  <c r="H649" i="6"/>
  <c r="G649" i="6"/>
  <c r="F649" i="6"/>
  <c r="S648" i="6"/>
  <c r="R648" i="6"/>
  <c r="Q648" i="6"/>
  <c r="P648" i="6"/>
  <c r="O648" i="6"/>
  <c r="N648" i="6"/>
  <c r="M648" i="6"/>
  <c r="L648" i="6"/>
  <c r="K648" i="6"/>
  <c r="J648" i="6"/>
  <c r="I648" i="6"/>
  <c r="H648" i="6"/>
  <c r="G648" i="6"/>
  <c r="F648" i="6"/>
  <c r="S647" i="6"/>
  <c r="R647" i="6"/>
  <c r="Q647" i="6"/>
  <c r="P647" i="6"/>
  <c r="O647" i="6"/>
  <c r="N647" i="6"/>
  <c r="M647" i="6"/>
  <c r="L647" i="6"/>
  <c r="K647" i="6"/>
  <c r="J647" i="6"/>
  <c r="I647" i="6"/>
  <c r="H647" i="6"/>
  <c r="G647" i="6"/>
  <c r="F647" i="6"/>
  <c r="S646" i="6"/>
  <c r="R646" i="6"/>
  <c r="Q646" i="6"/>
  <c r="P646" i="6"/>
  <c r="O646" i="6"/>
  <c r="N646" i="6"/>
  <c r="M646" i="6"/>
  <c r="L646" i="6"/>
  <c r="K646" i="6"/>
  <c r="J646" i="6"/>
  <c r="I646" i="6"/>
  <c r="H646" i="6"/>
  <c r="G646" i="6"/>
  <c r="F646" i="6"/>
  <c r="S645" i="6"/>
  <c r="R645" i="6"/>
  <c r="Q645" i="6"/>
  <c r="P645" i="6"/>
  <c r="O645" i="6"/>
  <c r="N645" i="6"/>
  <c r="M645" i="6"/>
  <c r="L645" i="6"/>
  <c r="K645" i="6"/>
  <c r="J645" i="6"/>
  <c r="I645" i="6"/>
  <c r="H645" i="6"/>
  <c r="G645" i="6"/>
  <c r="F645" i="6"/>
  <c r="S596" i="6"/>
  <c r="R596" i="6"/>
  <c r="Q596" i="6"/>
  <c r="P596" i="6"/>
  <c r="O596" i="6"/>
  <c r="N596" i="6"/>
  <c r="M596" i="6"/>
  <c r="L596" i="6"/>
  <c r="K596" i="6"/>
  <c r="J596" i="6"/>
  <c r="I596" i="6"/>
  <c r="H596" i="6"/>
  <c r="G596" i="6"/>
  <c r="F596" i="6"/>
  <c r="S595" i="6"/>
  <c r="R595" i="6"/>
  <c r="Q595" i="6"/>
  <c r="P595" i="6"/>
  <c r="O595" i="6"/>
  <c r="N595" i="6"/>
  <c r="M595" i="6"/>
  <c r="L595" i="6"/>
  <c r="K595" i="6"/>
  <c r="J595" i="6"/>
  <c r="I595" i="6"/>
  <c r="H595" i="6"/>
  <c r="G595" i="6"/>
  <c r="F595" i="6"/>
  <c r="S594" i="6"/>
  <c r="R594" i="6"/>
  <c r="Q594" i="6"/>
  <c r="P594" i="6"/>
  <c r="O594" i="6"/>
  <c r="N594" i="6"/>
  <c r="M594" i="6"/>
  <c r="L594" i="6"/>
  <c r="K594" i="6"/>
  <c r="J594" i="6"/>
  <c r="I594" i="6"/>
  <c r="H594" i="6"/>
  <c r="G594" i="6"/>
  <c r="F594" i="6"/>
  <c r="S593" i="6"/>
  <c r="R593" i="6"/>
  <c r="Q593" i="6"/>
  <c r="P593" i="6"/>
  <c r="O593" i="6"/>
  <c r="N593" i="6"/>
  <c r="M593" i="6"/>
  <c r="L593" i="6"/>
  <c r="K593" i="6"/>
  <c r="J593" i="6"/>
  <c r="I593" i="6"/>
  <c r="H593" i="6"/>
  <c r="G593" i="6"/>
  <c r="F593" i="6"/>
  <c r="S592" i="6"/>
  <c r="R592" i="6"/>
  <c r="Q592" i="6"/>
  <c r="P592" i="6"/>
  <c r="O592" i="6"/>
  <c r="N592" i="6"/>
  <c r="M592" i="6"/>
  <c r="L592" i="6"/>
  <c r="K592" i="6"/>
  <c r="J592" i="6"/>
  <c r="I592" i="6"/>
  <c r="H592" i="6"/>
  <c r="G592" i="6"/>
  <c r="F592" i="6"/>
  <c r="S591" i="6"/>
  <c r="R591" i="6"/>
  <c r="Q591" i="6"/>
  <c r="P591" i="6"/>
  <c r="O591" i="6"/>
  <c r="N591" i="6"/>
  <c r="M591" i="6"/>
  <c r="L591" i="6"/>
  <c r="K591" i="6"/>
  <c r="J591" i="6"/>
  <c r="I591" i="6"/>
  <c r="H591" i="6"/>
  <c r="G591" i="6"/>
  <c r="F591" i="6"/>
  <c r="S590" i="6"/>
  <c r="R590" i="6"/>
  <c r="Q590" i="6"/>
  <c r="P590" i="6"/>
  <c r="O590" i="6"/>
  <c r="N590" i="6"/>
  <c r="M590" i="6"/>
  <c r="L590" i="6"/>
  <c r="K590" i="6"/>
  <c r="J590" i="6"/>
  <c r="I590" i="6"/>
  <c r="H590" i="6"/>
  <c r="G590" i="6"/>
  <c r="F590" i="6"/>
  <c r="S589" i="6"/>
  <c r="R589" i="6"/>
  <c r="Q589" i="6"/>
  <c r="P589" i="6"/>
  <c r="O589" i="6"/>
  <c r="N589" i="6"/>
  <c r="M589" i="6"/>
  <c r="L589" i="6"/>
  <c r="K589" i="6"/>
  <c r="J589" i="6"/>
  <c r="I589" i="6"/>
  <c r="H589" i="6"/>
  <c r="G589" i="6"/>
  <c r="F589" i="6"/>
  <c r="S588" i="6"/>
  <c r="R588" i="6"/>
  <c r="Q588" i="6"/>
  <c r="P588" i="6"/>
  <c r="O588" i="6"/>
  <c r="N588" i="6"/>
  <c r="M588" i="6"/>
  <c r="L588" i="6"/>
  <c r="K588" i="6"/>
  <c r="J588" i="6"/>
  <c r="I588" i="6"/>
  <c r="H588" i="6"/>
  <c r="G588" i="6"/>
  <c r="F588" i="6"/>
  <c r="S587" i="6"/>
  <c r="R587" i="6"/>
  <c r="Q587" i="6"/>
  <c r="P587" i="6"/>
  <c r="O587" i="6"/>
  <c r="N587" i="6"/>
  <c r="M587" i="6"/>
  <c r="L587" i="6"/>
  <c r="K587" i="6"/>
  <c r="J587" i="6"/>
  <c r="I587" i="6"/>
  <c r="H587" i="6"/>
  <c r="G587" i="6"/>
  <c r="F587" i="6"/>
  <c r="S586" i="6"/>
  <c r="R586" i="6"/>
  <c r="Q586" i="6"/>
  <c r="P586" i="6"/>
  <c r="O586" i="6"/>
  <c r="N586" i="6"/>
  <c r="M586" i="6"/>
  <c r="L586" i="6"/>
  <c r="K586" i="6"/>
  <c r="J586" i="6"/>
  <c r="I586" i="6"/>
  <c r="H586" i="6"/>
  <c r="G586" i="6"/>
  <c r="F586" i="6"/>
  <c r="S585" i="6"/>
  <c r="R585" i="6"/>
  <c r="Q585" i="6"/>
  <c r="P585" i="6"/>
  <c r="O585" i="6"/>
  <c r="N585" i="6"/>
  <c r="M585" i="6"/>
  <c r="L585" i="6"/>
  <c r="K585" i="6"/>
  <c r="J585" i="6"/>
  <c r="I585" i="6"/>
  <c r="H585" i="6"/>
  <c r="G585" i="6"/>
  <c r="F585" i="6"/>
  <c r="S584" i="6"/>
  <c r="R584" i="6"/>
  <c r="Q584" i="6"/>
  <c r="P584" i="6"/>
  <c r="O584" i="6"/>
  <c r="N584" i="6"/>
  <c r="M584" i="6"/>
  <c r="L584" i="6"/>
  <c r="K584" i="6"/>
  <c r="J584" i="6"/>
  <c r="I584" i="6"/>
  <c r="H584" i="6"/>
  <c r="G584" i="6"/>
  <c r="F584" i="6"/>
  <c r="S583" i="6"/>
  <c r="R583" i="6"/>
  <c r="Q583" i="6"/>
  <c r="P583" i="6"/>
  <c r="O583" i="6"/>
  <c r="N583" i="6"/>
  <c r="M583" i="6"/>
  <c r="L583" i="6"/>
  <c r="K583" i="6"/>
  <c r="J583" i="6"/>
  <c r="I583" i="6"/>
  <c r="H583" i="6"/>
  <c r="G583" i="6"/>
  <c r="F583" i="6"/>
  <c r="S582" i="6"/>
  <c r="R582" i="6"/>
  <c r="Q582" i="6"/>
  <c r="P582" i="6"/>
  <c r="O582" i="6"/>
  <c r="N582" i="6"/>
  <c r="M582" i="6"/>
  <c r="L582" i="6"/>
  <c r="K582" i="6"/>
  <c r="J582" i="6"/>
  <c r="I582" i="6"/>
  <c r="H582" i="6"/>
  <c r="G582" i="6"/>
  <c r="F582" i="6"/>
  <c r="S581" i="6"/>
  <c r="R581" i="6"/>
  <c r="Q581" i="6"/>
  <c r="P581" i="6"/>
  <c r="O581" i="6"/>
  <c r="N581" i="6"/>
  <c r="M581" i="6"/>
  <c r="L581" i="6"/>
  <c r="K581" i="6"/>
  <c r="J581" i="6"/>
  <c r="I581" i="6"/>
  <c r="H581" i="6"/>
  <c r="G581" i="6"/>
  <c r="F581" i="6"/>
  <c r="S580" i="6"/>
  <c r="R580" i="6"/>
  <c r="Q580" i="6"/>
  <c r="P580" i="6"/>
  <c r="O580" i="6"/>
  <c r="N580" i="6"/>
  <c r="M580" i="6"/>
  <c r="L580" i="6"/>
  <c r="K580" i="6"/>
  <c r="J580" i="6"/>
  <c r="I580" i="6"/>
  <c r="H580" i="6"/>
  <c r="G580" i="6"/>
  <c r="F580" i="6"/>
  <c r="S579" i="6"/>
  <c r="R579" i="6"/>
  <c r="Q579" i="6"/>
  <c r="P579" i="6"/>
  <c r="O579" i="6"/>
  <c r="N579" i="6"/>
  <c r="M579" i="6"/>
  <c r="L579" i="6"/>
  <c r="K579" i="6"/>
  <c r="J579" i="6"/>
  <c r="I579" i="6"/>
  <c r="H579" i="6"/>
  <c r="G579" i="6"/>
  <c r="F579" i="6"/>
  <c r="S578" i="6"/>
  <c r="R578" i="6"/>
  <c r="Q578" i="6"/>
  <c r="P578" i="6"/>
  <c r="O578" i="6"/>
  <c r="N578" i="6"/>
  <c r="M578" i="6"/>
  <c r="L578" i="6"/>
  <c r="K578" i="6"/>
  <c r="J578" i="6"/>
  <c r="I578" i="6"/>
  <c r="H578" i="6"/>
  <c r="G578" i="6"/>
  <c r="F578" i="6"/>
  <c r="S577" i="6"/>
  <c r="R577" i="6"/>
  <c r="Q577" i="6"/>
  <c r="P577" i="6"/>
  <c r="O577" i="6"/>
  <c r="N577" i="6"/>
  <c r="M577" i="6"/>
  <c r="L577" i="6"/>
  <c r="K577" i="6"/>
  <c r="J577" i="6"/>
  <c r="I577" i="6"/>
  <c r="H577" i="6"/>
  <c r="G577" i="6"/>
  <c r="F577" i="6"/>
  <c r="S576" i="6"/>
  <c r="R576" i="6"/>
  <c r="Q576" i="6"/>
  <c r="P576" i="6"/>
  <c r="O576" i="6"/>
  <c r="N576" i="6"/>
  <c r="M576" i="6"/>
  <c r="L576" i="6"/>
  <c r="K576" i="6"/>
  <c r="J576" i="6"/>
  <c r="I576" i="6"/>
  <c r="H576" i="6"/>
  <c r="G576" i="6"/>
  <c r="F576" i="6"/>
  <c r="S575" i="6"/>
  <c r="R575" i="6"/>
  <c r="Q575" i="6"/>
  <c r="P575" i="6"/>
  <c r="O575" i="6"/>
  <c r="N575" i="6"/>
  <c r="M575" i="6"/>
  <c r="L575" i="6"/>
  <c r="K575" i="6"/>
  <c r="J575" i="6"/>
  <c r="I575" i="6"/>
  <c r="H575" i="6"/>
  <c r="G575" i="6"/>
  <c r="F575" i="6"/>
  <c r="S574" i="6"/>
  <c r="R574" i="6"/>
  <c r="Q574" i="6"/>
  <c r="P574" i="6"/>
  <c r="O574" i="6"/>
  <c r="N574" i="6"/>
  <c r="M574" i="6"/>
  <c r="L574" i="6"/>
  <c r="K574" i="6"/>
  <c r="J574" i="6"/>
  <c r="I574" i="6"/>
  <c r="H574" i="6"/>
  <c r="G574" i="6"/>
  <c r="F574" i="6"/>
  <c r="S573" i="6"/>
  <c r="R573" i="6"/>
  <c r="Q573" i="6"/>
  <c r="P573" i="6"/>
  <c r="O573" i="6"/>
  <c r="N573" i="6"/>
  <c r="M573" i="6"/>
  <c r="L573" i="6"/>
  <c r="K573" i="6"/>
  <c r="J573" i="6"/>
  <c r="I573" i="6"/>
  <c r="H573" i="6"/>
  <c r="G573" i="6"/>
  <c r="F573" i="6"/>
  <c r="S572" i="6"/>
  <c r="R572" i="6"/>
  <c r="Q572" i="6"/>
  <c r="P572" i="6"/>
  <c r="O572" i="6"/>
  <c r="N572" i="6"/>
  <c r="M572" i="6"/>
  <c r="L572" i="6"/>
  <c r="K572" i="6"/>
  <c r="J572" i="6"/>
  <c r="I572" i="6"/>
  <c r="H572" i="6"/>
  <c r="G572" i="6"/>
  <c r="F572" i="6"/>
  <c r="S571" i="6"/>
  <c r="R571" i="6"/>
  <c r="Q571" i="6"/>
  <c r="P571" i="6"/>
  <c r="O571" i="6"/>
  <c r="N571" i="6"/>
  <c r="M571" i="6"/>
  <c r="L571" i="6"/>
  <c r="K571" i="6"/>
  <c r="J571" i="6"/>
  <c r="I571" i="6"/>
  <c r="H571" i="6"/>
  <c r="G571" i="6"/>
  <c r="F571" i="6"/>
  <c r="S570" i="6"/>
  <c r="R570" i="6"/>
  <c r="Q570" i="6"/>
  <c r="P570" i="6"/>
  <c r="O570" i="6"/>
  <c r="N570" i="6"/>
  <c r="M570" i="6"/>
  <c r="L570" i="6"/>
  <c r="K570" i="6"/>
  <c r="J570" i="6"/>
  <c r="I570" i="6"/>
  <c r="H570" i="6"/>
  <c r="G570" i="6"/>
  <c r="F570" i="6"/>
  <c r="CI663" i="5"/>
  <c r="CH663" i="5"/>
  <c r="CG663" i="5"/>
  <c r="CF663" i="5"/>
  <c r="CE663" i="5"/>
  <c r="CD663" i="5"/>
  <c r="CC663" i="5"/>
  <c r="CB663" i="5"/>
  <c r="CA663" i="5"/>
  <c r="BZ663" i="5"/>
  <c r="BY663" i="5"/>
  <c r="BX663" i="5"/>
  <c r="BW663" i="5"/>
  <c r="BV663" i="5"/>
  <c r="BU663" i="5"/>
  <c r="BT663" i="5"/>
  <c r="BS663" i="5"/>
  <c r="BR663" i="5"/>
  <c r="BQ663" i="5"/>
  <c r="BP663" i="5"/>
  <c r="BO663" i="5"/>
  <c r="BN663" i="5"/>
  <c r="BM663" i="5"/>
  <c r="BL663" i="5"/>
  <c r="BK663" i="5"/>
  <c r="BJ663" i="5"/>
  <c r="BI663" i="5"/>
  <c r="BH663" i="5"/>
  <c r="BG663" i="5"/>
  <c r="BF663" i="5"/>
  <c r="BE663" i="5"/>
  <c r="BD663" i="5"/>
  <c r="BC663" i="5"/>
  <c r="BB663" i="5"/>
  <c r="BA663" i="5"/>
  <c r="AZ663" i="5"/>
  <c r="AY663" i="5"/>
  <c r="AX663" i="5"/>
  <c r="AW663" i="5"/>
  <c r="AV663" i="5"/>
  <c r="AU663" i="5"/>
  <c r="AT663" i="5"/>
  <c r="AS663" i="5"/>
  <c r="AR663" i="5"/>
  <c r="AQ663" i="5"/>
  <c r="AP663" i="5"/>
  <c r="AO663" i="5"/>
  <c r="AN663" i="5"/>
  <c r="AM663" i="5"/>
  <c r="AL663" i="5"/>
  <c r="AK663" i="5"/>
  <c r="AJ663" i="5"/>
  <c r="AI663" i="5"/>
  <c r="AH663" i="5"/>
  <c r="AG663" i="5"/>
  <c r="AF663" i="5"/>
  <c r="AE663" i="5"/>
  <c r="AD663" i="5"/>
  <c r="AC663" i="5"/>
  <c r="AB663" i="5"/>
  <c r="AA663" i="5"/>
  <c r="Z663" i="5"/>
  <c r="Y663" i="5"/>
  <c r="X663" i="5"/>
  <c r="W663" i="5"/>
  <c r="V663" i="5"/>
  <c r="U663" i="5"/>
  <c r="T663" i="5"/>
  <c r="S663" i="5"/>
  <c r="R663" i="5"/>
  <c r="Q663" i="5"/>
  <c r="P663" i="5"/>
  <c r="O663" i="5"/>
  <c r="N663" i="5"/>
  <c r="M663" i="5"/>
  <c r="L663" i="5"/>
  <c r="K663" i="5"/>
  <c r="J663" i="5"/>
  <c r="I663" i="5"/>
  <c r="H663" i="5"/>
  <c r="G663" i="5"/>
  <c r="F663" i="5"/>
  <c r="CI662" i="5"/>
  <c r="CH662" i="5"/>
  <c r="CG662" i="5"/>
  <c r="CF662" i="5"/>
  <c r="CE662" i="5"/>
  <c r="CD662" i="5"/>
  <c r="CC662" i="5"/>
  <c r="CB662" i="5"/>
  <c r="CA662" i="5"/>
  <c r="BZ662" i="5"/>
  <c r="BY662" i="5"/>
  <c r="BX662" i="5"/>
  <c r="BW662" i="5"/>
  <c r="BV662" i="5"/>
  <c r="BU662" i="5"/>
  <c r="BT662" i="5"/>
  <c r="BS662" i="5"/>
  <c r="BR662" i="5"/>
  <c r="BQ662" i="5"/>
  <c r="BP662" i="5"/>
  <c r="BO662" i="5"/>
  <c r="BN662" i="5"/>
  <c r="BM662" i="5"/>
  <c r="BL662" i="5"/>
  <c r="BK662" i="5"/>
  <c r="BJ662" i="5"/>
  <c r="BI662" i="5"/>
  <c r="BH662" i="5"/>
  <c r="BG662" i="5"/>
  <c r="BF662" i="5"/>
  <c r="BE662" i="5"/>
  <c r="BD662" i="5"/>
  <c r="BC662" i="5"/>
  <c r="BB662" i="5"/>
  <c r="BA662" i="5"/>
  <c r="AZ662" i="5"/>
  <c r="AY662" i="5"/>
  <c r="AX662" i="5"/>
  <c r="AW662" i="5"/>
  <c r="AV662" i="5"/>
  <c r="AU662" i="5"/>
  <c r="AT662" i="5"/>
  <c r="AS662" i="5"/>
  <c r="AR662" i="5"/>
  <c r="AQ662" i="5"/>
  <c r="AP662" i="5"/>
  <c r="AO662" i="5"/>
  <c r="AN662" i="5"/>
  <c r="AM662" i="5"/>
  <c r="AL662" i="5"/>
  <c r="AK662" i="5"/>
  <c r="AJ662" i="5"/>
  <c r="AI662" i="5"/>
  <c r="AH662" i="5"/>
  <c r="AG662" i="5"/>
  <c r="AF662" i="5"/>
  <c r="AE662" i="5"/>
  <c r="AD662" i="5"/>
  <c r="AC662" i="5"/>
  <c r="AB662" i="5"/>
  <c r="AA662" i="5"/>
  <c r="Z662" i="5"/>
  <c r="Y662" i="5"/>
  <c r="X662" i="5"/>
  <c r="W662" i="5"/>
  <c r="V662" i="5"/>
  <c r="U662" i="5"/>
  <c r="T662" i="5"/>
  <c r="S662" i="5"/>
  <c r="R662" i="5"/>
  <c r="Q662" i="5"/>
  <c r="P662" i="5"/>
  <c r="O662" i="5"/>
  <c r="N662" i="5"/>
  <c r="M662" i="5"/>
  <c r="L662" i="5"/>
  <c r="K662" i="5"/>
  <c r="J662" i="5"/>
  <c r="I662" i="5"/>
  <c r="H662" i="5"/>
  <c r="G662" i="5"/>
  <c r="F662" i="5"/>
  <c r="CI661" i="5"/>
  <c r="CH661" i="5"/>
  <c r="CG661" i="5"/>
  <c r="CF661" i="5"/>
  <c r="CE661" i="5"/>
  <c r="CD661" i="5"/>
  <c r="CC661" i="5"/>
  <c r="CB661" i="5"/>
  <c r="CA661" i="5"/>
  <c r="BZ661" i="5"/>
  <c r="BY661" i="5"/>
  <c r="BX661" i="5"/>
  <c r="BW661" i="5"/>
  <c r="BV661" i="5"/>
  <c r="BU661" i="5"/>
  <c r="BT661" i="5"/>
  <c r="BS661" i="5"/>
  <c r="BR661" i="5"/>
  <c r="BQ661" i="5"/>
  <c r="BP661" i="5"/>
  <c r="BO661" i="5"/>
  <c r="BN661" i="5"/>
  <c r="BM661" i="5"/>
  <c r="BL661" i="5"/>
  <c r="BK661" i="5"/>
  <c r="BJ661" i="5"/>
  <c r="BI661" i="5"/>
  <c r="BH661" i="5"/>
  <c r="BG661" i="5"/>
  <c r="BF661" i="5"/>
  <c r="BE661" i="5"/>
  <c r="BD661" i="5"/>
  <c r="BC661" i="5"/>
  <c r="BB661" i="5"/>
  <c r="BA661" i="5"/>
  <c r="AZ661" i="5"/>
  <c r="AY661" i="5"/>
  <c r="AX661" i="5"/>
  <c r="AW661" i="5"/>
  <c r="AV661" i="5"/>
  <c r="AU661" i="5"/>
  <c r="AT661" i="5"/>
  <c r="AS661" i="5"/>
  <c r="AR661" i="5"/>
  <c r="AQ661" i="5"/>
  <c r="AP661" i="5"/>
  <c r="AO661" i="5"/>
  <c r="AN661" i="5"/>
  <c r="AM661" i="5"/>
  <c r="AL661" i="5"/>
  <c r="AK661" i="5"/>
  <c r="AJ661" i="5"/>
  <c r="AI661" i="5"/>
  <c r="AH661" i="5"/>
  <c r="AG661" i="5"/>
  <c r="AF661" i="5"/>
  <c r="AE661" i="5"/>
  <c r="AD661" i="5"/>
  <c r="AC661" i="5"/>
  <c r="AB661" i="5"/>
  <c r="AA661" i="5"/>
  <c r="Z661" i="5"/>
  <c r="Y661" i="5"/>
  <c r="X661" i="5"/>
  <c r="W661" i="5"/>
  <c r="V661" i="5"/>
  <c r="U661" i="5"/>
  <c r="T661" i="5"/>
  <c r="S661" i="5"/>
  <c r="R661" i="5"/>
  <c r="Q661" i="5"/>
  <c r="P661" i="5"/>
  <c r="O661" i="5"/>
  <c r="N661" i="5"/>
  <c r="M661" i="5"/>
  <c r="L661" i="5"/>
  <c r="K661" i="5"/>
  <c r="J661" i="5"/>
  <c r="I661" i="5"/>
  <c r="H661" i="5"/>
  <c r="G661" i="5"/>
  <c r="F661" i="5"/>
  <c r="CI660" i="5"/>
  <c r="CH660" i="5"/>
  <c r="CG660" i="5"/>
  <c r="CF660" i="5"/>
  <c r="CE660" i="5"/>
  <c r="CD660" i="5"/>
  <c r="CC660" i="5"/>
  <c r="CB660" i="5"/>
  <c r="CA660" i="5"/>
  <c r="BZ660" i="5"/>
  <c r="BY660" i="5"/>
  <c r="BX660" i="5"/>
  <c r="BW660" i="5"/>
  <c r="BV660" i="5"/>
  <c r="BU660" i="5"/>
  <c r="BT660" i="5"/>
  <c r="BS660" i="5"/>
  <c r="BR660" i="5"/>
  <c r="BQ660" i="5"/>
  <c r="BP660" i="5"/>
  <c r="BO660" i="5"/>
  <c r="BN660" i="5"/>
  <c r="BM660" i="5"/>
  <c r="BL660" i="5"/>
  <c r="BK660" i="5"/>
  <c r="BJ660" i="5"/>
  <c r="BI660" i="5"/>
  <c r="BH660" i="5"/>
  <c r="BG660" i="5"/>
  <c r="BF660" i="5"/>
  <c r="BE660" i="5"/>
  <c r="BD660" i="5"/>
  <c r="BC660" i="5"/>
  <c r="BB660" i="5"/>
  <c r="BA660" i="5"/>
  <c r="AZ660" i="5"/>
  <c r="AY660" i="5"/>
  <c r="AX660" i="5"/>
  <c r="AW660" i="5"/>
  <c r="AV660" i="5"/>
  <c r="AU660" i="5"/>
  <c r="AT660" i="5"/>
  <c r="AS660" i="5"/>
  <c r="AR660" i="5"/>
  <c r="AQ660" i="5"/>
  <c r="AP660" i="5"/>
  <c r="AO660" i="5"/>
  <c r="AN660" i="5"/>
  <c r="AM660" i="5"/>
  <c r="AL660" i="5"/>
  <c r="AK660" i="5"/>
  <c r="AJ660" i="5"/>
  <c r="AI660" i="5"/>
  <c r="AH660" i="5"/>
  <c r="AG660" i="5"/>
  <c r="AF660" i="5"/>
  <c r="AE660" i="5"/>
  <c r="AD660" i="5"/>
  <c r="AC660" i="5"/>
  <c r="AB660" i="5"/>
  <c r="AA660" i="5"/>
  <c r="Z660" i="5"/>
  <c r="Y660" i="5"/>
  <c r="X660" i="5"/>
  <c r="W660" i="5"/>
  <c r="V660" i="5"/>
  <c r="U660" i="5"/>
  <c r="T660" i="5"/>
  <c r="S660" i="5"/>
  <c r="R660" i="5"/>
  <c r="Q660" i="5"/>
  <c r="P660" i="5"/>
  <c r="O660" i="5"/>
  <c r="N660" i="5"/>
  <c r="M660" i="5"/>
  <c r="L660" i="5"/>
  <c r="K660" i="5"/>
  <c r="J660" i="5"/>
  <c r="I660" i="5"/>
  <c r="H660" i="5"/>
  <c r="G660" i="5"/>
  <c r="F660" i="5"/>
  <c r="CI659" i="5"/>
  <c r="CH659" i="5"/>
  <c r="CG659" i="5"/>
  <c r="CF659" i="5"/>
  <c r="CE659" i="5"/>
  <c r="CD659" i="5"/>
  <c r="CC659" i="5"/>
  <c r="CB659" i="5"/>
  <c r="CA659" i="5"/>
  <c r="BZ659" i="5"/>
  <c r="BY659" i="5"/>
  <c r="BX659" i="5"/>
  <c r="BW659" i="5"/>
  <c r="BV659" i="5"/>
  <c r="BU659" i="5"/>
  <c r="BT659" i="5"/>
  <c r="BS659" i="5"/>
  <c r="BR659" i="5"/>
  <c r="BQ659" i="5"/>
  <c r="BP659" i="5"/>
  <c r="BO659" i="5"/>
  <c r="BN659" i="5"/>
  <c r="BM659" i="5"/>
  <c r="BL659" i="5"/>
  <c r="BK659" i="5"/>
  <c r="BJ659" i="5"/>
  <c r="BI659" i="5"/>
  <c r="BH659" i="5"/>
  <c r="BG659" i="5"/>
  <c r="BF659" i="5"/>
  <c r="BE659" i="5"/>
  <c r="BD659" i="5"/>
  <c r="BC659" i="5"/>
  <c r="BB659" i="5"/>
  <c r="BA659" i="5"/>
  <c r="AZ659" i="5"/>
  <c r="AY659" i="5"/>
  <c r="AX659" i="5"/>
  <c r="AW659" i="5"/>
  <c r="AV659" i="5"/>
  <c r="AU659" i="5"/>
  <c r="AT659" i="5"/>
  <c r="AS659" i="5"/>
  <c r="AR659" i="5"/>
  <c r="AQ659" i="5"/>
  <c r="AP659" i="5"/>
  <c r="AO659" i="5"/>
  <c r="AN659" i="5"/>
  <c r="AM659" i="5"/>
  <c r="AL659" i="5"/>
  <c r="AK659" i="5"/>
  <c r="AJ659" i="5"/>
  <c r="AI659" i="5"/>
  <c r="AH659" i="5"/>
  <c r="AG659" i="5"/>
  <c r="AF659" i="5"/>
  <c r="AE659" i="5"/>
  <c r="AD659" i="5"/>
  <c r="AC659" i="5"/>
  <c r="AB659" i="5"/>
  <c r="AA659" i="5"/>
  <c r="Z659" i="5"/>
  <c r="Y659" i="5"/>
  <c r="X659" i="5"/>
  <c r="W659" i="5"/>
  <c r="V659" i="5"/>
  <c r="U659" i="5"/>
  <c r="T659" i="5"/>
  <c r="S659" i="5"/>
  <c r="R659" i="5"/>
  <c r="Q659" i="5"/>
  <c r="P659" i="5"/>
  <c r="O659" i="5"/>
  <c r="N659" i="5"/>
  <c r="M659" i="5"/>
  <c r="L659" i="5"/>
  <c r="K659" i="5"/>
  <c r="J659" i="5"/>
  <c r="I659" i="5"/>
  <c r="H659" i="5"/>
  <c r="G659" i="5"/>
  <c r="F659" i="5"/>
  <c r="CI658" i="5"/>
  <c r="CH658" i="5"/>
  <c r="CG658" i="5"/>
  <c r="CF658" i="5"/>
  <c r="CE658" i="5"/>
  <c r="CD658" i="5"/>
  <c r="CC658" i="5"/>
  <c r="CB658" i="5"/>
  <c r="CA658" i="5"/>
  <c r="BZ658" i="5"/>
  <c r="BY658" i="5"/>
  <c r="BX658" i="5"/>
  <c r="BW658" i="5"/>
  <c r="BV658" i="5"/>
  <c r="BU658" i="5"/>
  <c r="BT658" i="5"/>
  <c r="BS658" i="5"/>
  <c r="BR658" i="5"/>
  <c r="BQ658" i="5"/>
  <c r="BP658" i="5"/>
  <c r="BO658" i="5"/>
  <c r="BN658" i="5"/>
  <c r="BM658" i="5"/>
  <c r="BL658" i="5"/>
  <c r="BK658" i="5"/>
  <c r="BJ658" i="5"/>
  <c r="BI658" i="5"/>
  <c r="BH658" i="5"/>
  <c r="BG658" i="5"/>
  <c r="BF658" i="5"/>
  <c r="BE658" i="5"/>
  <c r="BD658" i="5"/>
  <c r="BC658" i="5"/>
  <c r="BB658" i="5"/>
  <c r="BA658" i="5"/>
  <c r="AZ658" i="5"/>
  <c r="AY658" i="5"/>
  <c r="AX658" i="5"/>
  <c r="AW658" i="5"/>
  <c r="AV658" i="5"/>
  <c r="AU658" i="5"/>
  <c r="AT658" i="5"/>
  <c r="AS658" i="5"/>
  <c r="AR658" i="5"/>
  <c r="AQ658" i="5"/>
  <c r="AP658" i="5"/>
  <c r="AO658" i="5"/>
  <c r="AN658" i="5"/>
  <c r="AM658" i="5"/>
  <c r="AL658" i="5"/>
  <c r="AK658" i="5"/>
  <c r="AJ658" i="5"/>
  <c r="AI658" i="5"/>
  <c r="AH658" i="5"/>
  <c r="AG658" i="5"/>
  <c r="AF658" i="5"/>
  <c r="AE658" i="5"/>
  <c r="AD658" i="5"/>
  <c r="AC658" i="5"/>
  <c r="AB658" i="5"/>
  <c r="AA658" i="5"/>
  <c r="Z658" i="5"/>
  <c r="Y658" i="5"/>
  <c r="X658" i="5"/>
  <c r="W658" i="5"/>
  <c r="V658" i="5"/>
  <c r="U658" i="5"/>
  <c r="T658" i="5"/>
  <c r="S658" i="5"/>
  <c r="R658" i="5"/>
  <c r="Q658" i="5"/>
  <c r="P658" i="5"/>
  <c r="O658" i="5"/>
  <c r="N658" i="5"/>
  <c r="M658" i="5"/>
  <c r="L658" i="5"/>
  <c r="K658" i="5"/>
  <c r="J658" i="5"/>
  <c r="I658" i="5"/>
  <c r="H658" i="5"/>
  <c r="G658" i="5"/>
  <c r="F658" i="5"/>
  <c r="CI657" i="5"/>
  <c r="CH657" i="5"/>
  <c r="CG657" i="5"/>
  <c r="CF657" i="5"/>
  <c r="CE657" i="5"/>
  <c r="CD657" i="5"/>
  <c r="CC657" i="5"/>
  <c r="CB657" i="5"/>
  <c r="CA657" i="5"/>
  <c r="BZ657" i="5"/>
  <c r="BY657" i="5"/>
  <c r="BX657" i="5"/>
  <c r="BW657" i="5"/>
  <c r="BV657" i="5"/>
  <c r="BU657" i="5"/>
  <c r="BT657" i="5"/>
  <c r="BS657" i="5"/>
  <c r="BR657" i="5"/>
  <c r="BQ657" i="5"/>
  <c r="BP657" i="5"/>
  <c r="BO657" i="5"/>
  <c r="BN657" i="5"/>
  <c r="BM657" i="5"/>
  <c r="BL657" i="5"/>
  <c r="BK657" i="5"/>
  <c r="BJ657" i="5"/>
  <c r="BI657" i="5"/>
  <c r="BH657" i="5"/>
  <c r="BG657" i="5"/>
  <c r="BF657" i="5"/>
  <c r="BE657" i="5"/>
  <c r="BD657" i="5"/>
  <c r="BC657" i="5"/>
  <c r="BB657" i="5"/>
  <c r="BA657" i="5"/>
  <c r="AZ657" i="5"/>
  <c r="AY657" i="5"/>
  <c r="AX657" i="5"/>
  <c r="AW657" i="5"/>
  <c r="AV657" i="5"/>
  <c r="AU657" i="5"/>
  <c r="AT657" i="5"/>
  <c r="AS657" i="5"/>
  <c r="AR657" i="5"/>
  <c r="AQ657" i="5"/>
  <c r="AP657" i="5"/>
  <c r="AO657" i="5"/>
  <c r="AN657" i="5"/>
  <c r="AM657" i="5"/>
  <c r="AL657" i="5"/>
  <c r="AK657" i="5"/>
  <c r="AJ657" i="5"/>
  <c r="AI657" i="5"/>
  <c r="AH657" i="5"/>
  <c r="AG657" i="5"/>
  <c r="AF657" i="5"/>
  <c r="AE657" i="5"/>
  <c r="AD657" i="5"/>
  <c r="AC657" i="5"/>
  <c r="AB657" i="5"/>
  <c r="AA657" i="5"/>
  <c r="Z657" i="5"/>
  <c r="Y657" i="5"/>
  <c r="X657" i="5"/>
  <c r="W657" i="5"/>
  <c r="V657" i="5"/>
  <c r="U657" i="5"/>
  <c r="T657" i="5"/>
  <c r="S657" i="5"/>
  <c r="R657" i="5"/>
  <c r="Q657" i="5"/>
  <c r="P657" i="5"/>
  <c r="O657" i="5"/>
  <c r="N657" i="5"/>
  <c r="M657" i="5"/>
  <c r="L657" i="5"/>
  <c r="K657" i="5"/>
  <c r="J657" i="5"/>
  <c r="I657" i="5"/>
  <c r="H657" i="5"/>
  <c r="G657" i="5"/>
  <c r="F657" i="5"/>
  <c r="F656" i="5"/>
  <c r="F655" i="5"/>
  <c r="F654" i="5"/>
  <c r="F653" i="5"/>
  <c r="F651" i="5"/>
  <c r="F650" i="5"/>
  <c r="F648" i="5"/>
  <c r="F647" i="5"/>
  <c r="CI646" i="5"/>
  <c r="CH646" i="5"/>
  <c r="CG646" i="5"/>
  <c r="CF646" i="5"/>
  <c r="CE646" i="5"/>
  <c r="CD646" i="5"/>
  <c r="CC646" i="5"/>
  <c r="CB646" i="5"/>
  <c r="CA646" i="5"/>
  <c r="BZ646" i="5"/>
  <c r="BY646" i="5"/>
  <c r="BX646" i="5"/>
  <c r="BW646" i="5"/>
  <c r="BV646" i="5"/>
  <c r="BU646" i="5"/>
  <c r="BT646" i="5"/>
  <c r="BS646" i="5"/>
  <c r="BR646" i="5"/>
  <c r="BQ646" i="5"/>
  <c r="BP646" i="5"/>
  <c r="BO646" i="5"/>
  <c r="BN646" i="5"/>
  <c r="BM646" i="5"/>
  <c r="BL646" i="5"/>
  <c r="BK646" i="5"/>
  <c r="BJ646" i="5"/>
  <c r="BI646" i="5"/>
  <c r="BH646" i="5"/>
  <c r="BG646" i="5"/>
  <c r="BF646" i="5"/>
  <c r="BE646" i="5"/>
  <c r="BD646" i="5"/>
  <c r="BC646" i="5"/>
  <c r="BB646" i="5"/>
  <c r="BA646" i="5"/>
  <c r="AZ646" i="5"/>
  <c r="AY646" i="5"/>
  <c r="AX646" i="5"/>
  <c r="AW646" i="5"/>
  <c r="AV646" i="5"/>
  <c r="AU646" i="5"/>
  <c r="AT646" i="5"/>
  <c r="AS646" i="5"/>
  <c r="AR646" i="5"/>
  <c r="AQ646" i="5"/>
  <c r="AP646" i="5"/>
  <c r="AO646" i="5"/>
  <c r="AN646" i="5"/>
  <c r="AM646" i="5"/>
  <c r="AL646" i="5"/>
  <c r="AK646" i="5"/>
  <c r="AJ646" i="5"/>
  <c r="AI646" i="5"/>
  <c r="AH646" i="5"/>
  <c r="AG646" i="5"/>
  <c r="AF646" i="5"/>
  <c r="AE646" i="5"/>
  <c r="AD646" i="5"/>
  <c r="AC646" i="5"/>
  <c r="AB646" i="5"/>
  <c r="AA646" i="5"/>
  <c r="Z646" i="5"/>
  <c r="Y646" i="5"/>
  <c r="X646" i="5"/>
  <c r="W646" i="5"/>
  <c r="V646" i="5"/>
  <c r="U646" i="5"/>
  <c r="T646" i="5"/>
  <c r="S646" i="5"/>
  <c r="R646" i="5"/>
  <c r="Q646" i="5"/>
  <c r="P646" i="5"/>
  <c r="O646" i="5"/>
  <c r="N646" i="5"/>
  <c r="M646" i="5"/>
  <c r="L646" i="5"/>
  <c r="K646" i="5"/>
  <c r="J646" i="5"/>
  <c r="I646" i="5"/>
  <c r="H646" i="5"/>
  <c r="G646" i="5"/>
  <c r="F646" i="5"/>
  <c r="CI645" i="5"/>
  <c r="CH645" i="5"/>
  <c r="CG645" i="5"/>
  <c r="CF645" i="5"/>
  <c r="CE645" i="5"/>
  <c r="CD645" i="5"/>
  <c r="CC645" i="5"/>
  <c r="CB645" i="5"/>
  <c r="CA645" i="5"/>
  <c r="BZ645" i="5"/>
  <c r="BY645" i="5"/>
  <c r="BX645" i="5"/>
  <c r="BW645" i="5"/>
  <c r="BV645" i="5"/>
  <c r="BU645" i="5"/>
  <c r="BT645" i="5"/>
  <c r="BS645" i="5"/>
  <c r="BR645" i="5"/>
  <c r="BQ645" i="5"/>
  <c r="BP645" i="5"/>
  <c r="BO645" i="5"/>
  <c r="BN645" i="5"/>
  <c r="BM645" i="5"/>
  <c r="BL645" i="5"/>
  <c r="BK645" i="5"/>
  <c r="BJ645" i="5"/>
  <c r="BI645" i="5"/>
  <c r="BH645" i="5"/>
  <c r="BG645" i="5"/>
  <c r="BF645" i="5"/>
  <c r="BE645" i="5"/>
  <c r="BD645" i="5"/>
  <c r="BC645" i="5"/>
  <c r="BB645" i="5"/>
  <c r="BA645" i="5"/>
  <c r="AZ645" i="5"/>
  <c r="AY645" i="5"/>
  <c r="AX645" i="5"/>
  <c r="AW645" i="5"/>
  <c r="AV645" i="5"/>
  <c r="AU645" i="5"/>
  <c r="AT645" i="5"/>
  <c r="AS645" i="5"/>
  <c r="AR645" i="5"/>
  <c r="AQ645" i="5"/>
  <c r="AP645" i="5"/>
  <c r="AO645" i="5"/>
  <c r="AN645" i="5"/>
  <c r="AM645" i="5"/>
  <c r="AL645" i="5"/>
  <c r="AK645" i="5"/>
  <c r="AJ645" i="5"/>
  <c r="AI645" i="5"/>
  <c r="AH645" i="5"/>
  <c r="AG645" i="5"/>
  <c r="AF645" i="5"/>
  <c r="AE645" i="5"/>
  <c r="AD645" i="5"/>
  <c r="AC645" i="5"/>
  <c r="AB645" i="5"/>
  <c r="AA645" i="5"/>
  <c r="Z645" i="5"/>
  <c r="Y645" i="5"/>
  <c r="X645" i="5"/>
  <c r="W645" i="5"/>
  <c r="V645" i="5"/>
  <c r="U645" i="5"/>
  <c r="T645" i="5"/>
  <c r="S645" i="5"/>
  <c r="R645" i="5"/>
  <c r="Q645" i="5"/>
  <c r="P645" i="5"/>
  <c r="O645" i="5"/>
  <c r="N645" i="5"/>
  <c r="M645" i="5"/>
  <c r="L645" i="5"/>
  <c r="K645" i="5"/>
  <c r="J645" i="5"/>
  <c r="I645" i="5"/>
  <c r="H645" i="5"/>
  <c r="G645" i="5"/>
  <c r="F645" i="5"/>
  <c r="CI644" i="5"/>
  <c r="CH644" i="5"/>
  <c r="CG644" i="5"/>
  <c r="CF644" i="5"/>
  <c r="CE644" i="5"/>
  <c r="CD644" i="5"/>
  <c r="CC644" i="5"/>
  <c r="CB644" i="5"/>
  <c r="CA644" i="5"/>
  <c r="BZ644" i="5"/>
  <c r="BY644" i="5"/>
  <c r="BX644" i="5"/>
  <c r="BW644" i="5"/>
  <c r="BV644" i="5"/>
  <c r="BU644" i="5"/>
  <c r="BT644" i="5"/>
  <c r="BS644" i="5"/>
  <c r="BR644" i="5"/>
  <c r="BQ644" i="5"/>
  <c r="BP644" i="5"/>
  <c r="BO644" i="5"/>
  <c r="BN644" i="5"/>
  <c r="BM644" i="5"/>
  <c r="BL644" i="5"/>
  <c r="BK644" i="5"/>
  <c r="BJ644" i="5"/>
  <c r="BI644" i="5"/>
  <c r="BH644" i="5"/>
  <c r="BG644" i="5"/>
  <c r="BF644" i="5"/>
  <c r="BE644" i="5"/>
  <c r="BD644" i="5"/>
  <c r="BC644" i="5"/>
  <c r="BB644" i="5"/>
  <c r="BA644" i="5"/>
  <c r="AZ644" i="5"/>
  <c r="AY644" i="5"/>
  <c r="AX644" i="5"/>
  <c r="AW644" i="5"/>
  <c r="AV644" i="5"/>
  <c r="AU644" i="5"/>
  <c r="AT644" i="5"/>
  <c r="AS644" i="5"/>
  <c r="AR644" i="5"/>
  <c r="AQ644" i="5"/>
  <c r="AP644" i="5"/>
  <c r="AO644" i="5"/>
  <c r="AN644" i="5"/>
  <c r="AM644" i="5"/>
  <c r="AL644" i="5"/>
  <c r="AK644" i="5"/>
  <c r="AJ644" i="5"/>
  <c r="AI644" i="5"/>
  <c r="AH644" i="5"/>
  <c r="AG644" i="5"/>
  <c r="AF644" i="5"/>
  <c r="AE644" i="5"/>
  <c r="AD644" i="5"/>
  <c r="AC644" i="5"/>
  <c r="AB644" i="5"/>
  <c r="AA644" i="5"/>
  <c r="Z644" i="5"/>
  <c r="Y644" i="5"/>
  <c r="X644" i="5"/>
  <c r="W644" i="5"/>
  <c r="V644" i="5"/>
  <c r="U644" i="5"/>
  <c r="T644" i="5"/>
  <c r="S644" i="5"/>
  <c r="R644" i="5"/>
  <c r="Q644" i="5"/>
  <c r="P644" i="5"/>
  <c r="O644" i="5"/>
  <c r="N644" i="5"/>
  <c r="M644" i="5"/>
  <c r="L644" i="5"/>
  <c r="K644" i="5"/>
  <c r="J644" i="5"/>
  <c r="I644" i="5"/>
  <c r="H644" i="5"/>
  <c r="G644" i="5"/>
  <c r="F644" i="5"/>
  <c r="CI643" i="5"/>
  <c r="CH643" i="5"/>
  <c r="CG643" i="5"/>
  <c r="CF643" i="5"/>
  <c r="CE643" i="5"/>
  <c r="CD643" i="5"/>
  <c r="CC643" i="5"/>
  <c r="CB643" i="5"/>
  <c r="CA643" i="5"/>
  <c r="BZ643" i="5"/>
  <c r="BY643" i="5"/>
  <c r="BX643" i="5"/>
  <c r="BW643" i="5"/>
  <c r="BV643" i="5"/>
  <c r="BU643" i="5"/>
  <c r="BT643" i="5"/>
  <c r="BS643" i="5"/>
  <c r="BR643" i="5"/>
  <c r="BQ643" i="5"/>
  <c r="BP643" i="5"/>
  <c r="BO643" i="5"/>
  <c r="BN643" i="5"/>
  <c r="BM643" i="5"/>
  <c r="BL643" i="5"/>
  <c r="BK643" i="5"/>
  <c r="BJ643" i="5"/>
  <c r="BI643" i="5"/>
  <c r="BH643" i="5"/>
  <c r="BG643" i="5"/>
  <c r="BF643" i="5"/>
  <c r="BE643" i="5"/>
  <c r="BD643" i="5"/>
  <c r="BC643" i="5"/>
  <c r="BB643" i="5"/>
  <c r="BA643" i="5"/>
  <c r="AZ643" i="5"/>
  <c r="AY643" i="5"/>
  <c r="AX643" i="5"/>
  <c r="AW643" i="5"/>
  <c r="AV643" i="5"/>
  <c r="AU643" i="5"/>
  <c r="AT643" i="5"/>
  <c r="AS643" i="5"/>
  <c r="AR643" i="5"/>
  <c r="AQ643" i="5"/>
  <c r="AP643" i="5"/>
  <c r="AO643" i="5"/>
  <c r="AN643" i="5"/>
  <c r="AM643" i="5"/>
  <c r="AL643" i="5"/>
  <c r="AK643" i="5"/>
  <c r="AJ643" i="5"/>
  <c r="AI643" i="5"/>
  <c r="AH643" i="5"/>
  <c r="AG643" i="5"/>
  <c r="AF643" i="5"/>
  <c r="AE643" i="5"/>
  <c r="AD643" i="5"/>
  <c r="AC643" i="5"/>
  <c r="AB643" i="5"/>
  <c r="AA643" i="5"/>
  <c r="Z643" i="5"/>
  <c r="Y643" i="5"/>
  <c r="X643" i="5"/>
  <c r="W643" i="5"/>
  <c r="V643" i="5"/>
  <c r="U643" i="5"/>
  <c r="T643" i="5"/>
  <c r="S643" i="5"/>
  <c r="R643" i="5"/>
  <c r="Q643" i="5"/>
  <c r="P643" i="5"/>
  <c r="O643" i="5"/>
  <c r="N643" i="5"/>
  <c r="M643" i="5"/>
  <c r="L643" i="5"/>
  <c r="K643" i="5"/>
  <c r="J643" i="5"/>
  <c r="I643" i="5"/>
  <c r="H643" i="5"/>
  <c r="G643" i="5"/>
  <c r="F643" i="5"/>
  <c r="CI642" i="5"/>
  <c r="CH642" i="5"/>
  <c r="CG642" i="5"/>
  <c r="CF642" i="5"/>
  <c r="CE642" i="5"/>
  <c r="CD642" i="5"/>
  <c r="CC642" i="5"/>
  <c r="CB642" i="5"/>
  <c r="CA642" i="5"/>
  <c r="BZ642" i="5"/>
  <c r="BY642" i="5"/>
  <c r="BX642" i="5"/>
  <c r="BW642" i="5"/>
  <c r="BV642" i="5"/>
  <c r="BU642" i="5"/>
  <c r="BT642" i="5"/>
  <c r="BS642" i="5"/>
  <c r="BR642" i="5"/>
  <c r="BQ642" i="5"/>
  <c r="BP642" i="5"/>
  <c r="BO642" i="5"/>
  <c r="BN642" i="5"/>
  <c r="BM642" i="5"/>
  <c r="BL642" i="5"/>
  <c r="BK642" i="5"/>
  <c r="BJ642" i="5"/>
  <c r="BI642" i="5"/>
  <c r="BH642" i="5"/>
  <c r="BG642" i="5"/>
  <c r="BF642" i="5"/>
  <c r="BE642" i="5"/>
  <c r="BD642" i="5"/>
  <c r="BC642" i="5"/>
  <c r="BB642" i="5"/>
  <c r="BA642" i="5"/>
  <c r="AZ642" i="5"/>
  <c r="AY642" i="5"/>
  <c r="AX642" i="5"/>
  <c r="AW642" i="5"/>
  <c r="AV642" i="5"/>
  <c r="AU642" i="5"/>
  <c r="AT642" i="5"/>
  <c r="AS642" i="5"/>
  <c r="AR642" i="5"/>
  <c r="AQ642" i="5"/>
  <c r="AP642" i="5"/>
  <c r="AO642" i="5"/>
  <c r="AN642" i="5"/>
  <c r="AM642" i="5"/>
  <c r="AL642" i="5"/>
  <c r="AK642" i="5"/>
  <c r="AJ642" i="5"/>
  <c r="AI642" i="5"/>
  <c r="AH642" i="5"/>
  <c r="AG642" i="5"/>
  <c r="AF642" i="5"/>
  <c r="AE642" i="5"/>
  <c r="AD642" i="5"/>
  <c r="AC642" i="5"/>
  <c r="AB642" i="5"/>
  <c r="AA642" i="5"/>
  <c r="Z642" i="5"/>
  <c r="Y642" i="5"/>
  <c r="X642" i="5"/>
  <c r="W642" i="5"/>
  <c r="V642" i="5"/>
  <c r="U642" i="5"/>
  <c r="T642" i="5"/>
  <c r="S642" i="5"/>
  <c r="R642" i="5"/>
  <c r="Q642" i="5"/>
  <c r="P642" i="5"/>
  <c r="O642" i="5"/>
  <c r="N642" i="5"/>
  <c r="M642" i="5"/>
  <c r="L642" i="5"/>
  <c r="K642" i="5"/>
  <c r="J642" i="5"/>
  <c r="I642" i="5"/>
  <c r="H642" i="5"/>
  <c r="G642" i="5"/>
  <c r="F642" i="5"/>
  <c r="CI641" i="5"/>
  <c r="CH641" i="5"/>
  <c r="CG641" i="5"/>
  <c r="CF641" i="5"/>
  <c r="CE641" i="5"/>
  <c r="CD641" i="5"/>
  <c r="CC641" i="5"/>
  <c r="CB641" i="5"/>
  <c r="CA641" i="5"/>
  <c r="BZ641" i="5"/>
  <c r="BY641" i="5"/>
  <c r="BX641" i="5"/>
  <c r="BW641" i="5"/>
  <c r="BV641" i="5"/>
  <c r="BU641" i="5"/>
  <c r="BT641" i="5"/>
  <c r="BS641" i="5"/>
  <c r="BR641" i="5"/>
  <c r="BQ641" i="5"/>
  <c r="BP641" i="5"/>
  <c r="BO641" i="5"/>
  <c r="BN641" i="5"/>
  <c r="BM641" i="5"/>
  <c r="BL641" i="5"/>
  <c r="BK641" i="5"/>
  <c r="BJ641" i="5"/>
  <c r="BI641" i="5"/>
  <c r="BH641" i="5"/>
  <c r="BG641" i="5"/>
  <c r="BF641" i="5"/>
  <c r="BE641" i="5"/>
  <c r="BD641" i="5"/>
  <c r="BC641" i="5"/>
  <c r="BB641" i="5"/>
  <c r="BA641" i="5"/>
  <c r="AZ641" i="5"/>
  <c r="AY641" i="5"/>
  <c r="AX641" i="5"/>
  <c r="AW641" i="5"/>
  <c r="AV641" i="5"/>
  <c r="AU641" i="5"/>
  <c r="AT641" i="5"/>
  <c r="AS641" i="5"/>
  <c r="AR641" i="5"/>
  <c r="AQ641" i="5"/>
  <c r="AP641" i="5"/>
  <c r="AO641" i="5"/>
  <c r="AN641" i="5"/>
  <c r="AM641" i="5"/>
  <c r="AL641" i="5"/>
  <c r="AK641" i="5"/>
  <c r="AJ641" i="5"/>
  <c r="AI641" i="5"/>
  <c r="AH641" i="5"/>
  <c r="AG641" i="5"/>
  <c r="AF641" i="5"/>
  <c r="AE641" i="5"/>
  <c r="AD641" i="5"/>
  <c r="AC641" i="5"/>
  <c r="AB641" i="5"/>
  <c r="AA641" i="5"/>
  <c r="Z641" i="5"/>
  <c r="Y641" i="5"/>
  <c r="X641" i="5"/>
  <c r="W641" i="5"/>
  <c r="V641" i="5"/>
  <c r="U641" i="5"/>
  <c r="T641" i="5"/>
  <c r="S641" i="5"/>
  <c r="R641" i="5"/>
  <c r="Q641" i="5"/>
  <c r="P641" i="5"/>
  <c r="O641" i="5"/>
  <c r="N641" i="5"/>
  <c r="M641" i="5"/>
  <c r="L641" i="5"/>
  <c r="K641" i="5"/>
  <c r="J641" i="5"/>
  <c r="I641" i="5"/>
  <c r="H641" i="5"/>
  <c r="G641" i="5"/>
  <c r="F641" i="5"/>
  <c r="CI640" i="5"/>
  <c r="CH640" i="5"/>
  <c r="CG640" i="5"/>
  <c r="CF640" i="5"/>
  <c r="CE640" i="5"/>
  <c r="CD640" i="5"/>
  <c r="CC640" i="5"/>
  <c r="CB640" i="5"/>
  <c r="CA640" i="5"/>
  <c r="BZ640" i="5"/>
  <c r="BY640" i="5"/>
  <c r="BX640" i="5"/>
  <c r="BW640" i="5"/>
  <c r="BV640" i="5"/>
  <c r="BU640" i="5"/>
  <c r="BT640" i="5"/>
  <c r="BS640" i="5"/>
  <c r="BR640" i="5"/>
  <c r="BQ640" i="5"/>
  <c r="BP640" i="5"/>
  <c r="BO640" i="5"/>
  <c r="BN640" i="5"/>
  <c r="BM640" i="5"/>
  <c r="BL640" i="5"/>
  <c r="BK640" i="5"/>
  <c r="BJ640" i="5"/>
  <c r="BI640" i="5"/>
  <c r="BH640" i="5"/>
  <c r="BG640" i="5"/>
  <c r="BF640" i="5"/>
  <c r="BE640" i="5"/>
  <c r="BD640" i="5"/>
  <c r="BC640" i="5"/>
  <c r="BB640" i="5"/>
  <c r="BA640" i="5"/>
  <c r="AZ640" i="5"/>
  <c r="AY640" i="5"/>
  <c r="AX640" i="5"/>
  <c r="AW640" i="5"/>
  <c r="AV640" i="5"/>
  <c r="AU640" i="5"/>
  <c r="AT640" i="5"/>
  <c r="AS640" i="5"/>
  <c r="AR640" i="5"/>
  <c r="AQ640" i="5"/>
  <c r="AP640" i="5"/>
  <c r="AO640" i="5"/>
  <c r="AN640" i="5"/>
  <c r="AM640" i="5"/>
  <c r="AL640" i="5"/>
  <c r="AK640" i="5"/>
  <c r="AJ640" i="5"/>
  <c r="AI640" i="5"/>
  <c r="AH640" i="5"/>
  <c r="AG640" i="5"/>
  <c r="AF640" i="5"/>
  <c r="AE640" i="5"/>
  <c r="AD640" i="5"/>
  <c r="AC640" i="5"/>
  <c r="AB640" i="5"/>
  <c r="AA640" i="5"/>
  <c r="Z640" i="5"/>
  <c r="Y640" i="5"/>
  <c r="X640" i="5"/>
  <c r="W640" i="5"/>
  <c r="V640" i="5"/>
  <c r="U640" i="5"/>
  <c r="T640" i="5"/>
  <c r="S640" i="5"/>
  <c r="R640" i="5"/>
  <c r="Q640" i="5"/>
  <c r="P640" i="5"/>
  <c r="O640" i="5"/>
  <c r="N640" i="5"/>
  <c r="M640" i="5"/>
  <c r="L640" i="5"/>
  <c r="K640" i="5"/>
  <c r="J640" i="5"/>
  <c r="I640" i="5"/>
  <c r="H640" i="5"/>
  <c r="G640" i="5"/>
  <c r="F640" i="5"/>
  <c r="CI639" i="5"/>
  <c r="CH639" i="5"/>
  <c r="CG639" i="5"/>
  <c r="CF639" i="5"/>
  <c r="CE639" i="5"/>
  <c r="CD639" i="5"/>
  <c r="CC639" i="5"/>
  <c r="CB639" i="5"/>
  <c r="CA639" i="5"/>
  <c r="BZ639" i="5"/>
  <c r="BY639" i="5"/>
  <c r="BX639" i="5"/>
  <c r="BW639" i="5"/>
  <c r="BV639" i="5"/>
  <c r="BU639" i="5"/>
  <c r="BT639" i="5"/>
  <c r="BS639" i="5"/>
  <c r="BR639" i="5"/>
  <c r="BQ639" i="5"/>
  <c r="BP639" i="5"/>
  <c r="BO639" i="5"/>
  <c r="BN639" i="5"/>
  <c r="BM639" i="5"/>
  <c r="BL639" i="5"/>
  <c r="BK639" i="5"/>
  <c r="BJ639" i="5"/>
  <c r="BI639" i="5"/>
  <c r="BH639" i="5"/>
  <c r="BG639" i="5"/>
  <c r="BF639" i="5"/>
  <c r="BE639" i="5"/>
  <c r="BD639" i="5"/>
  <c r="BC639" i="5"/>
  <c r="BB639" i="5"/>
  <c r="BA639" i="5"/>
  <c r="AZ639" i="5"/>
  <c r="AY639" i="5"/>
  <c r="AX639" i="5"/>
  <c r="AW639" i="5"/>
  <c r="AV639" i="5"/>
  <c r="AU639" i="5"/>
  <c r="AT639" i="5"/>
  <c r="AS639" i="5"/>
  <c r="AR639" i="5"/>
  <c r="AQ639" i="5"/>
  <c r="AP639" i="5"/>
  <c r="AO639" i="5"/>
  <c r="AN639" i="5"/>
  <c r="AM639" i="5"/>
  <c r="AL639" i="5"/>
  <c r="AK639" i="5"/>
  <c r="AJ639" i="5"/>
  <c r="AI639" i="5"/>
  <c r="AH639" i="5"/>
  <c r="AG639" i="5"/>
  <c r="AF639" i="5"/>
  <c r="AE639" i="5"/>
  <c r="AD639" i="5"/>
  <c r="AC639" i="5"/>
  <c r="AB639" i="5"/>
  <c r="AA639" i="5"/>
  <c r="Z639" i="5"/>
  <c r="Y639" i="5"/>
  <c r="X639" i="5"/>
  <c r="W639" i="5"/>
  <c r="V639" i="5"/>
  <c r="U639" i="5"/>
  <c r="T639" i="5"/>
  <c r="S639" i="5"/>
  <c r="R639" i="5"/>
  <c r="Q639" i="5"/>
  <c r="P639" i="5"/>
  <c r="O639" i="5"/>
  <c r="N639" i="5"/>
  <c r="M639" i="5"/>
  <c r="L639" i="5"/>
  <c r="K639" i="5"/>
  <c r="J639" i="5"/>
  <c r="I639" i="5"/>
  <c r="H639" i="5"/>
  <c r="G639" i="5"/>
  <c r="F639" i="5"/>
  <c r="CI638" i="5"/>
  <c r="CH638" i="5"/>
  <c r="CG638" i="5"/>
  <c r="CF638" i="5"/>
  <c r="CE638" i="5"/>
  <c r="CD638" i="5"/>
  <c r="CC638" i="5"/>
  <c r="CB638" i="5"/>
  <c r="CA638" i="5"/>
  <c r="BZ638" i="5"/>
  <c r="BY638" i="5"/>
  <c r="BX638" i="5"/>
  <c r="BW638" i="5"/>
  <c r="BV638" i="5"/>
  <c r="BU638" i="5"/>
  <c r="BT638" i="5"/>
  <c r="BS638" i="5"/>
  <c r="BR638" i="5"/>
  <c r="BQ638" i="5"/>
  <c r="BP638" i="5"/>
  <c r="BO638" i="5"/>
  <c r="BN638" i="5"/>
  <c r="BM638" i="5"/>
  <c r="BL638" i="5"/>
  <c r="BK638" i="5"/>
  <c r="BJ638" i="5"/>
  <c r="BI638" i="5"/>
  <c r="BH638" i="5"/>
  <c r="BG638" i="5"/>
  <c r="BF638" i="5"/>
  <c r="BE638" i="5"/>
  <c r="BD638" i="5"/>
  <c r="BC638" i="5"/>
  <c r="BB638" i="5"/>
  <c r="BA638" i="5"/>
  <c r="AZ638" i="5"/>
  <c r="AY638" i="5"/>
  <c r="AX638" i="5"/>
  <c r="AW638" i="5"/>
  <c r="AV638" i="5"/>
  <c r="AU638" i="5"/>
  <c r="AT638" i="5"/>
  <c r="AS638" i="5"/>
  <c r="AR638" i="5"/>
  <c r="AQ638" i="5"/>
  <c r="AP638" i="5"/>
  <c r="AO638" i="5"/>
  <c r="AN638" i="5"/>
  <c r="AM638" i="5"/>
  <c r="AL638" i="5"/>
  <c r="AK638" i="5"/>
  <c r="AJ638" i="5"/>
  <c r="AI638" i="5"/>
  <c r="AH638" i="5"/>
  <c r="AG638" i="5"/>
  <c r="AF638" i="5"/>
  <c r="AE638" i="5"/>
  <c r="AD638" i="5"/>
  <c r="AC638" i="5"/>
  <c r="AB638" i="5"/>
  <c r="AA638" i="5"/>
  <c r="Z638" i="5"/>
  <c r="Y638" i="5"/>
  <c r="X638" i="5"/>
  <c r="W638" i="5"/>
  <c r="V638" i="5"/>
  <c r="U638" i="5"/>
  <c r="T638" i="5"/>
  <c r="S638" i="5"/>
  <c r="R638" i="5"/>
  <c r="Q638" i="5"/>
  <c r="P638" i="5"/>
  <c r="O638" i="5"/>
  <c r="N638" i="5"/>
  <c r="M638" i="5"/>
  <c r="L638" i="5"/>
  <c r="K638" i="5"/>
  <c r="J638" i="5"/>
  <c r="I638" i="5"/>
  <c r="H638" i="5"/>
  <c r="G638" i="5"/>
  <c r="F638" i="5"/>
  <c r="CI637" i="5"/>
  <c r="CH637" i="5"/>
  <c r="CG637" i="5"/>
  <c r="CF637" i="5"/>
  <c r="CE637" i="5"/>
  <c r="CD637" i="5"/>
  <c r="CC637" i="5"/>
  <c r="CB637" i="5"/>
  <c r="CA637" i="5"/>
  <c r="BZ637" i="5"/>
  <c r="BY637" i="5"/>
  <c r="BX637" i="5"/>
  <c r="BW637" i="5"/>
  <c r="BV637" i="5"/>
  <c r="BU637" i="5"/>
  <c r="BT637" i="5"/>
  <c r="BS637" i="5"/>
  <c r="BR637" i="5"/>
  <c r="BQ637" i="5"/>
  <c r="BP637" i="5"/>
  <c r="BO637" i="5"/>
  <c r="BN637" i="5"/>
  <c r="BM637" i="5"/>
  <c r="BL637" i="5"/>
  <c r="BK637" i="5"/>
  <c r="BJ637" i="5"/>
  <c r="BI637" i="5"/>
  <c r="BH637" i="5"/>
  <c r="BG637" i="5"/>
  <c r="BF637" i="5"/>
  <c r="BE637" i="5"/>
  <c r="BD637" i="5"/>
  <c r="BC637" i="5"/>
  <c r="BB637" i="5"/>
  <c r="BA637" i="5"/>
  <c r="AZ637" i="5"/>
  <c r="AY637" i="5"/>
  <c r="AX637" i="5"/>
  <c r="AW637" i="5"/>
  <c r="AV637" i="5"/>
  <c r="AU637" i="5"/>
  <c r="AT637" i="5"/>
  <c r="AS637" i="5"/>
  <c r="AR637" i="5"/>
  <c r="AQ637" i="5"/>
  <c r="AP637" i="5"/>
  <c r="AO637" i="5"/>
  <c r="AN637" i="5"/>
  <c r="AM637" i="5"/>
  <c r="AL637" i="5"/>
  <c r="AK637" i="5"/>
  <c r="AJ637" i="5"/>
  <c r="AI637" i="5"/>
  <c r="AH637" i="5"/>
  <c r="AG637" i="5"/>
  <c r="AF637" i="5"/>
  <c r="AE637" i="5"/>
  <c r="AD637" i="5"/>
  <c r="AC637" i="5"/>
  <c r="AB637" i="5"/>
  <c r="AA637" i="5"/>
  <c r="Z637" i="5"/>
  <c r="Y637" i="5"/>
  <c r="X637" i="5"/>
  <c r="W637" i="5"/>
  <c r="V637" i="5"/>
  <c r="U637" i="5"/>
  <c r="T637" i="5"/>
  <c r="S637" i="5"/>
  <c r="R637" i="5"/>
  <c r="Q637" i="5"/>
  <c r="P637" i="5"/>
  <c r="O637" i="5"/>
  <c r="N637" i="5"/>
  <c r="M637" i="5"/>
  <c r="L637" i="5"/>
  <c r="K637" i="5"/>
  <c r="J637" i="5"/>
  <c r="I637" i="5"/>
  <c r="H637" i="5"/>
  <c r="G637" i="5"/>
  <c r="F637" i="5"/>
  <c r="CI636" i="5"/>
  <c r="CH636" i="5"/>
  <c r="CG636" i="5"/>
  <c r="CF636" i="5"/>
  <c r="CE636" i="5"/>
  <c r="CD636" i="5"/>
  <c r="CC636" i="5"/>
  <c r="CB636" i="5"/>
  <c r="CA636" i="5"/>
  <c r="BZ636" i="5"/>
  <c r="BY636" i="5"/>
  <c r="BX636" i="5"/>
  <c r="BW636" i="5"/>
  <c r="BV636" i="5"/>
  <c r="BU636" i="5"/>
  <c r="BT636" i="5"/>
  <c r="BS636" i="5"/>
  <c r="BR636" i="5"/>
  <c r="BQ636" i="5"/>
  <c r="BP636" i="5"/>
  <c r="BO636" i="5"/>
  <c r="BN636" i="5"/>
  <c r="BM636" i="5"/>
  <c r="BL636" i="5"/>
  <c r="BK636" i="5"/>
  <c r="BJ636" i="5"/>
  <c r="BI636" i="5"/>
  <c r="BH636" i="5"/>
  <c r="BG636" i="5"/>
  <c r="BF636" i="5"/>
  <c r="BE636" i="5"/>
  <c r="BD636" i="5"/>
  <c r="BC636" i="5"/>
  <c r="BB636" i="5"/>
  <c r="BA636" i="5"/>
  <c r="AZ636" i="5"/>
  <c r="AY636" i="5"/>
  <c r="AX636" i="5"/>
  <c r="AW636" i="5"/>
  <c r="AV636" i="5"/>
  <c r="AU636" i="5"/>
  <c r="AT636" i="5"/>
  <c r="AS636" i="5"/>
  <c r="AR636" i="5"/>
  <c r="AQ636" i="5"/>
  <c r="AP636" i="5"/>
  <c r="AO636" i="5"/>
  <c r="AN636" i="5"/>
  <c r="AM636" i="5"/>
  <c r="AL636" i="5"/>
  <c r="AK636" i="5"/>
  <c r="AJ636" i="5"/>
  <c r="AI636" i="5"/>
  <c r="AH636" i="5"/>
  <c r="AG636" i="5"/>
  <c r="AF636" i="5"/>
  <c r="AE636" i="5"/>
  <c r="AD636" i="5"/>
  <c r="AC636" i="5"/>
  <c r="AB636" i="5"/>
  <c r="AA636" i="5"/>
  <c r="Z636" i="5"/>
  <c r="Y636" i="5"/>
  <c r="X636" i="5"/>
  <c r="W636" i="5"/>
  <c r="V636" i="5"/>
  <c r="U636" i="5"/>
  <c r="T636" i="5"/>
  <c r="S636" i="5"/>
  <c r="R636" i="5"/>
  <c r="Q636" i="5"/>
  <c r="P636" i="5"/>
  <c r="O636" i="5"/>
  <c r="N636" i="5"/>
  <c r="M636" i="5"/>
  <c r="L636" i="5"/>
  <c r="K636" i="5"/>
  <c r="J636" i="5"/>
  <c r="I636" i="5"/>
  <c r="H636" i="5"/>
  <c r="G636" i="5"/>
  <c r="F636" i="5"/>
  <c r="CI635" i="5"/>
  <c r="CH635" i="5"/>
  <c r="CG635" i="5"/>
  <c r="CF635" i="5"/>
  <c r="CE635" i="5"/>
  <c r="CD635" i="5"/>
  <c r="CC635" i="5"/>
  <c r="CB635" i="5"/>
  <c r="CA635" i="5"/>
  <c r="BZ635" i="5"/>
  <c r="BY635" i="5"/>
  <c r="BX635" i="5"/>
  <c r="BW635" i="5"/>
  <c r="BV635" i="5"/>
  <c r="BU635" i="5"/>
  <c r="BT635" i="5"/>
  <c r="BS635" i="5"/>
  <c r="BR635" i="5"/>
  <c r="BQ635" i="5"/>
  <c r="BP635" i="5"/>
  <c r="BO635" i="5"/>
  <c r="BN635" i="5"/>
  <c r="BM635" i="5"/>
  <c r="BL635" i="5"/>
  <c r="BK635" i="5"/>
  <c r="BJ635" i="5"/>
  <c r="BI635" i="5"/>
  <c r="BH635" i="5"/>
  <c r="BG635" i="5"/>
  <c r="BF635" i="5"/>
  <c r="BE635" i="5"/>
  <c r="BD635" i="5"/>
  <c r="BC635" i="5"/>
  <c r="BB635" i="5"/>
  <c r="BA635" i="5"/>
  <c r="AZ635" i="5"/>
  <c r="AY635" i="5"/>
  <c r="AX635" i="5"/>
  <c r="AW635" i="5"/>
  <c r="AV635" i="5"/>
  <c r="AU635" i="5"/>
  <c r="AT635" i="5"/>
  <c r="AS635" i="5"/>
  <c r="AR635" i="5"/>
  <c r="AQ635" i="5"/>
  <c r="AP635" i="5"/>
  <c r="AO635" i="5"/>
  <c r="AN635" i="5"/>
  <c r="AM635" i="5"/>
  <c r="AL635" i="5"/>
  <c r="AK635" i="5"/>
  <c r="AJ635" i="5"/>
  <c r="AI635" i="5"/>
  <c r="AH635" i="5"/>
  <c r="AG635" i="5"/>
  <c r="AF635" i="5"/>
  <c r="AE635" i="5"/>
  <c r="AD635" i="5"/>
  <c r="AC635" i="5"/>
  <c r="AB635" i="5"/>
  <c r="AA635" i="5"/>
  <c r="Z635" i="5"/>
  <c r="Y635" i="5"/>
  <c r="X635" i="5"/>
  <c r="W635" i="5"/>
  <c r="V635" i="5"/>
  <c r="U635" i="5"/>
  <c r="T635" i="5"/>
  <c r="S635" i="5"/>
  <c r="R635" i="5"/>
  <c r="Q635" i="5"/>
  <c r="P635" i="5"/>
  <c r="O635" i="5"/>
  <c r="N635" i="5"/>
  <c r="M635" i="5"/>
  <c r="L635" i="5"/>
  <c r="K635" i="5"/>
  <c r="J635" i="5"/>
  <c r="I635" i="5"/>
  <c r="H635" i="5"/>
  <c r="G635" i="5"/>
  <c r="F635" i="5"/>
  <c r="CI634" i="5"/>
  <c r="CH634" i="5"/>
  <c r="CG634" i="5"/>
  <c r="CF634" i="5"/>
  <c r="CE634" i="5"/>
  <c r="CD634" i="5"/>
  <c r="CC634" i="5"/>
  <c r="CB634" i="5"/>
  <c r="CA634" i="5"/>
  <c r="BZ634" i="5"/>
  <c r="BY634" i="5"/>
  <c r="BX634" i="5"/>
  <c r="BW634" i="5"/>
  <c r="BV634" i="5"/>
  <c r="BU634" i="5"/>
  <c r="BT634" i="5"/>
  <c r="BS634" i="5"/>
  <c r="BR634" i="5"/>
  <c r="BQ634" i="5"/>
  <c r="BP634" i="5"/>
  <c r="BO634" i="5"/>
  <c r="BN634" i="5"/>
  <c r="BM634" i="5"/>
  <c r="BL634" i="5"/>
  <c r="BK634" i="5"/>
  <c r="BJ634" i="5"/>
  <c r="BI634" i="5"/>
  <c r="BH634" i="5"/>
  <c r="BG634" i="5"/>
  <c r="BF634" i="5"/>
  <c r="BE634" i="5"/>
  <c r="BD634" i="5"/>
  <c r="BC634" i="5"/>
  <c r="BB634" i="5"/>
  <c r="BA634" i="5"/>
  <c r="AZ634" i="5"/>
  <c r="AY634" i="5"/>
  <c r="AX634" i="5"/>
  <c r="AW634" i="5"/>
  <c r="AV634" i="5"/>
  <c r="AU634" i="5"/>
  <c r="AT634" i="5"/>
  <c r="AS634" i="5"/>
  <c r="AR634" i="5"/>
  <c r="AQ634" i="5"/>
  <c r="AP634" i="5"/>
  <c r="AO634" i="5"/>
  <c r="AN634" i="5"/>
  <c r="AM634" i="5"/>
  <c r="AL634" i="5"/>
  <c r="AK634" i="5"/>
  <c r="AJ634" i="5"/>
  <c r="AI634" i="5"/>
  <c r="AH634" i="5"/>
  <c r="AG634" i="5"/>
  <c r="AF634" i="5"/>
  <c r="AE634" i="5"/>
  <c r="AD634" i="5"/>
  <c r="AC634" i="5"/>
  <c r="AB634" i="5"/>
  <c r="AA634" i="5"/>
  <c r="Z634" i="5"/>
  <c r="Y634" i="5"/>
  <c r="X634" i="5"/>
  <c r="W634" i="5"/>
  <c r="V634" i="5"/>
  <c r="U634" i="5"/>
  <c r="T634" i="5"/>
  <c r="S634" i="5"/>
  <c r="R634" i="5"/>
  <c r="Q634" i="5"/>
  <c r="P634" i="5"/>
  <c r="O634" i="5"/>
  <c r="N634" i="5"/>
  <c r="M634" i="5"/>
  <c r="L634" i="5"/>
  <c r="K634" i="5"/>
  <c r="J634" i="5"/>
  <c r="I634" i="5"/>
  <c r="H634" i="5"/>
  <c r="G634" i="5"/>
  <c r="F634" i="5"/>
  <c r="CI633" i="5"/>
  <c r="CH633" i="5"/>
  <c r="CG633" i="5"/>
  <c r="CF633" i="5"/>
  <c r="CE633" i="5"/>
  <c r="CD633" i="5"/>
  <c r="CC633" i="5"/>
  <c r="CB633" i="5"/>
  <c r="CA633" i="5"/>
  <c r="BZ633" i="5"/>
  <c r="BY633" i="5"/>
  <c r="BX633" i="5"/>
  <c r="BW633" i="5"/>
  <c r="BV633" i="5"/>
  <c r="BU633" i="5"/>
  <c r="BT633" i="5"/>
  <c r="BS633" i="5"/>
  <c r="BR633" i="5"/>
  <c r="BQ633" i="5"/>
  <c r="BP633" i="5"/>
  <c r="BO633" i="5"/>
  <c r="BN633" i="5"/>
  <c r="BM633" i="5"/>
  <c r="BL633" i="5"/>
  <c r="BK633" i="5"/>
  <c r="BJ633" i="5"/>
  <c r="BI633" i="5"/>
  <c r="BH633" i="5"/>
  <c r="BG633" i="5"/>
  <c r="BF633" i="5"/>
  <c r="BE633" i="5"/>
  <c r="BD633" i="5"/>
  <c r="BC633" i="5"/>
  <c r="BB633" i="5"/>
  <c r="BA633" i="5"/>
  <c r="AZ633" i="5"/>
  <c r="AY633" i="5"/>
  <c r="AX633" i="5"/>
  <c r="AW633" i="5"/>
  <c r="AV633" i="5"/>
  <c r="AU633" i="5"/>
  <c r="AT633" i="5"/>
  <c r="AS633" i="5"/>
  <c r="AR633" i="5"/>
  <c r="AQ633" i="5"/>
  <c r="AP633" i="5"/>
  <c r="AO633" i="5"/>
  <c r="AN633" i="5"/>
  <c r="AM633" i="5"/>
  <c r="AL633" i="5"/>
  <c r="AK633" i="5"/>
  <c r="AJ633" i="5"/>
  <c r="AI633" i="5"/>
  <c r="AH633" i="5"/>
  <c r="AG633" i="5"/>
  <c r="AF633" i="5"/>
  <c r="AE633" i="5"/>
  <c r="AD633" i="5"/>
  <c r="AC633" i="5"/>
  <c r="AB633" i="5"/>
  <c r="AA633" i="5"/>
  <c r="Z633" i="5"/>
  <c r="Y633" i="5"/>
  <c r="X633" i="5"/>
  <c r="W633" i="5"/>
  <c r="V633" i="5"/>
  <c r="U633" i="5"/>
  <c r="T633" i="5"/>
  <c r="S633" i="5"/>
  <c r="R633" i="5"/>
  <c r="Q633" i="5"/>
  <c r="P633" i="5"/>
  <c r="O633" i="5"/>
  <c r="N633" i="5"/>
  <c r="M633" i="5"/>
  <c r="L633" i="5"/>
  <c r="K633" i="5"/>
  <c r="J633" i="5"/>
  <c r="I633" i="5"/>
  <c r="H633" i="5"/>
  <c r="G633" i="5"/>
  <c r="F633" i="5"/>
  <c r="CI632" i="5"/>
  <c r="CH632" i="5"/>
  <c r="CG632" i="5"/>
  <c r="CF632" i="5"/>
  <c r="CE632" i="5"/>
  <c r="CD632" i="5"/>
  <c r="CC632" i="5"/>
  <c r="CB632" i="5"/>
  <c r="CA632" i="5"/>
  <c r="BZ632" i="5"/>
  <c r="BY632" i="5"/>
  <c r="BX632" i="5"/>
  <c r="BW632" i="5"/>
  <c r="BV632" i="5"/>
  <c r="BU632" i="5"/>
  <c r="BT632" i="5"/>
  <c r="BS632" i="5"/>
  <c r="BR632" i="5"/>
  <c r="BQ632" i="5"/>
  <c r="BP632" i="5"/>
  <c r="BO632" i="5"/>
  <c r="BN632" i="5"/>
  <c r="BM632" i="5"/>
  <c r="BL632" i="5"/>
  <c r="BK632" i="5"/>
  <c r="BJ632" i="5"/>
  <c r="BI632" i="5"/>
  <c r="BH632" i="5"/>
  <c r="BG632" i="5"/>
  <c r="BF632" i="5"/>
  <c r="BE632" i="5"/>
  <c r="BD632" i="5"/>
  <c r="BC632" i="5"/>
  <c r="BB632" i="5"/>
  <c r="BA632" i="5"/>
  <c r="AZ632" i="5"/>
  <c r="AY632" i="5"/>
  <c r="AX632" i="5"/>
  <c r="AW632" i="5"/>
  <c r="AV632" i="5"/>
  <c r="AU632" i="5"/>
  <c r="AT632" i="5"/>
  <c r="AS632" i="5"/>
  <c r="AR632" i="5"/>
  <c r="AQ632" i="5"/>
  <c r="AP632" i="5"/>
  <c r="AO632" i="5"/>
  <c r="AN632" i="5"/>
  <c r="AM632" i="5"/>
  <c r="AL632" i="5"/>
  <c r="AK632" i="5"/>
  <c r="AJ632" i="5"/>
  <c r="AI632" i="5"/>
  <c r="AH632" i="5"/>
  <c r="AG632" i="5"/>
  <c r="AF632" i="5"/>
  <c r="AE632" i="5"/>
  <c r="AD632" i="5"/>
  <c r="AC632" i="5"/>
  <c r="AB632" i="5"/>
  <c r="AA632" i="5"/>
  <c r="Z632" i="5"/>
  <c r="Y632" i="5"/>
  <c r="X632" i="5"/>
  <c r="W632" i="5"/>
  <c r="V632" i="5"/>
  <c r="U632" i="5"/>
  <c r="T632" i="5"/>
  <c r="S632" i="5"/>
  <c r="R632" i="5"/>
  <c r="Q632" i="5"/>
  <c r="P632" i="5"/>
  <c r="O632" i="5"/>
  <c r="N632" i="5"/>
  <c r="M632" i="5"/>
  <c r="L632" i="5"/>
  <c r="K632" i="5"/>
  <c r="J632" i="5"/>
  <c r="I632" i="5"/>
  <c r="H632" i="5"/>
  <c r="G632" i="5"/>
  <c r="F632" i="5"/>
  <c r="CI631" i="5"/>
  <c r="CH631" i="5"/>
  <c r="CG631" i="5"/>
  <c r="CF631" i="5"/>
  <c r="CE631" i="5"/>
  <c r="CD631" i="5"/>
  <c r="CC631" i="5"/>
  <c r="CB631" i="5"/>
  <c r="CA631" i="5"/>
  <c r="BZ631" i="5"/>
  <c r="BY631" i="5"/>
  <c r="BX631" i="5"/>
  <c r="BW631" i="5"/>
  <c r="BV631" i="5"/>
  <c r="BU631" i="5"/>
  <c r="BT631" i="5"/>
  <c r="BS631" i="5"/>
  <c r="BR631" i="5"/>
  <c r="BQ631" i="5"/>
  <c r="BP631" i="5"/>
  <c r="BO631" i="5"/>
  <c r="BN631" i="5"/>
  <c r="BM631" i="5"/>
  <c r="BL631" i="5"/>
  <c r="BK631" i="5"/>
  <c r="BJ631" i="5"/>
  <c r="BI631" i="5"/>
  <c r="BH631" i="5"/>
  <c r="BG631" i="5"/>
  <c r="BF631" i="5"/>
  <c r="BE631" i="5"/>
  <c r="BD631" i="5"/>
  <c r="BC631" i="5"/>
  <c r="BB631" i="5"/>
  <c r="BA631" i="5"/>
  <c r="AZ631" i="5"/>
  <c r="AY631" i="5"/>
  <c r="AX631" i="5"/>
  <c r="AW631" i="5"/>
  <c r="AV631" i="5"/>
  <c r="AU631" i="5"/>
  <c r="AT631" i="5"/>
  <c r="AS631" i="5"/>
  <c r="AR631" i="5"/>
  <c r="AQ631" i="5"/>
  <c r="AP631" i="5"/>
  <c r="AO631" i="5"/>
  <c r="AN631" i="5"/>
  <c r="AM631" i="5"/>
  <c r="AL631" i="5"/>
  <c r="AK631" i="5"/>
  <c r="AJ631" i="5"/>
  <c r="AI631" i="5"/>
  <c r="AH631" i="5"/>
  <c r="AG631" i="5"/>
  <c r="AF631" i="5"/>
  <c r="AE631" i="5"/>
  <c r="AD631" i="5"/>
  <c r="AC631" i="5"/>
  <c r="AB631" i="5"/>
  <c r="AA631" i="5"/>
  <c r="Z631" i="5"/>
  <c r="Y631" i="5"/>
  <c r="X631" i="5"/>
  <c r="W631" i="5"/>
  <c r="V631" i="5"/>
  <c r="U631" i="5"/>
  <c r="T631" i="5"/>
  <c r="S631" i="5"/>
  <c r="R631" i="5"/>
  <c r="Q631" i="5"/>
  <c r="P631" i="5"/>
  <c r="O631" i="5"/>
  <c r="N631" i="5"/>
  <c r="M631" i="5"/>
  <c r="L631" i="5"/>
  <c r="K631" i="5"/>
  <c r="J631" i="5"/>
  <c r="I631" i="5"/>
  <c r="H631" i="5"/>
  <c r="G631" i="5"/>
  <c r="F631" i="5"/>
  <c r="CI630" i="5"/>
  <c r="CH630" i="5"/>
  <c r="CG630" i="5"/>
  <c r="CF630" i="5"/>
  <c r="CE630" i="5"/>
  <c r="CD630" i="5"/>
  <c r="CC630" i="5"/>
  <c r="CB630" i="5"/>
  <c r="CA630" i="5"/>
  <c r="BZ630" i="5"/>
  <c r="BY630" i="5"/>
  <c r="BX630" i="5"/>
  <c r="BW630" i="5"/>
  <c r="BV630" i="5"/>
  <c r="BU630" i="5"/>
  <c r="BT630" i="5"/>
  <c r="BS630" i="5"/>
  <c r="BR630" i="5"/>
  <c r="BQ630" i="5"/>
  <c r="BP630" i="5"/>
  <c r="BO630" i="5"/>
  <c r="BN630" i="5"/>
  <c r="BM630" i="5"/>
  <c r="BL630" i="5"/>
  <c r="BK630" i="5"/>
  <c r="BJ630" i="5"/>
  <c r="BI630" i="5"/>
  <c r="BH630" i="5"/>
  <c r="BG630" i="5"/>
  <c r="BF630" i="5"/>
  <c r="BE630" i="5"/>
  <c r="BD630" i="5"/>
  <c r="BC630" i="5"/>
  <c r="BB630" i="5"/>
  <c r="BA630" i="5"/>
  <c r="AZ630" i="5"/>
  <c r="AY630" i="5"/>
  <c r="AX630" i="5"/>
  <c r="AW630" i="5"/>
  <c r="AV630" i="5"/>
  <c r="AU630" i="5"/>
  <c r="AT630" i="5"/>
  <c r="AS630" i="5"/>
  <c r="AR630" i="5"/>
  <c r="AQ630" i="5"/>
  <c r="AP630" i="5"/>
  <c r="AO630" i="5"/>
  <c r="AN630" i="5"/>
  <c r="AM630" i="5"/>
  <c r="AL630" i="5"/>
  <c r="AK630" i="5"/>
  <c r="AJ630" i="5"/>
  <c r="AI630" i="5"/>
  <c r="AH630" i="5"/>
  <c r="AG630" i="5"/>
  <c r="AF630" i="5"/>
  <c r="AE630" i="5"/>
  <c r="AD630" i="5"/>
  <c r="AC630" i="5"/>
  <c r="AB630" i="5"/>
  <c r="AA630" i="5"/>
  <c r="Z630" i="5"/>
  <c r="Y630" i="5"/>
  <c r="X630" i="5"/>
  <c r="W630" i="5"/>
  <c r="V630" i="5"/>
  <c r="U630" i="5"/>
  <c r="T630" i="5"/>
  <c r="S630" i="5"/>
  <c r="R630" i="5"/>
  <c r="Q630" i="5"/>
  <c r="P630" i="5"/>
  <c r="O630" i="5"/>
  <c r="N630" i="5"/>
  <c r="M630" i="5"/>
  <c r="L630" i="5"/>
  <c r="K630" i="5"/>
  <c r="J630" i="5"/>
  <c r="I630" i="5"/>
  <c r="H630" i="5"/>
  <c r="G630" i="5"/>
  <c r="F630" i="5"/>
  <c r="CI629" i="5"/>
  <c r="CH629" i="5"/>
  <c r="CG629" i="5"/>
  <c r="CF629" i="5"/>
  <c r="CE629" i="5"/>
  <c r="CD629" i="5"/>
  <c r="CC629" i="5"/>
  <c r="CB629" i="5"/>
  <c r="CA629" i="5"/>
  <c r="BZ629" i="5"/>
  <c r="BY629" i="5"/>
  <c r="BX629" i="5"/>
  <c r="BW629" i="5"/>
  <c r="BV629" i="5"/>
  <c r="BU629" i="5"/>
  <c r="BT629" i="5"/>
  <c r="BS629" i="5"/>
  <c r="BR629" i="5"/>
  <c r="BQ629" i="5"/>
  <c r="BP629" i="5"/>
  <c r="BO629" i="5"/>
  <c r="BN629" i="5"/>
  <c r="BM629" i="5"/>
  <c r="BL629" i="5"/>
  <c r="BK629" i="5"/>
  <c r="BJ629" i="5"/>
  <c r="BI629" i="5"/>
  <c r="BH629" i="5"/>
  <c r="BG629" i="5"/>
  <c r="BF629" i="5"/>
  <c r="BE629" i="5"/>
  <c r="BD629" i="5"/>
  <c r="BC629" i="5"/>
  <c r="BB629" i="5"/>
  <c r="BA629" i="5"/>
  <c r="AZ629" i="5"/>
  <c r="AY629" i="5"/>
  <c r="AX629" i="5"/>
  <c r="AW629" i="5"/>
  <c r="AV629" i="5"/>
  <c r="AU629" i="5"/>
  <c r="AT629" i="5"/>
  <c r="AS629" i="5"/>
  <c r="AR629" i="5"/>
  <c r="AQ629" i="5"/>
  <c r="AP629" i="5"/>
  <c r="AO629" i="5"/>
  <c r="AN629" i="5"/>
  <c r="AM629" i="5"/>
  <c r="AL629" i="5"/>
  <c r="AK629" i="5"/>
  <c r="AJ629" i="5"/>
  <c r="AI629" i="5"/>
  <c r="AH629" i="5"/>
  <c r="AG629" i="5"/>
  <c r="AF629" i="5"/>
  <c r="AE629" i="5"/>
  <c r="AD629" i="5"/>
  <c r="AC629" i="5"/>
  <c r="AB629" i="5"/>
  <c r="AA629" i="5"/>
  <c r="Z629" i="5"/>
  <c r="Y629" i="5"/>
  <c r="X629" i="5"/>
  <c r="W629" i="5"/>
  <c r="V629" i="5"/>
  <c r="U629" i="5"/>
  <c r="T629" i="5"/>
  <c r="S629" i="5"/>
  <c r="R629" i="5"/>
  <c r="Q629" i="5"/>
  <c r="P629" i="5"/>
  <c r="O629" i="5"/>
  <c r="N629" i="5"/>
  <c r="M629" i="5"/>
  <c r="L629" i="5"/>
  <c r="K629" i="5"/>
  <c r="J629" i="5"/>
  <c r="I629" i="5"/>
  <c r="H629" i="5"/>
  <c r="G629" i="5"/>
  <c r="F629" i="5"/>
  <c r="CI628" i="5"/>
  <c r="CH628" i="5"/>
  <c r="CG628" i="5"/>
  <c r="CF628" i="5"/>
  <c r="CE628" i="5"/>
  <c r="CD628" i="5"/>
  <c r="CC628" i="5"/>
  <c r="CB628" i="5"/>
  <c r="CA628" i="5"/>
  <c r="BZ628" i="5"/>
  <c r="BY628" i="5"/>
  <c r="BX628" i="5"/>
  <c r="BW628" i="5"/>
  <c r="BV628" i="5"/>
  <c r="BU628" i="5"/>
  <c r="BT628" i="5"/>
  <c r="BS628" i="5"/>
  <c r="BR628" i="5"/>
  <c r="BQ628" i="5"/>
  <c r="BP628" i="5"/>
  <c r="BO628" i="5"/>
  <c r="BN628" i="5"/>
  <c r="BM628" i="5"/>
  <c r="BL628" i="5"/>
  <c r="BK628" i="5"/>
  <c r="BJ628" i="5"/>
  <c r="BI628" i="5"/>
  <c r="BH628" i="5"/>
  <c r="BG628" i="5"/>
  <c r="BF628" i="5"/>
  <c r="BE628" i="5"/>
  <c r="BD628" i="5"/>
  <c r="BC628" i="5"/>
  <c r="BB628" i="5"/>
  <c r="BA628" i="5"/>
  <c r="AZ628" i="5"/>
  <c r="AY628" i="5"/>
  <c r="AX628" i="5"/>
  <c r="AW628" i="5"/>
  <c r="AV628" i="5"/>
  <c r="AU628" i="5"/>
  <c r="AT628" i="5"/>
  <c r="AS628" i="5"/>
  <c r="AR628" i="5"/>
  <c r="AQ628" i="5"/>
  <c r="AP628" i="5"/>
  <c r="AO628" i="5"/>
  <c r="AN628" i="5"/>
  <c r="AM628" i="5"/>
  <c r="AL628" i="5"/>
  <c r="AK628" i="5"/>
  <c r="AJ628" i="5"/>
  <c r="AI628" i="5"/>
  <c r="AH628" i="5"/>
  <c r="AG628" i="5"/>
  <c r="AF628" i="5"/>
  <c r="AE628" i="5"/>
  <c r="AD628" i="5"/>
  <c r="AC628" i="5"/>
  <c r="AB628" i="5"/>
  <c r="AA628" i="5"/>
  <c r="Z628" i="5"/>
  <c r="Y628" i="5"/>
  <c r="X628" i="5"/>
  <c r="W628" i="5"/>
  <c r="V628" i="5"/>
  <c r="U628" i="5"/>
  <c r="T628" i="5"/>
  <c r="S628" i="5"/>
  <c r="R628" i="5"/>
  <c r="Q628" i="5"/>
  <c r="P628" i="5"/>
  <c r="O628" i="5"/>
  <c r="N628" i="5"/>
  <c r="M628" i="5"/>
  <c r="L628" i="5"/>
  <c r="K628" i="5"/>
  <c r="J628" i="5"/>
  <c r="I628" i="5"/>
  <c r="H628" i="5"/>
  <c r="G628" i="5"/>
  <c r="F628" i="5"/>
  <c r="CI627" i="5"/>
  <c r="CH627" i="5"/>
  <c r="CG627" i="5"/>
  <c r="CF627" i="5"/>
  <c r="CE627" i="5"/>
  <c r="CD627" i="5"/>
  <c r="CC627" i="5"/>
  <c r="CB627" i="5"/>
  <c r="CA627" i="5"/>
  <c r="BZ627" i="5"/>
  <c r="BY627" i="5"/>
  <c r="BX627" i="5"/>
  <c r="BW627" i="5"/>
  <c r="BV627" i="5"/>
  <c r="BU627" i="5"/>
  <c r="BT627" i="5"/>
  <c r="BS627" i="5"/>
  <c r="BR627" i="5"/>
  <c r="BQ627" i="5"/>
  <c r="BP627" i="5"/>
  <c r="BO627" i="5"/>
  <c r="BN627" i="5"/>
  <c r="BM627" i="5"/>
  <c r="BL627" i="5"/>
  <c r="BK627" i="5"/>
  <c r="BJ627" i="5"/>
  <c r="BI627" i="5"/>
  <c r="BH627" i="5"/>
  <c r="BG627" i="5"/>
  <c r="BF627" i="5"/>
  <c r="BE627" i="5"/>
  <c r="BD627" i="5"/>
  <c r="BC627" i="5"/>
  <c r="BB627" i="5"/>
  <c r="BA627" i="5"/>
  <c r="AZ627" i="5"/>
  <c r="AY627" i="5"/>
  <c r="AX627" i="5"/>
  <c r="AW627" i="5"/>
  <c r="AV627" i="5"/>
  <c r="AU627" i="5"/>
  <c r="AT627" i="5"/>
  <c r="AS627" i="5"/>
  <c r="AR627" i="5"/>
  <c r="AQ627" i="5"/>
  <c r="AP627" i="5"/>
  <c r="AO627" i="5"/>
  <c r="AN627" i="5"/>
  <c r="AM627" i="5"/>
  <c r="AL627" i="5"/>
  <c r="AK627" i="5"/>
  <c r="AJ627" i="5"/>
  <c r="AI627" i="5"/>
  <c r="AH627" i="5"/>
  <c r="AG627" i="5"/>
  <c r="AF627" i="5"/>
  <c r="AE627" i="5"/>
  <c r="AD627" i="5"/>
  <c r="AC627" i="5"/>
  <c r="AB627" i="5"/>
  <c r="AA627" i="5"/>
  <c r="Z627" i="5"/>
  <c r="Y627" i="5"/>
  <c r="X627" i="5"/>
  <c r="W627" i="5"/>
  <c r="V627" i="5"/>
  <c r="U627" i="5"/>
  <c r="T627" i="5"/>
  <c r="S627" i="5"/>
  <c r="R627" i="5"/>
  <c r="Q627" i="5"/>
  <c r="P627" i="5"/>
  <c r="O627" i="5"/>
  <c r="N627" i="5"/>
  <c r="M627" i="5"/>
  <c r="L627" i="5"/>
  <c r="K627" i="5"/>
  <c r="J627" i="5"/>
  <c r="I627" i="5"/>
  <c r="H627" i="5"/>
  <c r="G627" i="5"/>
  <c r="F627" i="5"/>
  <c r="CI626" i="5"/>
  <c r="CH626" i="5"/>
  <c r="CG626" i="5"/>
  <c r="CF626" i="5"/>
  <c r="CE626" i="5"/>
  <c r="CD626" i="5"/>
  <c r="CC626" i="5"/>
  <c r="CB626" i="5"/>
  <c r="CA626" i="5"/>
  <c r="BZ626" i="5"/>
  <c r="BY626" i="5"/>
  <c r="BX626" i="5"/>
  <c r="BW626" i="5"/>
  <c r="BV626" i="5"/>
  <c r="BU626" i="5"/>
  <c r="BT626" i="5"/>
  <c r="BS626" i="5"/>
  <c r="BR626" i="5"/>
  <c r="BQ626" i="5"/>
  <c r="BP626" i="5"/>
  <c r="BO626" i="5"/>
  <c r="BN626" i="5"/>
  <c r="BM626" i="5"/>
  <c r="BL626" i="5"/>
  <c r="BK626" i="5"/>
  <c r="BJ626" i="5"/>
  <c r="BI626" i="5"/>
  <c r="BH626" i="5"/>
  <c r="BG626" i="5"/>
  <c r="BF626" i="5"/>
  <c r="BE626" i="5"/>
  <c r="BD626" i="5"/>
  <c r="BC626" i="5"/>
  <c r="BB626" i="5"/>
  <c r="BA626" i="5"/>
  <c r="AZ626" i="5"/>
  <c r="AY626" i="5"/>
  <c r="AX626" i="5"/>
  <c r="AW626" i="5"/>
  <c r="AV626" i="5"/>
  <c r="AU626" i="5"/>
  <c r="AT626" i="5"/>
  <c r="AS626" i="5"/>
  <c r="AR626" i="5"/>
  <c r="AQ626" i="5"/>
  <c r="AP626" i="5"/>
  <c r="AO626" i="5"/>
  <c r="AN626" i="5"/>
  <c r="AM626" i="5"/>
  <c r="AL626" i="5"/>
  <c r="AK626" i="5"/>
  <c r="AJ626" i="5"/>
  <c r="AI626" i="5"/>
  <c r="AH626" i="5"/>
  <c r="AG626" i="5"/>
  <c r="AF626" i="5"/>
  <c r="AE626" i="5"/>
  <c r="AD626" i="5"/>
  <c r="AC626" i="5"/>
  <c r="AB626" i="5"/>
  <c r="AA626" i="5"/>
  <c r="Z626" i="5"/>
  <c r="Y626" i="5"/>
  <c r="X626" i="5"/>
  <c r="W626" i="5"/>
  <c r="V626" i="5"/>
  <c r="U626" i="5"/>
  <c r="T626" i="5"/>
  <c r="S626" i="5"/>
  <c r="R626" i="5"/>
  <c r="Q626" i="5"/>
  <c r="P626" i="5"/>
  <c r="O626" i="5"/>
  <c r="N626" i="5"/>
  <c r="M626" i="5"/>
  <c r="L626" i="5"/>
  <c r="K626" i="5"/>
  <c r="J626" i="5"/>
  <c r="I626" i="5"/>
  <c r="H626" i="5"/>
  <c r="G626" i="5"/>
  <c r="F626" i="5"/>
  <c r="CI625" i="5"/>
  <c r="CH625" i="5"/>
  <c r="CG625" i="5"/>
  <c r="CF625" i="5"/>
  <c r="CE625" i="5"/>
  <c r="CD625" i="5"/>
  <c r="CC625" i="5"/>
  <c r="CB625" i="5"/>
  <c r="CA625" i="5"/>
  <c r="BZ625" i="5"/>
  <c r="BY625" i="5"/>
  <c r="BX625" i="5"/>
  <c r="BW625" i="5"/>
  <c r="BV625" i="5"/>
  <c r="BU625" i="5"/>
  <c r="BT625" i="5"/>
  <c r="BS625" i="5"/>
  <c r="BR625" i="5"/>
  <c r="BQ625" i="5"/>
  <c r="BP625" i="5"/>
  <c r="BO625" i="5"/>
  <c r="BN625" i="5"/>
  <c r="BM625" i="5"/>
  <c r="BL625" i="5"/>
  <c r="BK625" i="5"/>
  <c r="BJ625" i="5"/>
  <c r="BI625" i="5"/>
  <c r="BH625" i="5"/>
  <c r="BG625" i="5"/>
  <c r="BF625" i="5"/>
  <c r="BE625" i="5"/>
  <c r="BD625" i="5"/>
  <c r="BC625" i="5"/>
  <c r="BB625" i="5"/>
  <c r="BA625" i="5"/>
  <c r="AZ625" i="5"/>
  <c r="AY625" i="5"/>
  <c r="AX625" i="5"/>
  <c r="AW625" i="5"/>
  <c r="AV625" i="5"/>
  <c r="AU625" i="5"/>
  <c r="AT625" i="5"/>
  <c r="AS625" i="5"/>
  <c r="AR625" i="5"/>
  <c r="AQ625" i="5"/>
  <c r="AP625" i="5"/>
  <c r="AO625" i="5"/>
  <c r="AN625" i="5"/>
  <c r="AM625" i="5"/>
  <c r="AL625" i="5"/>
  <c r="AK625" i="5"/>
  <c r="AJ625" i="5"/>
  <c r="AI625" i="5"/>
  <c r="AH625" i="5"/>
  <c r="AG625" i="5"/>
  <c r="AF625" i="5"/>
  <c r="AE625" i="5"/>
  <c r="AD625" i="5"/>
  <c r="AC625" i="5"/>
  <c r="AB625" i="5"/>
  <c r="AA625" i="5"/>
  <c r="Z625" i="5"/>
  <c r="Y625" i="5"/>
  <c r="X625" i="5"/>
  <c r="W625" i="5"/>
  <c r="V625" i="5"/>
  <c r="U625" i="5"/>
  <c r="T625" i="5"/>
  <c r="S625" i="5"/>
  <c r="R625" i="5"/>
  <c r="Q625" i="5"/>
  <c r="P625" i="5"/>
  <c r="O625" i="5"/>
  <c r="N625" i="5"/>
  <c r="M625" i="5"/>
  <c r="L625" i="5"/>
  <c r="K625" i="5"/>
  <c r="J625" i="5"/>
  <c r="I625" i="5"/>
  <c r="H625" i="5"/>
  <c r="G625" i="5"/>
  <c r="F625" i="5"/>
  <c r="CI624" i="5"/>
  <c r="CH624" i="5"/>
  <c r="CG624" i="5"/>
  <c r="CF624" i="5"/>
  <c r="CE624" i="5"/>
  <c r="CD624" i="5"/>
  <c r="CC624" i="5"/>
  <c r="CB624" i="5"/>
  <c r="CA624" i="5"/>
  <c r="BZ624" i="5"/>
  <c r="BY624" i="5"/>
  <c r="BX624" i="5"/>
  <c r="BW624" i="5"/>
  <c r="BV624" i="5"/>
  <c r="BU624" i="5"/>
  <c r="BT624" i="5"/>
  <c r="BS624" i="5"/>
  <c r="BR624" i="5"/>
  <c r="BQ624" i="5"/>
  <c r="BP624" i="5"/>
  <c r="BO624" i="5"/>
  <c r="BN624" i="5"/>
  <c r="BM624" i="5"/>
  <c r="BL624" i="5"/>
  <c r="BK624" i="5"/>
  <c r="BJ624" i="5"/>
  <c r="BI624" i="5"/>
  <c r="BH624" i="5"/>
  <c r="BG624" i="5"/>
  <c r="BF624" i="5"/>
  <c r="BE624" i="5"/>
  <c r="BD624" i="5"/>
  <c r="BC624" i="5"/>
  <c r="BB624" i="5"/>
  <c r="BA624" i="5"/>
  <c r="AZ624" i="5"/>
  <c r="AY624" i="5"/>
  <c r="AX624" i="5"/>
  <c r="AW624" i="5"/>
  <c r="AV624" i="5"/>
  <c r="AU624" i="5"/>
  <c r="AT624" i="5"/>
  <c r="AS624" i="5"/>
  <c r="AR624" i="5"/>
  <c r="AQ624" i="5"/>
  <c r="AP624" i="5"/>
  <c r="AO624" i="5"/>
  <c r="AN624" i="5"/>
  <c r="AM624" i="5"/>
  <c r="AL624" i="5"/>
  <c r="AK624" i="5"/>
  <c r="AJ624" i="5"/>
  <c r="AI624" i="5"/>
  <c r="AH624" i="5"/>
  <c r="AG624" i="5"/>
  <c r="AF624" i="5"/>
  <c r="AE624" i="5"/>
  <c r="AD624" i="5"/>
  <c r="AC624" i="5"/>
  <c r="AB624" i="5"/>
  <c r="AA624" i="5"/>
  <c r="Z624" i="5"/>
  <c r="Y624" i="5"/>
  <c r="X624" i="5"/>
  <c r="W624" i="5"/>
  <c r="V624" i="5"/>
  <c r="U624" i="5"/>
  <c r="T624" i="5"/>
  <c r="S624" i="5"/>
  <c r="R624" i="5"/>
  <c r="Q624" i="5"/>
  <c r="P624" i="5"/>
  <c r="O624" i="5"/>
  <c r="N624" i="5"/>
  <c r="M624" i="5"/>
  <c r="L624" i="5"/>
  <c r="K624" i="5"/>
  <c r="J624" i="5"/>
  <c r="I624" i="5"/>
  <c r="H624" i="5"/>
  <c r="G624" i="5"/>
  <c r="F624" i="5"/>
  <c r="CI623" i="5"/>
  <c r="CH623" i="5"/>
  <c r="CG623" i="5"/>
  <c r="CF623" i="5"/>
  <c r="CE623" i="5"/>
  <c r="CD623" i="5"/>
  <c r="CC623" i="5"/>
  <c r="CB623" i="5"/>
  <c r="CA623" i="5"/>
  <c r="BZ623" i="5"/>
  <c r="BY623" i="5"/>
  <c r="BX623" i="5"/>
  <c r="BW623" i="5"/>
  <c r="BV623" i="5"/>
  <c r="BU623" i="5"/>
  <c r="BT623" i="5"/>
  <c r="BS623" i="5"/>
  <c r="BR623" i="5"/>
  <c r="BQ623" i="5"/>
  <c r="BP623" i="5"/>
  <c r="BO623" i="5"/>
  <c r="BN623" i="5"/>
  <c r="BM623" i="5"/>
  <c r="BL623" i="5"/>
  <c r="BK623" i="5"/>
  <c r="BJ623" i="5"/>
  <c r="BI623" i="5"/>
  <c r="BH623" i="5"/>
  <c r="BG623" i="5"/>
  <c r="BF623" i="5"/>
  <c r="BE623" i="5"/>
  <c r="BD623" i="5"/>
  <c r="BC623" i="5"/>
  <c r="BB623" i="5"/>
  <c r="BA623" i="5"/>
  <c r="AZ623" i="5"/>
  <c r="AY623" i="5"/>
  <c r="AX623" i="5"/>
  <c r="AW623" i="5"/>
  <c r="AV623" i="5"/>
  <c r="AU623" i="5"/>
  <c r="AT623" i="5"/>
  <c r="AS623" i="5"/>
  <c r="AR623" i="5"/>
  <c r="AQ623" i="5"/>
  <c r="AP623" i="5"/>
  <c r="AO623" i="5"/>
  <c r="AN623" i="5"/>
  <c r="AM623" i="5"/>
  <c r="AL623" i="5"/>
  <c r="AK623" i="5"/>
  <c r="AJ623" i="5"/>
  <c r="AI623" i="5"/>
  <c r="AH623" i="5"/>
  <c r="AG623" i="5"/>
  <c r="AF623" i="5"/>
  <c r="AE623" i="5"/>
  <c r="AD623" i="5"/>
  <c r="AC623" i="5"/>
  <c r="AB623" i="5"/>
  <c r="AA623" i="5"/>
  <c r="Z623" i="5"/>
  <c r="Y623" i="5"/>
  <c r="X623" i="5"/>
  <c r="W623" i="5"/>
  <c r="V623" i="5"/>
  <c r="U623" i="5"/>
  <c r="T623" i="5"/>
  <c r="S623" i="5"/>
  <c r="R623" i="5"/>
  <c r="Q623" i="5"/>
  <c r="P623" i="5"/>
  <c r="O623" i="5"/>
  <c r="N623" i="5"/>
  <c r="M623" i="5"/>
  <c r="L623" i="5"/>
  <c r="K623" i="5"/>
  <c r="J623" i="5"/>
  <c r="I623" i="5"/>
  <c r="H623" i="5"/>
  <c r="G623" i="5"/>
  <c r="F623" i="5"/>
  <c r="CI622" i="5"/>
  <c r="CH622" i="5"/>
  <c r="CG622" i="5"/>
  <c r="CF622" i="5"/>
  <c r="CE622" i="5"/>
  <c r="CD622" i="5"/>
  <c r="CC622" i="5"/>
  <c r="CB622" i="5"/>
  <c r="CA622" i="5"/>
  <c r="BZ622" i="5"/>
  <c r="BY622" i="5"/>
  <c r="BX622" i="5"/>
  <c r="BW622" i="5"/>
  <c r="BV622" i="5"/>
  <c r="BU622" i="5"/>
  <c r="BT622" i="5"/>
  <c r="BS622" i="5"/>
  <c r="BR622" i="5"/>
  <c r="BQ622" i="5"/>
  <c r="BP622" i="5"/>
  <c r="BO622" i="5"/>
  <c r="BN622" i="5"/>
  <c r="BM622" i="5"/>
  <c r="BL622" i="5"/>
  <c r="BK622" i="5"/>
  <c r="BJ622" i="5"/>
  <c r="BI622" i="5"/>
  <c r="BH622" i="5"/>
  <c r="BG622" i="5"/>
  <c r="BF622" i="5"/>
  <c r="BE622" i="5"/>
  <c r="BD622" i="5"/>
  <c r="BC622" i="5"/>
  <c r="BB622" i="5"/>
  <c r="BA622" i="5"/>
  <c r="AZ622" i="5"/>
  <c r="AY622" i="5"/>
  <c r="AX622" i="5"/>
  <c r="AW622" i="5"/>
  <c r="AV622" i="5"/>
  <c r="AU622" i="5"/>
  <c r="AT622" i="5"/>
  <c r="AS622" i="5"/>
  <c r="AR622" i="5"/>
  <c r="AQ622" i="5"/>
  <c r="AP622" i="5"/>
  <c r="AO622" i="5"/>
  <c r="AN622" i="5"/>
  <c r="AM622" i="5"/>
  <c r="AL622" i="5"/>
  <c r="AK622" i="5"/>
  <c r="AJ622" i="5"/>
  <c r="AI622" i="5"/>
  <c r="AH622" i="5"/>
  <c r="AG622" i="5"/>
  <c r="AF622" i="5"/>
  <c r="AE622" i="5"/>
  <c r="AD622" i="5"/>
  <c r="AC622" i="5"/>
  <c r="AB622" i="5"/>
  <c r="AA622" i="5"/>
  <c r="Z622" i="5"/>
  <c r="Y622" i="5"/>
  <c r="X622" i="5"/>
  <c r="W622" i="5"/>
  <c r="V622" i="5"/>
  <c r="U622" i="5"/>
  <c r="T622" i="5"/>
  <c r="S622" i="5"/>
  <c r="R622" i="5"/>
  <c r="Q622" i="5"/>
  <c r="P622" i="5"/>
  <c r="O622" i="5"/>
  <c r="N622" i="5"/>
  <c r="M622" i="5"/>
  <c r="L622" i="5"/>
  <c r="K622" i="5"/>
  <c r="J622" i="5"/>
  <c r="I622" i="5"/>
  <c r="H622" i="5"/>
  <c r="G622" i="5"/>
  <c r="F622" i="5"/>
  <c r="CI621" i="5"/>
  <c r="CH621" i="5"/>
  <c r="CG621" i="5"/>
  <c r="CF621" i="5"/>
  <c r="CE621" i="5"/>
  <c r="CD621" i="5"/>
  <c r="CC621" i="5"/>
  <c r="CB621" i="5"/>
  <c r="CA621" i="5"/>
  <c r="BZ621" i="5"/>
  <c r="BY621" i="5"/>
  <c r="BX621" i="5"/>
  <c r="BW621" i="5"/>
  <c r="BV621" i="5"/>
  <c r="BU621" i="5"/>
  <c r="BT621" i="5"/>
  <c r="BS621" i="5"/>
  <c r="BR621" i="5"/>
  <c r="BQ621" i="5"/>
  <c r="BP621" i="5"/>
  <c r="BO621" i="5"/>
  <c r="BN621" i="5"/>
  <c r="BM621" i="5"/>
  <c r="BL621" i="5"/>
  <c r="BK621" i="5"/>
  <c r="BJ621" i="5"/>
  <c r="BI621" i="5"/>
  <c r="BH621" i="5"/>
  <c r="BG621" i="5"/>
  <c r="BF621" i="5"/>
  <c r="BE621" i="5"/>
  <c r="BD621" i="5"/>
  <c r="BC621" i="5"/>
  <c r="BB621" i="5"/>
  <c r="BA621" i="5"/>
  <c r="AZ621" i="5"/>
  <c r="AY621" i="5"/>
  <c r="AX621" i="5"/>
  <c r="AW621" i="5"/>
  <c r="AV621" i="5"/>
  <c r="AU621" i="5"/>
  <c r="AT621" i="5"/>
  <c r="AS621" i="5"/>
  <c r="AR621" i="5"/>
  <c r="AQ621" i="5"/>
  <c r="AP621" i="5"/>
  <c r="AO621" i="5"/>
  <c r="AN621" i="5"/>
  <c r="AM621" i="5"/>
  <c r="AL621" i="5"/>
  <c r="AK621" i="5"/>
  <c r="AJ621" i="5"/>
  <c r="AI621" i="5"/>
  <c r="AH621" i="5"/>
  <c r="AG621" i="5"/>
  <c r="AF621" i="5"/>
  <c r="AE621" i="5"/>
  <c r="AD621" i="5"/>
  <c r="AC621" i="5"/>
  <c r="AB621" i="5"/>
  <c r="AA621" i="5"/>
  <c r="Z621" i="5"/>
  <c r="Y621" i="5"/>
  <c r="X621" i="5"/>
  <c r="W621" i="5"/>
  <c r="V621" i="5"/>
  <c r="U621" i="5"/>
  <c r="T621" i="5"/>
  <c r="S621" i="5"/>
  <c r="R621" i="5"/>
  <c r="Q621" i="5"/>
  <c r="P621" i="5"/>
  <c r="O621" i="5"/>
  <c r="N621" i="5"/>
  <c r="M621" i="5"/>
  <c r="L621" i="5"/>
  <c r="K621" i="5"/>
  <c r="J621" i="5"/>
  <c r="I621" i="5"/>
  <c r="H621" i="5"/>
  <c r="G621" i="5"/>
  <c r="F621" i="5"/>
  <c r="CI620" i="5"/>
  <c r="CH620" i="5"/>
  <c r="CG620" i="5"/>
  <c r="CF620" i="5"/>
  <c r="CE620" i="5"/>
  <c r="CD620" i="5"/>
  <c r="CC620" i="5"/>
  <c r="CB620" i="5"/>
  <c r="CA620" i="5"/>
  <c r="BZ620" i="5"/>
  <c r="BY620" i="5"/>
  <c r="BX620" i="5"/>
  <c r="BW620" i="5"/>
  <c r="BV620" i="5"/>
  <c r="BU620" i="5"/>
  <c r="BT620" i="5"/>
  <c r="BS620" i="5"/>
  <c r="BR620" i="5"/>
  <c r="BQ620" i="5"/>
  <c r="BP620" i="5"/>
  <c r="BO620" i="5"/>
  <c r="BN620" i="5"/>
  <c r="BM620" i="5"/>
  <c r="BL620" i="5"/>
  <c r="BK620" i="5"/>
  <c r="BJ620" i="5"/>
  <c r="BI620" i="5"/>
  <c r="BH620" i="5"/>
  <c r="BG620" i="5"/>
  <c r="BF620" i="5"/>
  <c r="BE620" i="5"/>
  <c r="BD620" i="5"/>
  <c r="BC620" i="5"/>
  <c r="BB620" i="5"/>
  <c r="BA620" i="5"/>
  <c r="AZ620" i="5"/>
  <c r="AY620" i="5"/>
  <c r="AX620" i="5"/>
  <c r="AW620" i="5"/>
  <c r="AV620" i="5"/>
  <c r="AU620" i="5"/>
  <c r="AT620" i="5"/>
  <c r="AS620" i="5"/>
  <c r="AR620" i="5"/>
  <c r="AQ620" i="5"/>
  <c r="AP620" i="5"/>
  <c r="AO620" i="5"/>
  <c r="AN620" i="5"/>
  <c r="AM620" i="5"/>
  <c r="AL620" i="5"/>
  <c r="AK620" i="5"/>
  <c r="AJ620" i="5"/>
  <c r="AI620" i="5"/>
  <c r="AH620" i="5"/>
  <c r="AG620" i="5"/>
  <c r="AF620" i="5"/>
  <c r="AE620" i="5"/>
  <c r="AD620" i="5"/>
  <c r="AC620" i="5"/>
  <c r="AB620" i="5"/>
  <c r="AA620" i="5"/>
  <c r="Z620" i="5"/>
  <c r="Y620" i="5"/>
  <c r="X620" i="5"/>
  <c r="W620" i="5"/>
  <c r="V620" i="5"/>
  <c r="U620" i="5"/>
  <c r="T620" i="5"/>
  <c r="S620" i="5"/>
  <c r="R620" i="5"/>
  <c r="Q620" i="5"/>
  <c r="P620" i="5"/>
  <c r="O620" i="5"/>
  <c r="N620" i="5"/>
  <c r="M620" i="5"/>
  <c r="L620" i="5"/>
  <c r="K620" i="5"/>
  <c r="J620" i="5"/>
  <c r="I620" i="5"/>
  <c r="H620" i="5"/>
  <c r="G620" i="5"/>
  <c r="F620" i="5"/>
  <c r="CI619" i="5"/>
  <c r="CH619" i="5"/>
  <c r="CG619" i="5"/>
  <c r="CF619" i="5"/>
  <c r="CE619" i="5"/>
  <c r="CD619" i="5"/>
  <c r="CC619" i="5"/>
  <c r="CB619" i="5"/>
  <c r="CA619" i="5"/>
  <c r="BZ619" i="5"/>
  <c r="BY619" i="5"/>
  <c r="BX619" i="5"/>
  <c r="BW619" i="5"/>
  <c r="BV619" i="5"/>
  <c r="BU619" i="5"/>
  <c r="BT619" i="5"/>
  <c r="BS619" i="5"/>
  <c r="BR619" i="5"/>
  <c r="BQ619" i="5"/>
  <c r="BP619" i="5"/>
  <c r="BO619" i="5"/>
  <c r="BN619" i="5"/>
  <c r="BM619" i="5"/>
  <c r="BL619" i="5"/>
  <c r="BK619" i="5"/>
  <c r="BJ619" i="5"/>
  <c r="BI619" i="5"/>
  <c r="BH619" i="5"/>
  <c r="BG619" i="5"/>
  <c r="BF619" i="5"/>
  <c r="BE619" i="5"/>
  <c r="BD619" i="5"/>
  <c r="BC619" i="5"/>
  <c r="BB619" i="5"/>
  <c r="BA619" i="5"/>
  <c r="AZ619" i="5"/>
  <c r="AY619" i="5"/>
  <c r="AX619" i="5"/>
  <c r="AW619" i="5"/>
  <c r="AV619" i="5"/>
  <c r="AU619" i="5"/>
  <c r="AT619" i="5"/>
  <c r="AS619" i="5"/>
  <c r="AR619" i="5"/>
  <c r="AQ619" i="5"/>
  <c r="AP619" i="5"/>
  <c r="AO619" i="5"/>
  <c r="AN619" i="5"/>
  <c r="AM619" i="5"/>
  <c r="AL619" i="5"/>
  <c r="AK619" i="5"/>
  <c r="AJ619" i="5"/>
  <c r="AI619" i="5"/>
  <c r="AH619" i="5"/>
  <c r="AG619" i="5"/>
  <c r="AF619" i="5"/>
  <c r="AE619" i="5"/>
  <c r="AD619" i="5"/>
  <c r="AC619" i="5"/>
  <c r="AB619" i="5"/>
  <c r="AA619" i="5"/>
  <c r="Z619" i="5"/>
  <c r="Y619" i="5"/>
  <c r="X619" i="5"/>
  <c r="W619" i="5"/>
  <c r="V619" i="5"/>
  <c r="U619" i="5"/>
  <c r="T619" i="5"/>
  <c r="S619" i="5"/>
  <c r="R619" i="5"/>
  <c r="Q619" i="5"/>
  <c r="P619" i="5"/>
  <c r="O619" i="5"/>
  <c r="N619" i="5"/>
  <c r="M619" i="5"/>
  <c r="L619" i="5"/>
  <c r="K619" i="5"/>
  <c r="J619" i="5"/>
  <c r="I619" i="5"/>
  <c r="H619" i="5"/>
  <c r="G619" i="5"/>
  <c r="F619" i="5"/>
  <c r="CI618" i="5"/>
  <c r="CH618" i="5"/>
  <c r="CG618" i="5"/>
  <c r="CF618" i="5"/>
  <c r="CE618" i="5"/>
  <c r="CD618" i="5"/>
  <c r="CC618" i="5"/>
  <c r="CB618" i="5"/>
  <c r="CA618" i="5"/>
  <c r="BZ618" i="5"/>
  <c r="BY618" i="5"/>
  <c r="BX618" i="5"/>
  <c r="BW618" i="5"/>
  <c r="BV618" i="5"/>
  <c r="BU618" i="5"/>
  <c r="BT618" i="5"/>
  <c r="BS618" i="5"/>
  <c r="BR618" i="5"/>
  <c r="BQ618" i="5"/>
  <c r="BP618" i="5"/>
  <c r="BO618" i="5"/>
  <c r="BN618" i="5"/>
  <c r="BM618" i="5"/>
  <c r="BL618" i="5"/>
  <c r="BK618" i="5"/>
  <c r="BJ618" i="5"/>
  <c r="BI618" i="5"/>
  <c r="BH618" i="5"/>
  <c r="BG618" i="5"/>
  <c r="BF618" i="5"/>
  <c r="BE618" i="5"/>
  <c r="BD618" i="5"/>
  <c r="BC618" i="5"/>
  <c r="BB618" i="5"/>
  <c r="BA618" i="5"/>
  <c r="AZ618" i="5"/>
  <c r="AY618" i="5"/>
  <c r="AX618" i="5"/>
  <c r="AW618" i="5"/>
  <c r="AV618" i="5"/>
  <c r="AU618" i="5"/>
  <c r="AT618" i="5"/>
  <c r="AS618" i="5"/>
  <c r="AR618" i="5"/>
  <c r="AQ618" i="5"/>
  <c r="AP618" i="5"/>
  <c r="AO618" i="5"/>
  <c r="AN618" i="5"/>
  <c r="AM618" i="5"/>
  <c r="AL618" i="5"/>
  <c r="AK618" i="5"/>
  <c r="AJ618" i="5"/>
  <c r="AI618" i="5"/>
  <c r="AH618" i="5"/>
  <c r="AG618" i="5"/>
  <c r="AF618" i="5"/>
  <c r="AE618" i="5"/>
  <c r="AD618" i="5"/>
  <c r="AC618" i="5"/>
  <c r="AB618" i="5"/>
  <c r="AA618" i="5"/>
  <c r="Z618" i="5"/>
  <c r="Y618" i="5"/>
  <c r="X618" i="5"/>
  <c r="W618" i="5"/>
  <c r="V618" i="5"/>
  <c r="U618" i="5"/>
  <c r="T618" i="5"/>
  <c r="S618" i="5"/>
  <c r="R618" i="5"/>
  <c r="Q618" i="5"/>
  <c r="P618" i="5"/>
  <c r="O618" i="5"/>
  <c r="N618" i="5"/>
  <c r="M618" i="5"/>
  <c r="L618" i="5"/>
  <c r="K618" i="5"/>
  <c r="J618" i="5"/>
  <c r="I618" i="5"/>
  <c r="H618" i="5"/>
  <c r="G618" i="5"/>
  <c r="F618" i="5"/>
  <c r="CI617" i="5"/>
  <c r="CH617" i="5"/>
  <c r="CG617" i="5"/>
  <c r="CF617" i="5"/>
  <c r="CE617" i="5"/>
  <c r="CD617" i="5"/>
  <c r="CC617" i="5"/>
  <c r="CB617" i="5"/>
  <c r="CA617" i="5"/>
  <c r="BZ617" i="5"/>
  <c r="BY617" i="5"/>
  <c r="BX617" i="5"/>
  <c r="BW617" i="5"/>
  <c r="BV617" i="5"/>
  <c r="BU617" i="5"/>
  <c r="BT617" i="5"/>
  <c r="BS617" i="5"/>
  <c r="BR617" i="5"/>
  <c r="BQ617" i="5"/>
  <c r="BP617" i="5"/>
  <c r="BO617" i="5"/>
  <c r="BN617" i="5"/>
  <c r="BM617" i="5"/>
  <c r="BL617" i="5"/>
  <c r="BK617" i="5"/>
  <c r="BJ617" i="5"/>
  <c r="BI617" i="5"/>
  <c r="BH617" i="5"/>
  <c r="BG617" i="5"/>
  <c r="BF617" i="5"/>
  <c r="BE617" i="5"/>
  <c r="BD617" i="5"/>
  <c r="BC617" i="5"/>
  <c r="BB617" i="5"/>
  <c r="BA617" i="5"/>
  <c r="AZ617" i="5"/>
  <c r="AY617" i="5"/>
  <c r="AX617" i="5"/>
  <c r="AW617" i="5"/>
  <c r="AV617" i="5"/>
  <c r="AU617" i="5"/>
  <c r="AT617" i="5"/>
  <c r="AS617" i="5"/>
  <c r="AR617" i="5"/>
  <c r="AQ617" i="5"/>
  <c r="AP617" i="5"/>
  <c r="AO617" i="5"/>
  <c r="AN617" i="5"/>
  <c r="AM617" i="5"/>
  <c r="AL617" i="5"/>
  <c r="AK617" i="5"/>
  <c r="AJ617" i="5"/>
  <c r="AI617" i="5"/>
  <c r="AH617" i="5"/>
  <c r="AG617" i="5"/>
  <c r="AF617" i="5"/>
  <c r="AE617" i="5"/>
  <c r="AD617" i="5"/>
  <c r="AC617" i="5"/>
  <c r="AB617" i="5"/>
  <c r="AA617" i="5"/>
  <c r="Z617" i="5"/>
  <c r="Y617" i="5"/>
  <c r="X617" i="5"/>
  <c r="W617" i="5"/>
  <c r="V617" i="5"/>
  <c r="U617" i="5"/>
  <c r="T617" i="5"/>
  <c r="S617" i="5"/>
  <c r="R617" i="5"/>
  <c r="Q617" i="5"/>
  <c r="P617" i="5"/>
  <c r="O617" i="5"/>
  <c r="N617" i="5"/>
  <c r="M617" i="5"/>
  <c r="L617" i="5"/>
  <c r="K617" i="5"/>
  <c r="J617" i="5"/>
  <c r="I617" i="5"/>
  <c r="H617" i="5"/>
  <c r="G617" i="5"/>
  <c r="F617" i="5"/>
  <c r="CI615" i="5"/>
  <c r="CH615" i="5"/>
  <c r="CG615" i="5"/>
  <c r="CF615" i="5"/>
  <c r="CE615" i="5"/>
  <c r="CD615" i="5"/>
  <c r="CC615" i="5"/>
  <c r="CB615" i="5"/>
  <c r="CA615" i="5"/>
  <c r="BZ615" i="5"/>
  <c r="BY615" i="5"/>
  <c r="BX615" i="5"/>
  <c r="BW615" i="5"/>
  <c r="BV615" i="5"/>
  <c r="BU615" i="5"/>
  <c r="BT615" i="5"/>
  <c r="BS615" i="5"/>
  <c r="BR615" i="5"/>
  <c r="BQ615" i="5"/>
  <c r="BP615" i="5"/>
  <c r="BO615" i="5"/>
  <c r="BN615" i="5"/>
  <c r="BM615" i="5"/>
  <c r="BL615" i="5"/>
  <c r="BK615" i="5"/>
  <c r="BJ615" i="5"/>
  <c r="BI615" i="5"/>
  <c r="BH615" i="5"/>
  <c r="BG615" i="5"/>
  <c r="BF615" i="5"/>
  <c r="BE615" i="5"/>
  <c r="BD615" i="5"/>
  <c r="BC615" i="5"/>
  <c r="BB615" i="5"/>
  <c r="BA615" i="5"/>
  <c r="AZ615" i="5"/>
  <c r="AY615" i="5"/>
  <c r="AX615" i="5"/>
  <c r="AW615" i="5"/>
  <c r="AV615" i="5"/>
  <c r="AU615" i="5"/>
  <c r="AT615" i="5"/>
  <c r="AS615" i="5"/>
  <c r="AR615" i="5"/>
  <c r="AQ615" i="5"/>
  <c r="AP615" i="5"/>
  <c r="AO615" i="5"/>
  <c r="AN615" i="5"/>
  <c r="AM615" i="5"/>
  <c r="AL615" i="5"/>
  <c r="AK615" i="5"/>
  <c r="AJ615" i="5"/>
  <c r="AI615" i="5"/>
  <c r="AH615" i="5"/>
  <c r="AG615" i="5"/>
  <c r="AF615" i="5"/>
  <c r="AE615" i="5"/>
  <c r="AD615" i="5"/>
  <c r="AC615" i="5"/>
  <c r="AB615" i="5"/>
  <c r="AA615" i="5"/>
  <c r="Z615" i="5"/>
  <c r="Y615" i="5"/>
  <c r="X615" i="5"/>
  <c r="W615" i="5"/>
  <c r="V615" i="5"/>
  <c r="U615" i="5"/>
  <c r="T615" i="5"/>
  <c r="S615" i="5"/>
  <c r="R615" i="5"/>
  <c r="Q615" i="5"/>
  <c r="P615" i="5"/>
  <c r="O615" i="5"/>
  <c r="N615" i="5"/>
  <c r="M615" i="5"/>
  <c r="L615" i="5"/>
  <c r="K615" i="5"/>
  <c r="J615" i="5"/>
  <c r="I615" i="5"/>
  <c r="H615" i="5"/>
  <c r="G615" i="5"/>
  <c r="F615" i="5"/>
  <c r="CI614" i="5"/>
  <c r="CH614" i="5"/>
  <c r="CG614" i="5"/>
  <c r="CF614" i="5"/>
  <c r="CE614" i="5"/>
  <c r="CD614" i="5"/>
  <c r="CC614" i="5"/>
  <c r="CB614" i="5"/>
  <c r="CA614" i="5"/>
  <c r="BZ614" i="5"/>
  <c r="BY614" i="5"/>
  <c r="BX614" i="5"/>
  <c r="BW614" i="5"/>
  <c r="BV614" i="5"/>
  <c r="BU614" i="5"/>
  <c r="BT614" i="5"/>
  <c r="BS614" i="5"/>
  <c r="BR614" i="5"/>
  <c r="BQ614" i="5"/>
  <c r="BP614" i="5"/>
  <c r="BO614" i="5"/>
  <c r="BN614" i="5"/>
  <c r="BM614" i="5"/>
  <c r="BL614" i="5"/>
  <c r="BK614" i="5"/>
  <c r="BJ614" i="5"/>
  <c r="BI614" i="5"/>
  <c r="BH614" i="5"/>
  <c r="BG614" i="5"/>
  <c r="BF614" i="5"/>
  <c r="BE614" i="5"/>
  <c r="BD614" i="5"/>
  <c r="BC614" i="5"/>
  <c r="BB614" i="5"/>
  <c r="BA614" i="5"/>
  <c r="AZ614" i="5"/>
  <c r="AY614" i="5"/>
  <c r="AX614" i="5"/>
  <c r="AW614" i="5"/>
  <c r="AV614" i="5"/>
  <c r="AU614" i="5"/>
  <c r="AT614" i="5"/>
  <c r="AS614" i="5"/>
  <c r="AR614" i="5"/>
  <c r="AQ614" i="5"/>
  <c r="AP614" i="5"/>
  <c r="AO614" i="5"/>
  <c r="AN614" i="5"/>
  <c r="AM614" i="5"/>
  <c r="AL614" i="5"/>
  <c r="AK614" i="5"/>
  <c r="AJ614" i="5"/>
  <c r="AI614" i="5"/>
  <c r="AH614" i="5"/>
  <c r="AG614" i="5"/>
  <c r="AF614" i="5"/>
  <c r="AE614" i="5"/>
  <c r="AD614" i="5"/>
  <c r="AC614" i="5"/>
  <c r="AB614" i="5"/>
  <c r="AA614" i="5"/>
  <c r="Z614" i="5"/>
  <c r="Y614" i="5"/>
  <c r="X614" i="5"/>
  <c r="W614" i="5"/>
  <c r="V614" i="5"/>
  <c r="U614" i="5"/>
  <c r="T614" i="5"/>
  <c r="S614" i="5"/>
  <c r="R614" i="5"/>
  <c r="Q614" i="5"/>
  <c r="P614" i="5"/>
  <c r="O614" i="5"/>
  <c r="N614" i="5"/>
  <c r="M614" i="5"/>
  <c r="L614" i="5"/>
  <c r="K614" i="5"/>
  <c r="J614" i="5"/>
  <c r="I614" i="5"/>
  <c r="H614" i="5"/>
  <c r="G614" i="5"/>
  <c r="F614" i="5"/>
  <c r="CI613" i="5"/>
  <c r="CH613" i="5"/>
  <c r="CG613" i="5"/>
  <c r="CF613" i="5"/>
  <c r="CE613" i="5"/>
  <c r="CD613" i="5"/>
  <c r="CC613" i="5"/>
  <c r="CB613" i="5"/>
  <c r="CA613" i="5"/>
  <c r="BZ613" i="5"/>
  <c r="BY613" i="5"/>
  <c r="BX613" i="5"/>
  <c r="BW613" i="5"/>
  <c r="BV613" i="5"/>
  <c r="BU613" i="5"/>
  <c r="BT613" i="5"/>
  <c r="BS613" i="5"/>
  <c r="BR613" i="5"/>
  <c r="BQ613" i="5"/>
  <c r="BP613" i="5"/>
  <c r="BO613" i="5"/>
  <c r="BN613" i="5"/>
  <c r="BM613" i="5"/>
  <c r="BL613" i="5"/>
  <c r="BK613" i="5"/>
  <c r="BJ613" i="5"/>
  <c r="BI613" i="5"/>
  <c r="BH613" i="5"/>
  <c r="BG613" i="5"/>
  <c r="BF613" i="5"/>
  <c r="BE613" i="5"/>
  <c r="BD613" i="5"/>
  <c r="BC613" i="5"/>
  <c r="BB613" i="5"/>
  <c r="BA613" i="5"/>
  <c r="AZ613" i="5"/>
  <c r="AY613" i="5"/>
  <c r="AX613" i="5"/>
  <c r="AW613" i="5"/>
  <c r="AV613" i="5"/>
  <c r="AU613" i="5"/>
  <c r="AT613" i="5"/>
  <c r="AS613" i="5"/>
  <c r="AR613" i="5"/>
  <c r="AQ613" i="5"/>
  <c r="AP613" i="5"/>
  <c r="AO613" i="5"/>
  <c r="AN613" i="5"/>
  <c r="AM613" i="5"/>
  <c r="AL613" i="5"/>
  <c r="AK613" i="5"/>
  <c r="AJ613" i="5"/>
  <c r="AI613" i="5"/>
  <c r="AH613" i="5"/>
  <c r="AG613" i="5"/>
  <c r="AF613" i="5"/>
  <c r="AE613" i="5"/>
  <c r="AD613" i="5"/>
  <c r="AC613" i="5"/>
  <c r="AB613" i="5"/>
  <c r="AA613" i="5"/>
  <c r="Z613" i="5"/>
  <c r="Y613" i="5"/>
  <c r="X613" i="5"/>
  <c r="W613" i="5"/>
  <c r="V613" i="5"/>
  <c r="U613" i="5"/>
  <c r="T613" i="5"/>
  <c r="S613" i="5"/>
  <c r="R613" i="5"/>
  <c r="Q613" i="5"/>
  <c r="P613" i="5"/>
  <c r="O613" i="5"/>
  <c r="N613" i="5"/>
  <c r="M613" i="5"/>
  <c r="L613" i="5"/>
  <c r="K613" i="5"/>
  <c r="J613" i="5"/>
  <c r="I613" i="5"/>
  <c r="H613" i="5"/>
  <c r="G613" i="5"/>
  <c r="F613" i="5"/>
  <c r="CI612" i="5"/>
  <c r="CH612" i="5"/>
  <c r="CG612" i="5"/>
  <c r="CF612" i="5"/>
  <c r="CE612" i="5"/>
  <c r="CD612" i="5"/>
  <c r="CC612" i="5"/>
  <c r="CB612" i="5"/>
  <c r="CA612" i="5"/>
  <c r="BZ612" i="5"/>
  <c r="BY612" i="5"/>
  <c r="BX612" i="5"/>
  <c r="BW612" i="5"/>
  <c r="BV612" i="5"/>
  <c r="BU612" i="5"/>
  <c r="BT612" i="5"/>
  <c r="BS612" i="5"/>
  <c r="BR612" i="5"/>
  <c r="BQ612" i="5"/>
  <c r="BP612" i="5"/>
  <c r="BO612" i="5"/>
  <c r="BN612" i="5"/>
  <c r="BM612" i="5"/>
  <c r="BL612" i="5"/>
  <c r="BK612" i="5"/>
  <c r="BJ612" i="5"/>
  <c r="BI612" i="5"/>
  <c r="BH612" i="5"/>
  <c r="BG612" i="5"/>
  <c r="BF612" i="5"/>
  <c r="BE612" i="5"/>
  <c r="BD612" i="5"/>
  <c r="BC612" i="5"/>
  <c r="BB612" i="5"/>
  <c r="BA612" i="5"/>
  <c r="AZ612" i="5"/>
  <c r="AY612" i="5"/>
  <c r="AX612" i="5"/>
  <c r="AW612" i="5"/>
  <c r="AV612" i="5"/>
  <c r="AU612" i="5"/>
  <c r="AT612" i="5"/>
  <c r="AS612" i="5"/>
  <c r="AR612" i="5"/>
  <c r="AQ612" i="5"/>
  <c r="AP612" i="5"/>
  <c r="AO612" i="5"/>
  <c r="AN612" i="5"/>
  <c r="AM612" i="5"/>
  <c r="AL612" i="5"/>
  <c r="AK612" i="5"/>
  <c r="AJ612" i="5"/>
  <c r="AI612" i="5"/>
  <c r="AH612" i="5"/>
  <c r="AG612" i="5"/>
  <c r="AF612" i="5"/>
  <c r="AE612" i="5"/>
  <c r="AD612" i="5"/>
  <c r="AC612" i="5"/>
  <c r="AB612" i="5"/>
  <c r="AA612" i="5"/>
  <c r="Z612" i="5"/>
  <c r="Y612" i="5"/>
  <c r="X612" i="5"/>
  <c r="W612" i="5"/>
  <c r="V612" i="5"/>
  <c r="U612" i="5"/>
  <c r="T612" i="5"/>
  <c r="S612" i="5"/>
  <c r="R612" i="5"/>
  <c r="Q612" i="5"/>
  <c r="P612" i="5"/>
  <c r="O612" i="5"/>
  <c r="N612" i="5"/>
  <c r="M612" i="5"/>
  <c r="L612" i="5"/>
  <c r="K612" i="5"/>
  <c r="J612" i="5"/>
  <c r="I612" i="5"/>
  <c r="H612" i="5"/>
  <c r="G612" i="5"/>
  <c r="F612" i="5"/>
  <c r="CI611" i="5"/>
  <c r="CH611" i="5"/>
  <c r="CG611" i="5"/>
  <c r="CF611" i="5"/>
  <c r="CE611" i="5"/>
  <c r="CD611" i="5"/>
  <c r="CC611" i="5"/>
  <c r="CB611" i="5"/>
  <c r="CA611" i="5"/>
  <c r="BZ611" i="5"/>
  <c r="BY611" i="5"/>
  <c r="BX611" i="5"/>
  <c r="BW611" i="5"/>
  <c r="BV611" i="5"/>
  <c r="BU611" i="5"/>
  <c r="BT611" i="5"/>
  <c r="BS611" i="5"/>
  <c r="BR611" i="5"/>
  <c r="BQ611" i="5"/>
  <c r="BP611" i="5"/>
  <c r="BO611" i="5"/>
  <c r="BN611" i="5"/>
  <c r="BM611" i="5"/>
  <c r="BL611" i="5"/>
  <c r="BK611" i="5"/>
  <c r="BJ611" i="5"/>
  <c r="BI611" i="5"/>
  <c r="BH611" i="5"/>
  <c r="BG611" i="5"/>
  <c r="BF611" i="5"/>
  <c r="BE611" i="5"/>
  <c r="BD611" i="5"/>
  <c r="BC611" i="5"/>
  <c r="BB611" i="5"/>
  <c r="BA611" i="5"/>
  <c r="AZ611" i="5"/>
  <c r="AY611" i="5"/>
  <c r="AX611" i="5"/>
  <c r="AW611" i="5"/>
  <c r="AV611" i="5"/>
  <c r="AU611" i="5"/>
  <c r="AT611" i="5"/>
  <c r="AS611" i="5"/>
  <c r="AR611" i="5"/>
  <c r="AQ611" i="5"/>
  <c r="AP611" i="5"/>
  <c r="AO611" i="5"/>
  <c r="AN611" i="5"/>
  <c r="AM611" i="5"/>
  <c r="AL611" i="5"/>
  <c r="AK611" i="5"/>
  <c r="AJ611" i="5"/>
  <c r="AI611" i="5"/>
  <c r="AH611" i="5"/>
  <c r="AG611" i="5"/>
  <c r="AF611" i="5"/>
  <c r="AE611" i="5"/>
  <c r="AD611" i="5"/>
  <c r="AC611" i="5"/>
  <c r="AB611" i="5"/>
  <c r="AA611" i="5"/>
  <c r="Z611" i="5"/>
  <c r="Y611" i="5"/>
  <c r="X611" i="5"/>
  <c r="W611" i="5"/>
  <c r="V611" i="5"/>
  <c r="U611" i="5"/>
  <c r="T611" i="5"/>
  <c r="S611" i="5"/>
  <c r="R611" i="5"/>
  <c r="Q611" i="5"/>
  <c r="P611" i="5"/>
  <c r="O611" i="5"/>
  <c r="N611" i="5"/>
  <c r="M611" i="5"/>
  <c r="L611" i="5"/>
  <c r="K611" i="5"/>
  <c r="J611" i="5"/>
  <c r="I611" i="5"/>
  <c r="H611" i="5"/>
  <c r="G611" i="5"/>
  <c r="F611" i="5"/>
  <c r="CI610" i="5"/>
  <c r="CH610" i="5"/>
  <c r="CG610" i="5"/>
  <c r="CF610" i="5"/>
  <c r="CE610" i="5"/>
  <c r="CD610" i="5"/>
  <c r="CC610" i="5"/>
  <c r="CB610" i="5"/>
  <c r="CA610" i="5"/>
  <c r="BZ610" i="5"/>
  <c r="BY610" i="5"/>
  <c r="BX610" i="5"/>
  <c r="BW610" i="5"/>
  <c r="BV610" i="5"/>
  <c r="BU610" i="5"/>
  <c r="BT610" i="5"/>
  <c r="BS610" i="5"/>
  <c r="BR610" i="5"/>
  <c r="BQ610" i="5"/>
  <c r="BP610" i="5"/>
  <c r="BO610" i="5"/>
  <c r="BN610" i="5"/>
  <c r="BM610" i="5"/>
  <c r="BL610" i="5"/>
  <c r="BK610" i="5"/>
  <c r="BJ610" i="5"/>
  <c r="BI610" i="5"/>
  <c r="BH610" i="5"/>
  <c r="BG610" i="5"/>
  <c r="BF610" i="5"/>
  <c r="BE610" i="5"/>
  <c r="BD610" i="5"/>
  <c r="BC610" i="5"/>
  <c r="BB610" i="5"/>
  <c r="BA610" i="5"/>
  <c r="AZ610" i="5"/>
  <c r="AY610" i="5"/>
  <c r="AX610" i="5"/>
  <c r="AW610" i="5"/>
  <c r="AV610" i="5"/>
  <c r="AU610" i="5"/>
  <c r="AT610" i="5"/>
  <c r="AS610" i="5"/>
  <c r="AR610" i="5"/>
  <c r="AQ610" i="5"/>
  <c r="AP610" i="5"/>
  <c r="AO610" i="5"/>
  <c r="AN610" i="5"/>
  <c r="AM610" i="5"/>
  <c r="AL610" i="5"/>
  <c r="AK610" i="5"/>
  <c r="AJ610" i="5"/>
  <c r="AI610" i="5"/>
  <c r="AH610" i="5"/>
  <c r="AG610" i="5"/>
  <c r="AF610" i="5"/>
  <c r="AE610" i="5"/>
  <c r="AD610" i="5"/>
  <c r="AC610" i="5"/>
  <c r="AB610" i="5"/>
  <c r="AA610" i="5"/>
  <c r="Z610" i="5"/>
  <c r="Y610" i="5"/>
  <c r="X610" i="5"/>
  <c r="W610" i="5"/>
  <c r="V610" i="5"/>
  <c r="U610" i="5"/>
  <c r="T610" i="5"/>
  <c r="S610" i="5"/>
  <c r="R610" i="5"/>
  <c r="Q610" i="5"/>
  <c r="P610" i="5"/>
  <c r="O610" i="5"/>
  <c r="N610" i="5"/>
  <c r="M610" i="5"/>
  <c r="L610" i="5"/>
  <c r="K610" i="5"/>
  <c r="J610" i="5"/>
  <c r="I610" i="5"/>
  <c r="H610" i="5"/>
  <c r="G610" i="5"/>
  <c r="F610" i="5"/>
  <c r="CI609" i="5"/>
  <c r="CH609" i="5"/>
  <c r="CG609" i="5"/>
  <c r="CF609" i="5"/>
  <c r="CE609" i="5"/>
  <c r="CD609" i="5"/>
  <c r="CC609" i="5"/>
  <c r="CB609" i="5"/>
  <c r="CA609" i="5"/>
  <c r="BZ609" i="5"/>
  <c r="BY609" i="5"/>
  <c r="BX609" i="5"/>
  <c r="BW609" i="5"/>
  <c r="BV609" i="5"/>
  <c r="BU609" i="5"/>
  <c r="BT609" i="5"/>
  <c r="BS609" i="5"/>
  <c r="BR609" i="5"/>
  <c r="BQ609" i="5"/>
  <c r="BP609" i="5"/>
  <c r="BO609" i="5"/>
  <c r="BN609" i="5"/>
  <c r="BM609" i="5"/>
  <c r="BL609" i="5"/>
  <c r="BK609" i="5"/>
  <c r="BJ609" i="5"/>
  <c r="BI609" i="5"/>
  <c r="BH609" i="5"/>
  <c r="BG609" i="5"/>
  <c r="BF609" i="5"/>
  <c r="BE609" i="5"/>
  <c r="BD609" i="5"/>
  <c r="BC609" i="5"/>
  <c r="BB609" i="5"/>
  <c r="BA609" i="5"/>
  <c r="AZ609" i="5"/>
  <c r="AY609" i="5"/>
  <c r="AX609" i="5"/>
  <c r="AW609" i="5"/>
  <c r="AV609" i="5"/>
  <c r="AU609" i="5"/>
  <c r="AT609" i="5"/>
  <c r="AS609" i="5"/>
  <c r="AR609" i="5"/>
  <c r="AQ609" i="5"/>
  <c r="AP609" i="5"/>
  <c r="AO609" i="5"/>
  <c r="AN609" i="5"/>
  <c r="AM609" i="5"/>
  <c r="AL609" i="5"/>
  <c r="AK609" i="5"/>
  <c r="AJ609" i="5"/>
  <c r="AI609" i="5"/>
  <c r="AH609" i="5"/>
  <c r="AG609" i="5"/>
  <c r="AF609" i="5"/>
  <c r="AE609" i="5"/>
  <c r="AD609" i="5"/>
  <c r="AC609" i="5"/>
  <c r="AB609" i="5"/>
  <c r="AA609" i="5"/>
  <c r="Z609" i="5"/>
  <c r="Y609" i="5"/>
  <c r="X609" i="5"/>
  <c r="W609" i="5"/>
  <c r="V609" i="5"/>
  <c r="U609" i="5"/>
  <c r="T609" i="5"/>
  <c r="S609" i="5"/>
  <c r="R609" i="5"/>
  <c r="Q609" i="5"/>
  <c r="P609" i="5"/>
  <c r="O609" i="5"/>
  <c r="N609" i="5"/>
  <c r="M609" i="5"/>
  <c r="L609" i="5"/>
  <c r="K609" i="5"/>
  <c r="J609" i="5"/>
  <c r="I609" i="5"/>
  <c r="H609" i="5"/>
  <c r="G609" i="5"/>
  <c r="F609" i="5"/>
  <c r="CI608" i="5"/>
  <c r="CH608" i="5"/>
  <c r="CG608" i="5"/>
  <c r="CF608" i="5"/>
  <c r="CE608" i="5"/>
  <c r="CD608" i="5"/>
  <c r="CC608" i="5"/>
  <c r="CB608" i="5"/>
  <c r="CA608" i="5"/>
  <c r="BZ608" i="5"/>
  <c r="BY608" i="5"/>
  <c r="BX608" i="5"/>
  <c r="BW608" i="5"/>
  <c r="BV608" i="5"/>
  <c r="BU608" i="5"/>
  <c r="BT608" i="5"/>
  <c r="BS608" i="5"/>
  <c r="BR608" i="5"/>
  <c r="BQ608" i="5"/>
  <c r="BP608" i="5"/>
  <c r="BO608" i="5"/>
  <c r="BN608" i="5"/>
  <c r="BM608" i="5"/>
  <c r="BL608" i="5"/>
  <c r="BK608" i="5"/>
  <c r="BJ608" i="5"/>
  <c r="BI608" i="5"/>
  <c r="BH608" i="5"/>
  <c r="BG608" i="5"/>
  <c r="BF608" i="5"/>
  <c r="BE608" i="5"/>
  <c r="BD608" i="5"/>
  <c r="BC608" i="5"/>
  <c r="BB608" i="5"/>
  <c r="BA608" i="5"/>
  <c r="AZ608" i="5"/>
  <c r="AY608" i="5"/>
  <c r="AX608" i="5"/>
  <c r="AW608" i="5"/>
  <c r="AV608" i="5"/>
  <c r="AU608" i="5"/>
  <c r="AT608" i="5"/>
  <c r="AS608" i="5"/>
  <c r="AR608" i="5"/>
  <c r="AQ608" i="5"/>
  <c r="AP608" i="5"/>
  <c r="AO608" i="5"/>
  <c r="AN608" i="5"/>
  <c r="AM608" i="5"/>
  <c r="AL608" i="5"/>
  <c r="AK608" i="5"/>
  <c r="AJ608" i="5"/>
  <c r="AI608" i="5"/>
  <c r="AH608" i="5"/>
  <c r="AG608" i="5"/>
  <c r="AF608" i="5"/>
  <c r="AE608" i="5"/>
  <c r="AD608" i="5"/>
  <c r="AC608" i="5"/>
  <c r="AB608" i="5"/>
  <c r="AA608" i="5"/>
  <c r="Z608" i="5"/>
  <c r="Y608" i="5"/>
  <c r="X608" i="5"/>
  <c r="W608" i="5"/>
  <c r="V608" i="5"/>
  <c r="U608" i="5"/>
  <c r="T608" i="5"/>
  <c r="S608" i="5"/>
  <c r="R608" i="5"/>
  <c r="Q608" i="5"/>
  <c r="P608" i="5"/>
  <c r="O608" i="5"/>
  <c r="N608" i="5"/>
  <c r="M608" i="5"/>
  <c r="L608" i="5"/>
  <c r="K608" i="5"/>
  <c r="J608" i="5"/>
  <c r="I608" i="5"/>
  <c r="H608" i="5"/>
  <c r="G608" i="5"/>
  <c r="F608" i="5"/>
  <c r="CI607" i="5"/>
  <c r="CH607" i="5"/>
  <c r="CG607" i="5"/>
  <c r="CF607" i="5"/>
  <c r="CE607" i="5"/>
  <c r="CD607" i="5"/>
  <c r="CC607" i="5"/>
  <c r="CB607" i="5"/>
  <c r="CA607" i="5"/>
  <c r="BZ607" i="5"/>
  <c r="BY607" i="5"/>
  <c r="BX607" i="5"/>
  <c r="BW607" i="5"/>
  <c r="BV607" i="5"/>
  <c r="BU607" i="5"/>
  <c r="BT607" i="5"/>
  <c r="BS607" i="5"/>
  <c r="BR607" i="5"/>
  <c r="BQ607" i="5"/>
  <c r="BP607" i="5"/>
  <c r="BO607" i="5"/>
  <c r="BN607" i="5"/>
  <c r="BM607" i="5"/>
  <c r="BL607" i="5"/>
  <c r="BK607" i="5"/>
  <c r="BJ607" i="5"/>
  <c r="BI607" i="5"/>
  <c r="BH607" i="5"/>
  <c r="BG607" i="5"/>
  <c r="BF607" i="5"/>
  <c r="BE607" i="5"/>
  <c r="BD607" i="5"/>
  <c r="BC607" i="5"/>
  <c r="BB607" i="5"/>
  <c r="BA607" i="5"/>
  <c r="AZ607" i="5"/>
  <c r="AY607" i="5"/>
  <c r="AX607" i="5"/>
  <c r="AW607" i="5"/>
  <c r="AV607" i="5"/>
  <c r="AU607" i="5"/>
  <c r="AT607" i="5"/>
  <c r="AS607" i="5"/>
  <c r="AR607" i="5"/>
  <c r="AQ607" i="5"/>
  <c r="AP607" i="5"/>
  <c r="AO607" i="5"/>
  <c r="AN607" i="5"/>
  <c r="AM607" i="5"/>
  <c r="AL607" i="5"/>
  <c r="AK607" i="5"/>
  <c r="AJ607" i="5"/>
  <c r="AI607" i="5"/>
  <c r="AH607" i="5"/>
  <c r="AG607" i="5"/>
  <c r="AF607" i="5"/>
  <c r="AE607" i="5"/>
  <c r="AD607" i="5"/>
  <c r="AC607" i="5"/>
  <c r="AB607" i="5"/>
  <c r="AA607" i="5"/>
  <c r="Z607" i="5"/>
  <c r="Y607" i="5"/>
  <c r="X607" i="5"/>
  <c r="W607" i="5"/>
  <c r="V607" i="5"/>
  <c r="U607" i="5"/>
  <c r="T607" i="5"/>
  <c r="S607" i="5"/>
  <c r="R607" i="5"/>
  <c r="Q607" i="5"/>
  <c r="P607" i="5"/>
  <c r="O607" i="5"/>
  <c r="N607" i="5"/>
  <c r="M607" i="5"/>
  <c r="L607" i="5"/>
  <c r="K607" i="5"/>
  <c r="J607" i="5"/>
  <c r="I607" i="5"/>
  <c r="H607" i="5"/>
  <c r="G607" i="5"/>
  <c r="F607" i="5"/>
  <c r="CI606" i="5"/>
  <c r="CH606" i="5"/>
  <c r="CG606" i="5"/>
  <c r="CF606" i="5"/>
  <c r="CE606" i="5"/>
  <c r="CD606" i="5"/>
  <c r="CC606" i="5"/>
  <c r="CB606" i="5"/>
  <c r="CA606" i="5"/>
  <c r="BZ606" i="5"/>
  <c r="BY606" i="5"/>
  <c r="BX606" i="5"/>
  <c r="BW606" i="5"/>
  <c r="BV606" i="5"/>
  <c r="BU606" i="5"/>
  <c r="BT606" i="5"/>
  <c r="BS606" i="5"/>
  <c r="BR606" i="5"/>
  <c r="BQ606" i="5"/>
  <c r="BP606" i="5"/>
  <c r="BO606" i="5"/>
  <c r="BN606" i="5"/>
  <c r="BM606" i="5"/>
  <c r="BL606" i="5"/>
  <c r="BK606" i="5"/>
  <c r="BJ606" i="5"/>
  <c r="BI606" i="5"/>
  <c r="BH606" i="5"/>
  <c r="BG606" i="5"/>
  <c r="BF606" i="5"/>
  <c r="BE606" i="5"/>
  <c r="BD606" i="5"/>
  <c r="BC606" i="5"/>
  <c r="BB606" i="5"/>
  <c r="BA606" i="5"/>
  <c r="AZ606" i="5"/>
  <c r="AY606" i="5"/>
  <c r="AX606" i="5"/>
  <c r="AW606" i="5"/>
  <c r="AV606" i="5"/>
  <c r="AU606" i="5"/>
  <c r="AT606" i="5"/>
  <c r="AS606" i="5"/>
  <c r="AR606" i="5"/>
  <c r="AQ606" i="5"/>
  <c r="AP606" i="5"/>
  <c r="AO606" i="5"/>
  <c r="AN606" i="5"/>
  <c r="AM606" i="5"/>
  <c r="AL606" i="5"/>
  <c r="AK606" i="5"/>
  <c r="AJ606" i="5"/>
  <c r="AI606" i="5"/>
  <c r="AH606" i="5"/>
  <c r="AG606" i="5"/>
  <c r="AF606" i="5"/>
  <c r="AE606" i="5"/>
  <c r="AD606" i="5"/>
  <c r="AC606" i="5"/>
  <c r="AB606" i="5"/>
  <c r="AA606" i="5"/>
  <c r="Z606" i="5"/>
  <c r="Y606" i="5"/>
  <c r="X606" i="5"/>
  <c r="W606" i="5"/>
  <c r="V606" i="5"/>
  <c r="U606" i="5"/>
  <c r="T606" i="5"/>
  <c r="S606" i="5"/>
  <c r="R606" i="5"/>
  <c r="Q606" i="5"/>
  <c r="P606" i="5"/>
  <c r="O606" i="5"/>
  <c r="N606" i="5"/>
  <c r="M606" i="5"/>
  <c r="L606" i="5"/>
  <c r="K606" i="5"/>
  <c r="J606" i="5"/>
  <c r="I606" i="5"/>
  <c r="H606" i="5"/>
  <c r="G606" i="5"/>
  <c r="F606" i="5"/>
  <c r="CI605" i="5"/>
  <c r="CH605" i="5"/>
  <c r="CG605" i="5"/>
  <c r="CF605" i="5"/>
  <c r="CE605" i="5"/>
  <c r="CD605" i="5"/>
  <c r="CC605" i="5"/>
  <c r="CB605" i="5"/>
  <c r="CA605" i="5"/>
  <c r="BZ605" i="5"/>
  <c r="BY605" i="5"/>
  <c r="BX605" i="5"/>
  <c r="BW605" i="5"/>
  <c r="BV605" i="5"/>
  <c r="BU605" i="5"/>
  <c r="BT605" i="5"/>
  <c r="BS605" i="5"/>
  <c r="BR605" i="5"/>
  <c r="BQ605" i="5"/>
  <c r="BP605" i="5"/>
  <c r="BO605" i="5"/>
  <c r="BN605" i="5"/>
  <c r="BM605" i="5"/>
  <c r="BL605" i="5"/>
  <c r="BK605" i="5"/>
  <c r="BJ605" i="5"/>
  <c r="BI605" i="5"/>
  <c r="BH605" i="5"/>
  <c r="BG605" i="5"/>
  <c r="BF605" i="5"/>
  <c r="BE605" i="5"/>
  <c r="BD605" i="5"/>
  <c r="BC605" i="5"/>
  <c r="BB605" i="5"/>
  <c r="BA605" i="5"/>
  <c r="AZ605" i="5"/>
  <c r="AY605" i="5"/>
  <c r="AX605" i="5"/>
  <c r="AW605" i="5"/>
  <c r="AV605" i="5"/>
  <c r="AU605" i="5"/>
  <c r="AT605" i="5"/>
  <c r="AS605" i="5"/>
  <c r="AR605" i="5"/>
  <c r="AQ605" i="5"/>
  <c r="AP605" i="5"/>
  <c r="AO605" i="5"/>
  <c r="AN605" i="5"/>
  <c r="AM605" i="5"/>
  <c r="AL605" i="5"/>
  <c r="AK605" i="5"/>
  <c r="AJ605" i="5"/>
  <c r="AI605" i="5"/>
  <c r="AH605" i="5"/>
  <c r="AG605" i="5"/>
  <c r="AF605" i="5"/>
  <c r="AE605" i="5"/>
  <c r="AD605" i="5"/>
  <c r="AC605" i="5"/>
  <c r="AB605" i="5"/>
  <c r="AA605" i="5"/>
  <c r="Z605" i="5"/>
  <c r="Y605" i="5"/>
  <c r="X605" i="5"/>
  <c r="W605" i="5"/>
  <c r="V605" i="5"/>
  <c r="U605" i="5"/>
  <c r="T605" i="5"/>
  <c r="S605" i="5"/>
  <c r="R605" i="5"/>
  <c r="Q605" i="5"/>
  <c r="P605" i="5"/>
  <c r="O605" i="5"/>
  <c r="N605" i="5"/>
  <c r="M605" i="5"/>
  <c r="L605" i="5"/>
  <c r="K605" i="5"/>
  <c r="J605" i="5"/>
  <c r="I605" i="5"/>
  <c r="H605" i="5"/>
  <c r="G605" i="5"/>
  <c r="F605" i="5"/>
  <c r="CI604" i="5"/>
  <c r="CH604" i="5"/>
  <c r="CG604" i="5"/>
  <c r="CF604" i="5"/>
  <c r="CE604" i="5"/>
  <c r="CD604" i="5"/>
  <c r="CC604" i="5"/>
  <c r="CB604" i="5"/>
  <c r="CA604" i="5"/>
  <c r="BZ604" i="5"/>
  <c r="BY604" i="5"/>
  <c r="BX604" i="5"/>
  <c r="BW604" i="5"/>
  <c r="BV604" i="5"/>
  <c r="BU604" i="5"/>
  <c r="BT604" i="5"/>
  <c r="BS604" i="5"/>
  <c r="BR604" i="5"/>
  <c r="BQ604" i="5"/>
  <c r="BP604" i="5"/>
  <c r="BO604" i="5"/>
  <c r="BN604" i="5"/>
  <c r="BM604" i="5"/>
  <c r="BL604" i="5"/>
  <c r="BK604" i="5"/>
  <c r="BJ604" i="5"/>
  <c r="BI604" i="5"/>
  <c r="BH604" i="5"/>
  <c r="BG604" i="5"/>
  <c r="BF604" i="5"/>
  <c r="BE604" i="5"/>
  <c r="BD604" i="5"/>
  <c r="BC604" i="5"/>
  <c r="BB604" i="5"/>
  <c r="BA604" i="5"/>
  <c r="AZ604" i="5"/>
  <c r="AY604" i="5"/>
  <c r="AX604" i="5"/>
  <c r="AW604" i="5"/>
  <c r="AV604" i="5"/>
  <c r="AU604" i="5"/>
  <c r="AT604" i="5"/>
  <c r="AS604" i="5"/>
  <c r="AR604" i="5"/>
  <c r="AQ604" i="5"/>
  <c r="AP604" i="5"/>
  <c r="AO604" i="5"/>
  <c r="AN604" i="5"/>
  <c r="AM604" i="5"/>
  <c r="AL604" i="5"/>
  <c r="AK604" i="5"/>
  <c r="AJ604" i="5"/>
  <c r="AI604" i="5"/>
  <c r="AH604" i="5"/>
  <c r="AG604" i="5"/>
  <c r="AF604" i="5"/>
  <c r="AE604" i="5"/>
  <c r="AD604" i="5"/>
  <c r="AC604" i="5"/>
  <c r="AB604" i="5"/>
  <c r="AA604" i="5"/>
  <c r="Z604" i="5"/>
  <c r="Y604" i="5"/>
  <c r="X604" i="5"/>
  <c r="W604" i="5"/>
  <c r="V604" i="5"/>
  <c r="U604" i="5"/>
  <c r="T604" i="5"/>
  <c r="S604" i="5"/>
  <c r="R604" i="5"/>
  <c r="Q604" i="5"/>
  <c r="P604" i="5"/>
  <c r="O604" i="5"/>
  <c r="N604" i="5"/>
  <c r="M604" i="5"/>
  <c r="L604" i="5"/>
  <c r="K604" i="5"/>
  <c r="J604" i="5"/>
  <c r="I604" i="5"/>
  <c r="H604" i="5"/>
  <c r="G604" i="5"/>
  <c r="F604" i="5"/>
  <c r="CI603" i="5"/>
  <c r="CH603" i="5"/>
  <c r="CG603" i="5"/>
  <c r="CF603" i="5"/>
  <c r="CE603" i="5"/>
  <c r="CD603" i="5"/>
  <c r="CC603" i="5"/>
  <c r="CB603" i="5"/>
  <c r="CA603" i="5"/>
  <c r="BZ603" i="5"/>
  <c r="BY603" i="5"/>
  <c r="BX603" i="5"/>
  <c r="BW603" i="5"/>
  <c r="BV603" i="5"/>
  <c r="BU603" i="5"/>
  <c r="BT603" i="5"/>
  <c r="BS603" i="5"/>
  <c r="BR603" i="5"/>
  <c r="BQ603" i="5"/>
  <c r="BP603" i="5"/>
  <c r="BO603" i="5"/>
  <c r="BN603" i="5"/>
  <c r="BM603" i="5"/>
  <c r="BL603" i="5"/>
  <c r="BK603" i="5"/>
  <c r="BJ603" i="5"/>
  <c r="BI603" i="5"/>
  <c r="BH603" i="5"/>
  <c r="BG603" i="5"/>
  <c r="BF603" i="5"/>
  <c r="BE603" i="5"/>
  <c r="BD603" i="5"/>
  <c r="BC603" i="5"/>
  <c r="BB603" i="5"/>
  <c r="BA603" i="5"/>
  <c r="AZ603" i="5"/>
  <c r="AY603" i="5"/>
  <c r="AX603" i="5"/>
  <c r="AW603" i="5"/>
  <c r="AV603" i="5"/>
  <c r="AU603" i="5"/>
  <c r="AT603" i="5"/>
  <c r="AS603" i="5"/>
  <c r="AR603" i="5"/>
  <c r="AQ603" i="5"/>
  <c r="AP603" i="5"/>
  <c r="AO603" i="5"/>
  <c r="AN603" i="5"/>
  <c r="AM603" i="5"/>
  <c r="AL603" i="5"/>
  <c r="AK603" i="5"/>
  <c r="AJ603" i="5"/>
  <c r="AI603" i="5"/>
  <c r="AH603" i="5"/>
  <c r="AG603" i="5"/>
  <c r="AF603" i="5"/>
  <c r="AE603" i="5"/>
  <c r="AD603" i="5"/>
  <c r="AC603" i="5"/>
  <c r="AB603" i="5"/>
  <c r="AA603" i="5"/>
  <c r="Z603" i="5"/>
  <c r="Y603" i="5"/>
  <c r="X603" i="5"/>
  <c r="W603" i="5"/>
  <c r="V603" i="5"/>
  <c r="U603" i="5"/>
  <c r="T603" i="5"/>
  <c r="S603" i="5"/>
  <c r="R603" i="5"/>
  <c r="Q603" i="5"/>
  <c r="P603" i="5"/>
  <c r="O603" i="5"/>
  <c r="N603" i="5"/>
  <c r="M603" i="5"/>
  <c r="L603" i="5"/>
  <c r="K603" i="5"/>
  <c r="J603" i="5"/>
  <c r="I603" i="5"/>
  <c r="H603" i="5"/>
  <c r="G603" i="5"/>
  <c r="F603" i="5"/>
  <c r="CI602" i="5"/>
  <c r="CH602" i="5"/>
  <c r="CG602" i="5"/>
  <c r="CF602" i="5"/>
  <c r="CE602" i="5"/>
  <c r="CD602" i="5"/>
  <c r="CC602" i="5"/>
  <c r="CB602" i="5"/>
  <c r="CA602" i="5"/>
  <c r="BZ602" i="5"/>
  <c r="BY602" i="5"/>
  <c r="BX602" i="5"/>
  <c r="BW602" i="5"/>
  <c r="BV602" i="5"/>
  <c r="BU602" i="5"/>
  <c r="BT602" i="5"/>
  <c r="BS602" i="5"/>
  <c r="BR602" i="5"/>
  <c r="BQ602" i="5"/>
  <c r="BP602" i="5"/>
  <c r="BO602" i="5"/>
  <c r="BN602" i="5"/>
  <c r="BM602" i="5"/>
  <c r="BL602" i="5"/>
  <c r="BK602" i="5"/>
  <c r="BJ602" i="5"/>
  <c r="BI602" i="5"/>
  <c r="BH602" i="5"/>
  <c r="BG602" i="5"/>
  <c r="BF602" i="5"/>
  <c r="BE602" i="5"/>
  <c r="BD602" i="5"/>
  <c r="BC602" i="5"/>
  <c r="BB602" i="5"/>
  <c r="BA602" i="5"/>
  <c r="AZ602" i="5"/>
  <c r="AY602" i="5"/>
  <c r="AX602" i="5"/>
  <c r="AW602" i="5"/>
  <c r="AV602" i="5"/>
  <c r="AU602" i="5"/>
  <c r="AT602" i="5"/>
  <c r="AS602" i="5"/>
  <c r="AR602" i="5"/>
  <c r="AQ602" i="5"/>
  <c r="AP602" i="5"/>
  <c r="AO602" i="5"/>
  <c r="AN602" i="5"/>
  <c r="AM602" i="5"/>
  <c r="AL602" i="5"/>
  <c r="AK602" i="5"/>
  <c r="AJ602" i="5"/>
  <c r="AI602" i="5"/>
  <c r="AH602" i="5"/>
  <c r="AG602" i="5"/>
  <c r="AF602" i="5"/>
  <c r="AE602" i="5"/>
  <c r="AD602" i="5"/>
  <c r="AC602" i="5"/>
  <c r="AB602" i="5"/>
  <c r="AA602" i="5"/>
  <c r="Z602" i="5"/>
  <c r="Y602" i="5"/>
  <c r="X602" i="5"/>
  <c r="W602" i="5"/>
  <c r="V602" i="5"/>
  <c r="U602" i="5"/>
  <c r="T602" i="5"/>
  <c r="S602" i="5"/>
  <c r="R602" i="5"/>
  <c r="Q602" i="5"/>
  <c r="P602" i="5"/>
  <c r="O602" i="5"/>
  <c r="N602" i="5"/>
  <c r="M602" i="5"/>
  <c r="L602" i="5"/>
  <c r="K602" i="5"/>
  <c r="J602" i="5"/>
  <c r="I602" i="5"/>
  <c r="H602" i="5"/>
  <c r="G602" i="5"/>
  <c r="F602" i="5"/>
  <c r="CI601" i="5"/>
  <c r="CH601" i="5"/>
  <c r="CG601" i="5"/>
  <c r="CF601" i="5"/>
  <c r="CE601" i="5"/>
  <c r="CD601" i="5"/>
  <c r="CC601" i="5"/>
  <c r="CB601" i="5"/>
  <c r="CA601" i="5"/>
  <c r="BZ601" i="5"/>
  <c r="BY601" i="5"/>
  <c r="BX601" i="5"/>
  <c r="BW601" i="5"/>
  <c r="BV601" i="5"/>
  <c r="BU601" i="5"/>
  <c r="BT601" i="5"/>
  <c r="BS601" i="5"/>
  <c r="BR601" i="5"/>
  <c r="BQ601" i="5"/>
  <c r="BP601" i="5"/>
  <c r="BO601" i="5"/>
  <c r="BN601" i="5"/>
  <c r="BM601" i="5"/>
  <c r="BL601" i="5"/>
  <c r="BK601" i="5"/>
  <c r="BJ601" i="5"/>
  <c r="BI601" i="5"/>
  <c r="BH601" i="5"/>
  <c r="BG601" i="5"/>
  <c r="BF601" i="5"/>
  <c r="BE601" i="5"/>
  <c r="BD601" i="5"/>
  <c r="BC601" i="5"/>
  <c r="BB601" i="5"/>
  <c r="BA601" i="5"/>
  <c r="AZ601" i="5"/>
  <c r="AY601" i="5"/>
  <c r="AX601" i="5"/>
  <c r="AW601" i="5"/>
  <c r="AV601" i="5"/>
  <c r="AU601" i="5"/>
  <c r="AT601" i="5"/>
  <c r="AS601" i="5"/>
  <c r="AR601" i="5"/>
  <c r="AQ601" i="5"/>
  <c r="AP601" i="5"/>
  <c r="AO601" i="5"/>
  <c r="AN601" i="5"/>
  <c r="AM601" i="5"/>
  <c r="AL601" i="5"/>
  <c r="AK601" i="5"/>
  <c r="AJ601" i="5"/>
  <c r="AI601" i="5"/>
  <c r="AH601" i="5"/>
  <c r="AG601" i="5"/>
  <c r="AF601" i="5"/>
  <c r="AE601" i="5"/>
  <c r="AD601" i="5"/>
  <c r="AC601" i="5"/>
  <c r="AB601" i="5"/>
  <c r="AA601" i="5"/>
  <c r="Z601" i="5"/>
  <c r="Y601" i="5"/>
  <c r="X601" i="5"/>
  <c r="W601" i="5"/>
  <c r="V601" i="5"/>
  <c r="U601" i="5"/>
  <c r="T601" i="5"/>
  <c r="S601" i="5"/>
  <c r="R601" i="5"/>
  <c r="Q601" i="5"/>
  <c r="P601" i="5"/>
  <c r="O601" i="5"/>
  <c r="N601" i="5"/>
  <c r="M601" i="5"/>
  <c r="L601" i="5"/>
  <c r="K601" i="5"/>
  <c r="J601" i="5"/>
  <c r="I601" i="5"/>
  <c r="H601" i="5"/>
  <c r="G601" i="5"/>
  <c r="F601" i="5"/>
  <c r="CI600" i="5"/>
  <c r="CH600" i="5"/>
  <c r="CG600" i="5"/>
  <c r="CF600" i="5"/>
  <c r="CE600" i="5"/>
  <c r="CD600" i="5"/>
  <c r="CC600" i="5"/>
  <c r="CB600" i="5"/>
  <c r="CA600" i="5"/>
  <c r="BZ600" i="5"/>
  <c r="BY600" i="5"/>
  <c r="BX600" i="5"/>
  <c r="BW600" i="5"/>
  <c r="BV600" i="5"/>
  <c r="BU600" i="5"/>
  <c r="BT600" i="5"/>
  <c r="BS600" i="5"/>
  <c r="BR600" i="5"/>
  <c r="BQ600" i="5"/>
  <c r="BP600" i="5"/>
  <c r="BO600" i="5"/>
  <c r="BN600" i="5"/>
  <c r="BM600" i="5"/>
  <c r="BL600" i="5"/>
  <c r="BK600" i="5"/>
  <c r="BJ600" i="5"/>
  <c r="BI600" i="5"/>
  <c r="BH600" i="5"/>
  <c r="BG600" i="5"/>
  <c r="BF600" i="5"/>
  <c r="BE600" i="5"/>
  <c r="BD600" i="5"/>
  <c r="BC600" i="5"/>
  <c r="BB600" i="5"/>
  <c r="BA600" i="5"/>
  <c r="AZ600" i="5"/>
  <c r="AY600" i="5"/>
  <c r="AX600" i="5"/>
  <c r="AW600" i="5"/>
  <c r="AV600" i="5"/>
  <c r="AU600" i="5"/>
  <c r="AT600" i="5"/>
  <c r="AS600" i="5"/>
  <c r="AR600" i="5"/>
  <c r="AQ600" i="5"/>
  <c r="AP600" i="5"/>
  <c r="AO600" i="5"/>
  <c r="AN600" i="5"/>
  <c r="AM600" i="5"/>
  <c r="AL600" i="5"/>
  <c r="AK600" i="5"/>
  <c r="AJ600" i="5"/>
  <c r="AI600" i="5"/>
  <c r="AH600" i="5"/>
  <c r="AG600" i="5"/>
  <c r="AF600" i="5"/>
  <c r="AE600" i="5"/>
  <c r="AD600" i="5"/>
  <c r="AC600" i="5"/>
  <c r="AB600" i="5"/>
  <c r="AA600" i="5"/>
  <c r="Z600" i="5"/>
  <c r="Y600" i="5"/>
  <c r="X600" i="5"/>
  <c r="W600" i="5"/>
  <c r="V600" i="5"/>
  <c r="U600" i="5"/>
  <c r="T600" i="5"/>
  <c r="S600" i="5"/>
  <c r="R600" i="5"/>
  <c r="Q600" i="5"/>
  <c r="P600" i="5"/>
  <c r="O600" i="5"/>
  <c r="N600" i="5"/>
  <c r="M600" i="5"/>
  <c r="L600" i="5"/>
  <c r="K600" i="5"/>
  <c r="J600" i="5"/>
  <c r="I600" i="5"/>
  <c r="H600" i="5"/>
  <c r="G600" i="5"/>
  <c r="F600" i="5"/>
  <c r="CI599" i="5"/>
  <c r="CH599" i="5"/>
  <c r="CG599" i="5"/>
  <c r="CF599" i="5"/>
  <c r="CE599" i="5"/>
  <c r="CD599" i="5"/>
  <c r="CC599" i="5"/>
  <c r="CB599" i="5"/>
  <c r="CA599" i="5"/>
  <c r="BZ599" i="5"/>
  <c r="BY599" i="5"/>
  <c r="BX599" i="5"/>
  <c r="BW599" i="5"/>
  <c r="BV599" i="5"/>
  <c r="BU599" i="5"/>
  <c r="BT599" i="5"/>
  <c r="BS599" i="5"/>
  <c r="BR599" i="5"/>
  <c r="BQ599" i="5"/>
  <c r="BP599" i="5"/>
  <c r="BO599" i="5"/>
  <c r="BN599" i="5"/>
  <c r="BM599" i="5"/>
  <c r="BL599" i="5"/>
  <c r="BK599" i="5"/>
  <c r="BJ599" i="5"/>
  <c r="BI599" i="5"/>
  <c r="BH599" i="5"/>
  <c r="BG599" i="5"/>
  <c r="BF599" i="5"/>
  <c r="BE599" i="5"/>
  <c r="BD599" i="5"/>
  <c r="BC599" i="5"/>
  <c r="BB599" i="5"/>
  <c r="BA599" i="5"/>
  <c r="AZ599" i="5"/>
  <c r="AY599" i="5"/>
  <c r="AX599" i="5"/>
  <c r="AW599" i="5"/>
  <c r="AV599" i="5"/>
  <c r="AU599" i="5"/>
  <c r="AT599" i="5"/>
  <c r="AS599" i="5"/>
  <c r="AR599" i="5"/>
  <c r="AQ599" i="5"/>
  <c r="AP599" i="5"/>
  <c r="AO599" i="5"/>
  <c r="AN599" i="5"/>
  <c r="AM599" i="5"/>
  <c r="AL599" i="5"/>
  <c r="AK599" i="5"/>
  <c r="AJ599" i="5"/>
  <c r="AI599" i="5"/>
  <c r="AH599" i="5"/>
  <c r="AG599" i="5"/>
  <c r="AF599" i="5"/>
  <c r="AE599" i="5"/>
  <c r="AD599" i="5"/>
  <c r="AC599" i="5"/>
  <c r="AB599" i="5"/>
  <c r="AA599" i="5"/>
  <c r="Z599" i="5"/>
  <c r="Y599" i="5"/>
  <c r="X599" i="5"/>
  <c r="W599" i="5"/>
  <c r="V599" i="5"/>
  <c r="U599" i="5"/>
  <c r="T599" i="5"/>
  <c r="S599" i="5"/>
  <c r="R599" i="5"/>
  <c r="Q599" i="5"/>
  <c r="P599" i="5"/>
  <c r="O599" i="5"/>
  <c r="N599" i="5"/>
  <c r="M599" i="5"/>
  <c r="L599" i="5"/>
  <c r="K599" i="5"/>
  <c r="J599" i="5"/>
  <c r="I599" i="5"/>
  <c r="H599" i="5"/>
  <c r="G599" i="5"/>
  <c r="F599" i="5"/>
  <c r="CI598" i="5"/>
  <c r="CH598" i="5"/>
  <c r="CG598" i="5"/>
  <c r="CF598" i="5"/>
  <c r="CE598" i="5"/>
  <c r="CD598" i="5"/>
  <c r="CC598" i="5"/>
  <c r="CB598" i="5"/>
  <c r="CA598" i="5"/>
  <c r="BZ598" i="5"/>
  <c r="BY598" i="5"/>
  <c r="BX598" i="5"/>
  <c r="BW598" i="5"/>
  <c r="BV598" i="5"/>
  <c r="BU598" i="5"/>
  <c r="BT598" i="5"/>
  <c r="BS598" i="5"/>
  <c r="BR598" i="5"/>
  <c r="BQ598" i="5"/>
  <c r="BP598" i="5"/>
  <c r="BO598" i="5"/>
  <c r="BN598" i="5"/>
  <c r="BM598" i="5"/>
  <c r="BL598" i="5"/>
  <c r="BK598" i="5"/>
  <c r="BJ598" i="5"/>
  <c r="BI598" i="5"/>
  <c r="BH598" i="5"/>
  <c r="BG598" i="5"/>
  <c r="BF598" i="5"/>
  <c r="BE598" i="5"/>
  <c r="BD598" i="5"/>
  <c r="BC598" i="5"/>
  <c r="BB598" i="5"/>
  <c r="BA598" i="5"/>
  <c r="AZ598" i="5"/>
  <c r="AY598" i="5"/>
  <c r="AX598" i="5"/>
  <c r="AW598" i="5"/>
  <c r="AV598" i="5"/>
  <c r="AU598" i="5"/>
  <c r="AT598" i="5"/>
  <c r="AS598" i="5"/>
  <c r="AR598" i="5"/>
  <c r="AQ598" i="5"/>
  <c r="AP598" i="5"/>
  <c r="AO598" i="5"/>
  <c r="AN598" i="5"/>
  <c r="AM598" i="5"/>
  <c r="AL598" i="5"/>
  <c r="AK598" i="5"/>
  <c r="AJ598" i="5"/>
  <c r="AI598" i="5"/>
  <c r="AH598" i="5"/>
  <c r="AG598" i="5"/>
  <c r="AF598" i="5"/>
  <c r="AE598" i="5"/>
  <c r="AD598" i="5"/>
  <c r="AC598" i="5"/>
  <c r="AB598" i="5"/>
  <c r="AA598" i="5"/>
  <c r="Z598" i="5"/>
  <c r="Y598" i="5"/>
  <c r="X598" i="5"/>
  <c r="W598" i="5"/>
  <c r="V598" i="5"/>
  <c r="U598" i="5"/>
  <c r="T598" i="5"/>
  <c r="S598" i="5"/>
  <c r="R598" i="5"/>
  <c r="Q598" i="5"/>
  <c r="P598" i="5"/>
  <c r="O598" i="5"/>
  <c r="N598" i="5"/>
  <c r="M598" i="5"/>
  <c r="L598" i="5"/>
  <c r="K598" i="5"/>
  <c r="J598" i="5"/>
  <c r="I598" i="5"/>
  <c r="H598" i="5"/>
  <c r="G598" i="5"/>
  <c r="F598" i="5"/>
  <c r="CI597" i="5"/>
  <c r="CH597" i="5"/>
  <c r="CG597" i="5"/>
  <c r="CF597" i="5"/>
  <c r="CE597" i="5"/>
  <c r="CD597" i="5"/>
  <c r="CC597" i="5"/>
  <c r="CB597" i="5"/>
  <c r="CA597" i="5"/>
  <c r="BZ597" i="5"/>
  <c r="BY597" i="5"/>
  <c r="BX597" i="5"/>
  <c r="BW597" i="5"/>
  <c r="BV597" i="5"/>
  <c r="BU597" i="5"/>
  <c r="BT597" i="5"/>
  <c r="BS597" i="5"/>
  <c r="BR597" i="5"/>
  <c r="BQ597" i="5"/>
  <c r="BP597" i="5"/>
  <c r="BO597" i="5"/>
  <c r="BN597" i="5"/>
  <c r="BM597" i="5"/>
  <c r="BL597" i="5"/>
  <c r="BK597" i="5"/>
  <c r="BJ597" i="5"/>
  <c r="BI597" i="5"/>
  <c r="BH597" i="5"/>
  <c r="BG597" i="5"/>
  <c r="BF597" i="5"/>
  <c r="BE597" i="5"/>
  <c r="BD597" i="5"/>
  <c r="BC597" i="5"/>
  <c r="BB597" i="5"/>
  <c r="BA597" i="5"/>
  <c r="AZ597" i="5"/>
  <c r="AY597" i="5"/>
  <c r="AX597" i="5"/>
  <c r="AW597" i="5"/>
  <c r="AV597" i="5"/>
  <c r="AU597" i="5"/>
  <c r="AT597" i="5"/>
  <c r="AS597" i="5"/>
  <c r="AR597" i="5"/>
  <c r="AQ597" i="5"/>
  <c r="AP597" i="5"/>
  <c r="AO597" i="5"/>
  <c r="AN597" i="5"/>
  <c r="AM597" i="5"/>
  <c r="AL597" i="5"/>
  <c r="AK597" i="5"/>
  <c r="AJ597" i="5"/>
  <c r="AI597" i="5"/>
  <c r="AH597" i="5"/>
  <c r="AG597" i="5"/>
  <c r="AF597" i="5"/>
  <c r="AE597" i="5"/>
  <c r="AD597" i="5"/>
  <c r="AC597" i="5"/>
  <c r="AB597" i="5"/>
  <c r="AA597" i="5"/>
  <c r="Z597" i="5"/>
  <c r="Y597" i="5"/>
  <c r="X597" i="5"/>
  <c r="W597" i="5"/>
  <c r="V597" i="5"/>
  <c r="U597" i="5"/>
  <c r="T597" i="5"/>
  <c r="S597" i="5"/>
  <c r="R597" i="5"/>
  <c r="Q597" i="5"/>
  <c r="P597" i="5"/>
  <c r="O597" i="5"/>
  <c r="N597" i="5"/>
  <c r="M597" i="5"/>
  <c r="L597" i="5"/>
  <c r="K597" i="5"/>
  <c r="J597" i="5"/>
  <c r="I597" i="5"/>
  <c r="H597" i="5"/>
  <c r="G597" i="5"/>
  <c r="F597" i="5"/>
  <c r="CI596" i="5"/>
  <c r="CH596" i="5"/>
  <c r="CG596" i="5"/>
  <c r="CF596" i="5"/>
  <c r="CE596" i="5"/>
  <c r="CD596" i="5"/>
  <c r="CC596" i="5"/>
  <c r="CB596" i="5"/>
  <c r="CA596" i="5"/>
  <c r="BZ596" i="5"/>
  <c r="BY596" i="5"/>
  <c r="BX596" i="5"/>
  <c r="BW596" i="5"/>
  <c r="BV596" i="5"/>
  <c r="BU596" i="5"/>
  <c r="BT596" i="5"/>
  <c r="BS596" i="5"/>
  <c r="BR596" i="5"/>
  <c r="BQ596" i="5"/>
  <c r="BP596" i="5"/>
  <c r="BO596" i="5"/>
  <c r="BN596" i="5"/>
  <c r="BM596" i="5"/>
  <c r="BL596" i="5"/>
  <c r="BK596" i="5"/>
  <c r="BJ596" i="5"/>
  <c r="BI596" i="5"/>
  <c r="BH596" i="5"/>
  <c r="BG596" i="5"/>
  <c r="BF596" i="5"/>
  <c r="BE596" i="5"/>
  <c r="BD596" i="5"/>
  <c r="BC596" i="5"/>
  <c r="BB596" i="5"/>
  <c r="BA596" i="5"/>
  <c r="AZ596" i="5"/>
  <c r="AY596" i="5"/>
  <c r="AX596" i="5"/>
  <c r="AW596" i="5"/>
  <c r="AV596" i="5"/>
  <c r="AU596" i="5"/>
  <c r="AT596" i="5"/>
  <c r="AS596" i="5"/>
  <c r="AR596" i="5"/>
  <c r="AQ596" i="5"/>
  <c r="AP596" i="5"/>
  <c r="AO596" i="5"/>
  <c r="AN596" i="5"/>
  <c r="AM596" i="5"/>
  <c r="AL596" i="5"/>
  <c r="AK596" i="5"/>
  <c r="AJ596" i="5"/>
  <c r="AI596" i="5"/>
  <c r="AH596" i="5"/>
  <c r="AG596" i="5"/>
  <c r="AF596" i="5"/>
  <c r="AE596" i="5"/>
  <c r="AD596" i="5"/>
  <c r="AC596" i="5"/>
  <c r="AB596" i="5"/>
  <c r="AA596" i="5"/>
  <c r="Z596" i="5"/>
  <c r="Y596" i="5"/>
  <c r="X596" i="5"/>
  <c r="W596" i="5"/>
  <c r="V596" i="5"/>
  <c r="U596" i="5"/>
  <c r="T596" i="5"/>
  <c r="S596" i="5"/>
  <c r="R596" i="5"/>
  <c r="Q596" i="5"/>
  <c r="P596" i="5"/>
  <c r="O596" i="5"/>
  <c r="N596" i="5"/>
  <c r="M596" i="5"/>
  <c r="L596" i="5"/>
  <c r="K596" i="5"/>
  <c r="J596" i="5"/>
  <c r="I596" i="5"/>
  <c r="H596" i="5"/>
  <c r="G596" i="5"/>
  <c r="F596" i="5"/>
  <c r="CI595" i="5"/>
  <c r="CH595" i="5"/>
  <c r="CG595" i="5"/>
  <c r="CF595" i="5"/>
  <c r="CE595" i="5"/>
  <c r="CD595" i="5"/>
  <c r="CC595" i="5"/>
  <c r="CB595" i="5"/>
  <c r="CA595" i="5"/>
  <c r="BZ595" i="5"/>
  <c r="BY595" i="5"/>
  <c r="BX595" i="5"/>
  <c r="BW595" i="5"/>
  <c r="BV595" i="5"/>
  <c r="BU595" i="5"/>
  <c r="BT595" i="5"/>
  <c r="BS595" i="5"/>
  <c r="BR595" i="5"/>
  <c r="BQ595" i="5"/>
  <c r="BP595" i="5"/>
  <c r="BO595" i="5"/>
  <c r="BN595" i="5"/>
  <c r="BM595" i="5"/>
  <c r="BL595" i="5"/>
  <c r="BK595" i="5"/>
  <c r="BJ595" i="5"/>
  <c r="BI595" i="5"/>
  <c r="BH595" i="5"/>
  <c r="BG595" i="5"/>
  <c r="BF595" i="5"/>
  <c r="BE595" i="5"/>
  <c r="BD595" i="5"/>
  <c r="BC595" i="5"/>
  <c r="BB595" i="5"/>
  <c r="BA595" i="5"/>
  <c r="AZ595" i="5"/>
  <c r="AY595" i="5"/>
  <c r="AX595" i="5"/>
  <c r="AW595" i="5"/>
  <c r="AV595" i="5"/>
  <c r="AU595" i="5"/>
  <c r="AT595" i="5"/>
  <c r="AS595" i="5"/>
  <c r="AR595" i="5"/>
  <c r="AQ595" i="5"/>
  <c r="AP595" i="5"/>
  <c r="AO595" i="5"/>
  <c r="AN595" i="5"/>
  <c r="AM595" i="5"/>
  <c r="AL595" i="5"/>
  <c r="AK595" i="5"/>
  <c r="AJ595" i="5"/>
  <c r="AI595" i="5"/>
  <c r="AH595" i="5"/>
  <c r="AG595" i="5"/>
  <c r="AF595" i="5"/>
  <c r="AE595" i="5"/>
  <c r="AD595" i="5"/>
  <c r="AC595" i="5"/>
  <c r="AB595" i="5"/>
  <c r="AA595" i="5"/>
  <c r="Z595" i="5"/>
  <c r="Y595" i="5"/>
  <c r="X595" i="5"/>
  <c r="W595" i="5"/>
  <c r="V595" i="5"/>
  <c r="U595" i="5"/>
  <c r="T595" i="5"/>
  <c r="S595" i="5"/>
  <c r="R595" i="5"/>
  <c r="Q595" i="5"/>
  <c r="P595" i="5"/>
  <c r="O595" i="5"/>
  <c r="N595" i="5"/>
  <c r="M595" i="5"/>
  <c r="L595" i="5"/>
  <c r="K595" i="5"/>
  <c r="J595" i="5"/>
  <c r="I595" i="5"/>
  <c r="H595" i="5"/>
  <c r="G595" i="5"/>
  <c r="F595" i="5"/>
  <c r="CI594" i="5"/>
  <c r="CH594" i="5"/>
  <c r="CG594" i="5"/>
  <c r="CF594" i="5"/>
  <c r="CE594" i="5"/>
  <c r="CD594" i="5"/>
  <c r="CC594" i="5"/>
  <c r="CB594" i="5"/>
  <c r="CA594" i="5"/>
  <c r="BZ594" i="5"/>
  <c r="BY594" i="5"/>
  <c r="BX594" i="5"/>
  <c r="BW594" i="5"/>
  <c r="BV594" i="5"/>
  <c r="BU594" i="5"/>
  <c r="BT594" i="5"/>
  <c r="BS594" i="5"/>
  <c r="BR594" i="5"/>
  <c r="BQ594" i="5"/>
  <c r="BP594" i="5"/>
  <c r="BO594" i="5"/>
  <c r="BN594" i="5"/>
  <c r="BM594" i="5"/>
  <c r="BL594" i="5"/>
  <c r="BK594" i="5"/>
  <c r="BJ594" i="5"/>
  <c r="BI594" i="5"/>
  <c r="BH594" i="5"/>
  <c r="BG594" i="5"/>
  <c r="BF594" i="5"/>
  <c r="BE594" i="5"/>
  <c r="BD594" i="5"/>
  <c r="BC594" i="5"/>
  <c r="BB594" i="5"/>
  <c r="BA594" i="5"/>
  <c r="AZ594" i="5"/>
  <c r="AY594" i="5"/>
  <c r="AX594" i="5"/>
  <c r="AW594" i="5"/>
  <c r="AV594" i="5"/>
  <c r="AU594" i="5"/>
  <c r="AT594" i="5"/>
  <c r="AS594" i="5"/>
  <c r="AR594" i="5"/>
  <c r="AQ594" i="5"/>
  <c r="AP594" i="5"/>
  <c r="AO594" i="5"/>
  <c r="AN594" i="5"/>
  <c r="AM594" i="5"/>
  <c r="AL594" i="5"/>
  <c r="AK594" i="5"/>
  <c r="AJ594" i="5"/>
  <c r="AI594" i="5"/>
  <c r="AH594" i="5"/>
  <c r="AG594" i="5"/>
  <c r="AF594" i="5"/>
  <c r="AE594" i="5"/>
  <c r="AD594" i="5"/>
  <c r="AC594" i="5"/>
  <c r="AB594" i="5"/>
  <c r="AA594" i="5"/>
  <c r="Z594" i="5"/>
  <c r="Y594" i="5"/>
  <c r="X594" i="5"/>
  <c r="W594" i="5"/>
  <c r="V594" i="5"/>
  <c r="U594" i="5"/>
  <c r="T594" i="5"/>
  <c r="S594" i="5"/>
  <c r="R594" i="5"/>
  <c r="Q594" i="5"/>
  <c r="P594" i="5"/>
  <c r="O594" i="5"/>
  <c r="N594" i="5"/>
  <c r="M594" i="5"/>
  <c r="L594" i="5"/>
  <c r="K594" i="5"/>
  <c r="J594" i="5"/>
  <c r="I594" i="5"/>
  <c r="H594" i="5"/>
  <c r="G594" i="5"/>
  <c r="F594" i="5"/>
  <c r="CI593" i="5"/>
  <c r="CH593" i="5"/>
  <c r="CG593" i="5"/>
  <c r="CF593" i="5"/>
  <c r="CE593" i="5"/>
  <c r="CD593" i="5"/>
  <c r="CC593" i="5"/>
  <c r="CB593" i="5"/>
  <c r="CA593" i="5"/>
  <c r="BZ593" i="5"/>
  <c r="BY593" i="5"/>
  <c r="BX593" i="5"/>
  <c r="BW593" i="5"/>
  <c r="BV593" i="5"/>
  <c r="BU593" i="5"/>
  <c r="BT593" i="5"/>
  <c r="BS593" i="5"/>
  <c r="BR593" i="5"/>
  <c r="BQ593" i="5"/>
  <c r="BP593" i="5"/>
  <c r="BO593" i="5"/>
  <c r="BN593" i="5"/>
  <c r="BM593" i="5"/>
  <c r="BL593" i="5"/>
  <c r="BK593" i="5"/>
  <c r="BJ593" i="5"/>
  <c r="BI593" i="5"/>
  <c r="BH593" i="5"/>
  <c r="BG593" i="5"/>
  <c r="BF593" i="5"/>
  <c r="BE593" i="5"/>
  <c r="BD593" i="5"/>
  <c r="BC593" i="5"/>
  <c r="BB593" i="5"/>
  <c r="BA593" i="5"/>
  <c r="AZ593" i="5"/>
  <c r="AY593" i="5"/>
  <c r="AX593" i="5"/>
  <c r="AW593" i="5"/>
  <c r="AV593" i="5"/>
  <c r="AU593" i="5"/>
  <c r="AT593" i="5"/>
  <c r="AS593" i="5"/>
  <c r="AR593" i="5"/>
  <c r="AQ593" i="5"/>
  <c r="AP593" i="5"/>
  <c r="AO593" i="5"/>
  <c r="AN593" i="5"/>
  <c r="AM593" i="5"/>
  <c r="AL593" i="5"/>
  <c r="AK593" i="5"/>
  <c r="AJ593" i="5"/>
  <c r="AI593" i="5"/>
  <c r="AH593" i="5"/>
  <c r="AG593" i="5"/>
  <c r="AF593" i="5"/>
  <c r="AE593" i="5"/>
  <c r="AD593" i="5"/>
  <c r="AC593" i="5"/>
  <c r="AB593" i="5"/>
  <c r="AA593" i="5"/>
  <c r="Z593" i="5"/>
  <c r="Y593" i="5"/>
  <c r="X593" i="5"/>
  <c r="W593" i="5"/>
  <c r="V593" i="5"/>
  <c r="U593" i="5"/>
  <c r="T593" i="5"/>
  <c r="S593" i="5"/>
  <c r="R593" i="5"/>
  <c r="Q593" i="5"/>
  <c r="P593" i="5"/>
  <c r="O593" i="5"/>
  <c r="N593" i="5"/>
  <c r="M593" i="5"/>
  <c r="L593" i="5"/>
  <c r="K593" i="5"/>
  <c r="J593" i="5"/>
  <c r="I593" i="5"/>
  <c r="H593" i="5"/>
  <c r="G593" i="5"/>
  <c r="F593" i="5"/>
  <c r="CI592" i="5"/>
  <c r="CH592" i="5"/>
  <c r="CG592" i="5"/>
  <c r="CF592" i="5"/>
  <c r="CE592" i="5"/>
  <c r="CD592" i="5"/>
  <c r="CC592" i="5"/>
  <c r="CB592" i="5"/>
  <c r="CA592" i="5"/>
  <c r="BZ592" i="5"/>
  <c r="BY592" i="5"/>
  <c r="BX592" i="5"/>
  <c r="BW592" i="5"/>
  <c r="BV592" i="5"/>
  <c r="BU592" i="5"/>
  <c r="BT592" i="5"/>
  <c r="BS592" i="5"/>
  <c r="BR592" i="5"/>
  <c r="BQ592" i="5"/>
  <c r="BP592" i="5"/>
  <c r="BO592" i="5"/>
  <c r="BN592" i="5"/>
  <c r="BM592" i="5"/>
  <c r="BL592" i="5"/>
  <c r="BK592" i="5"/>
  <c r="BJ592" i="5"/>
  <c r="BI592" i="5"/>
  <c r="BH592" i="5"/>
  <c r="BG592" i="5"/>
  <c r="BF592" i="5"/>
  <c r="BE592" i="5"/>
  <c r="BD592" i="5"/>
  <c r="BC592" i="5"/>
  <c r="BB592" i="5"/>
  <c r="BA592" i="5"/>
  <c r="AZ592" i="5"/>
  <c r="AY592" i="5"/>
  <c r="AX592" i="5"/>
  <c r="AW592" i="5"/>
  <c r="AV592" i="5"/>
  <c r="AU592" i="5"/>
  <c r="AT592" i="5"/>
  <c r="AS592" i="5"/>
  <c r="AR592" i="5"/>
  <c r="AQ592" i="5"/>
  <c r="AP592" i="5"/>
  <c r="AO592" i="5"/>
  <c r="AN592" i="5"/>
  <c r="AM592" i="5"/>
  <c r="AL592" i="5"/>
  <c r="AK592" i="5"/>
  <c r="AJ592" i="5"/>
  <c r="AI592" i="5"/>
  <c r="AH592" i="5"/>
  <c r="AG592" i="5"/>
  <c r="AF592" i="5"/>
  <c r="AE592" i="5"/>
  <c r="AD592" i="5"/>
  <c r="AC592" i="5"/>
  <c r="AB592" i="5"/>
  <c r="AA592" i="5"/>
  <c r="Z592" i="5"/>
  <c r="Y592" i="5"/>
  <c r="X592" i="5"/>
  <c r="W592" i="5"/>
  <c r="V592" i="5"/>
  <c r="U592" i="5"/>
  <c r="T592" i="5"/>
  <c r="S592" i="5"/>
  <c r="R592" i="5"/>
  <c r="Q592" i="5"/>
  <c r="P592" i="5"/>
  <c r="O592" i="5"/>
  <c r="N592" i="5"/>
  <c r="M592" i="5"/>
  <c r="L592" i="5"/>
  <c r="K592" i="5"/>
  <c r="J592" i="5"/>
  <c r="I592" i="5"/>
  <c r="H592" i="5"/>
  <c r="G592" i="5"/>
  <c r="F592" i="5"/>
  <c r="CI591" i="5"/>
  <c r="CH591" i="5"/>
  <c r="CG591" i="5"/>
  <c r="CF591" i="5"/>
  <c r="CE591" i="5"/>
  <c r="CD591" i="5"/>
  <c r="CC591" i="5"/>
  <c r="CB591" i="5"/>
  <c r="CA591" i="5"/>
  <c r="BZ591" i="5"/>
  <c r="BY591" i="5"/>
  <c r="BX591" i="5"/>
  <c r="BW591" i="5"/>
  <c r="BV591" i="5"/>
  <c r="BU591" i="5"/>
  <c r="BT591" i="5"/>
  <c r="BS591" i="5"/>
  <c r="BR591" i="5"/>
  <c r="BQ591" i="5"/>
  <c r="BP591" i="5"/>
  <c r="BO591" i="5"/>
  <c r="BN591" i="5"/>
  <c r="BM591" i="5"/>
  <c r="BL591" i="5"/>
  <c r="BK591" i="5"/>
  <c r="BJ591" i="5"/>
  <c r="BI591" i="5"/>
  <c r="BH591" i="5"/>
  <c r="BG591" i="5"/>
  <c r="BF591" i="5"/>
  <c r="BE591" i="5"/>
  <c r="BD591" i="5"/>
  <c r="BC591" i="5"/>
  <c r="BB591" i="5"/>
  <c r="BA591" i="5"/>
  <c r="AZ591" i="5"/>
  <c r="AY591" i="5"/>
  <c r="AX591" i="5"/>
  <c r="AW591" i="5"/>
  <c r="AV591" i="5"/>
  <c r="AU591" i="5"/>
  <c r="AT591" i="5"/>
  <c r="AS591" i="5"/>
  <c r="AR591" i="5"/>
  <c r="AQ591" i="5"/>
  <c r="AP591" i="5"/>
  <c r="AO591" i="5"/>
  <c r="AN591" i="5"/>
  <c r="AM591" i="5"/>
  <c r="AL591" i="5"/>
  <c r="AK591" i="5"/>
  <c r="AJ591" i="5"/>
  <c r="AI591" i="5"/>
  <c r="AH591" i="5"/>
  <c r="AG591" i="5"/>
  <c r="AF591" i="5"/>
  <c r="AE591" i="5"/>
  <c r="AD591" i="5"/>
  <c r="AC591" i="5"/>
  <c r="AB591" i="5"/>
  <c r="AA591" i="5"/>
  <c r="Z591" i="5"/>
  <c r="Y591" i="5"/>
  <c r="X591" i="5"/>
  <c r="W591" i="5"/>
  <c r="V591" i="5"/>
  <c r="U591" i="5"/>
  <c r="T591" i="5"/>
  <c r="S591" i="5"/>
  <c r="R591" i="5"/>
  <c r="Q591" i="5"/>
  <c r="P591" i="5"/>
  <c r="O591" i="5"/>
  <c r="N591" i="5"/>
  <c r="M591" i="5"/>
  <c r="L591" i="5"/>
  <c r="K591" i="5"/>
  <c r="J591" i="5"/>
  <c r="I591" i="5"/>
  <c r="H591" i="5"/>
  <c r="G591" i="5"/>
  <c r="F591" i="5"/>
  <c r="CI590" i="5"/>
  <c r="CH590" i="5"/>
  <c r="CG590" i="5"/>
  <c r="CF590" i="5"/>
  <c r="CE590" i="5"/>
  <c r="CD590" i="5"/>
  <c r="CC590" i="5"/>
  <c r="CB590" i="5"/>
  <c r="CA590" i="5"/>
  <c r="BZ590" i="5"/>
  <c r="BY590" i="5"/>
  <c r="BX590" i="5"/>
  <c r="BW590" i="5"/>
  <c r="BV590" i="5"/>
  <c r="BU590" i="5"/>
  <c r="BT590" i="5"/>
  <c r="BS590" i="5"/>
  <c r="BR590" i="5"/>
  <c r="BQ590" i="5"/>
  <c r="BP590" i="5"/>
  <c r="BO590" i="5"/>
  <c r="BN590" i="5"/>
  <c r="BM590" i="5"/>
  <c r="BL590" i="5"/>
  <c r="BK590" i="5"/>
  <c r="BJ590" i="5"/>
  <c r="BI590" i="5"/>
  <c r="BH590" i="5"/>
  <c r="BG590" i="5"/>
  <c r="BF590" i="5"/>
  <c r="BE590" i="5"/>
  <c r="BD590" i="5"/>
  <c r="BC590" i="5"/>
  <c r="BB590" i="5"/>
  <c r="BA590" i="5"/>
  <c r="AZ590" i="5"/>
  <c r="AY590" i="5"/>
  <c r="AX590" i="5"/>
  <c r="AW590" i="5"/>
  <c r="AV590" i="5"/>
  <c r="AU590" i="5"/>
  <c r="AT590" i="5"/>
  <c r="AS590" i="5"/>
  <c r="AR590" i="5"/>
  <c r="AQ590" i="5"/>
  <c r="AP590" i="5"/>
  <c r="AO590" i="5"/>
  <c r="AN590" i="5"/>
  <c r="AM590" i="5"/>
  <c r="AL590" i="5"/>
  <c r="AK590" i="5"/>
  <c r="AJ590" i="5"/>
  <c r="AI590" i="5"/>
  <c r="AH590" i="5"/>
  <c r="AG590" i="5"/>
  <c r="AF590" i="5"/>
  <c r="AE590" i="5"/>
  <c r="AD590" i="5"/>
  <c r="AC590" i="5"/>
  <c r="AB590" i="5"/>
  <c r="AA590" i="5"/>
  <c r="Z590" i="5"/>
  <c r="Y590" i="5"/>
  <c r="X590" i="5"/>
  <c r="W590" i="5"/>
  <c r="V590" i="5"/>
  <c r="U590" i="5"/>
  <c r="T590" i="5"/>
  <c r="S590" i="5"/>
  <c r="R590" i="5"/>
  <c r="Q590" i="5"/>
  <c r="P590" i="5"/>
  <c r="O590" i="5"/>
  <c r="N590" i="5"/>
  <c r="M590" i="5"/>
  <c r="L590" i="5"/>
  <c r="K590" i="5"/>
  <c r="J590" i="5"/>
  <c r="I590" i="5"/>
  <c r="H590" i="5"/>
  <c r="G590" i="5"/>
  <c r="F590" i="5"/>
  <c r="CI589" i="5"/>
  <c r="CH589" i="5"/>
  <c r="CG589" i="5"/>
  <c r="CF589" i="5"/>
  <c r="CE589" i="5"/>
  <c r="CD589" i="5"/>
  <c r="CC589" i="5"/>
  <c r="CB589" i="5"/>
  <c r="CA589" i="5"/>
  <c r="BZ589" i="5"/>
  <c r="BY589" i="5"/>
  <c r="BX589" i="5"/>
  <c r="BW589" i="5"/>
  <c r="BV589" i="5"/>
  <c r="BU589" i="5"/>
  <c r="BT589" i="5"/>
  <c r="BS589" i="5"/>
  <c r="BR589" i="5"/>
  <c r="BQ589" i="5"/>
  <c r="BP589" i="5"/>
  <c r="BO589" i="5"/>
  <c r="BN589" i="5"/>
  <c r="BM589" i="5"/>
  <c r="BL589" i="5"/>
  <c r="BK589" i="5"/>
  <c r="BJ589" i="5"/>
  <c r="BI589" i="5"/>
  <c r="BH589" i="5"/>
  <c r="BG589" i="5"/>
  <c r="BF589" i="5"/>
  <c r="BE589" i="5"/>
  <c r="BD589" i="5"/>
  <c r="BC589" i="5"/>
  <c r="BB589" i="5"/>
  <c r="BA589" i="5"/>
  <c r="AZ589" i="5"/>
  <c r="AY589" i="5"/>
  <c r="AX589" i="5"/>
  <c r="AW589" i="5"/>
  <c r="AV589" i="5"/>
  <c r="AU589" i="5"/>
  <c r="AT589" i="5"/>
  <c r="AS589" i="5"/>
  <c r="AR589" i="5"/>
  <c r="AQ589" i="5"/>
  <c r="AP589" i="5"/>
  <c r="AO589" i="5"/>
  <c r="AN589" i="5"/>
  <c r="AM589" i="5"/>
  <c r="AL589" i="5"/>
  <c r="AK589" i="5"/>
  <c r="AJ589" i="5"/>
  <c r="AI589" i="5"/>
  <c r="AH589" i="5"/>
  <c r="AG589" i="5"/>
  <c r="AF589" i="5"/>
  <c r="AE589" i="5"/>
  <c r="AD589" i="5"/>
  <c r="AC589" i="5"/>
  <c r="AB589" i="5"/>
  <c r="AA589" i="5"/>
  <c r="Z589" i="5"/>
  <c r="Y589" i="5"/>
  <c r="X589" i="5"/>
  <c r="W589" i="5"/>
  <c r="V589" i="5"/>
  <c r="U589" i="5"/>
  <c r="T589" i="5"/>
  <c r="S589" i="5"/>
  <c r="R589" i="5"/>
  <c r="Q589" i="5"/>
  <c r="P589" i="5"/>
  <c r="O589" i="5"/>
  <c r="N589" i="5"/>
  <c r="M589" i="5"/>
  <c r="L589" i="5"/>
  <c r="K589" i="5"/>
  <c r="J589" i="5"/>
  <c r="I589" i="5"/>
  <c r="H589" i="5"/>
  <c r="G589" i="5"/>
  <c r="F589" i="5"/>
  <c r="CI588" i="5"/>
  <c r="CH588" i="5"/>
  <c r="CG588" i="5"/>
  <c r="CF588" i="5"/>
  <c r="CE588" i="5"/>
  <c r="CD588" i="5"/>
  <c r="CC588" i="5"/>
  <c r="CB588" i="5"/>
  <c r="CA588" i="5"/>
  <c r="BZ588" i="5"/>
  <c r="BY588" i="5"/>
  <c r="BX588" i="5"/>
  <c r="BW588" i="5"/>
  <c r="BV588" i="5"/>
  <c r="BU588" i="5"/>
  <c r="BT588" i="5"/>
  <c r="BS588" i="5"/>
  <c r="BR588" i="5"/>
  <c r="BQ588" i="5"/>
  <c r="BP588" i="5"/>
  <c r="BO588" i="5"/>
  <c r="BN588" i="5"/>
  <c r="BM588" i="5"/>
  <c r="BL588" i="5"/>
  <c r="BK588" i="5"/>
  <c r="BJ588" i="5"/>
  <c r="BI588" i="5"/>
  <c r="BH588" i="5"/>
  <c r="BG588" i="5"/>
  <c r="BF588" i="5"/>
  <c r="BE588" i="5"/>
  <c r="BD588" i="5"/>
  <c r="BC588" i="5"/>
  <c r="BB588" i="5"/>
  <c r="BA588" i="5"/>
  <c r="AZ588" i="5"/>
  <c r="AY588" i="5"/>
  <c r="AX588" i="5"/>
  <c r="AW588" i="5"/>
  <c r="AV588" i="5"/>
  <c r="AU588" i="5"/>
  <c r="AT588" i="5"/>
  <c r="AS588" i="5"/>
  <c r="AR588" i="5"/>
  <c r="AQ588" i="5"/>
  <c r="AP588" i="5"/>
  <c r="AO588" i="5"/>
  <c r="AN588" i="5"/>
  <c r="AM588" i="5"/>
  <c r="AL588" i="5"/>
  <c r="AK588" i="5"/>
  <c r="AJ588" i="5"/>
  <c r="AI588" i="5"/>
  <c r="AH588" i="5"/>
  <c r="AG588" i="5"/>
  <c r="AF588" i="5"/>
  <c r="AE588" i="5"/>
  <c r="AD588" i="5"/>
  <c r="AC588" i="5"/>
  <c r="AB588" i="5"/>
  <c r="AA588" i="5"/>
  <c r="Z588" i="5"/>
  <c r="Y588" i="5"/>
  <c r="X588" i="5"/>
  <c r="W588" i="5"/>
  <c r="V588" i="5"/>
  <c r="U588" i="5"/>
  <c r="T588" i="5"/>
  <c r="S588" i="5"/>
  <c r="R588" i="5"/>
  <c r="Q588" i="5"/>
  <c r="P588" i="5"/>
  <c r="O588" i="5"/>
  <c r="N588" i="5"/>
  <c r="M588" i="5"/>
  <c r="L588" i="5"/>
  <c r="K588" i="5"/>
  <c r="J588" i="5"/>
  <c r="I588" i="5"/>
  <c r="H588" i="5"/>
  <c r="G588" i="5"/>
  <c r="F588" i="5"/>
  <c r="CI587" i="5"/>
  <c r="CH587" i="5"/>
  <c r="CG587" i="5"/>
  <c r="CF587" i="5"/>
  <c r="CE587" i="5"/>
  <c r="CD587" i="5"/>
  <c r="CC587" i="5"/>
  <c r="CB587" i="5"/>
  <c r="CA587" i="5"/>
  <c r="BZ587" i="5"/>
  <c r="BY587" i="5"/>
  <c r="BX587" i="5"/>
  <c r="BW587" i="5"/>
  <c r="BV587" i="5"/>
  <c r="BU587" i="5"/>
  <c r="BT587" i="5"/>
  <c r="BS587" i="5"/>
  <c r="BR587" i="5"/>
  <c r="BQ587" i="5"/>
  <c r="BP587" i="5"/>
  <c r="BO587" i="5"/>
  <c r="BN587" i="5"/>
  <c r="BM587" i="5"/>
  <c r="BL587" i="5"/>
  <c r="BK587" i="5"/>
  <c r="BJ587" i="5"/>
  <c r="BI587" i="5"/>
  <c r="BH587" i="5"/>
  <c r="BG587" i="5"/>
  <c r="BF587" i="5"/>
  <c r="BE587" i="5"/>
  <c r="BD587" i="5"/>
  <c r="BC587" i="5"/>
  <c r="BB587" i="5"/>
  <c r="BA587" i="5"/>
  <c r="AZ587" i="5"/>
  <c r="AY587" i="5"/>
  <c r="AX587" i="5"/>
  <c r="AW587" i="5"/>
  <c r="AV587" i="5"/>
  <c r="AU587" i="5"/>
  <c r="AT587" i="5"/>
  <c r="AS587" i="5"/>
  <c r="AR587" i="5"/>
  <c r="AQ587" i="5"/>
  <c r="AP587" i="5"/>
  <c r="AO587" i="5"/>
  <c r="AN587" i="5"/>
  <c r="AM587" i="5"/>
  <c r="AL587" i="5"/>
  <c r="AK587" i="5"/>
  <c r="AJ587" i="5"/>
  <c r="AI587" i="5"/>
  <c r="AH587" i="5"/>
  <c r="AG587" i="5"/>
  <c r="AF587" i="5"/>
  <c r="AE587" i="5"/>
  <c r="AD587" i="5"/>
  <c r="AC587" i="5"/>
  <c r="AB587" i="5"/>
  <c r="AA587" i="5"/>
  <c r="Z587" i="5"/>
  <c r="Y587" i="5"/>
  <c r="X587" i="5"/>
  <c r="W587" i="5"/>
  <c r="V587" i="5"/>
  <c r="U587" i="5"/>
  <c r="T587" i="5"/>
  <c r="S587" i="5"/>
  <c r="R587" i="5"/>
  <c r="Q587" i="5"/>
  <c r="P587" i="5"/>
  <c r="O587" i="5"/>
  <c r="N587" i="5"/>
  <c r="M587" i="5"/>
  <c r="L587" i="5"/>
  <c r="K587" i="5"/>
  <c r="J587" i="5"/>
  <c r="I587" i="5"/>
  <c r="H587" i="5"/>
  <c r="G587" i="5"/>
  <c r="F587" i="5"/>
  <c r="CI586" i="5"/>
  <c r="CH586" i="5"/>
  <c r="CG586" i="5"/>
  <c r="CF586" i="5"/>
  <c r="CE586" i="5"/>
  <c r="CD586" i="5"/>
  <c r="CC586" i="5"/>
  <c r="CB586" i="5"/>
  <c r="CA586" i="5"/>
  <c r="BZ586" i="5"/>
  <c r="BY586" i="5"/>
  <c r="BX586" i="5"/>
  <c r="BW586" i="5"/>
  <c r="BV586" i="5"/>
  <c r="BU586" i="5"/>
  <c r="BT586" i="5"/>
  <c r="BS586" i="5"/>
  <c r="BR586" i="5"/>
  <c r="BQ586" i="5"/>
  <c r="BP586" i="5"/>
  <c r="BO586" i="5"/>
  <c r="BN586" i="5"/>
  <c r="BM586" i="5"/>
  <c r="BL586" i="5"/>
  <c r="BK586" i="5"/>
  <c r="BJ586" i="5"/>
  <c r="BI586" i="5"/>
  <c r="BH586" i="5"/>
  <c r="BG586" i="5"/>
  <c r="BF586" i="5"/>
  <c r="BE586" i="5"/>
  <c r="BD586" i="5"/>
  <c r="BC586" i="5"/>
  <c r="BB586" i="5"/>
  <c r="BA586" i="5"/>
  <c r="AZ586" i="5"/>
  <c r="AY586" i="5"/>
  <c r="AX586" i="5"/>
  <c r="AW586" i="5"/>
  <c r="AV586" i="5"/>
  <c r="AU586" i="5"/>
  <c r="AT586" i="5"/>
  <c r="AS586" i="5"/>
  <c r="AR586" i="5"/>
  <c r="AQ586" i="5"/>
  <c r="AP586" i="5"/>
  <c r="AO586" i="5"/>
  <c r="AN586" i="5"/>
  <c r="AM586" i="5"/>
  <c r="AL586" i="5"/>
  <c r="AK586" i="5"/>
  <c r="AJ586" i="5"/>
  <c r="AI586" i="5"/>
  <c r="AH586" i="5"/>
  <c r="AG586" i="5"/>
  <c r="AF586" i="5"/>
  <c r="AE586" i="5"/>
  <c r="AD586" i="5"/>
  <c r="AC586" i="5"/>
  <c r="AB586" i="5"/>
  <c r="AA586" i="5"/>
  <c r="Z586" i="5"/>
  <c r="Y586" i="5"/>
  <c r="X586" i="5"/>
  <c r="W586" i="5"/>
  <c r="V586" i="5"/>
  <c r="U586" i="5"/>
  <c r="T586" i="5"/>
  <c r="S586" i="5"/>
  <c r="R586" i="5"/>
  <c r="Q586" i="5"/>
  <c r="P586" i="5"/>
  <c r="O586" i="5"/>
  <c r="N586" i="5"/>
  <c r="M586" i="5"/>
  <c r="L586" i="5"/>
  <c r="K586" i="5"/>
  <c r="J586" i="5"/>
  <c r="I586" i="5"/>
  <c r="H586" i="5"/>
  <c r="G586" i="5"/>
  <c r="F586" i="5"/>
  <c r="CI585" i="5"/>
  <c r="CH585" i="5"/>
  <c r="CG585" i="5"/>
  <c r="CF585" i="5"/>
  <c r="CE585" i="5"/>
  <c r="CD585" i="5"/>
  <c r="CC585" i="5"/>
  <c r="CB585" i="5"/>
  <c r="CA585" i="5"/>
  <c r="BZ585" i="5"/>
  <c r="BY585" i="5"/>
  <c r="BX585" i="5"/>
  <c r="BW585" i="5"/>
  <c r="BV585" i="5"/>
  <c r="BU585" i="5"/>
  <c r="BT585" i="5"/>
  <c r="BS585" i="5"/>
  <c r="BR585" i="5"/>
  <c r="BQ585" i="5"/>
  <c r="BP585" i="5"/>
  <c r="BO585" i="5"/>
  <c r="BN585" i="5"/>
  <c r="BM585" i="5"/>
  <c r="BL585" i="5"/>
  <c r="BK585" i="5"/>
  <c r="BJ585" i="5"/>
  <c r="BI585" i="5"/>
  <c r="BH585" i="5"/>
  <c r="BG585" i="5"/>
  <c r="BF585" i="5"/>
  <c r="BE585" i="5"/>
  <c r="BD585" i="5"/>
  <c r="BC585" i="5"/>
  <c r="BB585" i="5"/>
  <c r="BA585" i="5"/>
  <c r="AZ585" i="5"/>
  <c r="AY585" i="5"/>
  <c r="AX585" i="5"/>
  <c r="AW585" i="5"/>
  <c r="AV585" i="5"/>
  <c r="AU585" i="5"/>
  <c r="AT585" i="5"/>
  <c r="AS585" i="5"/>
  <c r="AR585" i="5"/>
  <c r="AQ585" i="5"/>
  <c r="AP585" i="5"/>
  <c r="AO585" i="5"/>
  <c r="AN585" i="5"/>
  <c r="AM585" i="5"/>
  <c r="AL585" i="5"/>
  <c r="AK585" i="5"/>
  <c r="AJ585" i="5"/>
  <c r="AI585" i="5"/>
  <c r="AH585" i="5"/>
  <c r="AG585" i="5"/>
  <c r="AF585" i="5"/>
  <c r="AE585" i="5"/>
  <c r="AD585" i="5"/>
  <c r="AC585" i="5"/>
  <c r="AB585" i="5"/>
  <c r="AA585" i="5"/>
  <c r="Z585" i="5"/>
  <c r="Y585" i="5"/>
  <c r="X585" i="5"/>
  <c r="W585" i="5"/>
  <c r="V585" i="5"/>
  <c r="U585" i="5"/>
  <c r="T585" i="5"/>
  <c r="S585" i="5"/>
  <c r="R585" i="5"/>
  <c r="Q585" i="5"/>
  <c r="P585" i="5"/>
  <c r="O585" i="5"/>
  <c r="N585" i="5"/>
  <c r="M585" i="5"/>
  <c r="L585" i="5"/>
  <c r="K585" i="5"/>
  <c r="J585" i="5"/>
  <c r="I585" i="5"/>
  <c r="H585" i="5"/>
  <c r="G585" i="5"/>
  <c r="F585" i="5"/>
  <c r="CI584" i="5"/>
  <c r="CH584" i="5"/>
  <c r="CG584" i="5"/>
  <c r="CF584" i="5"/>
  <c r="CE584" i="5"/>
  <c r="CD584" i="5"/>
  <c r="CC584" i="5"/>
  <c r="CB584" i="5"/>
  <c r="CA584" i="5"/>
  <c r="BZ584" i="5"/>
  <c r="BY584" i="5"/>
  <c r="BX584" i="5"/>
  <c r="BW584" i="5"/>
  <c r="BV584" i="5"/>
  <c r="BU584" i="5"/>
  <c r="BT584" i="5"/>
  <c r="BS584" i="5"/>
  <c r="BR584" i="5"/>
  <c r="BQ584" i="5"/>
  <c r="BP584" i="5"/>
  <c r="BO584" i="5"/>
  <c r="BN584" i="5"/>
  <c r="BM584" i="5"/>
  <c r="BL584" i="5"/>
  <c r="BK584" i="5"/>
  <c r="BJ584" i="5"/>
  <c r="BI584" i="5"/>
  <c r="BH584" i="5"/>
  <c r="BG584" i="5"/>
  <c r="BF584" i="5"/>
  <c r="BE584" i="5"/>
  <c r="BD584" i="5"/>
  <c r="BC584" i="5"/>
  <c r="BB584" i="5"/>
  <c r="BA584" i="5"/>
  <c r="AZ584" i="5"/>
  <c r="AY584" i="5"/>
  <c r="AX584" i="5"/>
  <c r="AW584" i="5"/>
  <c r="AV584" i="5"/>
  <c r="AU584" i="5"/>
  <c r="AT584" i="5"/>
  <c r="AS584" i="5"/>
  <c r="AR584" i="5"/>
  <c r="AQ584" i="5"/>
  <c r="AP584" i="5"/>
  <c r="AO584" i="5"/>
  <c r="AN584" i="5"/>
  <c r="AM584" i="5"/>
  <c r="AL584" i="5"/>
  <c r="AK584" i="5"/>
  <c r="AJ584" i="5"/>
  <c r="AI584" i="5"/>
  <c r="AH584" i="5"/>
  <c r="AG584" i="5"/>
  <c r="AF584" i="5"/>
  <c r="AE584" i="5"/>
  <c r="AD584" i="5"/>
  <c r="AC584" i="5"/>
  <c r="AB584" i="5"/>
  <c r="AA584" i="5"/>
  <c r="Z584" i="5"/>
  <c r="Y584" i="5"/>
  <c r="X584" i="5"/>
  <c r="W584" i="5"/>
  <c r="V584" i="5"/>
  <c r="U584" i="5"/>
  <c r="T584" i="5"/>
  <c r="S584" i="5"/>
  <c r="R584" i="5"/>
  <c r="Q584" i="5"/>
  <c r="P584" i="5"/>
  <c r="O584" i="5"/>
  <c r="N584" i="5"/>
  <c r="M584" i="5"/>
  <c r="L584" i="5"/>
  <c r="K584" i="5"/>
  <c r="J584" i="5"/>
  <c r="I584" i="5"/>
  <c r="H584" i="5"/>
  <c r="G584" i="5"/>
  <c r="F584" i="5"/>
  <c r="CI583" i="5"/>
  <c r="CH583" i="5"/>
  <c r="CG583" i="5"/>
  <c r="CF583" i="5"/>
  <c r="CE583" i="5"/>
  <c r="CD583" i="5"/>
  <c r="CC583" i="5"/>
  <c r="CB583" i="5"/>
  <c r="CA583" i="5"/>
  <c r="BZ583" i="5"/>
  <c r="BY583" i="5"/>
  <c r="BX583" i="5"/>
  <c r="BW583" i="5"/>
  <c r="BV583" i="5"/>
  <c r="BU583" i="5"/>
  <c r="BT583" i="5"/>
  <c r="BS583" i="5"/>
  <c r="BR583" i="5"/>
  <c r="BQ583" i="5"/>
  <c r="BP583" i="5"/>
  <c r="BO583" i="5"/>
  <c r="BN583" i="5"/>
  <c r="BM583" i="5"/>
  <c r="BL583" i="5"/>
  <c r="BK583" i="5"/>
  <c r="BJ583" i="5"/>
  <c r="BI583" i="5"/>
  <c r="BH583" i="5"/>
  <c r="BG583" i="5"/>
  <c r="BF583" i="5"/>
  <c r="BE583" i="5"/>
  <c r="BD583" i="5"/>
  <c r="BC583" i="5"/>
  <c r="BB583" i="5"/>
  <c r="BA583" i="5"/>
  <c r="AZ583" i="5"/>
  <c r="AY583" i="5"/>
  <c r="AX583" i="5"/>
  <c r="AW583" i="5"/>
  <c r="AV583" i="5"/>
  <c r="AU583" i="5"/>
  <c r="AT583" i="5"/>
  <c r="AS583" i="5"/>
  <c r="AR583" i="5"/>
  <c r="AQ583" i="5"/>
  <c r="AP583" i="5"/>
  <c r="AO583" i="5"/>
  <c r="AN583" i="5"/>
  <c r="AM583" i="5"/>
  <c r="AL583" i="5"/>
  <c r="AK583" i="5"/>
  <c r="AJ583" i="5"/>
  <c r="AI583" i="5"/>
  <c r="AH583" i="5"/>
  <c r="AG583" i="5"/>
  <c r="AF583" i="5"/>
  <c r="AE583" i="5"/>
  <c r="AD583" i="5"/>
  <c r="AC583" i="5"/>
  <c r="AB583" i="5"/>
  <c r="AA583" i="5"/>
  <c r="Z583" i="5"/>
  <c r="Y583" i="5"/>
  <c r="X583" i="5"/>
  <c r="W583" i="5"/>
  <c r="V583" i="5"/>
  <c r="U583" i="5"/>
  <c r="T583" i="5"/>
  <c r="S583" i="5"/>
  <c r="R583" i="5"/>
  <c r="Q583" i="5"/>
  <c r="P583" i="5"/>
  <c r="O583" i="5"/>
  <c r="N583" i="5"/>
  <c r="M583" i="5"/>
  <c r="L583" i="5"/>
  <c r="K583" i="5"/>
  <c r="J583" i="5"/>
  <c r="I583" i="5"/>
  <c r="H583" i="5"/>
  <c r="G583" i="5"/>
  <c r="F583" i="5"/>
  <c r="CI582" i="5"/>
  <c r="CH582" i="5"/>
  <c r="CG582" i="5"/>
  <c r="CF582" i="5"/>
  <c r="CE582" i="5"/>
  <c r="CD582" i="5"/>
  <c r="CC582" i="5"/>
  <c r="CB582" i="5"/>
  <c r="CA582" i="5"/>
  <c r="BZ582" i="5"/>
  <c r="BY582" i="5"/>
  <c r="BX582" i="5"/>
  <c r="BW582" i="5"/>
  <c r="BV582" i="5"/>
  <c r="BU582" i="5"/>
  <c r="BT582" i="5"/>
  <c r="BS582" i="5"/>
  <c r="BR582" i="5"/>
  <c r="BQ582" i="5"/>
  <c r="BP582" i="5"/>
  <c r="BO582" i="5"/>
  <c r="BN582" i="5"/>
  <c r="BM582" i="5"/>
  <c r="BL582" i="5"/>
  <c r="BK582" i="5"/>
  <c r="BJ582" i="5"/>
  <c r="BI582" i="5"/>
  <c r="BH582" i="5"/>
  <c r="BG582" i="5"/>
  <c r="BF582" i="5"/>
  <c r="BE582" i="5"/>
  <c r="BD582" i="5"/>
  <c r="BC582" i="5"/>
  <c r="BB582" i="5"/>
  <c r="BA582" i="5"/>
  <c r="AZ582" i="5"/>
  <c r="AY582" i="5"/>
  <c r="AX582" i="5"/>
  <c r="AW582" i="5"/>
  <c r="AV582" i="5"/>
  <c r="AU582" i="5"/>
  <c r="AT582" i="5"/>
  <c r="AS582" i="5"/>
  <c r="AR582" i="5"/>
  <c r="AQ582" i="5"/>
  <c r="AP582" i="5"/>
  <c r="AO582" i="5"/>
  <c r="AN582" i="5"/>
  <c r="AM582" i="5"/>
  <c r="AL582" i="5"/>
  <c r="AK582" i="5"/>
  <c r="AJ582" i="5"/>
  <c r="AI582" i="5"/>
  <c r="AH582" i="5"/>
  <c r="AG582" i="5"/>
  <c r="AF582" i="5"/>
  <c r="AE582" i="5"/>
  <c r="AD582" i="5"/>
  <c r="AC582" i="5"/>
  <c r="AB582" i="5"/>
  <c r="AA582" i="5"/>
  <c r="Z582" i="5"/>
  <c r="Y582" i="5"/>
  <c r="X582" i="5"/>
  <c r="W582" i="5"/>
  <c r="V582" i="5"/>
  <c r="U582" i="5"/>
  <c r="T582" i="5"/>
  <c r="S582" i="5"/>
  <c r="R582" i="5"/>
  <c r="Q582" i="5"/>
  <c r="P582" i="5"/>
  <c r="O582" i="5"/>
  <c r="N582" i="5"/>
  <c r="M582" i="5"/>
  <c r="L582" i="5"/>
  <c r="K582" i="5"/>
  <c r="J582" i="5"/>
  <c r="I582" i="5"/>
  <c r="H582" i="5"/>
  <c r="G582" i="5"/>
  <c r="F582" i="5"/>
  <c r="CI581" i="5"/>
  <c r="CH581" i="5"/>
  <c r="CG581" i="5"/>
  <c r="CF581" i="5"/>
  <c r="CE581" i="5"/>
  <c r="CD581" i="5"/>
  <c r="CC581" i="5"/>
  <c r="CB581" i="5"/>
  <c r="CA581" i="5"/>
  <c r="BZ581" i="5"/>
  <c r="BY581" i="5"/>
  <c r="BX581" i="5"/>
  <c r="BW581" i="5"/>
  <c r="BV581" i="5"/>
  <c r="BU581" i="5"/>
  <c r="BT581" i="5"/>
  <c r="BS581" i="5"/>
  <c r="BR581" i="5"/>
  <c r="BQ581" i="5"/>
  <c r="BP581" i="5"/>
  <c r="BO581" i="5"/>
  <c r="BN581" i="5"/>
  <c r="BM581" i="5"/>
  <c r="BL581" i="5"/>
  <c r="BK581" i="5"/>
  <c r="BJ581" i="5"/>
  <c r="BI581" i="5"/>
  <c r="BH581" i="5"/>
  <c r="BG581" i="5"/>
  <c r="BF581" i="5"/>
  <c r="BE581" i="5"/>
  <c r="BD581" i="5"/>
  <c r="BC581" i="5"/>
  <c r="BB581" i="5"/>
  <c r="BA581" i="5"/>
  <c r="AZ581" i="5"/>
  <c r="AY581" i="5"/>
  <c r="AX581" i="5"/>
  <c r="AW581" i="5"/>
  <c r="AV581" i="5"/>
  <c r="AU581" i="5"/>
  <c r="AT581" i="5"/>
  <c r="AS581" i="5"/>
  <c r="AR581" i="5"/>
  <c r="AQ581" i="5"/>
  <c r="AP581" i="5"/>
  <c r="AO581" i="5"/>
  <c r="AN581" i="5"/>
  <c r="AM581" i="5"/>
  <c r="AL581" i="5"/>
  <c r="AK581" i="5"/>
  <c r="AJ581" i="5"/>
  <c r="AI581" i="5"/>
  <c r="AH581" i="5"/>
  <c r="AG581" i="5"/>
  <c r="AF581" i="5"/>
  <c r="AE581" i="5"/>
  <c r="AD581" i="5"/>
  <c r="AC581" i="5"/>
  <c r="AB581" i="5"/>
  <c r="AA581" i="5"/>
  <c r="Z581" i="5"/>
  <c r="Y581" i="5"/>
  <c r="X581" i="5"/>
  <c r="W581" i="5"/>
  <c r="V581" i="5"/>
  <c r="U581" i="5"/>
  <c r="T581" i="5"/>
  <c r="S581" i="5"/>
  <c r="R581" i="5"/>
  <c r="Q581" i="5"/>
  <c r="P581" i="5"/>
  <c r="O581" i="5"/>
  <c r="N581" i="5"/>
  <c r="M581" i="5"/>
  <c r="L581" i="5"/>
  <c r="K581" i="5"/>
  <c r="J581" i="5"/>
  <c r="I581" i="5"/>
  <c r="H581" i="5"/>
  <c r="G581" i="5"/>
  <c r="F581" i="5"/>
  <c r="CI580" i="5"/>
  <c r="CH580" i="5"/>
  <c r="CG580" i="5"/>
  <c r="CF580" i="5"/>
  <c r="CE580" i="5"/>
  <c r="CD580" i="5"/>
  <c r="CC580" i="5"/>
  <c r="CB580" i="5"/>
  <c r="CA580" i="5"/>
  <c r="BZ580" i="5"/>
  <c r="BY580" i="5"/>
  <c r="BX580" i="5"/>
  <c r="BW580" i="5"/>
  <c r="BV580" i="5"/>
  <c r="BU580" i="5"/>
  <c r="BT580" i="5"/>
  <c r="BS580" i="5"/>
  <c r="BR580" i="5"/>
  <c r="BQ580" i="5"/>
  <c r="BP580" i="5"/>
  <c r="BO580" i="5"/>
  <c r="BN580" i="5"/>
  <c r="BM580" i="5"/>
  <c r="BL580" i="5"/>
  <c r="BK580" i="5"/>
  <c r="BJ580" i="5"/>
  <c r="BI580" i="5"/>
  <c r="BH580" i="5"/>
  <c r="BG580" i="5"/>
  <c r="BF580" i="5"/>
  <c r="BE580" i="5"/>
  <c r="BD580" i="5"/>
  <c r="BC580" i="5"/>
  <c r="BB580" i="5"/>
  <c r="BA580" i="5"/>
  <c r="AZ580" i="5"/>
  <c r="AY580" i="5"/>
  <c r="AX580" i="5"/>
  <c r="AW580" i="5"/>
  <c r="AV580" i="5"/>
  <c r="AU580" i="5"/>
  <c r="AT580" i="5"/>
  <c r="AS580" i="5"/>
  <c r="AR580" i="5"/>
  <c r="AQ580" i="5"/>
  <c r="AP580" i="5"/>
  <c r="AO580" i="5"/>
  <c r="AN580" i="5"/>
  <c r="AM580" i="5"/>
  <c r="AL580" i="5"/>
  <c r="AK580" i="5"/>
  <c r="AJ580" i="5"/>
  <c r="AI580" i="5"/>
  <c r="AH580" i="5"/>
  <c r="AG580" i="5"/>
  <c r="AF580" i="5"/>
  <c r="AE580" i="5"/>
  <c r="AD580" i="5"/>
  <c r="AC580" i="5"/>
  <c r="AB580" i="5"/>
  <c r="AA580" i="5"/>
  <c r="Z580" i="5"/>
  <c r="Y580" i="5"/>
  <c r="X580" i="5"/>
  <c r="W580" i="5"/>
  <c r="V580" i="5"/>
  <c r="U580" i="5"/>
  <c r="T580" i="5"/>
  <c r="S580" i="5"/>
  <c r="R580" i="5"/>
  <c r="Q580" i="5"/>
  <c r="P580" i="5"/>
  <c r="O580" i="5"/>
  <c r="N580" i="5"/>
  <c r="M580" i="5"/>
  <c r="L580" i="5"/>
  <c r="K580" i="5"/>
  <c r="J580" i="5"/>
  <c r="I580" i="5"/>
  <c r="H580" i="5"/>
  <c r="G580" i="5"/>
  <c r="F580" i="5"/>
  <c r="CI579" i="5"/>
  <c r="CH579" i="5"/>
  <c r="CG579" i="5"/>
  <c r="CF579" i="5"/>
  <c r="CE579" i="5"/>
  <c r="CD579" i="5"/>
  <c r="CC579" i="5"/>
  <c r="CB579" i="5"/>
  <c r="CA579" i="5"/>
  <c r="BZ579" i="5"/>
  <c r="BY579" i="5"/>
  <c r="BX579" i="5"/>
  <c r="BW579" i="5"/>
  <c r="BV579" i="5"/>
  <c r="BU579" i="5"/>
  <c r="BT579" i="5"/>
  <c r="BS579" i="5"/>
  <c r="BR579" i="5"/>
  <c r="BQ579" i="5"/>
  <c r="BP579" i="5"/>
  <c r="BO579" i="5"/>
  <c r="BN579" i="5"/>
  <c r="BM579" i="5"/>
  <c r="BL579" i="5"/>
  <c r="BK579" i="5"/>
  <c r="BJ579" i="5"/>
  <c r="BI579" i="5"/>
  <c r="BH579" i="5"/>
  <c r="BG579" i="5"/>
  <c r="BF579" i="5"/>
  <c r="BE579" i="5"/>
  <c r="BD579" i="5"/>
  <c r="BC579" i="5"/>
  <c r="BB579" i="5"/>
  <c r="BA579" i="5"/>
  <c r="AZ579" i="5"/>
  <c r="AY579" i="5"/>
  <c r="AX579" i="5"/>
  <c r="AW579" i="5"/>
  <c r="AV579" i="5"/>
  <c r="AU579" i="5"/>
  <c r="AT579" i="5"/>
  <c r="AS579" i="5"/>
  <c r="AR579" i="5"/>
  <c r="AQ579" i="5"/>
  <c r="AP579" i="5"/>
  <c r="AO579" i="5"/>
  <c r="AN579" i="5"/>
  <c r="AM579" i="5"/>
  <c r="AL579" i="5"/>
  <c r="AK579" i="5"/>
  <c r="AJ579" i="5"/>
  <c r="AI579" i="5"/>
  <c r="AH579" i="5"/>
  <c r="AG579" i="5"/>
  <c r="AF579" i="5"/>
  <c r="AE579" i="5"/>
  <c r="AD579" i="5"/>
  <c r="AC579" i="5"/>
  <c r="AB579" i="5"/>
  <c r="AA579" i="5"/>
  <c r="Z579" i="5"/>
  <c r="Y579" i="5"/>
  <c r="X579" i="5"/>
  <c r="W579" i="5"/>
  <c r="V579" i="5"/>
  <c r="U579" i="5"/>
  <c r="T579" i="5"/>
  <c r="S579" i="5"/>
  <c r="R579" i="5"/>
  <c r="Q579" i="5"/>
  <c r="P579" i="5"/>
  <c r="O579" i="5"/>
  <c r="N579" i="5"/>
  <c r="M579" i="5"/>
  <c r="L579" i="5"/>
  <c r="K579" i="5"/>
  <c r="J579" i="5"/>
  <c r="I579" i="5"/>
  <c r="H579" i="5"/>
  <c r="G579" i="5"/>
  <c r="F579" i="5"/>
  <c r="CI578" i="5"/>
  <c r="CH578" i="5"/>
  <c r="CG578" i="5"/>
  <c r="CF578" i="5"/>
  <c r="CE578" i="5"/>
  <c r="CD578" i="5"/>
  <c r="CC578" i="5"/>
  <c r="CB578" i="5"/>
  <c r="CA578" i="5"/>
  <c r="BZ578" i="5"/>
  <c r="BY578" i="5"/>
  <c r="BX578" i="5"/>
  <c r="BW578" i="5"/>
  <c r="BV578" i="5"/>
  <c r="BU578" i="5"/>
  <c r="BT578" i="5"/>
  <c r="BS578" i="5"/>
  <c r="BR578" i="5"/>
  <c r="BQ578" i="5"/>
  <c r="BP578" i="5"/>
  <c r="BO578" i="5"/>
  <c r="BN578" i="5"/>
  <c r="BM578" i="5"/>
  <c r="BL578" i="5"/>
  <c r="BK578" i="5"/>
  <c r="BJ578" i="5"/>
  <c r="BI578" i="5"/>
  <c r="BH578" i="5"/>
  <c r="BG578" i="5"/>
  <c r="BF578" i="5"/>
  <c r="BE578" i="5"/>
  <c r="BD578" i="5"/>
  <c r="BC578" i="5"/>
  <c r="BB578" i="5"/>
  <c r="BA578" i="5"/>
  <c r="AZ578" i="5"/>
  <c r="AY578" i="5"/>
  <c r="AX578" i="5"/>
  <c r="AW578" i="5"/>
  <c r="AV578" i="5"/>
  <c r="AU578" i="5"/>
  <c r="AT578" i="5"/>
  <c r="AS578" i="5"/>
  <c r="AR578" i="5"/>
  <c r="AQ578" i="5"/>
  <c r="AP578" i="5"/>
  <c r="AO578" i="5"/>
  <c r="AN578" i="5"/>
  <c r="AM578" i="5"/>
  <c r="AL578" i="5"/>
  <c r="AK578" i="5"/>
  <c r="AJ578" i="5"/>
  <c r="AI578" i="5"/>
  <c r="AH578" i="5"/>
  <c r="AG578" i="5"/>
  <c r="AF578" i="5"/>
  <c r="AE578" i="5"/>
  <c r="AD578" i="5"/>
  <c r="AC578" i="5"/>
  <c r="AB578" i="5"/>
  <c r="AA578" i="5"/>
  <c r="Z578" i="5"/>
  <c r="Y578" i="5"/>
  <c r="X578" i="5"/>
  <c r="W578" i="5"/>
  <c r="V578" i="5"/>
  <c r="U578" i="5"/>
  <c r="T578" i="5"/>
  <c r="S578" i="5"/>
  <c r="R578" i="5"/>
  <c r="Q578" i="5"/>
  <c r="P578" i="5"/>
  <c r="O578" i="5"/>
  <c r="N578" i="5"/>
  <c r="M578" i="5"/>
  <c r="L578" i="5"/>
  <c r="K578" i="5"/>
  <c r="J578" i="5"/>
  <c r="I578" i="5"/>
  <c r="H578" i="5"/>
  <c r="G578" i="5"/>
  <c r="F578" i="5"/>
  <c r="CI577" i="5"/>
  <c r="CH577" i="5"/>
  <c r="CG577" i="5"/>
  <c r="CF577" i="5"/>
  <c r="CE577" i="5"/>
  <c r="CD577" i="5"/>
  <c r="CC577" i="5"/>
  <c r="CB577" i="5"/>
  <c r="CA577" i="5"/>
  <c r="BZ577" i="5"/>
  <c r="BY577" i="5"/>
  <c r="BX577" i="5"/>
  <c r="BW577" i="5"/>
  <c r="BV577" i="5"/>
  <c r="BU577" i="5"/>
  <c r="BT577" i="5"/>
  <c r="BS577" i="5"/>
  <c r="BR577" i="5"/>
  <c r="BQ577" i="5"/>
  <c r="BP577" i="5"/>
  <c r="BO577" i="5"/>
  <c r="BN577" i="5"/>
  <c r="BM577" i="5"/>
  <c r="BL577" i="5"/>
  <c r="BK577" i="5"/>
  <c r="BJ577" i="5"/>
  <c r="BI577" i="5"/>
  <c r="BH577" i="5"/>
  <c r="BG577" i="5"/>
  <c r="BF577" i="5"/>
  <c r="BE577" i="5"/>
  <c r="BD577" i="5"/>
  <c r="BC577" i="5"/>
  <c r="BB577" i="5"/>
  <c r="BA577" i="5"/>
  <c r="AZ577" i="5"/>
  <c r="AY577" i="5"/>
  <c r="AX577" i="5"/>
  <c r="AW577" i="5"/>
  <c r="AV577" i="5"/>
  <c r="AU577" i="5"/>
  <c r="AT577" i="5"/>
  <c r="AS577" i="5"/>
  <c r="AR577" i="5"/>
  <c r="AQ577" i="5"/>
  <c r="AP577" i="5"/>
  <c r="AO577" i="5"/>
  <c r="AN577" i="5"/>
  <c r="AM577" i="5"/>
  <c r="AL577" i="5"/>
  <c r="AK577" i="5"/>
  <c r="AJ577" i="5"/>
  <c r="AI577" i="5"/>
  <c r="AH577" i="5"/>
  <c r="AG577" i="5"/>
  <c r="AF577" i="5"/>
  <c r="AE577" i="5"/>
  <c r="AD577" i="5"/>
  <c r="AC577" i="5"/>
  <c r="AB577" i="5"/>
  <c r="AA577" i="5"/>
  <c r="Z577" i="5"/>
  <c r="Y577" i="5"/>
  <c r="X577" i="5"/>
  <c r="W577" i="5"/>
  <c r="V577" i="5"/>
  <c r="U577" i="5"/>
  <c r="T577" i="5"/>
  <c r="S577" i="5"/>
  <c r="R577" i="5"/>
  <c r="Q577" i="5"/>
  <c r="P577" i="5"/>
  <c r="O577" i="5"/>
  <c r="N577" i="5"/>
  <c r="M577" i="5"/>
  <c r="L577" i="5"/>
  <c r="K577" i="5"/>
  <c r="J577" i="5"/>
  <c r="I577" i="5"/>
  <c r="H577" i="5"/>
  <c r="G577" i="5"/>
  <c r="F577" i="5"/>
  <c r="CI576" i="5"/>
  <c r="CH576" i="5"/>
  <c r="CG576" i="5"/>
  <c r="CF576" i="5"/>
  <c r="CE576" i="5"/>
  <c r="CD576" i="5"/>
  <c r="CC576" i="5"/>
  <c r="CB576" i="5"/>
  <c r="CA576" i="5"/>
  <c r="BZ576" i="5"/>
  <c r="BY576" i="5"/>
  <c r="BX576" i="5"/>
  <c r="BW576" i="5"/>
  <c r="BV576" i="5"/>
  <c r="BU576" i="5"/>
  <c r="BT576" i="5"/>
  <c r="BS576" i="5"/>
  <c r="BR576" i="5"/>
  <c r="BQ576" i="5"/>
  <c r="BP576" i="5"/>
  <c r="BO576" i="5"/>
  <c r="BN576" i="5"/>
  <c r="BM576" i="5"/>
  <c r="BL576" i="5"/>
  <c r="BK576" i="5"/>
  <c r="BJ576" i="5"/>
  <c r="BI576" i="5"/>
  <c r="BH576" i="5"/>
  <c r="BG576" i="5"/>
  <c r="BF576" i="5"/>
  <c r="BE576" i="5"/>
  <c r="BD576" i="5"/>
  <c r="BC576" i="5"/>
  <c r="BB576" i="5"/>
  <c r="BA576" i="5"/>
  <c r="AZ576" i="5"/>
  <c r="AY576" i="5"/>
  <c r="AX576" i="5"/>
  <c r="AW576" i="5"/>
  <c r="AV576" i="5"/>
  <c r="AU576" i="5"/>
  <c r="AT576" i="5"/>
  <c r="AS576" i="5"/>
  <c r="AR576" i="5"/>
  <c r="AQ576" i="5"/>
  <c r="AP576" i="5"/>
  <c r="AO576" i="5"/>
  <c r="AN576" i="5"/>
  <c r="AM576" i="5"/>
  <c r="AL576" i="5"/>
  <c r="AK576" i="5"/>
  <c r="AJ576" i="5"/>
  <c r="AI576" i="5"/>
  <c r="AH576" i="5"/>
  <c r="AG576" i="5"/>
  <c r="AF576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G576" i="5"/>
  <c r="F576" i="5"/>
  <c r="CI575" i="5"/>
  <c r="CH575" i="5"/>
  <c r="CG575" i="5"/>
  <c r="CF575" i="5"/>
  <c r="CE575" i="5"/>
  <c r="CD575" i="5"/>
  <c r="CC575" i="5"/>
  <c r="CB575" i="5"/>
  <c r="CA575" i="5"/>
  <c r="BZ575" i="5"/>
  <c r="BY575" i="5"/>
  <c r="BX575" i="5"/>
  <c r="BW575" i="5"/>
  <c r="BV575" i="5"/>
  <c r="BU575" i="5"/>
  <c r="BT575" i="5"/>
  <c r="BS575" i="5"/>
  <c r="BR575" i="5"/>
  <c r="BQ575" i="5"/>
  <c r="BP575" i="5"/>
  <c r="BO575" i="5"/>
  <c r="BN575" i="5"/>
  <c r="BM575" i="5"/>
  <c r="BL575" i="5"/>
  <c r="BK575" i="5"/>
  <c r="BJ575" i="5"/>
  <c r="BI575" i="5"/>
  <c r="BH575" i="5"/>
  <c r="BG575" i="5"/>
  <c r="BF575" i="5"/>
  <c r="BE575" i="5"/>
  <c r="BD575" i="5"/>
  <c r="BC575" i="5"/>
  <c r="BB575" i="5"/>
  <c r="BA575" i="5"/>
  <c r="AZ575" i="5"/>
  <c r="AY575" i="5"/>
  <c r="AX575" i="5"/>
  <c r="AW575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AG575" i="5"/>
  <c r="AF575" i="5"/>
  <c r="AE575" i="5"/>
  <c r="AD575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G575" i="5"/>
  <c r="F575" i="5"/>
  <c r="CI574" i="5"/>
  <c r="CH574" i="5"/>
  <c r="CG574" i="5"/>
  <c r="CF574" i="5"/>
  <c r="CE574" i="5"/>
  <c r="CD574" i="5"/>
  <c r="CC574" i="5"/>
  <c r="CB574" i="5"/>
  <c r="CA574" i="5"/>
  <c r="BZ574" i="5"/>
  <c r="BY574" i="5"/>
  <c r="BX574" i="5"/>
  <c r="BW574" i="5"/>
  <c r="BV574" i="5"/>
  <c r="BU574" i="5"/>
  <c r="BT574" i="5"/>
  <c r="BS574" i="5"/>
  <c r="BR574" i="5"/>
  <c r="BQ574" i="5"/>
  <c r="BP574" i="5"/>
  <c r="BO574" i="5"/>
  <c r="BN574" i="5"/>
  <c r="BM574" i="5"/>
  <c r="BL574" i="5"/>
  <c r="BK574" i="5"/>
  <c r="BJ574" i="5"/>
  <c r="BI574" i="5"/>
  <c r="BH574" i="5"/>
  <c r="BG574" i="5"/>
  <c r="BF574" i="5"/>
  <c r="BE574" i="5"/>
  <c r="BD574" i="5"/>
  <c r="BC574" i="5"/>
  <c r="BB574" i="5"/>
  <c r="BA574" i="5"/>
  <c r="AZ574" i="5"/>
  <c r="AY574" i="5"/>
  <c r="AX574" i="5"/>
  <c r="AW574" i="5"/>
  <c r="AV574" i="5"/>
  <c r="AU574" i="5"/>
  <c r="AT574" i="5"/>
  <c r="AS574" i="5"/>
  <c r="AR574" i="5"/>
  <c r="AQ574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G574" i="5"/>
  <c r="F574" i="5"/>
  <c r="CI573" i="5"/>
  <c r="CH573" i="5"/>
  <c r="CG573" i="5"/>
  <c r="CF573" i="5"/>
  <c r="CE573" i="5"/>
  <c r="CD573" i="5"/>
  <c r="CC573" i="5"/>
  <c r="CB573" i="5"/>
  <c r="CA573" i="5"/>
  <c r="BZ573" i="5"/>
  <c r="BY573" i="5"/>
  <c r="BX573" i="5"/>
  <c r="BW573" i="5"/>
  <c r="BV573" i="5"/>
  <c r="BU573" i="5"/>
  <c r="BT573" i="5"/>
  <c r="BS573" i="5"/>
  <c r="BR573" i="5"/>
  <c r="BQ573" i="5"/>
  <c r="BP573" i="5"/>
  <c r="BO573" i="5"/>
  <c r="BN573" i="5"/>
  <c r="BM573" i="5"/>
  <c r="BL573" i="5"/>
  <c r="BK573" i="5"/>
  <c r="BJ573" i="5"/>
  <c r="BI573" i="5"/>
  <c r="BH573" i="5"/>
  <c r="BG573" i="5"/>
  <c r="BF573" i="5"/>
  <c r="BE573" i="5"/>
  <c r="BD573" i="5"/>
  <c r="BC573" i="5"/>
  <c r="BB573" i="5"/>
  <c r="BA573" i="5"/>
  <c r="AZ573" i="5"/>
  <c r="AY573" i="5"/>
  <c r="AX573" i="5"/>
  <c r="AW573" i="5"/>
  <c r="AV573" i="5"/>
  <c r="AU573" i="5"/>
  <c r="AT573" i="5"/>
  <c r="AS573" i="5"/>
  <c r="AR573" i="5"/>
  <c r="AQ573" i="5"/>
  <c r="AP573" i="5"/>
  <c r="AO573" i="5"/>
  <c r="AN573" i="5"/>
  <c r="AM573" i="5"/>
  <c r="AL573" i="5"/>
  <c r="AK573" i="5"/>
  <c r="AJ573" i="5"/>
  <c r="AI573" i="5"/>
  <c r="AH573" i="5"/>
  <c r="AG573" i="5"/>
  <c r="AF573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G573" i="5"/>
  <c r="F573" i="5"/>
  <c r="CI572" i="5"/>
  <c r="CH572" i="5"/>
  <c r="CG572" i="5"/>
  <c r="CF572" i="5"/>
  <c r="CE572" i="5"/>
  <c r="CD572" i="5"/>
  <c r="CC572" i="5"/>
  <c r="CB572" i="5"/>
  <c r="CA572" i="5"/>
  <c r="BZ572" i="5"/>
  <c r="BY572" i="5"/>
  <c r="BX572" i="5"/>
  <c r="BW572" i="5"/>
  <c r="BV572" i="5"/>
  <c r="BU572" i="5"/>
  <c r="BT572" i="5"/>
  <c r="BS572" i="5"/>
  <c r="BR572" i="5"/>
  <c r="BQ572" i="5"/>
  <c r="BP572" i="5"/>
  <c r="BO572" i="5"/>
  <c r="BN572" i="5"/>
  <c r="BM572" i="5"/>
  <c r="BL572" i="5"/>
  <c r="BK572" i="5"/>
  <c r="BJ572" i="5"/>
  <c r="BI572" i="5"/>
  <c r="BH572" i="5"/>
  <c r="BG572" i="5"/>
  <c r="BF572" i="5"/>
  <c r="BE572" i="5"/>
  <c r="BD572" i="5"/>
  <c r="BC572" i="5"/>
  <c r="BB572" i="5"/>
  <c r="BA572" i="5"/>
  <c r="AZ572" i="5"/>
  <c r="AY572" i="5"/>
  <c r="AX572" i="5"/>
  <c r="AW572" i="5"/>
  <c r="AV572" i="5"/>
  <c r="AU572" i="5"/>
  <c r="AT572" i="5"/>
  <c r="AS572" i="5"/>
  <c r="AR572" i="5"/>
  <c r="AQ572" i="5"/>
  <c r="AP572" i="5"/>
  <c r="AO572" i="5"/>
  <c r="AN572" i="5"/>
  <c r="AM572" i="5"/>
  <c r="AL572" i="5"/>
  <c r="AK572" i="5"/>
  <c r="AJ572" i="5"/>
  <c r="AI572" i="5"/>
  <c r="AH572" i="5"/>
  <c r="AG572" i="5"/>
  <c r="AF572" i="5"/>
  <c r="AE572" i="5"/>
  <c r="AD572" i="5"/>
  <c r="AC572" i="5"/>
  <c r="AB572" i="5"/>
  <c r="AA572" i="5"/>
  <c r="Z572" i="5"/>
  <c r="Y572" i="5"/>
  <c r="X572" i="5"/>
  <c r="W572" i="5"/>
  <c r="V572" i="5"/>
  <c r="U572" i="5"/>
  <c r="T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G572" i="5"/>
  <c r="F572" i="5"/>
  <c r="CI571" i="5"/>
  <c r="CH571" i="5"/>
  <c r="CG571" i="5"/>
  <c r="CF571" i="5"/>
  <c r="CE571" i="5"/>
  <c r="CD571" i="5"/>
  <c r="CC571" i="5"/>
  <c r="CB571" i="5"/>
  <c r="CA571" i="5"/>
  <c r="BZ571" i="5"/>
  <c r="BY571" i="5"/>
  <c r="BX571" i="5"/>
  <c r="BW571" i="5"/>
  <c r="BV571" i="5"/>
  <c r="BU571" i="5"/>
  <c r="BT571" i="5"/>
  <c r="BS571" i="5"/>
  <c r="BR571" i="5"/>
  <c r="BQ571" i="5"/>
  <c r="BP571" i="5"/>
  <c r="BO571" i="5"/>
  <c r="BN571" i="5"/>
  <c r="BM571" i="5"/>
  <c r="BL571" i="5"/>
  <c r="BK571" i="5"/>
  <c r="BJ571" i="5"/>
  <c r="BI571" i="5"/>
  <c r="BH571" i="5"/>
  <c r="BG571" i="5"/>
  <c r="BF571" i="5"/>
  <c r="BE571" i="5"/>
  <c r="BD571" i="5"/>
  <c r="BC571" i="5"/>
  <c r="BB571" i="5"/>
  <c r="BA571" i="5"/>
  <c r="AZ571" i="5"/>
  <c r="AY571" i="5"/>
  <c r="AX571" i="5"/>
  <c r="AW571" i="5"/>
  <c r="AV571" i="5"/>
  <c r="AU571" i="5"/>
  <c r="AT571" i="5"/>
  <c r="AS571" i="5"/>
  <c r="AR571" i="5"/>
  <c r="AQ571" i="5"/>
  <c r="AP571" i="5"/>
  <c r="AO571" i="5"/>
  <c r="AN571" i="5"/>
  <c r="AM571" i="5"/>
  <c r="AL571" i="5"/>
  <c r="AK571" i="5"/>
  <c r="AJ571" i="5"/>
  <c r="AI571" i="5"/>
  <c r="AH571" i="5"/>
  <c r="AG571" i="5"/>
  <c r="AF571" i="5"/>
  <c r="AE571" i="5"/>
  <c r="AD571" i="5"/>
  <c r="AC571" i="5"/>
  <c r="AB571" i="5"/>
  <c r="AA571" i="5"/>
  <c r="Z571" i="5"/>
  <c r="Y571" i="5"/>
  <c r="X571" i="5"/>
  <c r="W571" i="5"/>
  <c r="V571" i="5"/>
  <c r="U571" i="5"/>
  <c r="T571" i="5"/>
  <c r="S571" i="5"/>
  <c r="R571" i="5"/>
  <c r="Q571" i="5"/>
  <c r="P571" i="5"/>
  <c r="O571" i="5"/>
  <c r="N571" i="5"/>
  <c r="M571" i="5"/>
  <c r="L571" i="5"/>
  <c r="K571" i="5"/>
  <c r="J571" i="5"/>
  <c r="I571" i="5"/>
  <c r="H571" i="5"/>
  <c r="G571" i="5"/>
  <c r="F571" i="5"/>
  <c r="CI570" i="5"/>
  <c r="CH570" i="5"/>
  <c r="CG570" i="5"/>
  <c r="CF570" i="5"/>
  <c r="CE570" i="5"/>
  <c r="CD570" i="5"/>
  <c r="CC570" i="5"/>
  <c r="CB570" i="5"/>
  <c r="CA570" i="5"/>
  <c r="BZ570" i="5"/>
  <c r="BY570" i="5"/>
  <c r="BX570" i="5"/>
  <c r="BW570" i="5"/>
  <c r="BV570" i="5"/>
  <c r="BU570" i="5"/>
  <c r="BT570" i="5"/>
  <c r="BS570" i="5"/>
  <c r="BR570" i="5"/>
  <c r="BQ570" i="5"/>
  <c r="BP570" i="5"/>
  <c r="BO570" i="5"/>
  <c r="BN570" i="5"/>
  <c r="BM570" i="5"/>
  <c r="BL570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M648" i="7"/>
  <c r="L648" i="7"/>
  <c r="K648" i="7"/>
  <c r="J648" i="7"/>
  <c r="I648" i="7"/>
  <c r="H648" i="7"/>
  <c r="G648" i="7"/>
  <c r="F648" i="7"/>
  <c r="M647" i="7"/>
  <c r="L647" i="7"/>
  <c r="K647" i="7"/>
  <c r="J647" i="7"/>
  <c r="I647" i="7"/>
  <c r="H647" i="7"/>
  <c r="G647" i="7"/>
  <c r="F647" i="7"/>
  <c r="D648" i="7"/>
  <c r="D647" i="7"/>
  <c r="M656" i="7"/>
  <c r="L656" i="7"/>
  <c r="K656" i="7"/>
  <c r="J656" i="7"/>
  <c r="I656" i="7"/>
  <c r="H656" i="7"/>
  <c r="G656" i="7"/>
  <c r="F656" i="7"/>
  <c r="M655" i="7"/>
  <c r="L655" i="7"/>
  <c r="K655" i="7"/>
  <c r="J655" i="7"/>
  <c r="I655" i="7"/>
  <c r="H655" i="7"/>
  <c r="G655" i="7"/>
  <c r="F655" i="7"/>
  <c r="M654" i="7"/>
  <c r="L654" i="7"/>
  <c r="K654" i="7"/>
  <c r="J654" i="7"/>
  <c r="I654" i="7"/>
  <c r="H654" i="7"/>
  <c r="G654" i="7"/>
  <c r="F654" i="7"/>
  <c r="M653" i="7"/>
  <c r="L653" i="7"/>
  <c r="K653" i="7"/>
  <c r="J653" i="7"/>
  <c r="I653" i="7"/>
  <c r="H653" i="7"/>
  <c r="G653" i="7"/>
  <c r="F653" i="7"/>
  <c r="M651" i="7"/>
  <c r="L651" i="7"/>
  <c r="K651" i="7"/>
  <c r="J651" i="7"/>
  <c r="I651" i="7"/>
  <c r="H651" i="7"/>
  <c r="G651" i="7"/>
  <c r="F651" i="7"/>
  <c r="M650" i="7"/>
  <c r="L650" i="7"/>
  <c r="K650" i="7"/>
  <c r="J650" i="7"/>
  <c r="I650" i="7"/>
  <c r="H650" i="7"/>
  <c r="G650" i="7"/>
  <c r="F650" i="7"/>
  <c r="D656" i="7"/>
  <c r="D655" i="7"/>
  <c r="D654" i="7"/>
  <c r="D653" i="7"/>
  <c r="D652" i="7"/>
  <c r="D651" i="7"/>
  <c r="D650" i="7"/>
  <c r="M663" i="7"/>
  <c r="L663" i="7"/>
  <c r="K663" i="7"/>
  <c r="J663" i="7"/>
  <c r="I663" i="7"/>
  <c r="H663" i="7"/>
  <c r="G663" i="7"/>
  <c r="M662" i="7"/>
  <c r="L662" i="7"/>
  <c r="K662" i="7"/>
  <c r="J662" i="7"/>
  <c r="I662" i="7"/>
  <c r="H662" i="7"/>
  <c r="G662" i="7"/>
  <c r="M661" i="7"/>
  <c r="L661" i="7"/>
  <c r="K661" i="7"/>
  <c r="J661" i="7"/>
  <c r="I661" i="7"/>
  <c r="H661" i="7"/>
  <c r="G661" i="7"/>
  <c r="M660" i="7"/>
  <c r="L660" i="7"/>
  <c r="K660" i="7"/>
  <c r="J660" i="7"/>
  <c r="I660" i="7"/>
  <c r="H660" i="7"/>
  <c r="G660" i="7"/>
  <c r="M659" i="7"/>
  <c r="L659" i="7"/>
  <c r="K659" i="7"/>
  <c r="J659" i="7"/>
  <c r="I659" i="7"/>
  <c r="H659" i="7"/>
  <c r="G659" i="7"/>
  <c r="M658" i="7"/>
  <c r="L658" i="7"/>
  <c r="K658" i="7"/>
  <c r="J658" i="7"/>
  <c r="I658" i="7"/>
  <c r="H658" i="7"/>
  <c r="G658" i="7"/>
  <c r="M657" i="7"/>
  <c r="L657" i="7"/>
  <c r="K657" i="7"/>
  <c r="J657" i="7"/>
  <c r="I657" i="7"/>
  <c r="H657" i="7"/>
  <c r="G657" i="7"/>
  <c r="M646" i="7"/>
  <c r="L646" i="7"/>
  <c r="K646" i="7"/>
  <c r="J646" i="7"/>
  <c r="I646" i="7"/>
  <c r="H646" i="7"/>
  <c r="G646" i="7"/>
  <c r="M645" i="7"/>
  <c r="L645" i="7"/>
  <c r="K645" i="7"/>
  <c r="J645" i="7"/>
  <c r="I645" i="7"/>
  <c r="H645" i="7"/>
  <c r="G645" i="7"/>
  <c r="M644" i="7"/>
  <c r="L644" i="7"/>
  <c r="K644" i="7"/>
  <c r="J644" i="7"/>
  <c r="I644" i="7"/>
  <c r="H644" i="7"/>
  <c r="G644" i="7"/>
  <c r="M643" i="7"/>
  <c r="L643" i="7"/>
  <c r="K643" i="7"/>
  <c r="J643" i="7"/>
  <c r="I643" i="7"/>
  <c r="H643" i="7"/>
  <c r="G643" i="7"/>
  <c r="M642" i="7"/>
  <c r="L642" i="7"/>
  <c r="K642" i="7"/>
  <c r="J642" i="7"/>
  <c r="I642" i="7"/>
  <c r="H642" i="7"/>
  <c r="G642" i="7"/>
  <c r="M641" i="7"/>
  <c r="L641" i="7"/>
  <c r="K641" i="7"/>
  <c r="J641" i="7"/>
  <c r="I641" i="7"/>
  <c r="H641" i="7"/>
  <c r="G641" i="7"/>
  <c r="M640" i="7"/>
  <c r="L640" i="7"/>
  <c r="K640" i="7"/>
  <c r="J640" i="7"/>
  <c r="I640" i="7"/>
  <c r="H640" i="7"/>
  <c r="G640" i="7"/>
  <c r="M639" i="7"/>
  <c r="L639" i="7"/>
  <c r="K639" i="7"/>
  <c r="J639" i="7"/>
  <c r="I639" i="7"/>
  <c r="H639" i="7"/>
  <c r="G639" i="7"/>
  <c r="M638" i="7"/>
  <c r="L638" i="7"/>
  <c r="K638" i="7"/>
  <c r="J638" i="7"/>
  <c r="I638" i="7"/>
  <c r="H638" i="7"/>
  <c r="G638" i="7"/>
  <c r="M637" i="7"/>
  <c r="L637" i="7"/>
  <c r="K637" i="7"/>
  <c r="J637" i="7"/>
  <c r="I637" i="7"/>
  <c r="H637" i="7"/>
  <c r="G637" i="7"/>
  <c r="M636" i="7"/>
  <c r="L636" i="7"/>
  <c r="K636" i="7"/>
  <c r="J636" i="7"/>
  <c r="I636" i="7"/>
  <c r="H636" i="7"/>
  <c r="G636" i="7"/>
  <c r="M635" i="7"/>
  <c r="L635" i="7"/>
  <c r="K635" i="7"/>
  <c r="J635" i="7"/>
  <c r="I635" i="7"/>
  <c r="H635" i="7"/>
  <c r="G635" i="7"/>
  <c r="M634" i="7"/>
  <c r="L634" i="7"/>
  <c r="K634" i="7"/>
  <c r="J634" i="7"/>
  <c r="I634" i="7"/>
  <c r="H634" i="7"/>
  <c r="G634" i="7"/>
  <c r="M633" i="7"/>
  <c r="L633" i="7"/>
  <c r="K633" i="7"/>
  <c r="J633" i="7"/>
  <c r="I633" i="7"/>
  <c r="H633" i="7"/>
  <c r="G633" i="7"/>
  <c r="M632" i="7"/>
  <c r="L632" i="7"/>
  <c r="K632" i="7"/>
  <c r="J632" i="7"/>
  <c r="I632" i="7"/>
  <c r="H632" i="7"/>
  <c r="G632" i="7"/>
  <c r="M631" i="7"/>
  <c r="L631" i="7"/>
  <c r="K631" i="7"/>
  <c r="J631" i="7"/>
  <c r="I631" i="7"/>
  <c r="H631" i="7"/>
  <c r="G631" i="7"/>
  <c r="M630" i="7"/>
  <c r="L630" i="7"/>
  <c r="K630" i="7"/>
  <c r="J630" i="7"/>
  <c r="I630" i="7"/>
  <c r="H630" i="7"/>
  <c r="G630" i="7"/>
  <c r="M629" i="7"/>
  <c r="L629" i="7"/>
  <c r="K629" i="7"/>
  <c r="J629" i="7"/>
  <c r="I629" i="7"/>
  <c r="H629" i="7"/>
  <c r="G629" i="7"/>
  <c r="M628" i="7"/>
  <c r="L628" i="7"/>
  <c r="K628" i="7"/>
  <c r="J628" i="7"/>
  <c r="I628" i="7"/>
  <c r="H628" i="7"/>
  <c r="G628" i="7"/>
  <c r="M627" i="7"/>
  <c r="L627" i="7"/>
  <c r="K627" i="7"/>
  <c r="J627" i="7"/>
  <c r="I627" i="7"/>
  <c r="H627" i="7"/>
  <c r="G627" i="7"/>
  <c r="M626" i="7"/>
  <c r="L626" i="7"/>
  <c r="K626" i="7"/>
  <c r="J626" i="7"/>
  <c r="I626" i="7"/>
  <c r="H626" i="7"/>
  <c r="G626" i="7"/>
  <c r="M625" i="7"/>
  <c r="L625" i="7"/>
  <c r="K625" i="7"/>
  <c r="J625" i="7"/>
  <c r="I625" i="7"/>
  <c r="H625" i="7"/>
  <c r="G625" i="7"/>
  <c r="M624" i="7"/>
  <c r="L624" i="7"/>
  <c r="K624" i="7"/>
  <c r="J624" i="7"/>
  <c r="I624" i="7"/>
  <c r="H624" i="7"/>
  <c r="G624" i="7"/>
  <c r="M623" i="7"/>
  <c r="L623" i="7"/>
  <c r="K623" i="7"/>
  <c r="J623" i="7"/>
  <c r="I623" i="7"/>
  <c r="H623" i="7"/>
  <c r="G623" i="7"/>
  <c r="M622" i="7"/>
  <c r="L622" i="7"/>
  <c r="K622" i="7"/>
  <c r="J622" i="7"/>
  <c r="I622" i="7"/>
  <c r="H622" i="7"/>
  <c r="G622" i="7"/>
  <c r="M621" i="7"/>
  <c r="L621" i="7"/>
  <c r="K621" i="7"/>
  <c r="J621" i="7"/>
  <c r="I621" i="7"/>
  <c r="H621" i="7"/>
  <c r="G621" i="7"/>
  <c r="M620" i="7"/>
  <c r="L620" i="7"/>
  <c r="K620" i="7"/>
  <c r="J620" i="7"/>
  <c r="I620" i="7"/>
  <c r="H620" i="7"/>
  <c r="G620" i="7"/>
  <c r="M619" i="7"/>
  <c r="L619" i="7"/>
  <c r="K619" i="7"/>
  <c r="J619" i="7"/>
  <c r="I619" i="7"/>
  <c r="H619" i="7"/>
  <c r="G619" i="7"/>
  <c r="M618" i="7"/>
  <c r="L618" i="7"/>
  <c r="K618" i="7"/>
  <c r="J618" i="7"/>
  <c r="I618" i="7"/>
  <c r="H618" i="7"/>
  <c r="G618" i="7"/>
  <c r="M617" i="7"/>
  <c r="L617" i="7"/>
  <c r="K617" i="7"/>
  <c r="J617" i="7"/>
  <c r="I617" i="7"/>
  <c r="H617" i="7"/>
  <c r="G617" i="7"/>
  <c r="M615" i="7"/>
  <c r="L615" i="7"/>
  <c r="K615" i="7"/>
  <c r="J615" i="7"/>
  <c r="I615" i="7"/>
  <c r="H615" i="7"/>
  <c r="G615" i="7"/>
  <c r="M614" i="7"/>
  <c r="L614" i="7"/>
  <c r="K614" i="7"/>
  <c r="J614" i="7"/>
  <c r="I614" i="7"/>
  <c r="H614" i="7"/>
  <c r="G614" i="7"/>
  <c r="M613" i="7"/>
  <c r="L613" i="7"/>
  <c r="K613" i="7"/>
  <c r="J613" i="7"/>
  <c r="I613" i="7"/>
  <c r="H613" i="7"/>
  <c r="G613" i="7"/>
  <c r="M612" i="7"/>
  <c r="L612" i="7"/>
  <c r="K612" i="7"/>
  <c r="J612" i="7"/>
  <c r="I612" i="7"/>
  <c r="H612" i="7"/>
  <c r="G612" i="7"/>
  <c r="M611" i="7"/>
  <c r="L611" i="7"/>
  <c r="K611" i="7"/>
  <c r="J611" i="7"/>
  <c r="I611" i="7"/>
  <c r="H611" i="7"/>
  <c r="G611" i="7"/>
  <c r="M610" i="7"/>
  <c r="L610" i="7"/>
  <c r="K610" i="7"/>
  <c r="J610" i="7"/>
  <c r="I610" i="7"/>
  <c r="H610" i="7"/>
  <c r="G610" i="7"/>
  <c r="M609" i="7"/>
  <c r="L609" i="7"/>
  <c r="K609" i="7"/>
  <c r="J609" i="7"/>
  <c r="I609" i="7"/>
  <c r="H609" i="7"/>
  <c r="G609" i="7"/>
  <c r="M608" i="7"/>
  <c r="L608" i="7"/>
  <c r="K608" i="7"/>
  <c r="J608" i="7"/>
  <c r="I608" i="7"/>
  <c r="H608" i="7"/>
  <c r="G608" i="7"/>
  <c r="M607" i="7"/>
  <c r="L607" i="7"/>
  <c r="K607" i="7"/>
  <c r="J607" i="7"/>
  <c r="I607" i="7"/>
  <c r="H607" i="7"/>
  <c r="G607" i="7"/>
  <c r="M606" i="7"/>
  <c r="L606" i="7"/>
  <c r="K606" i="7"/>
  <c r="J606" i="7"/>
  <c r="I606" i="7"/>
  <c r="H606" i="7"/>
  <c r="G606" i="7"/>
  <c r="M605" i="7"/>
  <c r="L605" i="7"/>
  <c r="K605" i="7"/>
  <c r="J605" i="7"/>
  <c r="I605" i="7"/>
  <c r="H605" i="7"/>
  <c r="G605" i="7"/>
  <c r="M604" i="7"/>
  <c r="L604" i="7"/>
  <c r="K604" i="7"/>
  <c r="J604" i="7"/>
  <c r="I604" i="7"/>
  <c r="H604" i="7"/>
  <c r="G604" i="7"/>
  <c r="M603" i="7"/>
  <c r="L603" i="7"/>
  <c r="K603" i="7"/>
  <c r="J603" i="7"/>
  <c r="I603" i="7"/>
  <c r="H603" i="7"/>
  <c r="G603" i="7"/>
  <c r="M602" i="7"/>
  <c r="L602" i="7"/>
  <c r="K602" i="7"/>
  <c r="J602" i="7"/>
  <c r="I602" i="7"/>
  <c r="H602" i="7"/>
  <c r="G602" i="7"/>
  <c r="M601" i="7"/>
  <c r="L601" i="7"/>
  <c r="K601" i="7"/>
  <c r="J601" i="7"/>
  <c r="I601" i="7"/>
  <c r="H601" i="7"/>
  <c r="G601" i="7"/>
  <c r="M600" i="7"/>
  <c r="L600" i="7"/>
  <c r="K600" i="7"/>
  <c r="J600" i="7"/>
  <c r="I600" i="7"/>
  <c r="H600" i="7"/>
  <c r="G600" i="7"/>
  <c r="M599" i="7"/>
  <c r="L599" i="7"/>
  <c r="K599" i="7"/>
  <c r="J599" i="7"/>
  <c r="I599" i="7"/>
  <c r="H599" i="7"/>
  <c r="G599" i="7"/>
  <c r="M598" i="7"/>
  <c r="L598" i="7"/>
  <c r="K598" i="7"/>
  <c r="J598" i="7"/>
  <c r="I598" i="7"/>
  <c r="H598" i="7"/>
  <c r="G598" i="7"/>
  <c r="M597" i="7"/>
  <c r="L597" i="7"/>
  <c r="K597" i="7"/>
  <c r="J597" i="7"/>
  <c r="I597" i="7"/>
  <c r="H597" i="7"/>
  <c r="G597" i="7"/>
  <c r="M596" i="7"/>
  <c r="L596" i="7"/>
  <c r="K596" i="7"/>
  <c r="J596" i="7"/>
  <c r="I596" i="7"/>
  <c r="H596" i="7"/>
  <c r="G596" i="7"/>
  <c r="M595" i="7"/>
  <c r="L595" i="7"/>
  <c r="K595" i="7"/>
  <c r="J595" i="7"/>
  <c r="I595" i="7"/>
  <c r="H595" i="7"/>
  <c r="G595" i="7"/>
  <c r="M594" i="7"/>
  <c r="L594" i="7"/>
  <c r="K594" i="7"/>
  <c r="J594" i="7"/>
  <c r="I594" i="7"/>
  <c r="H594" i="7"/>
  <c r="G594" i="7"/>
  <c r="M593" i="7"/>
  <c r="L593" i="7"/>
  <c r="K593" i="7"/>
  <c r="J593" i="7"/>
  <c r="I593" i="7"/>
  <c r="H593" i="7"/>
  <c r="G593" i="7"/>
  <c r="M592" i="7"/>
  <c r="L592" i="7"/>
  <c r="K592" i="7"/>
  <c r="J592" i="7"/>
  <c r="I592" i="7"/>
  <c r="H592" i="7"/>
  <c r="G592" i="7"/>
  <c r="M591" i="7"/>
  <c r="L591" i="7"/>
  <c r="K591" i="7"/>
  <c r="J591" i="7"/>
  <c r="I591" i="7"/>
  <c r="H591" i="7"/>
  <c r="G591" i="7"/>
  <c r="M590" i="7"/>
  <c r="L590" i="7"/>
  <c r="K590" i="7"/>
  <c r="J590" i="7"/>
  <c r="I590" i="7"/>
  <c r="H590" i="7"/>
  <c r="G590" i="7"/>
  <c r="M589" i="7"/>
  <c r="L589" i="7"/>
  <c r="K589" i="7"/>
  <c r="J589" i="7"/>
  <c r="I589" i="7"/>
  <c r="H589" i="7"/>
  <c r="G589" i="7"/>
  <c r="M588" i="7"/>
  <c r="L588" i="7"/>
  <c r="K588" i="7"/>
  <c r="J588" i="7"/>
  <c r="I588" i="7"/>
  <c r="H588" i="7"/>
  <c r="G588" i="7"/>
  <c r="M587" i="7"/>
  <c r="L587" i="7"/>
  <c r="K587" i="7"/>
  <c r="J587" i="7"/>
  <c r="I587" i="7"/>
  <c r="H587" i="7"/>
  <c r="G587" i="7"/>
  <c r="M586" i="7"/>
  <c r="L586" i="7"/>
  <c r="K586" i="7"/>
  <c r="J586" i="7"/>
  <c r="I586" i="7"/>
  <c r="H586" i="7"/>
  <c r="G586" i="7"/>
  <c r="M585" i="7"/>
  <c r="L585" i="7"/>
  <c r="K585" i="7"/>
  <c r="J585" i="7"/>
  <c r="I585" i="7"/>
  <c r="H585" i="7"/>
  <c r="G585" i="7"/>
  <c r="M584" i="7"/>
  <c r="L584" i="7"/>
  <c r="K584" i="7"/>
  <c r="J584" i="7"/>
  <c r="I584" i="7"/>
  <c r="H584" i="7"/>
  <c r="G584" i="7"/>
  <c r="M583" i="7"/>
  <c r="L583" i="7"/>
  <c r="K583" i="7"/>
  <c r="J583" i="7"/>
  <c r="I583" i="7"/>
  <c r="H583" i="7"/>
  <c r="G583" i="7"/>
  <c r="M582" i="7"/>
  <c r="L582" i="7"/>
  <c r="K582" i="7"/>
  <c r="J582" i="7"/>
  <c r="I582" i="7"/>
  <c r="H582" i="7"/>
  <c r="G582" i="7"/>
  <c r="M581" i="7"/>
  <c r="L581" i="7"/>
  <c r="K581" i="7"/>
  <c r="J581" i="7"/>
  <c r="I581" i="7"/>
  <c r="H581" i="7"/>
  <c r="G581" i="7"/>
  <c r="M580" i="7"/>
  <c r="L580" i="7"/>
  <c r="K580" i="7"/>
  <c r="J580" i="7"/>
  <c r="I580" i="7"/>
  <c r="H580" i="7"/>
  <c r="G580" i="7"/>
  <c r="M579" i="7"/>
  <c r="L579" i="7"/>
  <c r="K579" i="7"/>
  <c r="J579" i="7"/>
  <c r="I579" i="7"/>
  <c r="H579" i="7"/>
  <c r="G579" i="7"/>
  <c r="M578" i="7"/>
  <c r="L578" i="7"/>
  <c r="K578" i="7"/>
  <c r="J578" i="7"/>
  <c r="I578" i="7"/>
  <c r="H578" i="7"/>
  <c r="G578" i="7"/>
  <c r="M577" i="7"/>
  <c r="L577" i="7"/>
  <c r="K577" i="7"/>
  <c r="J577" i="7"/>
  <c r="I577" i="7"/>
  <c r="H577" i="7"/>
  <c r="G577" i="7"/>
  <c r="M576" i="7"/>
  <c r="L576" i="7"/>
  <c r="K576" i="7"/>
  <c r="J576" i="7"/>
  <c r="I576" i="7"/>
  <c r="H576" i="7"/>
  <c r="G576" i="7"/>
  <c r="M575" i="7"/>
  <c r="L575" i="7"/>
  <c r="K575" i="7"/>
  <c r="J575" i="7"/>
  <c r="I575" i="7"/>
  <c r="H575" i="7"/>
  <c r="G575" i="7"/>
  <c r="M574" i="7"/>
  <c r="L574" i="7"/>
  <c r="K574" i="7"/>
  <c r="J574" i="7"/>
  <c r="I574" i="7"/>
  <c r="H574" i="7"/>
  <c r="G574" i="7"/>
  <c r="M573" i="7"/>
  <c r="L573" i="7"/>
  <c r="K573" i="7"/>
  <c r="J573" i="7"/>
  <c r="I573" i="7"/>
  <c r="H573" i="7"/>
  <c r="G573" i="7"/>
  <c r="M572" i="7"/>
  <c r="L572" i="7"/>
  <c r="K572" i="7"/>
  <c r="J572" i="7"/>
  <c r="I572" i="7"/>
  <c r="H572" i="7"/>
  <c r="G572" i="7"/>
  <c r="M571" i="7"/>
  <c r="L571" i="7"/>
  <c r="K571" i="7"/>
  <c r="J571" i="7"/>
  <c r="I571" i="7"/>
  <c r="H571" i="7"/>
  <c r="G571" i="7"/>
  <c r="M570" i="7"/>
  <c r="L570" i="7"/>
  <c r="K570" i="7"/>
  <c r="J570" i="7"/>
  <c r="I570" i="7"/>
  <c r="H570" i="7"/>
  <c r="G570" i="7"/>
  <c r="F663" i="7"/>
  <c r="F662" i="7"/>
  <c r="F661" i="7"/>
  <c r="F660" i="7"/>
  <c r="F659" i="7"/>
  <c r="F658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E568" i="7"/>
  <c r="E567" i="7"/>
  <c r="D567" i="7"/>
  <c r="D649" i="7" s="1"/>
  <c r="D566" i="7"/>
  <c r="CE566" i="5"/>
  <c r="CE567" i="5" s="1"/>
  <c r="BP566" i="5"/>
  <c r="BP567" i="5" s="1"/>
  <c r="BE566" i="5"/>
  <c r="BE567" i="5" s="1"/>
  <c r="AN566" i="5"/>
  <c r="AN567" i="5" s="1"/>
  <c r="AD566" i="5"/>
  <c r="AD567" i="5" s="1"/>
  <c r="X566" i="5"/>
  <c r="X567" i="5" s="1"/>
  <c r="T566" i="5"/>
  <c r="T567" i="5" s="1"/>
  <c r="P566" i="5"/>
  <c r="P567" i="5" s="1"/>
  <c r="L566" i="5"/>
  <c r="L567" i="5" s="1"/>
  <c r="I566" i="5"/>
  <c r="I567" i="5" s="1"/>
  <c r="H566" i="5"/>
  <c r="H567" i="5" s="1"/>
  <c r="E254" i="5"/>
  <c r="E232" i="5"/>
  <c r="C649" i="6"/>
  <c r="AM242" i="4"/>
  <c r="AM241" i="4"/>
  <c r="AM240" i="4"/>
  <c r="AM238" i="4"/>
  <c r="AM237" i="4"/>
  <c r="AM236" i="4"/>
  <c r="AM235" i="4"/>
  <c r="AM232" i="4"/>
  <c r="AM231" i="4"/>
  <c r="AM227" i="4"/>
  <c r="AM228" i="4" s="1"/>
  <c r="AG242" i="4"/>
  <c r="AG241" i="4"/>
  <c r="AG240" i="4"/>
  <c r="AG238" i="4"/>
  <c r="AG237" i="4"/>
  <c r="AG236" i="4"/>
  <c r="AG235" i="4"/>
  <c r="AG232" i="4"/>
  <c r="AG231" i="4"/>
  <c r="AG227" i="4"/>
  <c r="AG228" i="4" s="1"/>
  <c r="AD242" i="4"/>
  <c r="AD241" i="4"/>
  <c r="AD240" i="4"/>
  <c r="AD238" i="4"/>
  <c r="AD237" i="4"/>
  <c r="AD236" i="4"/>
  <c r="AD235" i="4"/>
  <c r="AD232" i="4"/>
  <c r="AD231" i="4"/>
  <c r="AD227" i="4"/>
  <c r="AD228" i="4" s="1"/>
  <c r="AE227" i="4"/>
  <c r="AE228" i="4" s="1"/>
  <c r="AF227" i="4"/>
  <c r="AF228" i="4" s="1"/>
  <c r="AH227" i="4"/>
  <c r="AH228" i="4" s="1"/>
  <c r="AI227" i="4"/>
  <c r="AI228" i="4" s="1"/>
  <c r="AJ227" i="4"/>
  <c r="AJ228" i="4" s="1"/>
  <c r="AK227" i="4"/>
  <c r="AK228" i="4" s="1"/>
  <c r="AL227" i="4"/>
  <c r="AL228" i="4" s="1"/>
  <c r="AE231" i="4"/>
  <c r="AF231" i="4"/>
  <c r="AH231" i="4"/>
  <c r="AI231" i="4"/>
  <c r="AJ231" i="4"/>
  <c r="AK231" i="4"/>
  <c r="AL231" i="4"/>
  <c r="AE232" i="4"/>
  <c r="AF232" i="4"/>
  <c r="AH232" i="4"/>
  <c r="AI232" i="4"/>
  <c r="AJ232" i="4"/>
  <c r="AK232" i="4"/>
  <c r="AL232" i="4"/>
  <c r="AE235" i="4"/>
  <c r="AF235" i="4"/>
  <c r="AH235" i="4"/>
  <c r="AI235" i="4"/>
  <c r="AJ235" i="4"/>
  <c r="AK235" i="4"/>
  <c r="AL235" i="4"/>
  <c r="AE236" i="4"/>
  <c r="AF236" i="4"/>
  <c r="AH236" i="4"/>
  <c r="AI236" i="4"/>
  <c r="AJ236" i="4"/>
  <c r="AK236" i="4"/>
  <c r="AL236" i="4"/>
  <c r="AE237" i="4"/>
  <c r="AF237" i="4"/>
  <c r="AH237" i="4"/>
  <c r="AI237" i="4"/>
  <c r="AJ237" i="4"/>
  <c r="AK237" i="4"/>
  <c r="AL237" i="4"/>
  <c r="AE238" i="4"/>
  <c r="AF238" i="4"/>
  <c r="AH238" i="4"/>
  <c r="AI238" i="4"/>
  <c r="AJ238" i="4"/>
  <c r="AK238" i="4"/>
  <c r="AL238" i="4"/>
  <c r="AE240" i="4"/>
  <c r="AF240" i="4"/>
  <c r="AH240" i="4"/>
  <c r="AI240" i="4"/>
  <c r="AJ240" i="4"/>
  <c r="AK240" i="4"/>
  <c r="AL240" i="4"/>
  <c r="AE241" i="4"/>
  <c r="AF241" i="4"/>
  <c r="AH241" i="4"/>
  <c r="AI241" i="4"/>
  <c r="AJ241" i="4"/>
  <c r="AK241" i="4"/>
  <c r="AL241" i="4"/>
  <c r="AE242" i="4"/>
  <c r="AF242" i="4"/>
  <c r="AH242" i="4"/>
  <c r="AI242" i="4"/>
  <c r="AJ242" i="4"/>
  <c r="AK242" i="4"/>
  <c r="AL242" i="4"/>
  <c r="AB242" i="4"/>
  <c r="AA242" i="4"/>
  <c r="AB241" i="4"/>
  <c r="AA241" i="4"/>
  <c r="AB240" i="4"/>
  <c r="AA240" i="4"/>
  <c r="AB238" i="4"/>
  <c r="AA238" i="4"/>
  <c r="AB237" i="4"/>
  <c r="AA237" i="4"/>
  <c r="AB236" i="4"/>
  <c r="AA236" i="4"/>
  <c r="AB235" i="4"/>
  <c r="AA235" i="4"/>
  <c r="AB232" i="4"/>
  <c r="AA232" i="4"/>
  <c r="AB231" i="4"/>
  <c r="AA231" i="4"/>
  <c r="AB227" i="4"/>
  <c r="AB228" i="4" s="1"/>
  <c r="AA227" i="4"/>
  <c r="AA228" i="4" s="1"/>
  <c r="Y242" i="4"/>
  <c r="Y241" i="4"/>
  <c r="Y240" i="4"/>
  <c r="Y238" i="4"/>
  <c r="Y237" i="4"/>
  <c r="Y236" i="4"/>
  <c r="Y235" i="4"/>
  <c r="Y232" i="4"/>
  <c r="Y231" i="4"/>
  <c r="Y227" i="4"/>
  <c r="Y228" i="4" s="1"/>
  <c r="V242" i="4"/>
  <c r="V241" i="4"/>
  <c r="V240" i="4"/>
  <c r="V238" i="4"/>
  <c r="V237" i="4"/>
  <c r="V236" i="4"/>
  <c r="V235" i="4"/>
  <c r="V232" i="4"/>
  <c r="V231" i="4"/>
  <c r="V227" i="4"/>
  <c r="V228" i="4" s="1"/>
  <c r="W227" i="4"/>
  <c r="X227" i="4"/>
  <c r="Z227" i="4"/>
  <c r="AC227" i="4"/>
  <c r="T242" i="4"/>
  <c r="S242" i="4"/>
  <c r="T241" i="4"/>
  <c r="S241" i="4"/>
  <c r="T240" i="4"/>
  <c r="S240" i="4"/>
  <c r="T238" i="4"/>
  <c r="S238" i="4"/>
  <c r="T237" i="4"/>
  <c r="S237" i="4"/>
  <c r="T236" i="4"/>
  <c r="S236" i="4"/>
  <c r="T235" i="4"/>
  <c r="S235" i="4"/>
  <c r="T232" i="4"/>
  <c r="S232" i="4"/>
  <c r="T231" i="4"/>
  <c r="S231" i="4"/>
  <c r="T227" i="4"/>
  <c r="T228" i="4" s="1"/>
  <c r="S227" i="4"/>
  <c r="S228" i="4" s="1"/>
  <c r="J242" i="4"/>
  <c r="J241" i="4"/>
  <c r="J240" i="4"/>
  <c r="J238" i="4"/>
  <c r="J237" i="4"/>
  <c r="J236" i="4"/>
  <c r="J235" i="4"/>
  <c r="J232" i="4"/>
  <c r="J231" i="4"/>
  <c r="J227" i="4"/>
  <c r="J228" i="4" s="1"/>
  <c r="G242" i="4"/>
  <c r="G241" i="4"/>
  <c r="G240" i="4"/>
  <c r="G238" i="4"/>
  <c r="G237" i="4"/>
  <c r="G236" i="4"/>
  <c r="G235" i="4"/>
  <c r="G232" i="4"/>
  <c r="G231" i="4"/>
  <c r="G228" i="4"/>
  <c r="G227" i="4"/>
  <c r="E90" i="4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CT46" i="3"/>
  <c r="CL46" i="3"/>
  <c r="CK46" i="3"/>
  <c r="CJ46" i="3"/>
  <c r="CI46" i="3"/>
  <c r="BZ46" i="3"/>
  <c r="BX46" i="3"/>
  <c r="BW46" i="3"/>
  <c r="BB46" i="3"/>
  <c r="AY46" i="3"/>
  <c r="AX46" i="3"/>
  <c r="AT46" i="3"/>
  <c r="AM46" i="3"/>
  <c r="CT45" i="3"/>
  <c r="CS45" i="3"/>
  <c r="CS46" i="3" s="1"/>
  <c r="CR45" i="3"/>
  <c r="CR46" i="3" s="1"/>
  <c r="CQ45" i="3"/>
  <c r="CQ46" i="3" s="1"/>
  <c r="CP45" i="3"/>
  <c r="CP46" i="3" s="1"/>
  <c r="CO45" i="3"/>
  <c r="CO46" i="3" s="1"/>
  <c r="CN45" i="3"/>
  <c r="CN46" i="3" s="1"/>
  <c r="CM45" i="3"/>
  <c r="CM46" i="3" s="1"/>
  <c r="CL45" i="3"/>
  <c r="CK45" i="3"/>
  <c r="CJ45" i="3"/>
  <c r="CI45" i="3"/>
  <c r="CH45" i="3"/>
  <c r="CH46" i="3" s="1"/>
  <c r="CG45" i="3"/>
  <c r="CG46" i="3" s="1"/>
  <c r="CF45" i="3"/>
  <c r="CF46" i="3" s="1"/>
  <c r="CE45" i="3"/>
  <c r="CE46" i="3" s="1"/>
  <c r="CD45" i="3"/>
  <c r="CD46" i="3" s="1"/>
  <c r="CC45" i="3"/>
  <c r="CC46" i="3" s="1"/>
  <c r="CB45" i="3"/>
  <c r="CB46" i="3" s="1"/>
  <c r="CA45" i="3"/>
  <c r="CA46" i="3" s="1"/>
  <c r="BZ45" i="3"/>
  <c r="BY45" i="3"/>
  <c r="BY46" i="3" s="1"/>
  <c r="BX45" i="3"/>
  <c r="BW45" i="3"/>
  <c r="BV45" i="3"/>
  <c r="BV46" i="3" s="1"/>
  <c r="BU45" i="3"/>
  <c r="BU46" i="3" s="1"/>
  <c r="BT45" i="3"/>
  <c r="BT46" i="3" s="1"/>
  <c r="BS45" i="3"/>
  <c r="BS46" i="3" s="1"/>
  <c r="BR45" i="3"/>
  <c r="BR46" i="3" s="1"/>
  <c r="BQ45" i="3"/>
  <c r="BQ46" i="3" s="1"/>
  <c r="BP45" i="3"/>
  <c r="BP46" i="3" s="1"/>
  <c r="BO45" i="3"/>
  <c r="BO46" i="3" s="1"/>
  <c r="BN45" i="3"/>
  <c r="BN46" i="3" s="1"/>
  <c r="BM45" i="3"/>
  <c r="BM46" i="3" s="1"/>
  <c r="BL45" i="3"/>
  <c r="BL46" i="3" s="1"/>
  <c r="BK46" i="3"/>
  <c r="BJ45" i="3"/>
  <c r="BJ46" i="3" s="1"/>
  <c r="BI45" i="3"/>
  <c r="BI46" i="3" s="1"/>
  <c r="BH45" i="3"/>
  <c r="BH46" i="3" s="1"/>
  <c r="BG45" i="3"/>
  <c r="BG46" i="3" s="1"/>
  <c r="BF45" i="3"/>
  <c r="BF46" i="3" s="1"/>
  <c r="BE45" i="3"/>
  <c r="BE46" i="3" s="1"/>
  <c r="BD45" i="3"/>
  <c r="BD46" i="3" s="1"/>
  <c r="BC45" i="3"/>
  <c r="BC46" i="3" s="1"/>
  <c r="BB45" i="3"/>
  <c r="BA45" i="3"/>
  <c r="BA46" i="3" s="1"/>
  <c r="AZ45" i="3"/>
  <c r="AZ46" i="3" s="1"/>
  <c r="AY45" i="3"/>
  <c r="AX45" i="3"/>
  <c r="AW45" i="3"/>
  <c r="AW46" i="3" s="1"/>
  <c r="AV45" i="3"/>
  <c r="AV46" i="3" s="1"/>
  <c r="AU45" i="3"/>
  <c r="AU46" i="3" s="1"/>
  <c r="AT45" i="3"/>
  <c r="AS45" i="3"/>
  <c r="AS46" i="3" s="1"/>
  <c r="AR45" i="3"/>
  <c r="AR46" i="3" s="1"/>
  <c r="AQ45" i="3"/>
  <c r="AQ46" i="3" s="1"/>
  <c r="AP45" i="3"/>
  <c r="AP46" i="3" s="1"/>
  <c r="AO45" i="3"/>
  <c r="AO46" i="3" s="1"/>
  <c r="AN45" i="3"/>
  <c r="AN46" i="3" s="1"/>
  <c r="AM45" i="3"/>
  <c r="AL45" i="3"/>
  <c r="AL46" i="3" s="1"/>
  <c r="AK45" i="3"/>
  <c r="AK46" i="3" s="1"/>
  <c r="AJ45" i="3"/>
  <c r="AJ46" i="3" s="1"/>
  <c r="AI45" i="3"/>
  <c r="AI46" i="3" s="1"/>
  <c r="AH45" i="3"/>
  <c r="AH46" i="3" s="1"/>
  <c r="EA146" i="2"/>
  <c r="DZ146" i="2"/>
  <c r="DY146" i="2"/>
  <c r="DX146" i="2"/>
  <c r="DW146" i="2"/>
  <c r="DV146" i="2"/>
  <c r="DU146" i="2"/>
  <c r="DT146" i="2"/>
  <c r="DS146" i="2"/>
  <c r="DR146" i="2"/>
  <c r="DQ146" i="2"/>
  <c r="DP146" i="2"/>
  <c r="DO146" i="2"/>
  <c r="DN146" i="2"/>
  <c r="DM146" i="2"/>
  <c r="DL146" i="2"/>
  <c r="DK146" i="2"/>
  <c r="DJ146" i="2"/>
  <c r="DI146" i="2"/>
  <c r="DH146" i="2"/>
  <c r="DG146" i="2"/>
  <c r="DF146" i="2"/>
  <c r="DE146" i="2"/>
  <c r="DD146" i="2"/>
  <c r="DC146" i="2"/>
  <c r="DB146" i="2"/>
  <c r="DA146" i="2"/>
  <c r="CZ146" i="2"/>
  <c r="CY146" i="2"/>
  <c r="CX146" i="2"/>
  <c r="CW146" i="2"/>
  <c r="CV146" i="2"/>
  <c r="CU146" i="2"/>
  <c r="CT146" i="2"/>
  <c r="CS146" i="2"/>
  <c r="CR146" i="2"/>
  <c r="CQ146" i="2"/>
  <c r="CP146" i="2"/>
  <c r="CO146" i="2"/>
  <c r="CN146" i="2"/>
  <c r="CM146" i="2"/>
  <c r="CL146" i="2"/>
  <c r="CK146" i="2"/>
  <c r="CJ146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EA145" i="2"/>
  <c r="DZ145" i="2"/>
  <c r="DY145" i="2"/>
  <c r="DX145" i="2"/>
  <c r="DW145" i="2"/>
  <c r="DV145" i="2"/>
  <c r="DU145" i="2"/>
  <c r="DT145" i="2"/>
  <c r="DS145" i="2"/>
  <c r="DR145" i="2"/>
  <c r="DQ145" i="2"/>
  <c r="DP145" i="2"/>
  <c r="DO145" i="2"/>
  <c r="DN145" i="2"/>
  <c r="DM145" i="2"/>
  <c r="DL145" i="2"/>
  <c r="DK145" i="2"/>
  <c r="DJ145" i="2"/>
  <c r="DI145" i="2"/>
  <c r="DH145" i="2"/>
  <c r="DG145" i="2"/>
  <c r="DF145" i="2"/>
  <c r="DE145" i="2"/>
  <c r="DD145" i="2"/>
  <c r="DC145" i="2"/>
  <c r="DB145" i="2"/>
  <c r="DA145" i="2"/>
  <c r="CZ145" i="2"/>
  <c r="CY145" i="2"/>
  <c r="CX145" i="2"/>
  <c r="CW145" i="2"/>
  <c r="CV145" i="2"/>
  <c r="CU145" i="2"/>
  <c r="CT145" i="2"/>
  <c r="CS145" i="2"/>
  <c r="CR145" i="2"/>
  <c r="CQ145" i="2"/>
  <c r="CP145" i="2"/>
  <c r="CO145" i="2"/>
  <c r="CN145" i="2"/>
  <c r="CM145" i="2"/>
  <c r="CL145" i="2"/>
  <c r="CK145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EA144" i="2"/>
  <c r="DZ144" i="2"/>
  <c r="DY144" i="2"/>
  <c r="DX144" i="2"/>
  <c r="DW144" i="2"/>
  <c r="DV144" i="2"/>
  <c r="DU144" i="2"/>
  <c r="DT144" i="2"/>
  <c r="DS144" i="2"/>
  <c r="DR144" i="2"/>
  <c r="DQ144" i="2"/>
  <c r="DP144" i="2"/>
  <c r="DO144" i="2"/>
  <c r="DN144" i="2"/>
  <c r="DM144" i="2"/>
  <c r="DL144" i="2"/>
  <c r="DK144" i="2"/>
  <c r="DJ144" i="2"/>
  <c r="DI144" i="2"/>
  <c r="DH144" i="2"/>
  <c r="DG144" i="2"/>
  <c r="DF144" i="2"/>
  <c r="DE144" i="2"/>
  <c r="DD144" i="2"/>
  <c r="DC144" i="2"/>
  <c r="DB144" i="2"/>
  <c r="DA144" i="2"/>
  <c r="CZ144" i="2"/>
  <c r="CY144" i="2"/>
  <c r="CX144" i="2"/>
  <c r="CW144" i="2"/>
  <c r="CV144" i="2"/>
  <c r="CU144" i="2"/>
  <c r="CT144" i="2"/>
  <c r="CS144" i="2"/>
  <c r="CR144" i="2"/>
  <c r="CQ144" i="2"/>
  <c r="CP144" i="2"/>
  <c r="CO144" i="2"/>
  <c r="CN144" i="2"/>
  <c r="CM144" i="2"/>
  <c r="CL144" i="2"/>
  <c r="CK144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EA143" i="2"/>
  <c r="DZ143" i="2"/>
  <c r="DY143" i="2"/>
  <c r="DX143" i="2"/>
  <c r="DW143" i="2"/>
  <c r="DV143" i="2"/>
  <c r="DU143" i="2"/>
  <c r="DT143" i="2"/>
  <c r="DS143" i="2"/>
  <c r="DR143" i="2"/>
  <c r="DQ143" i="2"/>
  <c r="DP143" i="2"/>
  <c r="DO143" i="2"/>
  <c r="DN143" i="2"/>
  <c r="DM143" i="2"/>
  <c r="DL143" i="2"/>
  <c r="DK143" i="2"/>
  <c r="DJ143" i="2"/>
  <c r="DI143" i="2"/>
  <c r="DH143" i="2"/>
  <c r="DG143" i="2"/>
  <c r="DF143" i="2"/>
  <c r="DE143" i="2"/>
  <c r="DD143" i="2"/>
  <c r="DC143" i="2"/>
  <c r="DB143" i="2"/>
  <c r="DA143" i="2"/>
  <c r="CZ143" i="2"/>
  <c r="CY143" i="2"/>
  <c r="CX143" i="2"/>
  <c r="CW143" i="2"/>
  <c r="CV143" i="2"/>
  <c r="CU143" i="2"/>
  <c r="CT143" i="2"/>
  <c r="CS143" i="2"/>
  <c r="CR143" i="2"/>
  <c r="CQ143" i="2"/>
  <c r="CP143" i="2"/>
  <c r="CO143" i="2"/>
  <c r="CN143" i="2"/>
  <c r="CM143" i="2"/>
  <c r="CL143" i="2"/>
  <c r="CK143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EA142" i="2"/>
  <c r="DZ142" i="2"/>
  <c r="DY142" i="2"/>
  <c r="DX142" i="2"/>
  <c r="DW142" i="2"/>
  <c r="DV142" i="2"/>
  <c r="DU142" i="2"/>
  <c r="DT142" i="2"/>
  <c r="DS142" i="2"/>
  <c r="DR142" i="2"/>
  <c r="DQ142" i="2"/>
  <c r="DP142" i="2"/>
  <c r="DO142" i="2"/>
  <c r="DN142" i="2"/>
  <c r="DM142" i="2"/>
  <c r="DL142" i="2"/>
  <c r="DK142" i="2"/>
  <c r="DJ142" i="2"/>
  <c r="DI142" i="2"/>
  <c r="DH142" i="2"/>
  <c r="DG142" i="2"/>
  <c r="DF142" i="2"/>
  <c r="DE142" i="2"/>
  <c r="DD142" i="2"/>
  <c r="DC142" i="2"/>
  <c r="DB142" i="2"/>
  <c r="DA142" i="2"/>
  <c r="CZ142" i="2"/>
  <c r="CY142" i="2"/>
  <c r="CX142" i="2"/>
  <c r="CW142" i="2"/>
  <c r="CV142" i="2"/>
  <c r="CU142" i="2"/>
  <c r="CT142" i="2"/>
  <c r="CS142" i="2"/>
  <c r="CR142" i="2"/>
  <c r="CQ142" i="2"/>
  <c r="CP142" i="2"/>
  <c r="CO142" i="2"/>
  <c r="CN142" i="2"/>
  <c r="CM142" i="2"/>
  <c r="CL142" i="2"/>
  <c r="CK142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EA141" i="2"/>
  <c r="DZ141" i="2"/>
  <c r="DY141" i="2"/>
  <c r="DX141" i="2"/>
  <c r="DW141" i="2"/>
  <c r="DV141" i="2"/>
  <c r="DU141" i="2"/>
  <c r="DT141" i="2"/>
  <c r="DS141" i="2"/>
  <c r="DR141" i="2"/>
  <c r="DQ141" i="2"/>
  <c r="DP141" i="2"/>
  <c r="DO141" i="2"/>
  <c r="DN141" i="2"/>
  <c r="DM141" i="2"/>
  <c r="DL141" i="2"/>
  <c r="DK141" i="2"/>
  <c r="DJ141" i="2"/>
  <c r="DI141" i="2"/>
  <c r="DH141" i="2"/>
  <c r="DG141" i="2"/>
  <c r="DF141" i="2"/>
  <c r="DE141" i="2"/>
  <c r="DD141" i="2"/>
  <c r="DC141" i="2"/>
  <c r="DB141" i="2"/>
  <c r="DA141" i="2"/>
  <c r="CZ141" i="2"/>
  <c r="CY141" i="2"/>
  <c r="CX141" i="2"/>
  <c r="CW141" i="2"/>
  <c r="CV141" i="2"/>
  <c r="CU141" i="2"/>
  <c r="CT141" i="2"/>
  <c r="CS141" i="2"/>
  <c r="CR141" i="2"/>
  <c r="CQ141" i="2"/>
  <c r="CP141" i="2"/>
  <c r="CO141" i="2"/>
  <c r="CN141" i="2"/>
  <c r="CM141" i="2"/>
  <c r="CL141" i="2"/>
  <c r="CK141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EA140" i="2"/>
  <c r="DZ140" i="2"/>
  <c r="DY140" i="2"/>
  <c r="DX140" i="2"/>
  <c r="DW140" i="2"/>
  <c r="DV140" i="2"/>
  <c r="DU140" i="2"/>
  <c r="DT140" i="2"/>
  <c r="DS140" i="2"/>
  <c r="DR140" i="2"/>
  <c r="DQ140" i="2"/>
  <c r="DP140" i="2"/>
  <c r="DO140" i="2"/>
  <c r="DN140" i="2"/>
  <c r="DM140" i="2"/>
  <c r="DL140" i="2"/>
  <c r="DK140" i="2"/>
  <c r="DJ140" i="2"/>
  <c r="DI140" i="2"/>
  <c r="DH140" i="2"/>
  <c r="DG140" i="2"/>
  <c r="DF140" i="2"/>
  <c r="DE140" i="2"/>
  <c r="DD140" i="2"/>
  <c r="DC140" i="2"/>
  <c r="DB140" i="2"/>
  <c r="DA140" i="2"/>
  <c r="CZ140" i="2"/>
  <c r="CY140" i="2"/>
  <c r="CX140" i="2"/>
  <c r="CW140" i="2"/>
  <c r="CV140" i="2"/>
  <c r="CU140" i="2"/>
  <c r="CT140" i="2"/>
  <c r="CS140" i="2"/>
  <c r="CR140" i="2"/>
  <c r="CQ140" i="2"/>
  <c r="CP140" i="2"/>
  <c r="CO140" i="2"/>
  <c r="CN140" i="2"/>
  <c r="CM140" i="2"/>
  <c r="CL140" i="2"/>
  <c r="CK140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EA139" i="2"/>
  <c r="DZ139" i="2"/>
  <c r="DY139" i="2"/>
  <c r="DX139" i="2"/>
  <c r="DW139" i="2"/>
  <c r="DV139" i="2"/>
  <c r="DU139" i="2"/>
  <c r="DT139" i="2"/>
  <c r="DS139" i="2"/>
  <c r="DR139" i="2"/>
  <c r="DQ139" i="2"/>
  <c r="DP139" i="2"/>
  <c r="DO139" i="2"/>
  <c r="DN139" i="2"/>
  <c r="DM139" i="2"/>
  <c r="DL139" i="2"/>
  <c r="DK139" i="2"/>
  <c r="DJ139" i="2"/>
  <c r="DI139" i="2"/>
  <c r="DH139" i="2"/>
  <c r="DG139" i="2"/>
  <c r="DF139" i="2"/>
  <c r="DE139" i="2"/>
  <c r="DD139" i="2"/>
  <c r="DC139" i="2"/>
  <c r="DB139" i="2"/>
  <c r="DA139" i="2"/>
  <c r="CZ139" i="2"/>
  <c r="CY139" i="2"/>
  <c r="CX139" i="2"/>
  <c r="CW139" i="2"/>
  <c r="CV139" i="2"/>
  <c r="CU139" i="2"/>
  <c r="CT139" i="2"/>
  <c r="CS139" i="2"/>
  <c r="CR139" i="2"/>
  <c r="CQ139" i="2"/>
  <c r="CP139" i="2"/>
  <c r="CO139" i="2"/>
  <c r="CN139" i="2"/>
  <c r="CM139" i="2"/>
  <c r="CL139" i="2"/>
  <c r="CK139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EA138" i="2"/>
  <c r="DZ138" i="2"/>
  <c r="DY138" i="2"/>
  <c r="DX138" i="2"/>
  <c r="DW138" i="2"/>
  <c r="DV138" i="2"/>
  <c r="DU138" i="2"/>
  <c r="DT138" i="2"/>
  <c r="DS138" i="2"/>
  <c r="DR138" i="2"/>
  <c r="DQ138" i="2"/>
  <c r="DP138" i="2"/>
  <c r="DO138" i="2"/>
  <c r="DN138" i="2"/>
  <c r="DM138" i="2"/>
  <c r="DL138" i="2"/>
  <c r="DK138" i="2"/>
  <c r="DJ138" i="2"/>
  <c r="DI138" i="2"/>
  <c r="DH138" i="2"/>
  <c r="DG138" i="2"/>
  <c r="DF138" i="2"/>
  <c r="DE138" i="2"/>
  <c r="DD138" i="2"/>
  <c r="DC138" i="2"/>
  <c r="DB138" i="2"/>
  <c r="DA138" i="2"/>
  <c r="CZ138" i="2"/>
  <c r="CY138" i="2"/>
  <c r="CX138" i="2"/>
  <c r="CW138" i="2"/>
  <c r="CV138" i="2"/>
  <c r="CU138" i="2"/>
  <c r="CT138" i="2"/>
  <c r="CS138" i="2"/>
  <c r="CR138" i="2"/>
  <c r="CQ138" i="2"/>
  <c r="CP138" i="2"/>
  <c r="CO138" i="2"/>
  <c r="CN138" i="2"/>
  <c r="CM138" i="2"/>
  <c r="CL138" i="2"/>
  <c r="CK138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EA137" i="2"/>
  <c r="DZ137" i="2"/>
  <c r="DY137" i="2"/>
  <c r="DX137" i="2"/>
  <c r="DW137" i="2"/>
  <c r="DV137" i="2"/>
  <c r="DU137" i="2"/>
  <c r="DT137" i="2"/>
  <c r="DS137" i="2"/>
  <c r="DR137" i="2"/>
  <c r="DQ137" i="2"/>
  <c r="DP137" i="2"/>
  <c r="DO137" i="2"/>
  <c r="DN137" i="2"/>
  <c r="DM137" i="2"/>
  <c r="DL137" i="2"/>
  <c r="DK137" i="2"/>
  <c r="DJ137" i="2"/>
  <c r="DI137" i="2"/>
  <c r="DH137" i="2"/>
  <c r="DG137" i="2"/>
  <c r="DF137" i="2"/>
  <c r="DE137" i="2"/>
  <c r="DD137" i="2"/>
  <c r="DC137" i="2"/>
  <c r="DB137" i="2"/>
  <c r="DA137" i="2"/>
  <c r="CZ137" i="2"/>
  <c r="CY137" i="2"/>
  <c r="CX137" i="2"/>
  <c r="CW137" i="2"/>
  <c r="CV137" i="2"/>
  <c r="CU137" i="2"/>
  <c r="CT137" i="2"/>
  <c r="CS137" i="2"/>
  <c r="CR137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EA136" i="2"/>
  <c r="DZ136" i="2"/>
  <c r="DY136" i="2"/>
  <c r="DX136" i="2"/>
  <c r="DW136" i="2"/>
  <c r="DV136" i="2"/>
  <c r="DU136" i="2"/>
  <c r="DT136" i="2"/>
  <c r="DS136" i="2"/>
  <c r="DR136" i="2"/>
  <c r="DQ136" i="2"/>
  <c r="DP136" i="2"/>
  <c r="DO136" i="2"/>
  <c r="DN136" i="2"/>
  <c r="DM136" i="2"/>
  <c r="DL136" i="2"/>
  <c r="DK136" i="2"/>
  <c r="DJ136" i="2"/>
  <c r="DI136" i="2"/>
  <c r="DH136" i="2"/>
  <c r="DG136" i="2"/>
  <c r="DF136" i="2"/>
  <c r="DE136" i="2"/>
  <c r="DD136" i="2"/>
  <c r="DC136" i="2"/>
  <c r="DB136" i="2"/>
  <c r="DA136" i="2"/>
  <c r="CZ136" i="2"/>
  <c r="CY136" i="2"/>
  <c r="CX136" i="2"/>
  <c r="CW136" i="2"/>
  <c r="CV136" i="2"/>
  <c r="CU136" i="2"/>
  <c r="CT136" i="2"/>
  <c r="CS136" i="2"/>
  <c r="CR136" i="2"/>
  <c r="CQ136" i="2"/>
  <c r="CP136" i="2"/>
  <c r="CO136" i="2"/>
  <c r="CN136" i="2"/>
  <c r="CM136" i="2"/>
  <c r="CL136" i="2"/>
  <c r="CK136" i="2"/>
  <c r="CJ136" i="2"/>
  <c r="CI136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EA135" i="2"/>
  <c r="DZ135" i="2"/>
  <c r="DY135" i="2"/>
  <c r="DX135" i="2"/>
  <c r="DW135" i="2"/>
  <c r="DV135" i="2"/>
  <c r="DU135" i="2"/>
  <c r="DT135" i="2"/>
  <c r="DS135" i="2"/>
  <c r="DR135" i="2"/>
  <c r="DQ135" i="2"/>
  <c r="DP135" i="2"/>
  <c r="DO135" i="2"/>
  <c r="DN135" i="2"/>
  <c r="DM135" i="2"/>
  <c r="DL135" i="2"/>
  <c r="DK135" i="2"/>
  <c r="DJ135" i="2"/>
  <c r="DI135" i="2"/>
  <c r="DH135" i="2"/>
  <c r="DG135" i="2"/>
  <c r="DF135" i="2"/>
  <c r="DE135" i="2"/>
  <c r="DD135" i="2"/>
  <c r="DC135" i="2"/>
  <c r="DB135" i="2"/>
  <c r="DA135" i="2"/>
  <c r="CZ135" i="2"/>
  <c r="CY135" i="2"/>
  <c r="CX135" i="2"/>
  <c r="CW135" i="2"/>
  <c r="CV135" i="2"/>
  <c r="CU135" i="2"/>
  <c r="CT135" i="2"/>
  <c r="CS135" i="2"/>
  <c r="CR135" i="2"/>
  <c r="CQ135" i="2"/>
  <c r="CP135" i="2"/>
  <c r="CO135" i="2"/>
  <c r="CN135" i="2"/>
  <c r="CM135" i="2"/>
  <c r="CL135" i="2"/>
  <c r="CK135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EA134" i="2"/>
  <c r="DZ134" i="2"/>
  <c r="DY134" i="2"/>
  <c r="DX134" i="2"/>
  <c r="DW134" i="2"/>
  <c r="DV134" i="2"/>
  <c r="DU134" i="2"/>
  <c r="DT134" i="2"/>
  <c r="DS134" i="2"/>
  <c r="DR134" i="2"/>
  <c r="DQ134" i="2"/>
  <c r="DP134" i="2"/>
  <c r="DO134" i="2"/>
  <c r="DN134" i="2"/>
  <c r="DM134" i="2"/>
  <c r="DL134" i="2"/>
  <c r="DK134" i="2"/>
  <c r="DJ134" i="2"/>
  <c r="DI134" i="2"/>
  <c r="DH134" i="2"/>
  <c r="DG134" i="2"/>
  <c r="DF134" i="2"/>
  <c r="DE134" i="2"/>
  <c r="DD134" i="2"/>
  <c r="DC134" i="2"/>
  <c r="DB134" i="2"/>
  <c r="DA134" i="2"/>
  <c r="CZ134" i="2"/>
  <c r="CY134" i="2"/>
  <c r="CX134" i="2"/>
  <c r="CW134" i="2"/>
  <c r="CV134" i="2"/>
  <c r="CU134" i="2"/>
  <c r="CT134" i="2"/>
  <c r="CS134" i="2"/>
  <c r="CR134" i="2"/>
  <c r="CQ134" i="2"/>
  <c r="CP134" i="2"/>
  <c r="CO134" i="2"/>
  <c r="CN134" i="2"/>
  <c r="CM134" i="2"/>
  <c r="CL134" i="2"/>
  <c r="CK134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C134" i="2"/>
  <c r="AB134" i="2"/>
  <c r="AA134" i="2"/>
  <c r="Z134" i="2"/>
  <c r="Y134" i="2"/>
  <c r="X134" i="2"/>
  <c r="W134" i="2"/>
  <c r="V134" i="2"/>
  <c r="EA133" i="2"/>
  <c r="DZ133" i="2"/>
  <c r="DY133" i="2"/>
  <c r="DX133" i="2"/>
  <c r="DW133" i="2"/>
  <c r="DV133" i="2"/>
  <c r="DU133" i="2"/>
  <c r="DT133" i="2"/>
  <c r="DS133" i="2"/>
  <c r="DR133" i="2"/>
  <c r="DQ133" i="2"/>
  <c r="DP133" i="2"/>
  <c r="DO133" i="2"/>
  <c r="DN133" i="2"/>
  <c r="DM133" i="2"/>
  <c r="DL133" i="2"/>
  <c r="DK133" i="2"/>
  <c r="DJ133" i="2"/>
  <c r="DI133" i="2"/>
  <c r="DH133" i="2"/>
  <c r="DG133" i="2"/>
  <c r="DF133" i="2"/>
  <c r="DE133" i="2"/>
  <c r="DD133" i="2"/>
  <c r="DC133" i="2"/>
  <c r="DB133" i="2"/>
  <c r="DA133" i="2"/>
  <c r="CZ133" i="2"/>
  <c r="CY133" i="2"/>
  <c r="CX133" i="2"/>
  <c r="CW133" i="2"/>
  <c r="CV133" i="2"/>
  <c r="CU133" i="2"/>
  <c r="CT133" i="2"/>
  <c r="CS133" i="2"/>
  <c r="CR133" i="2"/>
  <c r="CQ133" i="2"/>
  <c r="CP133" i="2"/>
  <c r="CO133" i="2"/>
  <c r="CN133" i="2"/>
  <c r="CM133" i="2"/>
  <c r="CL133" i="2"/>
  <c r="CK133" i="2"/>
  <c r="CJ133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EA132" i="2"/>
  <c r="DZ132" i="2"/>
  <c r="DY132" i="2"/>
  <c r="DX132" i="2"/>
  <c r="DW132" i="2"/>
  <c r="DV132" i="2"/>
  <c r="DU132" i="2"/>
  <c r="DT132" i="2"/>
  <c r="DS132" i="2"/>
  <c r="DR132" i="2"/>
  <c r="DQ132" i="2"/>
  <c r="DP132" i="2"/>
  <c r="DO132" i="2"/>
  <c r="DN132" i="2"/>
  <c r="DM132" i="2"/>
  <c r="DL132" i="2"/>
  <c r="DK132" i="2"/>
  <c r="DJ132" i="2"/>
  <c r="DI132" i="2"/>
  <c r="DH132" i="2"/>
  <c r="DG132" i="2"/>
  <c r="DF132" i="2"/>
  <c r="DE132" i="2"/>
  <c r="DD132" i="2"/>
  <c r="DC132" i="2"/>
  <c r="DB132" i="2"/>
  <c r="DA132" i="2"/>
  <c r="CZ132" i="2"/>
  <c r="CY132" i="2"/>
  <c r="CX132" i="2"/>
  <c r="CW132" i="2"/>
  <c r="CV132" i="2"/>
  <c r="CU132" i="2"/>
  <c r="CT132" i="2"/>
  <c r="CS132" i="2"/>
  <c r="CR132" i="2"/>
  <c r="CQ132" i="2"/>
  <c r="CP132" i="2"/>
  <c r="CO132" i="2"/>
  <c r="CN132" i="2"/>
  <c r="CM132" i="2"/>
  <c r="CL132" i="2"/>
  <c r="CK132" i="2"/>
  <c r="CJ132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EA131" i="2"/>
  <c r="DZ131" i="2"/>
  <c r="DY131" i="2"/>
  <c r="DX131" i="2"/>
  <c r="DW131" i="2"/>
  <c r="DV131" i="2"/>
  <c r="DU131" i="2"/>
  <c r="DT131" i="2"/>
  <c r="DS131" i="2"/>
  <c r="DR131" i="2"/>
  <c r="DQ131" i="2"/>
  <c r="DP131" i="2"/>
  <c r="DO131" i="2"/>
  <c r="DN131" i="2"/>
  <c r="DM131" i="2"/>
  <c r="DL131" i="2"/>
  <c r="DK131" i="2"/>
  <c r="DJ131" i="2"/>
  <c r="DI131" i="2"/>
  <c r="DH131" i="2"/>
  <c r="DG131" i="2"/>
  <c r="DF131" i="2"/>
  <c r="DE131" i="2"/>
  <c r="DD131" i="2"/>
  <c r="DC131" i="2"/>
  <c r="DB131" i="2"/>
  <c r="DA131" i="2"/>
  <c r="CZ131" i="2"/>
  <c r="CY131" i="2"/>
  <c r="CX131" i="2"/>
  <c r="CW131" i="2"/>
  <c r="CV131" i="2"/>
  <c r="CU131" i="2"/>
  <c r="CT131" i="2"/>
  <c r="CS131" i="2"/>
  <c r="CR131" i="2"/>
  <c r="CQ131" i="2"/>
  <c r="CP131" i="2"/>
  <c r="CO131" i="2"/>
  <c r="CN131" i="2"/>
  <c r="CM131" i="2"/>
  <c r="CL131" i="2"/>
  <c r="CK131" i="2"/>
  <c r="CJ131" i="2"/>
  <c r="CI131" i="2"/>
  <c r="CH131" i="2"/>
  <c r="CG131" i="2"/>
  <c r="CF131" i="2"/>
  <c r="CE131" i="2"/>
  <c r="CD131" i="2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EA130" i="2"/>
  <c r="DZ130" i="2"/>
  <c r="DY130" i="2"/>
  <c r="DX130" i="2"/>
  <c r="DW130" i="2"/>
  <c r="DV130" i="2"/>
  <c r="DU130" i="2"/>
  <c r="DT130" i="2"/>
  <c r="DS130" i="2"/>
  <c r="DR130" i="2"/>
  <c r="DQ130" i="2"/>
  <c r="DP130" i="2"/>
  <c r="DO130" i="2"/>
  <c r="DN130" i="2"/>
  <c r="DM130" i="2"/>
  <c r="DL130" i="2"/>
  <c r="DK130" i="2"/>
  <c r="DJ130" i="2"/>
  <c r="DI130" i="2"/>
  <c r="DH130" i="2"/>
  <c r="DG130" i="2"/>
  <c r="DF130" i="2"/>
  <c r="DE130" i="2"/>
  <c r="DD130" i="2"/>
  <c r="DC130" i="2"/>
  <c r="DB130" i="2"/>
  <c r="DA130" i="2"/>
  <c r="CZ130" i="2"/>
  <c r="CY130" i="2"/>
  <c r="CX130" i="2"/>
  <c r="CW130" i="2"/>
  <c r="CV130" i="2"/>
  <c r="CU130" i="2"/>
  <c r="CT130" i="2"/>
  <c r="CS130" i="2"/>
  <c r="CR130" i="2"/>
  <c r="CQ130" i="2"/>
  <c r="CP130" i="2"/>
  <c r="CO130" i="2"/>
  <c r="CN130" i="2"/>
  <c r="CM130" i="2"/>
  <c r="CL130" i="2"/>
  <c r="CK130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DB127" i="2"/>
  <c r="EA127" i="2"/>
  <c r="DZ127" i="2"/>
  <c r="DY127" i="2"/>
  <c r="DX127" i="2"/>
  <c r="DW127" i="2"/>
  <c r="DV127" i="2"/>
  <c r="DU127" i="2"/>
  <c r="DT127" i="2"/>
  <c r="DS126" i="2"/>
  <c r="DS127" i="2" s="1"/>
  <c r="DR126" i="2"/>
  <c r="DR127" i="2" s="1"/>
  <c r="DQ126" i="2"/>
  <c r="DQ127" i="2" s="1"/>
  <c r="DP126" i="2"/>
  <c r="DP127" i="2" s="1"/>
  <c r="DO126" i="2"/>
  <c r="DO127" i="2" s="1"/>
  <c r="DN126" i="2"/>
  <c r="DN127" i="2" s="1"/>
  <c r="DM126" i="2"/>
  <c r="DM127" i="2" s="1"/>
  <c r="DL126" i="2"/>
  <c r="DL127" i="2" s="1"/>
  <c r="DK126" i="2"/>
  <c r="DK127" i="2" s="1"/>
  <c r="DJ126" i="2"/>
  <c r="DJ127" i="2" s="1"/>
  <c r="DI126" i="2"/>
  <c r="DI127" i="2" s="1"/>
  <c r="DH126" i="2"/>
  <c r="DH127" i="2" s="1"/>
  <c r="DG126" i="2"/>
  <c r="DG127" i="2" s="1"/>
  <c r="DF126" i="2"/>
  <c r="DF127" i="2" s="1"/>
  <c r="DE126" i="2"/>
  <c r="DE127" i="2" s="1"/>
  <c r="DD126" i="2"/>
  <c r="DD127" i="2" s="1"/>
  <c r="DC126" i="2"/>
  <c r="DC127" i="2" s="1"/>
  <c r="DB126" i="2"/>
  <c r="DA126" i="2"/>
  <c r="DA127" i="2" s="1"/>
  <c r="CZ126" i="2"/>
  <c r="CZ127" i="2" s="1"/>
  <c r="CY126" i="2"/>
  <c r="CY127" i="2" s="1"/>
  <c r="CX126" i="2"/>
  <c r="CX127" i="2" s="1"/>
  <c r="CW126" i="2"/>
  <c r="CW127" i="2" s="1"/>
  <c r="CV126" i="2"/>
  <c r="CV127" i="2" s="1"/>
  <c r="CU126" i="2"/>
  <c r="CU127" i="2" s="1"/>
  <c r="CT126" i="2"/>
  <c r="CT127" i="2" s="1"/>
  <c r="CS126" i="2"/>
  <c r="CS127" i="2" s="1"/>
  <c r="CR126" i="2"/>
  <c r="CR127" i="2" s="1"/>
  <c r="CQ126" i="2"/>
  <c r="CQ127" i="2" s="1"/>
  <c r="CP126" i="2"/>
  <c r="CP127" i="2" s="1"/>
  <c r="CO126" i="2"/>
  <c r="CO127" i="2" s="1"/>
  <c r="CN126" i="2"/>
  <c r="CN127" i="2" s="1"/>
  <c r="CM126" i="2"/>
  <c r="CM127" i="2" s="1"/>
  <c r="CL126" i="2"/>
  <c r="CL127" i="2" s="1"/>
  <c r="CK126" i="2"/>
  <c r="CK127" i="2" s="1"/>
  <c r="CJ126" i="2"/>
  <c r="CJ127" i="2" s="1"/>
  <c r="CI126" i="2"/>
  <c r="CI127" i="2" s="1"/>
  <c r="CH126" i="2"/>
  <c r="CH127" i="2" s="1"/>
  <c r="CG126" i="2"/>
  <c r="CG127" i="2" s="1"/>
  <c r="CF126" i="2"/>
  <c r="CF127" i="2" s="1"/>
  <c r="CE126" i="2"/>
  <c r="CE127" i="2" s="1"/>
  <c r="CD126" i="2"/>
  <c r="CD127" i="2" s="1"/>
  <c r="CC126" i="2"/>
  <c r="CC127" i="2" s="1"/>
  <c r="CB126" i="2"/>
  <c r="CB127" i="2" s="1"/>
  <c r="CA126" i="2"/>
  <c r="CA127" i="2" s="1"/>
  <c r="BZ126" i="2"/>
  <c r="BZ127" i="2" s="1"/>
  <c r="BY126" i="2"/>
  <c r="BY127" i="2" s="1"/>
  <c r="BX126" i="2"/>
  <c r="BX127" i="2" s="1"/>
  <c r="BW126" i="2"/>
  <c r="BW127" i="2" s="1"/>
  <c r="BV126" i="2"/>
  <c r="BV127" i="2" s="1"/>
  <c r="BU126" i="2"/>
  <c r="BU127" i="2" s="1"/>
  <c r="BT126" i="2"/>
  <c r="BT127" i="2" s="1"/>
  <c r="BS126" i="2"/>
  <c r="BS127" i="2" s="1"/>
  <c r="BR126" i="2"/>
  <c r="BR127" i="2" s="1"/>
  <c r="BQ126" i="2"/>
  <c r="BQ127" i="2" s="1"/>
  <c r="BP126" i="2"/>
  <c r="BP127" i="2" s="1"/>
  <c r="BO126" i="2"/>
  <c r="BO127" i="2" s="1"/>
  <c r="BN126" i="2"/>
  <c r="BN127" i="2" s="1"/>
  <c r="BM126" i="2"/>
  <c r="BM127" i="2" s="1"/>
  <c r="BL126" i="2"/>
  <c r="BL127" i="2" s="1"/>
  <c r="BK126" i="2"/>
  <c r="BK127" i="2" s="1"/>
  <c r="BJ126" i="2"/>
  <c r="BJ127" i="2" s="1"/>
  <c r="BI126" i="2"/>
  <c r="BI127" i="2" s="1"/>
  <c r="BH126" i="2"/>
  <c r="BH127" i="2" s="1"/>
  <c r="BG126" i="2"/>
  <c r="BG127" i="2" s="1"/>
  <c r="BF126" i="2"/>
  <c r="BF127" i="2" s="1"/>
  <c r="BE126" i="2"/>
  <c r="BE127" i="2" s="1"/>
  <c r="BD126" i="2"/>
  <c r="BD127" i="2" s="1"/>
  <c r="BC126" i="2"/>
  <c r="BC127" i="2" s="1"/>
  <c r="BB126" i="2"/>
  <c r="BB127" i="2" s="1"/>
  <c r="BA126" i="2"/>
  <c r="BA127" i="2" s="1"/>
  <c r="AZ126" i="2"/>
  <c r="AZ127" i="2" s="1"/>
  <c r="AY126" i="2"/>
  <c r="AY127" i="2" s="1"/>
  <c r="AX126" i="2"/>
  <c r="AX127" i="2" s="1"/>
  <c r="AW126" i="2"/>
  <c r="AW127" i="2" s="1"/>
  <c r="AV126" i="2"/>
  <c r="AV127" i="2" s="1"/>
  <c r="AU126" i="2"/>
  <c r="AU127" i="2" s="1"/>
  <c r="AT126" i="2"/>
  <c r="AT127" i="2" s="1"/>
  <c r="AS126" i="2"/>
  <c r="AS127" i="2" s="1"/>
  <c r="AR126" i="2"/>
  <c r="AR127" i="2" s="1"/>
  <c r="AQ126" i="2"/>
  <c r="AQ127" i="2" s="1"/>
  <c r="AP126" i="2"/>
  <c r="AP127" i="2" s="1"/>
  <c r="AO126" i="2"/>
  <c r="AO127" i="2" s="1"/>
  <c r="AN126" i="2"/>
  <c r="AN127" i="2" s="1"/>
  <c r="AM126" i="2"/>
  <c r="AM127" i="2" s="1"/>
  <c r="AL126" i="2"/>
  <c r="AL127" i="2" s="1"/>
  <c r="AK126" i="2"/>
  <c r="AK127" i="2" s="1"/>
  <c r="AJ126" i="2"/>
  <c r="AJ127" i="2" s="1"/>
  <c r="AI126" i="2"/>
  <c r="AI127" i="2" s="1"/>
  <c r="AH126" i="2"/>
  <c r="AH127" i="2" s="1"/>
  <c r="AG126" i="2"/>
  <c r="AG127" i="2" s="1"/>
  <c r="AF126" i="2"/>
  <c r="AF127" i="2" s="1"/>
  <c r="AE126" i="2"/>
  <c r="AE127" i="2" s="1"/>
  <c r="AD126" i="2"/>
  <c r="AD127" i="2" s="1"/>
  <c r="AC126" i="2"/>
  <c r="AC127" i="2" s="1"/>
  <c r="AB126" i="2"/>
  <c r="AB127" i="2" s="1"/>
  <c r="AA126" i="2"/>
  <c r="AA127" i="2" s="1"/>
  <c r="Z126" i="2"/>
  <c r="Z127" i="2" s="1"/>
  <c r="Y126" i="2"/>
  <c r="Y127" i="2" s="1"/>
  <c r="X126" i="2"/>
  <c r="X127" i="2" s="1"/>
  <c r="W126" i="2"/>
  <c r="W127" i="2" s="1"/>
  <c r="V126" i="2"/>
  <c r="V127" i="2" s="1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D138" i="2"/>
  <c r="C138" i="2"/>
  <c r="E65" i="2"/>
  <c r="E566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4" i="7"/>
  <c r="CE688" i="5"/>
  <c r="CE687" i="5"/>
  <c r="CE686" i="5"/>
  <c r="CE685" i="5"/>
  <c r="CE682" i="5"/>
  <c r="CE681" i="5"/>
  <c r="CE679" i="5"/>
  <c r="CE678" i="5"/>
  <c r="CE677" i="5"/>
  <c r="CE676" i="5"/>
  <c r="CE675" i="5"/>
  <c r="CE674" i="5"/>
  <c r="CE673" i="5"/>
  <c r="CE672" i="5"/>
  <c r="CE671" i="5"/>
  <c r="CE667" i="5"/>
  <c r="BP688" i="5"/>
  <c r="BP687" i="5"/>
  <c r="BP686" i="5"/>
  <c r="BP685" i="5"/>
  <c r="BP682" i="5"/>
  <c r="BP681" i="5"/>
  <c r="BP679" i="5"/>
  <c r="BP678" i="5"/>
  <c r="BP677" i="5"/>
  <c r="BP676" i="5"/>
  <c r="BP675" i="5"/>
  <c r="BP674" i="5"/>
  <c r="BP673" i="5"/>
  <c r="BP672" i="5"/>
  <c r="BP671" i="5"/>
  <c r="BP667" i="5"/>
  <c r="BE688" i="5"/>
  <c r="BE687" i="5"/>
  <c r="BE686" i="5"/>
  <c r="BE685" i="5"/>
  <c r="BE682" i="5"/>
  <c r="BE681" i="5"/>
  <c r="BE679" i="5"/>
  <c r="BE678" i="5"/>
  <c r="BE677" i="5"/>
  <c r="BE676" i="5"/>
  <c r="BE675" i="5"/>
  <c r="BE674" i="5"/>
  <c r="BE673" i="5"/>
  <c r="BE672" i="5"/>
  <c r="BE671" i="5"/>
  <c r="BE667" i="5"/>
  <c r="AN688" i="5"/>
  <c r="AN687" i="5"/>
  <c r="AN686" i="5"/>
  <c r="AN685" i="5"/>
  <c r="AN682" i="5"/>
  <c r="AN681" i="5"/>
  <c r="AN679" i="5"/>
  <c r="AN678" i="5"/>
  <c r="AN677" i="5"/>
  <c r="AN676" i="5"/>
  <c r="AN675" i="5"/>
  <c r="AN674" i="5"/>
  <c r="AN673" i="5"/>
  <c r="AN672" i="5"/>
  <c r="AN671" i="5"/>
  <c r="AN667" i="5"/>
  <c r="AD688" i="5"/>
  <c r="AD687" i="5"/>
  <c r="AD686" i="5"/>
  <c r="AD685" i="5"/>
  <c r="AD682" i="5"/>
  <c r="AD681" i="5"/>
  <c r="AD679" i="5"/>
  <c r="AD678" i="5"/>
  <c r="AD677" i="5"/>
  <c r="AD676" i="5"/>
  <c r="AD675" i="5"/>
  <c r="AD674" i="5"/>
  <c r="AD673" i="5"/>
  <c r="AD672" i="5"/>
  <c r="AD671" i="5"/>
  <c r="AD667" i="5"/>
  <c r="X688" i="5"/>
  <c r="X687" i="5"/>
  <c r="X686" i="5"/>
  <c r="X685" i="5"/>
  <c r="X682" i="5"/>
  <c r="X681" i="5"/>
  <c r="X679" i="5"/>
  <c r="X678" i="5"/>
  <c r="X677" i="5"/>
  <c r="X676" i="5"/>
  <c r="X675" i="5"/>
  <c r="X674" i="5"/>
  <c r="X673" i="5"/>
  <c r="X672" i="5"/>
  <c r="X671" i="5"/>
  <c r="X667" i="5"/>
  <c r="T688" i="5"/>
  <c r="T687" i="5"/>
  <c r="T686" i="5"/>
  <c r="T685" i="5"/>
  <c r="T682" i="5"/>
  <c r="T681" i="5"/>
  <c r="T679" i="5"/>
  <c r="T678" i="5"/>
  <c r="T677" i="5"/>
  <c r="T676" i="5"/>
  <c r="T675" i="5"/>
  <c r="T674" i="5"/>
  <c r="T673" i="5"/>
  <c r="T672" i="5"/>
  <c r="T671" i="5"/>
  <c r="T667" i="5"/>
  <c r="P688" i="5"/>
  <c r="P687" i="5"/>
  <c r="P686" i="5"/>
  <c r="P685" i="5"/>
  <c r="P682" i="5"/>
  <c r="P681" i="5"/>
  <c r="P679" i="5"/>
  <c r="P678" i="5"/>
  <c r="P677" i="5"/>
  <c r="P676" i="5"/>
  <c r="P675" i="5"/>
  <c r="P674" i="5"/>
  <c r="P673" i="5"/>
  <c r="P672" i="5"/>
  <c r="P671" i="5"/>
  <c r="P667" i="5"/>
  <c r="L688" i="5"/>
  <c r="L687" i="5"/>
  <c r="L686" i="5"/>
  <c r="L685" i="5"/>
  <c r="L682" i="5"/>
  <c r="L681" i="5"/>
  <c r="L679" i="5"/>
  <c r="L678" i="5"/>
  <c r="L677" i="5"/>
  <c r="L676" i="5"/>
  <c r="L675" i="5"/>
  <c r="L674" i="5"/>
  <c r="L673" i="5"/>
  <c r="L672" i="5"/>
  <c r="L671" i="5"/>
  <c r="L667" i="5"/>
  <c r="I688" i="5"/>
  <c r="H688" i="5"/>
  <c r="I687" i="5"/>
  <c r="H687" i="5"/>
  <c r="I686" i="5"/>
  <c r="H686" i="5"/>
  <c r="I685" i="5"/>
  <c r="H685" i="5"/>
  <c r="I682" i="5"/>
  <c r="H682" i="5"/>
  <c r="I681" i="5"/>
  <c r="H681" i="5"/>
  <c r="I679" i="5"/>
  <c r="H679" i="5"/>
  <c r="I678" i="5"/>
  <c r="H678" i="5"/>
  <c r="I677" i="5"/>
  <c r="H677" i="5"/>
  <c r="I676" i="5"/>
  <c r="H676" i="5"/>
  <c r="I675" i="5"/>
  <c r="H675" i="5"/>
  <c r="I674" i="5"/>
  <c r="H674" i="5"/>
  <c r="I673" i="5"/>
  <c r="H673" i="5"/>
  <c r="I672" i="5"/>
  <c r="H672" i="5"/>
  <c r="I671" i="5"/>
  <c r="H671" i="5"/>
  <c r="I667" i="5"/>
  <c r="H667" i="5"/>
  <c r="E567" i="6" l="1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5" i="3"/>
  <c r="I46" i="3" s="1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5" i="3"/>
  <c r="K46" i="3" s="1"/>
  <c r="J45" i="3"/>
  <c r="J46" i="3" s="1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5" i="3"/>
  <c r="H46" i="3" s="1"/>
  <c r="M567" i="7"/>
  <c r="L567" i="7"/>
  <c r="K567" i="7"/>
  <c r="J567" i="7"/>
  <c r="I567" i="7"/>
  <c r="H567" i="7"/>
  <c r="G567" i="7"/>
  <c r="F567" i="7"/>
  <c r="D663" i="6"/>
  <c r="C663" i="6"/>
  <c r="D662" i="6"/>
  <c r="C662" i="6"/>
  <c r="D661" i="6"/>
  <c r="C661" i="6"/>
  <c r="D660" i="6"/>
  <c r="C660" i="6"/>
  <c r="D659" i="6"/>
  <c r="C659" i="6"/>
  <c r="D658" i="6"/>
  <c r="C658" i="6"/>
  <c r="D657" i="6"/>
  <c r="C657" i="6"/>
  <c r="D656" i="6"/>
  <c r="C656" i="6"/>
  <c r="D655" i="6"/>
  <c r="C655" i="6"/>
  <c r="D654" i="6"/>
  <c r="C654" i="6"/>
  <c r="D653" i="6"/>
  <c r="C653" i="6"/>
  <c r="D652" i="6"/>
  <c r="C652" i="6"/>
  <c r="D651" i="6"/>
  <c r="C651" i="6"/>
  <c r="D650" i="6"/>
  <c r="C650" i="6"/>
  <c r="D649" i="6"/>
  <c r="D648" i="6"/>
  <c r="C648" i="6"/>
  <c r="D647" i="6"/>
  <c r="C647" i="6"/>
  <c r="D646" i="6"/>
  <c r="C646" i="6"/>
  <c r="D645" i="6"/>
  <c r="C645" i="6"/>
  <c r="C644" i="6"/>
  <c r="C643" i="6"/>
  <c r="C642" i="6"/>
  <c r="C641" i="6"/>
  <c r="C640" i="6"/>
  <c r="C639" i="6"/>
  <c r="C638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5" i="6"/>
  <c r="C614" i="6"/>
  <c r="C613" i="6"/>
  <c r="C612" i="6"/>
  <c r="C611" i="6"/>
  <c r="C610" i="6"/>
  <c r="C609" i="6"/>
  <c r="C608" i="6"/>
  <c r="C607" i="6"/>
  <c r="C605" i="6"/>
  <c r="C600" i="6"/>
  <c r="C599" i="6"/>
  <c r="D596" i="6"/>
  <c r="C596" i="6"/>
  <c r="D595" i="6"/>
  <c r="C595" i="6"/>
  <c r="D594" i="6"/>
  <c r="C594" i="6"/>
  <c r="D593" i="6"/>
  <c r="C593" i="6"/>
  <c r="D592" i="6"/>
  <c r="C592" i="6"/>
  <c r="D591" i="6"/>
  <c r="C591" i="6"/>
  <c r="D590" i="6"/>
  <c r="C590" i="6"/>
  <c r="D589" i="6"/>
  <c r="C589" i="6"/>
  <c r="D588" i="6"/>
  <c r="C588" i="6"/>
  <c r="D587" i="6"/>
  <c r="C587" i="6"/>
  <c r="D586" i="6"/>
  <c r="C586" i="6"/>
  <c r="D585" i="6"/>
  <c r="C585" i="6"/>
  <c r="D584" i="6"/>
  <c r="C584" i="6"/>
  <c r="D583" i="6"/>
  <c r="C583" i="6"/>
  <c r="D582" i="6"/>
  <c r="C582" i="6"/>
  <c r="D581" i="6"/>
  <c r="C581" i="6"/>
  <c r="D580" i="6"/>
  <c r="C580" i="6"/>
  <c r="D579" i="6"/>
  <c r="C579" i="6"/>
  <c r="D578" i="6"/>
  <c r="C578" i="6"/>
  <c r="D577" i="6"/>
  <c r="C577" i="6"/>
  <c r="D576" i="6"/>
  <c r="C576" i="6"/>
  <c r="D575" i="6"/>
  <c r="C575" i="6"/>
  <c r="D574" i="6"/>
  <c r="C574" i="6"/>
  <c r="D573" i="6"/>
  <c r="C573" i="6"/>
  <c r="D572" i="6"/>
  <c r="C572" i="6"/>
  <c r="D571" i="6"/>
  <c r="C571" i="6"/>
  <c r="D570" i="6"/>
  <c r="C570" i="6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D663" i="7"/>
  <c r="D662" i="7"/>
  <c r="D661" i="7"/>
  <c r="D660" i="7"/>
  <c r="D659" i="7"/>
  <c r="D658" i="7"/>
  <c r="D65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M649" i="7" l="1"/>
  <c r="M652" i="7"/>
  <c r="L649" i="7"/>
  <c r="L652" i="7"/>
  <c r="K649" i="7"/>
  <c r="K652" i="7"/>
  <c r="J649" i="7"/>
  <c r="J652" i="7"/>
  <c r="I649" i="7"/>
  <c r="I652" i="7"/>
  <c r="H652" i="7"/>
  <c r="H649" i="7"/>
  <c r="G652" i="7"/>
  <c r="G649" i="7"/>
  <c r="F652" i="7"/>
  <c r="F649" i="7"/>
  <c r="D687" i="5"/>
  <c r="BK688" i="5" l="1"/>
  <c r="BK687" i="5"/>
  <c r="BK686" i="5"/>
  <c r="BK685" i="5"/>
  <c r="BK684" i="5"/>
  <c r="BK683" i="5"/>
  <c r="BK682" i="5"/>
  <c r="BK681" i="5"/>
  <c r="BK680" i="5"/>
  <c r="BK679" i="5"/>
  <c r="BK677" i="5"/>
  <c r="BK676" i="5"/>
  <c r="BK675" i="5"/>
  <c r="BK674" i="5"/>
  <c r="BK673" i="5"/>
  <c r="BK672" i="5"/>
  <c r="BK671" i="5"/>
  <c r="BK668" i="5"/>
  <c r="BK667" i="5"/>
  <c r="BK665" i="5"/>
  <c r="CF688" i="5"/>
  <c r="CF687" i="5"/>
  <c r="CF686" i="5"/>
  <c r="CF685" i="5"/>
  <c r="CF684" i="5"/>
  <c r="CF683" i="5"/>
  <c r="CF682" i="5"/>
  <c r="CF681" i="5"/>
  <c r="CF680" i="5"/>
  <c r="CF679" i="5"/>
  <c r="CF678" i="5"/>
  <c r="CF677" i="5"/>
  <c r="CF676" i="5"/>
  <c r="CF675" i="5"/>
  <c r="CF674" i="5"/>
  <c r="CF673" i="5"/>
  <c r="CF672" i="5"/>
  <c r="CF668" i="5"/>
  <c r="CF667" i="5"/>
  <c r="CF665" i="5"/>
  <c r="CF566" i="5"/>
  <c r="CF567" i="5" s="1"/>
  <c r="CB688" i="5"/>
  <c r="CB687" i="5"/>
  <c r="CB686" i="5"/>
  <c r="CB685" i="5"/>
  <c r="CB684" i="5"/>
  <c r="CB683" i="5"/>
  <c r="CB682" i="5"/>
  <c r="CB681" i="5"/>
  <c r="CB680" i="5"/>
  <c r="CB679" i="5"/>
  <c r="CB678" i="5"/>
  <c r="CB677" i="5"/>
  <c r="CB676" i="5"/>
  <c r="CB675" i="5"/>
  <c r="CB674" i="5"/>
  <c r="CB673" i="5"/>
  <c r="CB672" i="5"/>
  <c r="CB668" i="5"/>
  <c r="CB667" i="5"/>
  <c r="CB665" i="5"/>
  <c r="CB566" i="5"/>
  <c r="CB567" i="5" s="1"/>
  <c r="CA688" i="5"/>
  <c r="CA687" i="5"/>
  <c r="CA686" i="5"/>
  <c r="CA685" i="5"/>
  <c r="CA684" i="5"/>
  <c r="CA683" i="5"/>
  <c r="CA682" i="5"/>
  <c r="CA681" i="5"/>
  <c r="CA680" i="5"/>
  <c r="CA679" i="5"/>
  <c r="CA678" i="5"/>
  <c r="CA677" i="5"/>
  <c r="CA676" i="5"/>
  <c r="CA675" i="5"/>
  <c r="CA674" i="5"/>
  <c r="CA673" i="5"/>
  <c r="CA672" i="5"/>
  <c r="CA668" i="5"/>
  <c r="CA667" i="5"/>
  <c r="CA665" i="5"/>
  <c r="CA566" i="5"/>
  <c r="CA567" i="5" s="1"/>
  <c r="BW688" i="5"/>
  <c r="BW687" i="5"/>
  <c r="BW686" i="5"/>
  <c r="BW685" i="5"/>
  <c r="BW684" i="5"/>
  <c r="BW683" i="5"/>
  <c r="BW682" i="5"/>
  <c r="BW681" i="5"/>
  <c r="BW680" i="5"/>
  <c r="BW679" i="5"/>
  <c r="BW678" i="5"/>
  <c r="BW677" i="5"/>
  <c r="BW676" i="5"/>
  <c r="BW675" i="5"/>
  <c r="BW674" i="5"/>
  <c r="BW673" i="5"/>
  <c r="BW672" i="5"/>
  <c r="BW668" i="5"/>
  <c r="BW667" i="5"/>
  <c r="BW665" i="5"/>
  <c r="BW566" i="5"/>
  <c r="BW567" i="5" s="1"/>
  <c r="BV688" i="5"/>
  <c r="BV687" i="5"/>
  <c r="BV686" i="5"/>
  <c r="BV685" i="5"/>
  <c r="BV684" i="5"/>
  <c r="BV683" i="5"/>
  <c r="BV682" i="5"/>
  <c r="BV681" i="5"/>
  <c r="BV680" i="5"/>
  <c r="BV679" i="5"/>
  <c r="BV678" i="5"/>
  <c r="BV677" i="5"/>
  <c r="BV676" i="5"/>
  <c r="BV675" i="5"/>
  <c r="BV674" i="5"/>
  <c r="BV673" i="5"/>
  <c r="BV672" i="5"/>
  <c r="BV668" i="5"/>
  <c r="BV667" i="5"/>
  <c r="BV665" i="5"/>
  <c r="BV566" i="5"/>
  <c r="BV567" i="5" s="1"/>
  <c r="BQ688" i="5"/>
  <c r="BQ687" i="5"/>
  <c r="BQ686" i="5"/>
  <c r="BQ685" i="5"/>
  <c r="BQ684" i="5"/>
  <c r="BQ682" i="5"/>
  <c r="BQ681" i="5"/>
  <c r="BQ680" i="5"/>
  <c r="BQ679" i="5"/>
  <c r="BQ678" i="5"/>
  <c r="BQ677" i="5"/>
  <c r="BQ676" i="5"/>
  <c r="BQ675" i="5"/>
  <c r="BQ674" i="5"/>
  <c r="BQ673" i="5"/>
  <c r="BQ672" i="5"/>
  <c r="BQ668" i="5"/>
  <c r="BQ667" i="5"/>
  <c r="BQ665" i="5"/>
  <c r="BQ566" i="5"/>
  <c r="BQ567" i="5" s="1"/>
  <c r="BO688" i="5"/>
  <c r="BO687" i="5"/>
  <c r="BO686" i="5"/>
  <c r="BO685" i="5"/>
  <c r="BO684" i="5"/>
  <c r="BO682" i="5"/>
  <c r="BO681" i="5"/>
  <c r="BO680" i="5"/>
  <c r="BO679" i="5"/>
  <c r="BO678" i="5"/>
  <c r="BO677" i="5"/>
  <c r="BO676" i="5"/>
  <c r="BO675" i="5"/>
  <c r="BO674" i="5"/>
  <c r="BO673" i="5"/>
  <c r="BO672" i="5"/>
  <c r="BO668" i="5"/>
  <c r="BO667" i="5"/>
  <c r="BO665" i="5"/>
  <c r="BO566" i="5"/>
  <c r="BO567" i="5" s="1"/>
  <c r="BL688" i="5"/>
  <c r="BL687" i="5"/>
  <c r="BL686" i="5"/>
  <c r="BL685" i="5"/>
  <c r="BL684" i="5"/>
  <c r="BL682" i="5"/>
  <c r="BL681" i="5"/>
  <c r="BL680" i="5"/>
  <c r="BL679" i="5"/>
  <c r="BL678" i="5"/>
  <c r="BL677" i="5"/>
  <c r="BL676" i="5"/>
  <c r="BL675" i="5"/>
  <c r="BL674" i="5"/>
  <c r="BL673" i="5"/>
  <c r="BL672" i="5"/>
  <c r="BL668" i="5"/>
  <c r="BL667" i="5"/>
  <c r="BL665" i="5"/>
  <c r="BL566" i="5"/>
  <c r="BL567" i="5" s="1"/>
  <c r="BH688" i="5"/>
  <c r="BH687" i="5"/>
  <c r="BH686" i="5"/>
  <c r="BH685" i="5"/>
  <c r="BH684" i="5"/>
  <c r="BH682" i="5"/>
  <c r="BH681" i="5"/>
  <c r="BH680" i="5"/>
  <c r="BH679" i="5"/>
  <c r="BH678" i="5"/>
  <c r="BH677" i="5"/>
  <c r="BH676" i="5"/>
  <c r="BH675" i="5"/>
  <c r="BH674" i="5"/>
  <c r="BH673" i="5"/>
  <c r="BH672" i="5"/>
  <c r="BH668" i="5"/>
  <c r="BH667" i="5"/>
  <c r="BH665" i="5"/>
  <c r="BH566" i="5"/>
  <c r="BH567" i="5" s="1"/>
  <c r="BG688" i="5"/>
  <c r="BG687" i="5"/>
  <c r="BG686" i="5"/>
  <c r="BG685" i="5"/>
  <c r="BG684" i="5"/>
  <c r="BG682" i="5"/>
  <c r="BG681" i="5"/>
  <c r="BG680" i="5"/>
  <c r="BG679" i="5"/>
  <c r="BG678" i="5"/>
  <c r="BG677" i="5"/>
  <c r="BG676" i="5"/>
  <c r="BG675" i="5"/>
  <c r="BG674" i="5"/>
  <c r="BG673" i="5"/>
  <c r="BG672" i="5"/>
  <c r="BG668" i="5"/>
  <c r="BG667" i="5"/>
  <c r="BG665" i="5"/>
  <c r="BG566" i="5"/>
  <c r="BG567" i="5" s="1"/>
  <c r="BF688" i="5"/>
  <c r="BF687" i="5"/>
  <c r="BF686" i="5"/>
  <c r="BF685" i="5"/>
  <c r="BF684" i="5"/>
  <c r="BF682" i="5"/>
  <c r="BF681" i="5"/>
  <c r="BF680" i="5"/>
  <c r="BF679" i="5"/>
  <c r="BF678" i="5"/>
  <c r="BF677" i="5"/>
  <c r="BF676" i="5"/>
  <c r="BF675" i="5"/>
  <c r="BF674" i="5"/>
  <c r="BF673" i="5"/>
  <c r="BF672" i="5"/>
  <c r="BF668" i="5"/>
  <c r="BF667" i="5"/>
  <c r="BF665" i="5"/>
  <c r="BF566" i="5"/>
  <c r="BF567" i="5" s="1"/>
  <c r="BB688" i="5"/>
  <c r="BB687" i="5"/>
  <c r="BB686" i="5"/>
  <c r="BB685" i="5"/>
  <c r="BB684" i="5"/>
  <c r="BB682" i="5"/>
  <c r="BB681" i="5"/>
  <c r="BB680" i="5"/>
  <c r="BB679" i="5"/>
  <c r="BB678" i="5"/>
  <c r="BB677" i="5"/>
  <c r="BB676" i="5"/>
  <c r="BB675" i="5"/>
  <c r="BB674" i="5"/>
  <c r="BB673" i="5"/>
  <c r="BB672" i="5"/>
  <c r="BB668" i="5"/>
  <c r="BB667" i="5"/>
  <c r="BB665" i="5"/>
  <c r="BB566" i="5"/>
  <c r="BB567" i="5" s="1"/>
  <c r="AY688" i="5"/>
  <c r="AY687" i="5"/>
  <c r="AY686" i="5"/>
  <c r="AY685" i="5"/>
  <c r="AY684" i="5"/>
  <c r="AY682" i="5"/>
  <c r="AY681" i="5"/>
  <c r="AY680" i="5"/>
  <c r="AY679" i="5"/>
  <c r="AY678" i="5"/>
  <c r="AY677" i="5"/>
  <c r="AY676" i="5"/>
  <c r="AY675" i="5"/>
  <c r="AY674" i="5"/>
  <c r="AY673" i="5"/>
  <c r="AY672" i="5"/>
  <c r="AY668" i="5"/>
  <c r="AY667" i="5"/>
  <c r="AY665" i="5"/>
  <c r="AY566" i="5"/>
  <c r="AY567" i="5" s="1"/>
  <c r="AX688" i="5"/>
  <c r="AX687" i="5"/>
  <c r="AX686" i="5"/>
  <c r="AX685" i="5"/>
  <c r="AX684" i="5"/>
  <c r="AX682" i="5"/>
  <c r="AX681" i="5"/>
  <c r="AX680" i="5"/>
  <c r="AX679" i="5"/>
  <c r="AX678" i="5"/>
  <c r="AX677" i="5"/>
  <c r="AX676" i="5"/>
  <c r="AX675" i="5"/>
  <c r="AX674" i="5"/>
  <c r="AX673" i="5"/>
  <c r="AX672" i="5"/>
  <c r="AX668" i="5"/>
  <c r="AX667" i="5"/>
  <c r="AX665" i="5"/>
  <c r="AX566" i="5"/>
  <c r="AX567" i="5" s="1"/>
  <c r="AW688" i="5"/>
  <c r="AW687" i="5"/>
  <c r="AW686" i="5"/>
  <c r="AW685" i="5"/>
  <c r="AW684" i="5"/>
  <c r="AW682" i="5"/>
  <c r="AW681" i="5"/>
  <c r="AW680" i="5"/>
  <c r="AW679" i="5"/>
  <c r="AW678" i="5"/>
  <c r="AW677" i="5"/>
  <c r="AW676" i="5"/>
  <c r="AW675" i="5"/>
  <c r="AW674" i="5"/>
  <c r="AW673" i="5"/>
  <c r="AW672" i="5"/>
  <c r="AW668" i="5"/>
  <c r="AW667" i="5"/>
  <c r="AW665" i="5"/>
  <c r="AW566" i="5"/>
  <c r="AW567" i="5" s="1"/>
  <c r="AT688" i="5"/>
  <c r="AT687" i="5"/>
  <c r="AT686" i="5"/>
  <c r="AT685" i="5"/>
  <c r="AT684" i="5"/>
  <c r="AT682" i="5"/>
  <c r="AT681" i="5"/>
  <c r="AT680" i="5"/>
  <c r="AT679" i="5"/>
  <c r="AT678" i="5"/>
  <c r="AT677" i="5"/>
  <c r="AT676" i="5"/>
  <c r="AT675" i="5"/>
  <c r="AT674" i="5"/>
  <c r="AT673" i="5"/>
  <c r="AT672" i="5"/>
  <c r="AT668" i="5"/>
  <c r="AT667" i="5"/>
  <c r="AT665" i="5"/>
  <c r="AT566" i="5"/>
  <c r="AT567" i="5" s="1"/>
  <c r="AO688" i="5"/>
  <c r="AO687" i="5"/>
  <c r="AO686" i="5"/>
  <c r="AO685" i="5"/>
  <c r="AO684" i="5"/>
  <c r="AO682" i="5"/>
  <c r="AO681" i="5"/>
  <c r="AO680" i="5"/>
  <c r="AO679" i="5"/>
  <c r="AO678" i="5"/>
  <c r="AO677" i="5"/>
  <c r="AO676" i="5"/>
  <c r="AO675" i="5"/>
  <c r="AO674" i="5"/>
  <c r="AO673" i="5"/>
  <c r="AO672" i="5"/>
  <c r="AO668" i="5"/>
  <c r="AO667" i="5"/>
  <c r="AO665" i="5"/>
  <c r="AO566" i="5"/>
  <c r="AO567" i="5" s="1"/>
  <c r="AE688" i="5"/>
  <c r="AE687" i="5"/>
  <c r="AE686" i="5"/>
  <c r="AE685" i="5"/>
  <c r="AE682" i="5"/>
  <c r="AE681" i="5"/>
  <c r="AE679" i="5"/>
  <c r="AE678" i="5"/>
  <c r="AE677" i="5"/>
  <c r="AE676" i="5"/>
  <c r="AE675" i="5"/>
  <c r="AE674" i="5"/>
  <c r="AE673" i="5"/>
  <c r="AE672" i="5"/>
  <c r="AE671" i="5"/>
  <c r="AE667" i="5"/>
  <c r="AE566" i="5"/>
  <c r="AE567" i="5" s="1"/>
  <c r="Y688" i="5"/>
  <c r="Y687" i="5"/>
  <c r="Y686" i="5"/>
  <c r="Y685" i="5"/>
  <c r="Y682" i="5"/>
  <c r="Y681" i="5"/>
  <c r="Y679" i="5"/>
  <c r="Y678" i="5"/>
  <c r="Y677" i="5"/>
  <c r="Y676" i="5"/>
  <c r="Y675" i="5"/>
  <c r="Y674" i="5"/>
  <c r="Y673" i="5"/>
  <c r="Y672" i="5"/>
  <c r="Y671" i="5"/>
  <c r="Y667" i="5"/>
  <c r="Y566" i="5"/>
  <c r="Y567" i="5" s="1"/>
  <c r="U688" i="5"/>
  <c r="U687" i="5"/>
  <c r="U686" i="5"/>
  <c r="U685" i="5"/>
  <c r="U682" i="5"/>
  <c r="U681" i="5"/>
  <c r="U679" i="5"/>
  <c r="U678" i="5"/>
  <c r="U677" i="5"/>
  <c r="U676" i="5"/>
  <c r="U675" i="5"/>
  <c r="U674" i="5"/>
  <c r="U673" i="5"/>
  <c r="U672" i="5"/>
  <c r="U671" i="5"/>
  <c r="U667" i="5"/>
  <c r="U566" i="5"/>
  <c r="U567" i="5" s="1"/>
  <c r="Q688" i="5"/>
  <c r="Q687" i="5"/>
  <c r="Q686" i="5"/>
  <c r="Q685" i="5"/>
  <c r="Q682" i="5"/>
  <c r="Q681" i="5"/>
  <c r="Q679" i="5"/>
  <c r="Q678" i="5"/>
  <c r="Q677" i="5"/>
  <c r="Q676" i="5"/>
  <c r="Q675" i="5"/>
  <c r="Q674" i="5"/>
  <c r="Q673" i="5"/>
  <c r="Q672" i="5"/>
  <c r="Q671" i="5"/>
  <c r="Q667" i="5"/>
  <c r="Q566" i="5"/>
  <c r="Q567" i="5" s="1"/>
  <c r="O688" i="5"/>
  <c r="O687" i="5"/>
  <c r="O686" i="5"/>
  <c r="O685" i="5"/>
  <c r="O682" i="5"/>
  <c r="O681" i="5"/>
  <c r="O679" i="5"/>
  <c r="O678" i="5"/>
  <c r="O677" i="5"/>
  <c r="O676" i="5"/>
  <c r="O675" i="5"/>
  <c r="O674" i="5"/>
  <c r="O673" i="5"/>
  <c r="O672" i="5"/>
  <c r="O671" i="5"/>
  <c r="O667" i="5"/>
  <c r="O566" i="5"/>
  <c r="O567" i="5" s="1"/>
  <c r="M688" i="5"/>
  <c r="M687" i="5"/>
  <c r="M686" i="5"/>
  <c r="M685" i="5"/>
  <c r="M682" i="5"/>
  <c r="M681" i="5"/>
  <c r="M679" i="5"/>
  <c r="M678" i="5"/>
  <c r="M677" i="5"/>
  <c r="M676" i="5"/>
  <c r="M675" i="5"/>
  <c r="M674" i="5"/>
  <c r="M673" i="5"/>
  <c r="M672" i="5"/>
  <c r="M671" i="5"/>
  <c r="M667" i="5"/>
  <c r="M566" i="5"/>
  <c r="M567" i="5" s="1"/>
  <c r="D240" i="4"/>
  <c r="C239" i="4"/>
  <c r="E10" i="4"/>
  <c r="E11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91" i="4"/>
  <c r="E92" i="4"/>
  <c r="Q242" i="4"/>
  <c r="Q241" i="4"/>
  <c r="Q240" i="4"/>
  <c r="Q238" i="4"/>
  <c r="Q237" i="4"/>
  <c r="Q236" i="4"/>
  <c r="Q235" i="4"/>
  <c r="Q232" i="4"/>
  <c r="Q231" i="4"/>
  <c r="Q227" i="4"/>
  <c r="Q228" i="4" s="1"/>
  <c r="O242" i="4"/>
  <c r="O241" i="4"/>
  <c r="O240" i="4"/>
  <c r="O238" i="4"/>
  <c r="O237" i="4"/>
  <c r="O236" i="4"/>
  <c r="O235" i="4"/>
  <c r="O232" i="4"/>
  <c r="O231" i="4"/>
  <c r="O227" i="4"/>
  <c r="O228" i="4" s="1"/>
  <c r="P227" i="4"/>
  <c r="R227" i="4"/>
  <c r="U227" i="4"/>
  <c r="L242" i="4"/>
  <c r="L241" i="4"/>
  <c r="L240" i="4"/>
  <c r="L238" i="4"/>
  <c r="L237" i="4"/>
  <c r="L236" i="4"/>
  <c r="L235" i="4"/>
  <c r="L232" i="4"/>
  <c r="L231" i="4"/>
  <c r="L227" i="4"/>
  <c r="L228" i="4" s="1"/>
  <c r="K242" i="4"/>
  <c r="K241" i="4"/>
  <c r="K240" i="4"/>
  <c r="K238" i="4"/>
  <c r="K237" i="4"/>
  <c r="K236" i="4"/>
  <c r="K235" i="4"/>
  <c r="K232" i="4"/>
  <c r="K231" i="4"/>
  <c r="K227" i="4"/>
  <c r="K228" i="4" s="1"/>
  <c r="H242" i="4"/>
  <c r="H241" i="4"/>
  <c r="H240" i="4"/>
  <c r="H238" i="4"/>
  <c r="H237" i="4"/>
  <c r="H236" i="4"/>
  <c r="H235" i="4"/>
  <c r="H232" i="4"/>
  <c r="H231" i="4"/>
  <c r="H227" i="4"/>
  <c r="H228" i="4" s="1"/>
  <c r="R146" i="2" l="1"/>
  <c r="R145" i="2"/>
  <c r="R144" i="2"/>
  <c r="R143" i="2"/>
  <c r="R142" i="2"/>
  <c r="R141" i="2"/>
  <c r="R140" i="2"/>
  <c r="R139" i="2"/>
  <c r="R137" i="2"/>
  <c r="R136" i="2"/>
  <c r="R135" i="2"/>
  <c r="R134" i="2"/>
  <c r="R133" i="2"/>
  <c r="R132" i="2"/>
  <c r="R131" i="2"/>
  <c r="R130" i="2"/>
  <c r="R126" i="2"/>
  <c r="R127" i="2" s="1"/>
  <c r="M146" i="2"/>
  <c r="M145" i="2"/>
  <c r="M144" i="2"/>
  <c r="M143" i="2"/>
  <c r="M142" i="2"/>
  <c r="M141" i="2"/>
  <c r="M140" i="2"/>
  <c r="M139" i="2"/>
  <c r="M137" i="2"/>
  <c r="M136" i="2"/>
  <c r="M135" i="2"/>
  <c r="M134" i="2"/>
  <c r="M133" i="2"/>
  <c r="M132" i="2"/>
  <c r="M131" i="2"/>
  <c r="M130" i="2"/>
  <c r="M126" i="2"/>
  <c r="M127" i="2" s="1"/>
  <c r="L146" i="2"/>
  <c r="L145" i="2"/>
  <c r="L144" i="2"/>
  <c r="L143" i="2"/>
  <c r="L142" i="2"/>
  <c r="L141" i="2"/>
  <c r="L140" i="2"/>
  <c r="L139" i="2"/>
  <c r="L137" i="2"/>
  <c r="L136" i="2"/>
  <c r="L135" i="2"/>
  <c r="L134" i="2"/>
  <c r="L133" i="2"/>
  <c r="L132" i="2"/>
  <c r="L131" i="2"/>
  <c r="L130" i="2"/>
  <c r="L126" i="2"/>
  <c r="L127" i="2" s="1"/>
  <c r="E43" i="2"/>
  <c r="N224" i="8" l="1"/>
  <c r="M224" i="8"/>
  <c r="L224" i="8"/>
  <c r="K224" i="8"/>
  <c r="J224" i="8"/>
  <c r="I224" i="8"/>
  <c r="H224" i="8"/>
  <c r="G224" i="8"/>
  <c r="N223" i="8"/>
  <c r="M223" i="8"/>
  <c r="L223" i="8"/>
  <c r="K223" i="8"/>
  <c r="J223" i="8"/>
  <c r="I223" i="8"/>
  <c r="H223" i="8"/>
  <c r="G223" i="8"/>
  <c r="N222" i="8"/>
  <c r="M222" i="8"/>
  <c r="L222" i="8"/>
  <c r="K222" i="8"/>
  <c r="J222" i="8"/>
  <c r="I222" i="8"/>
  <c r="H222" i="8"/>
  <c r="G222" i="8"/>
  <c r="N221" i="8"/>
  <c r="M221" i="8"/>
  <c r="L221" i="8"/>
  <c r="K221" i="8"/>
  <c r="J221" i="8"/>
  <c r="I221" i="8"/>
  <c r="H221" i="8"/>
  <c r="G221" i="8"/>
  <c r="N220" i="8"/>
  <c r="M220" i="8"/>
  <c r="L220" i="8"/>
  <c r="K220" i="8"/>
  <c r="J220" i="8"/>
  <c r="I220" i="8"/>
  <c r="H220" i="8"/>
  <c r="G220" i="8"/>
  <c r="N219" i="8"/>
  <c r="M219" i="8"/>
  <c r="L219" i="8"/>
  <c r="K219" i="8"/>
  <c r="J219" i="8"/>
  <c r="I219" i="8"/>
  <c r="H219" i="8"/>
  <c r="G219" i="8"/>
  <c r="N218" i="8"/>
  <c r="M218" i="8"/>
  <c r="L218" i="8"/>
  <c r="K218" i="8"/>
  <c r="J218" i="8"/>
  <c r="I218" i="8"/>
  <c r="H218" i="8"/>
  <c r="G218" i="8"/>
  <c r="N217" i="8"/>
  <c r="M217" i="8"/>
  <c r="L217" i="8"/>
  <c r="K217" i="8"/>
  <c r="J217" i="8"/>
  <c r="I217" i="8"/>
  <c r="H217" i="8"/>
  <c r="G217" i="8"/>
  <c r="N216" i="8"/>
  <c r="M216" i="8"/>
  <c r="L216" i="8"/>
  <c r="K216" i="8"/>
  <c r="J216" i="8"/>
  <c r="I216" i="8"/>
  <c r="H216" i="8"/>
  <c r="G216" i="8"/>
  <c r="N215" i="8"/>
  <c r="M215" i="8"/>
  <c r="L215" i="8"/>
  <c r="K215" i="8"/>
  <c r="J215" i="8"/>
  <c r="I215" i="8"/>
  <c r="H215" i="8"/>
  <c r="G215" i="8"/>
  <c r="N214" i="8"/>
  <c r="M214" i="8"/>
  <c r="L214" i="8"/>
  <c r="K214" i="8"/>
  <c r="J214" i="8"/>
  <c r="I214" i="8"/>
  <c r="H214" i="8"/>
  <c r="G214" i="8"/>
  <c r="N213" i="8"/>
  <c r="M213" i="8"/>
  <c r="L213" i="8"/>
  <c r="K213" i="8"/>
  <c r="J213" i="8"/>
  <c r="I213" i="8"/>
  <c r="H213" i="8"/>
  <c r="G213" i="8"/>
  <c r="N212" i="8"/>
  <c r="M212" i="8"/>
  <c r="L212" i="8"/>
  <c r="K212" i="8"/>
  <c r="J212" i="8"/>
  <c r="I212" i="8"/>
  <c r="H212" i="8"/>
  <c r="G212" i="8"/>
  <c r="N211" i="8"/>
  <c r="M211" i="8"/>
  <c r="L211" i="8"/>
  <c r="K211" i="8"/>
  <c r="J211" i="8"/>
  <c r="I211" i="8"/>
  <c r="H211" i="8"/>
  <c r="G211" i="8"/>
  <c r="N210" i="8"/>
  <c r="M210" i="8"/>
  <c r="L210" i="8"/>
  <c r="K210" i="8"/>
  <c r="J210" i="8"/>
  <c r="I210" i="8"/>
  <c r="H210" i="8"/>
  <c r="G210" i="8"/>
  <c r="N209" i="8"/>
  <c r="M209" i="8"/>
  <c r="L209" i="8"/>
  <c r="K209" i="8"/>
  <c r="J209" i="8"/>
  <c r="I209" i="8"/>
  <c r="H209" i="8"/>
  <c r="G209" i="8"/>
  <c r="N208" i="8"/>
  <c r="M208" i="8"/>
  <c r="L208" i="8"/>
  <c r="K208" i="8"/>
  <c r="J208" i="8"/>
  <c r="I208" i="8"/>
  <c r="H208" i="8"/>
  <c r="G208" i="8"/>
  <c r="N207" i="8"/>
  <c r="M207" i="8"/>
  <c r="L207" i="8"/>
  <c r="K207" i="8"/>
  <c r="J207" i="8"/>
  <c r="I207" i="8"/>
  <c r="H207" i="8"/>
  <c r="G207" i="8"/>
  <c r="N206" i="8"/>
  <c r="M206" i="8"/>
  <c r="L206" i="8"/>
  <c r="K206" i="8"/>
  <c r="J206" i="8"/>
  <c r="I206" i="8"/>
  <c r="H206" i="8"/>
  <c r="G206" i="8"/>
  <c r="N205" i="8"/>
  <c r="M205" i="8"/>
  <c r="L205" i="8"/>
  <c r="K205" i="8"/>
  <c r="J205" i="8"/>
  <c r="I205" i="8"/>
  <c r="H205" i="8"/>
  <c r="G205" i="8"/>
  <c r="N204" i="8"/>
  <c r="M204" i="8"/>
  <c r="L204" i="8"/>
  <c r="K204" i="8"/>
  <c r="J204" i="8"/>
  <c r="I204" i="8"/>
  <c r="H204" i="8"/>
  <c r="G204" i="8"/>
  <c r="N203" i="8"/>
  <c r="M203" i="8"/>
  <c r="L203" i="8"/>
  <c r="K203" i="8"/>
  <c r="J203" i="8"/>
  <c r="I203" i="8"/>
  <c r="H203" i="8"/>
  <c r="G203" i="8"/>
  <c r="N202" i="8"/>
  <c r="M202" i="8"/>
  <c r="L202" i="8"/>
  <c r="K202" i="8"/>
  <c r="J202" i="8"/>
  <c r="I202" i="8"/>
  <c r="H202" i="8"/>
  <c r="G202" i="8"/>
  <c r="N201" i="8"/>
  <c r="M201" i="8"/>
  <c r="L201" i="8"/>
  <c r="K201" i="8"/>
  <c r="J201" i="8"/>
  <c r="I201" i="8"/>
  <c r="H201" i="8"/>
  <c r="G201" i="8"/>
  <c r="N200" i="8"/>
  <c r="M200" i="8"/>
  <c r="L200" i="8"/>
  <c r="K200" i="8"/>
  <c r="J200" i="8"/>
  <c r="I200" i="8"/>
  <c r="H200" i="8"/>
  <c r="G200" i="8"/>
  <c r="N199" i="8"/>
  <c r="M199" i="8"/>
  <c r="L199" i="8"/>
  <c r="K199" i="8"/>
  <c r="J199" i="8"/>
  <c r="I199" i="8"/>
  <c r="H199" i="8"/>
  <c r="G199" i="8"/>
  <c r="N198" i="8"/>
  <c r="M198" i="8"/>
  <c r="L198" i="8"/>
  <c r="K198" i="8"/>
  <c r="J198" i="8"/>
  <c r="I198" i="8"/>
  <c r="H198" i="8"/>
  <c r="G198" i="8"/>
  <c r="N194" i="8"/>
  <c r="N195" i="8" s="1"/>
  <c r="M194" i="8"/>
  <c r="M195" i="8" s="1"/>
  <c r="L194" i="8"/>
  <c r="L195" i="8" s="1"/>
  <c r="K194" i="8"/>
  <c r="K195" i="8" s="1"/>
  <c r="J194" i="8"/>
  <c r="J195" i="8" s="1"/>
  <c r="I194" i="8"/>
  <c r="I195" i="8" s="1"/>
  <c r="H194" i="8"/>
  <c r="H195" i="8" s="1"/>
  <c r="G194" i="8"/>
  <c r="G195" i="8" s="1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5" i="3"/>
  <c r="AG46" i="3" s="1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5" i="3"/>
  <c r="L46" i="3" s="1"/>
  <c r="BM566" i="5"/>
  <c r="BM567" i="5" s="1"/>
  <c r="BM665" i="5"/>
  <c r="BM667" i="5"/>
  <c r="BM668" i="5"/>
  <c r="BM672" i="5"/>
  <c r="BM673" i="5"/>
  <c r="BM674" i="5"/>
  <c r="BM675" i="5"/>
  <c r="BM676" i="5"/>
  <c r="BM677" i="5"/>
  <c r="BM679" i="5"/>
  <c r="BM680" i="5"/>
  <c r="BM681" i="5"/>
  <c r="BM682" i="5"/>
  <c r="BM683" i="5"/>
  <c r="BM684" i="5"/>
  <c r="BM685" i="5"/>
  <c r="BM686" i="5"/>
  <c r="BM687" i="5"/>
  <c r="BM688" i="5"/>
  <c r="D601" i="5" l="1"/>
  <c r="C601" i="5"/>
  <c r="J146" i="2" l="1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0" i="2"/>
  <c r="J126" i="2"/>
  <c r="J127" i="2" s="1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4" i="8"/>
  <c r="O195" i="8" s="1"/>
  <c r="F224" i="8"/>
  <c r="D224" i="8"/>
  <c r="C224" i="8"/>
  <c r="F223" i="8"/>
  <c r="D223" i="8"/>
  <c r="C223" i="8"/>
  <c r="F222" i="8"/>
  <c r="D222" i="8"/>
  <c r="C222" i="8"/>
  <c r="F221" i="8"/>
  <c r="D221" i="8"/>
  <c r="C221" i="8"/>
  <c r="F220" i="8"/>
  <c r="D220" i="8"/>
  <c r="C220" i="8"/>
  <c r="F219" i="8"/>
  <c r="D219" i="8"/>
  <c r="C219" i="8"/>
  <c r="F218" i="8"/>
  <c r="D218" i="8"/>
  <c r="C218" i="8"/>
  <c r="F217" i="8"/>
  <c r="D217" i="8"/>
  <c r="C217" i="8"/>
  <c r="F216" i="8"/>
  <c r="D216" i="8"/>
  <c r="C216" i="8"/>
  <c r="F215" i="8"/>
  <c r="D215" i="8"/>
  <c r="C215" i="8"/>
  <c r="F214" i="8"/>
  <c r="D214" i="8"/>
  <c r="C214" i="8"/>
  <c r="F213" i="8"/>
  <c r="D213" i="8"/>
  <c r="C213" i="8"/>
  <c r="F212" i="8"/>
  <c r="D212" i="8"/>
  <c r="C212" i="8"/>
  <c r="F211" i="8"/>
  <c r="D211" i="8"/>
  <c r="C211" i="8"/>
  <c r="F210" i="8"/>
  <c r="D210" i="8"/>
  <c r="C210" i="8"/>
  <c r="F209" i="8"/>
  <c r="D209" i="8"/>
  <c r="C209" i="8"/>
  <c r="F208" i="8"/>
  <c r="D208" i="8"/>
  <c r="C208" i="8"/>
  <c r="F207" i="8"/>
  <c r="D207" i="8"/>
  <c r="C207" i="8"/>
  <c r="F206" i="8"/>
  <c r="D206" i="8"/>
  <c r="C206" i="8"/>
  <c r="F205" i="8"/>
  <c r="D205" i="8"/>
  <c r="C205" i="8"/>
  <c r="F204" i="8"/>
  <c r="D204" i="8"/>
  <c r="C204" i="8"/>
  <c r="F203" i="8"/>
  <c r="D203" i="8"/>
  <c r="C203" i="8"/>
  <c r="F202" i="8"/>
  <c r="D202" i="8"/>
  <c r="C202" i="8"/>
  <c r="F201" i="8"/>
  <c r="D201" i="8"/>
  <c r="C201" i="8"/>
  <c r="F200" i="8"/>
  <c r="D200" i="8"/>
  <c r="C200" i="8"/>
  <c r="F199" i="8"/>
  <c r="D199" i="8"/>
  <c r="C199" i="8"/>
  <c r="F198" i="8"/>
  <c r="D198" i="8"/>
  <c r="C198" i="8"/>
  <c r="F194" i="8"/>
  <c r="F195" i="8" s="1"/>
  <c r="D194" i="8"/>
  <c r="D195" i="8" s="1"/>
  <c r="C194" i="8"/>
  <c r="E196" i="8" s="1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D134" i="2"/>
  <c r="C134" i="2"/>
  <c r="E223" i="8" l="1"/>
  <c r="E200" i="8"/>
  <c r="E206" i="8"/>
  <c r="E212" i="8"/>
  <c r="E218" i="8"/>
  <c r="E224" i="8"/>
  <c r="E205" i="8"/>
  <c r="E201" i="8"/>
  <c r="E207" i="8"/>
  <c r="E213" i="8"/>
  <c r="E219" i="8"/>
  <c r="E217" i="8"/>
  <c r="E199" i="8"/>
  <c r="E211" i="8"/>
  <c r="E203" i="8"/>
  <c r="E209" i="8"/>
  <c r="E215" i="8"/>
  <c r="E221" i="8"/>
  <c r="E202" i="8"/>
  <c r="E208" i="8"/>
  <c r="E214" i="8"/>
  <c r="E220" i="8"/>
  <c r="E198" i="8"/>
  <c r="E204" i="8"/>
  <c r="E210" i="8"/>
  <c r="E216" i="8"/>
  <c r="E222" i="8"/>
  <c r="E195" i="8"/>
  <c r="E194" i="8"/>
  <c r="M45" i="3" l="1"/>
  <c r="M46" i="3" s="1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P126" i="2"/>
  <c r="P127" i="2" s="1"/>
  <c r="P130" i="2"/>
  <c r="P131" i="2"/>
  <c r="P132" i="2"/>
  <c r="P133" i="2"/>
  <c r="P134" i="2"/>
  <c r="P135" i="2"/>
  <c r="P136" i="2"/>
  <c r="P137" i="2"/>
  <c r="P139" i="2"/>
  <c r="P140" i="2"/>
  <c r="P141" i="2"/>
  <c r="P142" i="2"/>
  <c r="P143" i="2"/>
  <c r="P144" i="2"/>
  <c r="P145" i="2"/>
  <c r="P146" i="2"/>
  <c r="G126" i="2"/>
  <c r="G127" i="2" s="1"/>
  <c r="G130" i="2"/>
  <c r="G131" i="2"/>
  <c r="G132" i="2"/>
  <c r="G133" i="2"/>
  <c r="G134" i="2"/>
  <c r="G135" i="2"/>
  <c r="G136" i="2"/>
  <c r="G137" i="2"/>
  <c r="G139" i="2"/>
  <c r="G140" i="2"/>
  <c r="G141" i="2"/>
  <c r="G142" i="2"/>
  <c r="G143" i="2"/>
  <c r="G144" i="2"/>
  <c r="G145" i="2"/>
  <c r="G146" i="2"/>
  <c r="J667" i="5"/>
  <c r="J671" i="5"/>
  <c r="J672" i="5"/>
  <c r="J673" i="5"/>
  <c r="J674" i="5"/>
  <c r="J675" i="5"/>
  <c r="J676" i="5"/>
  <c r="J677" i="5"/>
  <c r="J678" i="5"/>
  <c r="J679" i="5"/>
  <c r="J681" i="5"/>
  <c r="J682" i="5"/>
  <c r="J685" i="5"/>
  <c r="J686" i="5"/>
  <c r="J687" i="5"/>
  <c r="J688" i="5"/>
  <c r="G566" i="5"/>
  <c r="G567" i="5" s="1"/>
  <c r="G667" i="5"/>
  <c r="G671" i="5"/>
  <c r="G672" i="5"/>
  <c r="G673" i="5"/>
  <c r="G674" i="5"/>
  <c r="G675" i="5"/>
  <c r="G676" i="5"/>
  <c r="G677" i="5"/>
  <c r="G678" i="5"/>
  <c r="G679" i="5"/>
  <c r="G681" i="5"/>
  <c r="G682" i="5"/>
  <c r="G685" i="5"/>
  <c r="G686" i="5"/>
  <c r="G687" i="5"/>
  <c r="G688" i="5"/>
  <c r="BC665" i="5"/>
  <c r="BC667" i="5"/>
  <c r="BC668" i="5"/>
  <c r="BC672" i="5"/>
  <c r="BC673" i="5"/>
  <c r="BC675" i="5"/>
  <c r="BC676" i="5"/>
  <c r="BC677" i="5"/>
  <c r="BC678" i="5"/>
  <c r="BC681" i="5"/>
  <c r="BC682" i="5"/>
  <c r="BC683" i="5"/>
  <c r="BC684" i="5"/>
  <c r="BC685" i="5"/>
  <c r="BC686" i="5"/>
  <c r="BC687" i="5"/>
  <c r="BC688" i="5"/>
  <c r="AK566" i="5"/>
  <c r="AK567" i="5" s="1"/>
  <c r="AK665" i="5"/>
  <c r="AK667" i="5"/>
  <c r="AK668" i="5"/>
  <c r="AK671" i="5"/>
  <c r="AK672" i="5"/>
  <c r="AK673" i="5"/>
  <c r="AK674" i="5"/>
  <c r="AK675" i="5"/>
  <c r="AK676" i="5"/>
  <c r="AK677" i="5"/>
  <c r="AK678" i="5"/>
  <c r="AK679" i="5"/>
  <c r="AK680" i="5"/>
  <c r="AK681" i="5"/>
  <c r="AK682" i="5"/>
  <c r="AK683" i="5"/>
  <c r="AK684" i="5"/>
  <c r="AK685" i="5"/>
  <c r="AK686" i="5"/>
  <c r="AK687" i="5"/>
  <c r="AK688" i="5"/>
  <c r="X228" i="4"/>
  <c r="X231" i="4"/>
  <c r="X232" i="4"/>
  <c r="X235" i="4"/>
  <c r="X236" i="4"/>
  <c r="X237" i="4"/>
  <c r="X238" i="4"/>
  <c r="X240" i="4"/>
  <c r="X241" i="4"/>
  <c r="X242" i="4"/>
  <c r="BX566" i="5"/>
  <c r="BX567" i="5" s="1"/>
  <c r="BX665" i="5"/>
  <c r="BX667" i="5"/>
  <c r="BX668" i="5"/>
  <c r="BX673" i="5"/>
  <c r="BX674" i="5"/>
  <c r="BX675" i="5"/>
  <c r="BX676" i="5"/>
  <c r="BX677" i="5"/>
  <c r="BX678" i="5"/>
  <c r="BX679" i="5"/>
  <c r="BX680" i="5"/>
  <c r="BX681" i="5"/>
  <c r="BX682" i="5"/>
  <c r="BX683" i="5"/>
  <c r="BX685" i="5"/>
  <c r="BX686" i="5"/>
  <c r="BX687" i="5"/>
  <c r="BX688" i="5"/>
  <c r="F227" i="4"/>
  <c r="F228" i="4" s="1"/>
  <c r="F231" i="4"/>
  <c r="F232" i="4"/>
  <c r="F235" i="4"/>
  <c r="F236" i="4"/>
  <c r="F237" i="4"/>
  <c r="F238" i="4"/>
  <c r="F240" i="4"/>
  <c r="F241" i="4"/>
  <c r="F242" i="4"/>
  <c r="AC45" i="3"/>
  <c r="AC46" i="3" s="1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F45" i="3"/>
  <c r="AF46" i="3" s="1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Z45" i="3"/>
  <c r="Z46" i="3" s="1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V45" i="3"/>
  <c r="V46" i="3" s="1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F126" i="2"/>
  <c r="F127" i="2" s="1"/>
  <c r="F130" i="2"/>
  <c r="F131" i="2"/>
  <c r="F132" i="2"/>
  <c r="F133" i="2"/>
  <c r="F134" i="2"/>
  <c r="F135" i="2"/>
  <c r="F136" i="2"/>
  <c r="F137" i="2"/>
  <c r="F139" i="2"/>
  <c r="F140" i="2"/>
  <c r="F141" i="2"/>
  <c r="F142" i="2"/>
  <c r="F143" i="2"/>
  <c r="F144" i="2"/>
  <c r="F145" i="2"/>
  <c r="F146" i="2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57" i="5"/>
  <c r="D658" i="5"/>
  <c r="D659" i="5"/>
  <c r="D660" i="5"/>
  <c r="D661" i="5"/>
  <c r="D662" i="5"/>
  <c r="D663" i="5"/>
  <c r="C663" i="5"/>
  <c r="C662" i="5"/>
  <c r="C661" i="5"/>
  <c r="C660" i="5"/>
  <c r="C659" i="5"/>
  <c r="C658" i="5"/>
  <c r="C65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BC566" i="5"/>
  <c r="BC567" i="5" s="1"/>
  <c r="J566" i="5"/>
  <c r="J567" i="5" s="1"/>
  <c r="E277" i="5"/>
  <c r="E202" i="5"/>
  <c r="E80" i="5"/>
  <c r="E54" i="5"/>
  <c r="AB45" i="3"/>
  <c r="AB46" i="3" s="1"/>
  <c r="AD45" i="3"/>
  <c r="AD46" i="3" s="1"/>
  <c r="F45" i="3"/>
  <c r="F46" i="3" s="1"/>
  <c r="G49" i="3"/>
  <c r="O49" i="3"/>
  <c r="P49" i="3"/>
  <c r="Q49" i="3"/>
  <c r="R49" i="3"/>
  <c r="S49" i="3"/>
  <c r="N49" i="3"/>
  <c r="T49" i="3"/>
  <c r="U49" i="3"/>
  <c r="W49" i="3"/>
  <c r="X49" i="3"/>
  <c r="Y49" i="3"/>
  <c r="AA49" i="3"/>
  <c r="AB49" i="3"/>
  <c r="AD49" i="3"/>
  <c r="AE49" i="3"/>
  <c r="G50" i="3"/>
  <c r="O50" i="3"/>
  <c r="P50" i="3"/>
  <c r="Q50" i="3"/>
  <c r="R50" i="3"/>
  <c r="S50" i="3"/>
  <c r="N50" i="3"/>
  <c r="T50" i="3"/>
  <c r="U50" i="3"/>
  <c r="W50" i="3"/>
  <c r="X50" i="3"/>
  <c r="Y50" i="3"/>
  <c r="AA50" i="3"/>
  <c r="AB50" i="3"/>
  <c r="AD50" i="3"/>
  <c r="AE50" i="3"/>
  <c r="G51" i="3"/>
  <c r="O51" i="3"/>
  <c r="P51" i="3"/>
  <c r="Q51" i="3"/>
  <c r="R51" i="3"/>
  <c r="S51" i="3"/>
  <c r="N51" i="3"/>
  <c r="T51" i="3"/>
  <c r="U51" i="3"/>
  <c r="W51" i="3"/>
  <c r="X51" i="3"/>
  <c r="Y51" i="3"/>
  <c r="AA51" i="3"/>
  <c r="AB51" i="3"/>
  <c r="AD51" i="3"/>
  <c r="AE51" i="3"/>
  <c r="G52" i="3"/>
  <c r="O52" i="3"/>
  <c r="P52" i="3"/>
  <c r="Q52" i="3"/>
  <c r="R52" i="3"/>
  <c r="S52" i="3"/>
  <c r="N52" i="3"/>
  <c r="T52" i="3"/>
  <c r="U52" i="3"/>
  <c r="W52" i="3"/>
  <c r="X52" i="3"/>
  <c r="Y52" i="3"/>
  <c r="AA52" i="3"/>
  <c r="AB52" i="3"/>
  <c r="AD52" i="3"/>
  <c r="AE52" i="3"/>
  <c r="G53" i="3"/>
  <c r="O53" i="3"/>
  <c r="P53" i="3"/>
  <c r="Q53" i="3"/>
  <c r="R53" i="3"/>
  <c r="S53" i="3"/>
  <c r="N53" i="3"/>
  <c r="T53" i="3"/>
  <c r="U53" i="3"/>
  <c r="W53" i="3"/>
  <c r="X53" i="3"/>
  <c r="Y53" i="3"/>
  <c r="AA53" i="3"/>
  <c r="AB53" i="3"/>
  <c r="AD53" i="3"/>
  <c r="AE53" i="3"/>
  <c r="G54" i="3"/>
  <c r="O54" i="3"/>
  <c r="P54" i="3"/>
  <c r="Q54" i="3"/>
  <c r="R54" i="3"/>
  <c r="S54" i="3"/>
  <c r="N54" i="3"/>
  <c r="T54" i="3"/>
  <c r="U54" i="3"/>
  <c r="W54" i="3"/>
  <c r="X54" i="3"/>
  <c r="Y54" i="3"/>
  <c r="AA54" i="3"/>
  <c r="AB54" i="3"/>
  <c r="AD54" i="3"/>
  <c r="AE54" i="3"/>
  <c r="G55" i="3"/>
  <c r="O55" i="3"/>
  <c r="P55" i="3"/>
  <c r="Q55" i="3"/>
  <c r="R55" i="3"/>
  <c r="S55" i="3"/>
  <c r="N55" i="3"/>
  <c r="T55" i="3"/>
  <c r="U55" i="3"/>
  <c r="W55" i="3"/>
  <c r="X55" i="3"/>
  <c r="Y55" i="3"/>
  <c r="AA55" i="3"/>
  <c r="AB55" i="3"/>
  <c r="AD55" i="3"/>
  <c r="AE55" i="3"/>
  <c r="G56" i="3"/>
  <c r="O56" i="3"/>
  <c r="P56" i="3"/>
  <c r="Q56" i="3"/>
  <c r="R56" i="3"/>
  <c r="S56" i="3"/>
  <c r="N56" i="3"/>
  <c r="T56" i="3"/>
  <c r="U56" i="3"/>
  <c r="W56" i="3"/>
  <c r="X56" i="3"/>
  <c r="Y56" i="3"/>
  <c r="AA56" i="3"/>
  <c r="AB56" i="3"/>
  <c r="AD56" i="3"/>
  <c r="AE56" i="3"/>
  <c r="G57" i="3"/>
  <c r="O57" i="3"/>
  <c r="P57" i="3"/>
  <c r="Q57" i="3"/>
  <c r="R57" i="3"/>
  <c r="S57" i="3"/>
  <c r="N57" i="3"/>
  <c r="T57" i="3"/>
  <c r="U57" i="3"/>
  <c r="W57" i="3"/>
  <c r="X57" i="3"/>
  <c r="Y57" i="3"/>
  <c r="AA57" i="3"/>
  <c r="AB57" i="3"/>
  <c r="AD57" i="3"/>
  <c r="AE57" i="3"/>
  <c r="G58" i="3"/>
  <c r="O58" i="3"/>
  <c r="P58" i="3"/>
  <c r="Q58" i="3"/>
  <c r="R58" i="3"/>
  <c r="S58" i="3"/>
  <c r="N58" i="3"/>
  <c r="T58" i="3"/>
  <c r="U58" i="3"/>
  <c r="W58" i="3"/>
  <c r="X58" i="3"/>
  <c r="Y58" i="3"/>
  <c r="AA58" i="3"/>
  <c r="AB58" i="3"/>
  <c r="AD58" i="3"/>
  <c r="AE58" i="3"/>
  <c r="G59" i="3"/>
  <c r="O59" i="3"/>
  <c r="P59" i="3"/>
  <c r="Q59" i="3"/>
  <c r="R59" i="3"/>
  <c r="S59" i="3"/>
  <c r="N59" i="3"/>
  <c r="T59" i="3"/>
  <c r="U59" i="3"/>
  <c r="W59" i="3"/>
  <c r="X59" i="3"/>
  <c r="Y59" i="3"/>
  <c r="AA59" i="3"/>
  <c r="AB59" i="3"/>
  <c r="AD59" i="3"/>
  <c r="AE59" i="3"/>
  <c r="G60" i="3"/>
  <c r="O60" i="3"/>
  <c r="P60" i="3"/>
  <c r="Q60" i="3"/>
  <c r="R60" i="3"/>
  <c r="S60" i="3"/>
  <c r="N60" i="3"/>
  <c r="T60" i="3"/>
  <c r="U60" i="3"/>
  <c r="W60" i="3"/>
  <c r="X60" i="3"/>
  <c r="Y60" i="3"/>
  <c r="AA60" i="3"/>
  <c r="AB60" i="3"/>
  <c r="AD60" i="3"/>
  <c r="AE60" i="3"/>
  <c r="G61" i="3"/>
  <c r="O61" i="3"/>
  <c r="P61" i="3"/>
  <c r="Q61" i="3"/>
  <c r="R61" i="3"/>
  <c r="S61" i="3"/>
  <c r="N61" i="3"/>
  <c r="T61" i="3"/>
  <c r="U61" i="3"/>
  <c r="W61" i="3"/>
  <c r="X61" i="3"/>
  <c r="Y61" i="3"/>
  <c r="AA61" i="3"/>
  <c r="AB61" i="3"/>
  <c r="AD61" i="3"/>
  <c r="AE61" i="3"/>
  <c r="G62" i="3"/>
  <c r="O62" i="3"/>
  <c r="P62" i="3"/>
  <c r="Q62" i="3"/>
  <c r="R62" i="3"/>
  <c r="S62" i="3"/>
  <c r="N62" i="3"/>
  <c r="T62" i="3"/>
  <c r="U62" i="3"/>
  <c r="W62" i="3"/>
  <c r="X62" i="3"/>
  <c r="Y62" i="3"/>
  <c r="AA62" i="3"/>
  <c r="AB62" i="3"/>
  <c r="AD62" i="3"/>
  <c r="AE62" i="3"/>
  <c r="G63" i="3"/>
  <c r="O63" i="3"/>
  <c r="P63" i="3"/>
  <c r="Q63" i="3"/>
  <c r="R63" i="3"/>
  <c r="S63" i="3"/>
  <c r="N63" i="3"/>
  <c r="T63" i="3"/>
  <c r="U63" i="3"/>
  <c r="W63" i="3"/>
  <c r="X63" i="3"/>
  <c r="Y63" i="3"/>
  <c r="AA63" i="3"/>
  <c r="AB63" i="3"/>
  <c r="AD63" i="3"/>
  <c r="AE63" i="3"/>
  <c r="G64" i="3"/>
  <c r="O64" i="3"/>
  <c r="P64" i="3"/>
  <c r="Q64" i="3"/>
  <c r="R64" i="3"/>
  <c r="S64" i="3"/>
  <c r="N64" i="3"/>
  <c r="T64" i="3"/>
  <c r="U64" i="3"/>
  <c r="W64" i="3"/>
  <c r="X64" i="3"/>
  <c r="Y64" i="3"/>
  <c r="AA64" i="3"/>
  <c r="AB64" i="3"/>
  <c r="AD64" i="3"/>
  <c r="AE64" i="3"/>
  <c r="G65" i="3"/>
  <c r="O65" i="3"/>
  <c r="P65" i="3"/>
  <c r="Q65" i="3"/>
  <c r="R65" i="3"/>
  <c r="S65" i="3"/>
  <c r="N65" i="3"/>
  <c r="T65" i="3"/>
  <c r="U65" i="3"/>
  <c r="W65" i="3"/>
  <c r="X65" i="3"/>
  <c r="Y65" i="3"/>
  <c r="AA65" i="3"/>
  <c r="AB65" i="3"/>
  <c r="AD65" i="3"/>
  <c r="AE65" i="3"/>
  <c r="G66" i="3"/>
  <c r="O66" i="3"/>
  <c r="P66" i="3"/>
  <c r="Q66" i="3"/>
  <c r="R66" i="3"/>
  <c r="S66" i="3"/>
  <c r="N66" i="3"/>
  <c r="T66" i="3"/>
  <c r="U66" i="3"/>
  <c r="W66" i="3"/>
  <c r="X66" i="3"/>
  <c r="Y66" i="3"/>
  <c r="AA66" i="3"/>
  <c r="AB66" i="3"/>
  <c r="AD66" i="3"/>
  <c r="AE66" i="3"/>
  <c r="G67" i="3"/>
  <c r="O67" i="3"/>
  <c r="P67" i="3"/>
  <c r="Q67" i="3"/>
  <c r="R67" i="3"/>
  <c r="S67" i="3"/>
  <c r="N67" i="3"/>
  <c r="T67" i="3"/>
  <c r="U67" i="3"/>
  <c r="W67" i="3"/>
  <c r="X67" i="3"/>
  <c r="Y67" i="3"/>
  <c r="AA67" i="3"/>
  <c r="AB67" i="3"/>
  <c r="AD67" i="3"/>
  <c r="AE67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U126" i="2" l="1"/>
  <c r="U127" i="2" s="1"/>
  <c r="H132" i="2"/>
  <c r="I132" i="2"/>
  <c r="K132" i="2"/>
  <c r="N132" i="2"/>
  <c r="O132" i="2"/>
  <c r="Q132" i="2"/>
  <c r="S132" i="2"/>
  <c r="T132" i="2"/>
  <c r="U132" i="2"/>
  <c r="H133" i="2"/>
  <c r="I133" i="2"/>
  <c r="K133" i="2"/>
  <c r="N133" i="2"/>
  <c r="O133" i="2"/>
  <c r="Q133" i="2"/>
  <c r="S133" i="2"/>
  <c r="T133" i="2"/>
  <c r="U133" i="2"/>
  <c r="H134" i="2"/>
  <c r="I134" i="2"/>
  <c r="K134" i="2"/>
  <c r="N134" i="2"/>
  <c r="O134" i="2"/>
  <c r="Q134" i="2"/>
  <c r="S134" i="2"/>
  <c r="T134" i="2"/>
  <c r="U134" i="2"/>
  <c r="H135" i="2"/>
  <c r="I135" i="2"/>
  <c r="K135" i="2"/>
  <c r="N135" i="2"/>
  <c r="O135" i="2"/>
  <c r="Q135" i="2"/>
  <c r="S135" i="2"/>
  <c r="T135" i="2"/>
  <c r="U135" i="2"/>
  <c r="H136" i="2"/>
  <c r="I136" i="2"/>
  <c r="K136" i="2"/>
  <c r="N136" i="2"/>
  <c r="O136" i="2"/>
  <c r="Q136" i="2"/>
  <c r="S136" i="2"/>
  <c r="T136" i="2"/>
  <c r="U136" i="2"/>
  <c r="H137" i="2"/>
  <c r="I137" i="2"/>
  <c r="K137" i="2"/>
  <c r="N137" i="2"/>
  <c r="O137" i="2"/>
  <c r="Q137" i="2"/>
  <c r="S137" i="2"/>
  <c r="T137" i="2"/>
  <c r="U137" i="2"/>
  <c r="H139" i="2"/>
  <c r="I139" i="2"/>
  <c r="K139" i="2"/>
  <c r="N139" i="2"/>
  <c r="O139" i="2"/>
  <c r="Q139" i="2"/>
  <c r="S139" i="2"/>
  <c r="T139" i="2"/>
  <c r="U139" i="2"/>
  <c r="H140" i="2"/>
  <c r="I140" i="2"/>
  <c r="K140" i="2"/>
  <c r="N140" i="2"/>
  <c r="O140" i="2"/>
  <c r="Q140" i="2"/>
  <c r="S140" i="2"/>
  <c r="T140" i="2"/>
  <c r="U140" i="2"/>
  <c r="H141" i="2"/>
  <c r="I141" i="2"/>
  <c r="K141" i="2"/>
  <c r="N141" i="2"/>
  <c r="O141" i="2"/>
  <c r="Q141" i="2"/>
  <c r="S141" i="2"/>
  <c r="T141" i="2"/>
  <c r="U141" i="2"/>
  <c r="H142" i="2"/>
  <c r="I142" i="2"/>
  <c r="K142" i="2"/>
  <c r="N142" i="2"/>
  <c r="O142" i="2"/>
  <c r="Q142" i="2"/>
  <c r="S142" i="2"/>
  <c r="T142" i="2"/>
  <c r="U142" i="2"/>
  <c r="H143" i="2"/>
  <c r="I143" i="2"/>
  <c r="K143" i="2"/>
  <c r="N143" i="2"/>
  <c r="O143" i="2"/>
  <c r="Q143" i="2"/>
  <c r="S143" i="2"/>
  <c r="T143" i="2"/>
  <c r="U143" i="2"/>
  <c r="H144" i="2"/>
  <c r="I144" i="2"/>
  <c r="K144" i="2"/>
  <c r="N144" i="2"/>
  <c r="O144" i="2"/>
  <c r="Q144" i="2"/>
  <c r="S144" i="2"/>
  <c r="T144" i="2"/>
  <c r="U144" i="2"/>
  <c r="H145" i="2"/>
  <c r="I145" i="2"/>
  <c r="K145" i="2"/>
  <c r="N145" i="2"/>
  <c r="O145" i="2"/>
  <c r="Q145" i="2"/>
  <c r="S145" i="2"/>
  <c r="T145" i="2"/>
  <c r="U145" i="2"/>
  <c r="H146" i="2"/>
  <c r="I146" i="2"/>
  <c r="K146" i="2"/>
  <c r="N146" i="2"/>
  <c r="O146" i="2"/>
  <c r="Q146" i="2"/>
  <c r="S146" i="2"/>
  <c r="T146" i="2"/>
  <c r="U146" i="2"/>
  <c r="H131" i="2"/>
  <c r="I131" i="2"/>
  <c r="K131" i="2"/>
  <c r="N131" i="2"/>
  <c r="O131" i="2"/>
  <c r="Q131" i="2"/>
  <c r="S131" i="2"/>
  <c r="T131" i="2"/>
  <c r="U131" i="2"/>
  <c r="H130" i="2"/>
  <c r="I130" i="2"/>
  <c r="K130" i="2"/>
  <c r="N130" i="2"/>
  <c r="O130" i="2"/>
  <c r="Q130" i="2"/>
  <c r="S130" i="2"/>
  <c r="T130" i="2"/>
  <c r="U130" i="2"/>
  <c r="C130" i="2"/>
  <c r="C131" i="2"/>
  <c r="C132" i="2"/>
  <c r="C133" i="2"/>
  <c r="C135" i="2"/>
  <c r="C136" i="2"/>
  <c r="C137" i="2"/>
  <c r="C139" i="2"/>
  <c r="C140" i="2"/>
  <c r="C141" i="2"/>
  <c r="C142" i="2"/>
  <c r="C143" i="2"/>
  <c r="C144" i="2"/>
  <c r="C145" i="2"/>
  <c r="C146" i="2"/>
  <c r="D146" i="2"/>
  <c r="D145" i="2"/>
  <c r="D144" i="2"/>
  <c r="D143" i="2"/>
  <c r="D142" i="2"/>
  <c r="D141" i="2"/>
  <c r="D140" i="2"/>
  <c r="D139" i="2"/>
  <c r="D137" i="2"/>
  <c r="D136" i="2"/>
  <c r="D135" i="2"/>
  <c r="D133" i="2"/>
  <c r="D132" i="2"/>
  <c r="D131" i="2"/>
  <c r="D130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AS676" i="5"/>
  <c r="AU676" i="5"/>
  <c r="BS682" i="5"/>
  <c r="BT682" i="5"/>
  <c r="AQ675" i="5"/>
  <c r="AR675" i="5"/>
  <c r="S566" i="5"/>
  <c r="S567" i="5" s="1"/>
  <c r="AC231" i="4"/>
  <c r="AC232" i="4"/>
  <c r="AC235" i="4"/>
  <c r="AC236" i="4"/>
  <c r="AC237" i="4"/>
  <c r="AC238" i="4"/>
  <c r="AC240" i="4"/>
  <c r="AC241" i="4"/>
  <c r="AC242" i="4"/>
  <c r="I227" i="4"/>
  <c r="I228" i="4" s="1"/>
  <c r="M227" i="4"/>
  <c r="M228" i="4" s="1"/>
  <c r="N227" i="4"/>
  <c r="N228" i="4" s="1"/>
  <c r="P228" i="4"/>
  <c r="R228" i="4"/>
  <c r="U228" i="4"/>
  <c r="W228" i="4"/>
  <c r="Z228" i="4"/>
  <c r="AC228" i="4"/>
  <c r="E12" i="3"/>
  <c r="O45" i="3"/>
  <c r="O46" i="3" s="1"/>
  <c r="P45" i="3"/>
  <c r="P46" i="3" s="1"/>
  <c r="Q45" i="3"/>
  <c r="Q46" i="3" s="1"/>
  <c r="R45" i="3"/>
  <c r="R46" i="3" s="1"/>
  <c r="S45" i="3"/>
  <c r="S46" i="3" s="1"/>
  <c r="N45" i="3"/>
  <c r="N46" i="3" s="1"/>
  <c r="T45" i="3"/>
  <c r="T46" i="3" s="1"/>
  <c r="U45" i="3"/>
  <c r="U46" i="3" s="1"/>
  <c r="W45" i="3"/>
  <c r="W46" i="3" s="1"/>
  <c r="X45" i="3"/>
  <c r="X46" i="3" s="1"/>
  <c r="Y45" i="3"/>
  <c r="Y46" i="3" s="1"/>
  <c r="AA45" i="3"/>
  <c r="AA46" i="3" s="1"/>
  <c r="AE45" i="3"/>
  <c r="AE46" i="3" s="1"/>
  <c r="C49" i="3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C566" i="5"/>
  <c r="E568" i="5" s="1"/>
  <c r="D566" i="5"/>
  <c r="D567" i="5" s="1"/>
  <c r="F566" i="5"/>
  <c r="F567" i="5" s="1"/>
  <c r="K566" i="5"/>
  <c r="K567" i="5" s="1"/>
  <c r="N566" i="5"/>
  <c r="N567" i="5" s="1"/>
  <c r="R566" i="5"/>
  <c r="R567" i="5" s="1"/>
  <c r="V566" i="5"/>
  <c r="V567" i="5" s="1"/>
  <c r="W566" i="5"/>
  <c r="W567" i="5" s="1"/>
  <c r="Z566" i="5"/>
  <c r="Z567" i="5" s="1"/>
  <c r="AA566" i="5"/>
  <c r="AA567" i="5" s="1"/>
  <c r="AB566" i="5"/>
  <c r="AB567" i="5" s="1"/>
  <c r="AC566" i="5"/>
  <c r="AC567" i="5" s="1"/>
  <c r="AF566" i="5"/>
  <c r="AF567" i="5" s="1"/>
  <c r="AG566" i="5"/>
  <c r="AG567" i="5" s="1"/>
  <c r="AH566" i="5"/>
  <c r="AH567" i="5" s="1"/>
  <c r="AI566" i="5"/>
  <c r="AI567" i="5" s="1"/>
  <c r="AJ566" i="5"/>
  <c r="AJ567" i="5" s="1"/>
  <c r="AL566" i="5"/>
  <c r="AL567" i="5" s="1"/>
  <c r="AM566" i="5"/>
  <c r="AM567" i="5" s="1"/>
  <c r="AP566" i="5"/>
  <c r="AP567" i="5" s="1"/>
  <c r="AQ566" i="5"/>
  <c r="AQ567" i="5" s="1"/>
  <c r="AR566" i="5"/>
  <c r="AR567" i="5" s="1"/>
  <c r="AS566" i="5"/>
  <c r="AS567" i="5" s="1"/>
  <c r="AU566" i="5"/>
  <c r="AU567" i="5" s="1"/>
  <c r="AV566" i="5"/>
  <c r="AV567" i="5" s="1"/>
  <c r="AZ566" i="5"/>
  <c r="AZ567" i="5" s="1"/>
  <c r="BA566" i="5"/>
  <c r="BA567" i="5" s="1"/>
  <c r="BD566" i="5"/>
  <c r="BD567" i="5" s="1"/>
  <c r="BI566" i="5"/>
  <c r="BI567" i="5" s="1"/>
  <c r="BJ566" i="5"/>
  <c r="BJ567" i="5" s="1"/>
  <c r="BK566" i="5"/>
  <c r="BK567" i="5" s="1"/>
  <c r="BN566" i="5"/>
  <c r="BN567" i="5" s="1"/>
  <c r="BR566" i="5"/>
  <c r="BR567" i="5" s="1"/>
  <c r="BS566" i="5"/>
  <c r="BS567" i="5" s="1"/>
  <c r="BT566" i="5"/>
  <c r="BT567" i="5" s="1"/>
  <c r="BU566" i="5"/>
  <c r="BU567" i="5" s="1"/>
  <c r="BY566" i="5"/>
  <c r="BY567" i="5" s="1"/>
  <c r="BZ566" i="5"/>
  <c r="BZ567" i="5" s="1"/>
  <c r="CC566" i="5"/>
  <c r="CC567" i="5" s="1"/>
  <c r="CD566" i="5"/>
  <c r="CD567" i="5" s="1"/>
  <c r="CG566" i="5"/>
  <c r="CG567" i="5" s="1"/>
  <c r="CH566" i="5"/>
  <c r="CH567" i="5" s="1"/>
  <c r="CI566" i="5"/>
  <c r="CI567" i="5" s="1"/>
  <c r="E664" i="5"/>
  <c r="E665" i="5"/>
  <c r="S665" i="5"/>
  <c r="V665" i="5"/>
  <c r="W665" i="5"/>
  <c r="Z665" i="5"/>
  <c r="AA665" i="5"/>
  <c r="AB665" i="5"/>
  <c r="AC665" i="5"/>
  <c r="AF665" i="5"/>
  <c r="AG665" i="5"/>
  <c r="AH665" i="5"/>
  <c r="AI665" i="5"/>
  <c r="AJ665" i="5"/>
  <c r="AL665" i="5"/>
  <c r="AM665" i="5"/>
  <c r="AP665" i="5"/>
  <c r="AQ665" i="5"/>
  <c r="AR665" i="5"/>
  <c r="AS665" i="5"/>
  <c r="AU665" i="5"/>
  <c r="AV665" i="5"/>
  <c r="AZ665" i="5"/>
  <c r="BA665" i="5"/>
  <c r="BD665" i="5"/>
  <c r="BI665" i="5"/>
  <c r="BJ665" i="5"/>
  <c r="BN665" i="5"/>
  <c r="BR665" i="5"/>
  <c r="BS665" i="5"/>
  <c r="BT665" i="5"/>
  <c r="BU665" i="5"/>
  <c r="BY665" i="5"/>
  <c r="BZ665" i="5"/>
  <c r="CC665" i="5"/>
  <c r="CD665" i="5"/>
  <c r="CG665" i="5"/>
  <c r="CH665" i="5"/>
  <c r="CI665" i="5"/>
  <c r="E666" i="5"/>
  <c r="E667" i="5"/>
  <c r="K667" i="5"/>
  <c r="N667" i="5"/>
  <c r="R667" i="5"/>
  <c r="V667" i="5"/>
  <c r="W667" i="5"/>
  <c r="Z667" i="5"/>
  <c r="AA667" i="5"/>
  <c r="AB667" i="5"/>
  <c r="AC667" i="5"/>
  <c r="AF667" i="5"/>
  <c r="AG667" i="5"/>
  <c r="AH667" i="5"/>
  <c r="AI667" i="5"/>
  <c r="AJ667" i="5"/>
  <c r="AL667" i="5"/>
  <c r="AM667" i="5"/>
  <c r="AP667" i="5"/>
  <c r="AQ667" i="5"/>
  <c r="AR667" i="5"/>
  <c r="AS667" i="5"/>
  <c r="AU667" i="5"/>
  <c r="BA667" i="5"/>
  <c r="BD667" i="5"/>
  <c r="BI667" i="5"/>
  <c r="BJ667" i="5"/>
  <c r="BN667" i="5"/>
  <c r="BR667" i="5"/>
  <c r="BS667" i="5"/>
  <c r="BT667" i="5"/>
  <c r="BU667" i="5"/>
  <c r="BY667" i="5"/>
  <c r="BZ667" i="5"/>
  <c r="CC667" i="5"/>
  <c r="CD667" i="5"/>
  <c r="CG667" i="5"/>
  <c r="CH667" i="5"/>
  <c r="CI667" i="5"/>
  <c r="E668" i="5"/>
  <c r="K668" i="5"/>
  <c r="S668" i="5"/>
  <c r="V668" i="5"/>
  <c r="Z668" i="5"/>
  <c r="AA668" i="5"/>
  <c r="AB668" i="5"/>
  <c r="AC668" i="5"/>
  <c r="AF668" i="5"/>
  <c r="AG668" i="5"/>
  <c r="AH668" i="5"/>
  <c r="AI668" i="5"/>
  <c r="AJ668" i="5"/>
  <c r="AL668" i="5"/>
  <c r="AM668" i="5"/>
  <c r="AP668" i="5"/>
  <c r="AQ668" i="5"/>
  <c r="AR668" i="5"/>
  <c r="AS668" i="5"/>
  <c r="AU668" i="5"/>
  <c r="AV668" i="5"/>
  <c r="AZ668" i="5"/>
  <c r="BA668" i="5"/>
  <c r="BD668" i="5"/>
  <c r="BI668" i="5"/>
  <c r="BJ668" i="5"/>
  <c r="BN668" i="5"/>
  <c r="BR668" i="5"/>
  <c r="BS668" i="5"/>
  <c r="BT668" i="5"/>
  <c r="BU668" i="5"/>
  <c r="BY668" i="5"/>
  <c r="BZ668" i="5"/>
  <c r="CC668" i="5"/>
  <c r="CD668" i="5"/>
  <c r="CG668" i="5"/>
  <c r="CH668" i="5"/>
  <c r="CI668" i="5"/>
  <c r="E669" i="5"/>
  <c r="E671" i="5"/>
  <c r="F671" i="5"/>
  <c r="K671" i="5"/>
  <c r="N671" i="5"/>
  <c r="R671" i="5"/>
  <c r="S671" i="5"/>
  <c r="V671" i="5"/>
  <c r="W671" i="5"/>
  <c r="Z671" i="5"/>
  <c r="AA671" i="5"/>
  <c r="AB671" i="5"/>
  <c r="AC671" i="5"/>
  <c r="AF671" i="5"/>
  <c r="AG671" i="5"/>
  <c r="AJ671" i="5"/>
  <c r="AL671" i="5"/>
  <c r="AM671" i="5"/>
  <c r="AP671" i="5"/>
  <c r="AQ671" i="5"/>
  <c r="AR671" i="5"/>
  <c r="AS671" i="5"/>
  <c r="AU671" i="5"/>
  <c r="AV671" i="5"/>
  <c r="AZ671" i="5"/>
  <c r="BD671" i="5"/>
  <c r="BI671" i="5"/>
  <c r="BJ671" i="5"/>
  <c r="BN671" i="5"/>
  <c r="BR671" i="5"/>
  <c r="BZ671" i="5"/>
  <c r="CC671" i="5"/>
  <c r="CD671" i="5"/>
  <c r="CG671" i="5"/>
  <c r="CH671" i="5"/>
  <c r="CI671" i="5"/>
  <c r="E672" i="5"/>
  <c r="F672" i="5"/>
  <c r="K672" i="5"/>
  <c r="N672" i="5"/>
  <c r="R672" i="5"/>
  <c r="S672" i="5"/>
  <c r="V672" i="5"/>
  <c r="W672" i="5"/>
  <c r="Z672" i="5"/>
  <c r="AA672" i="5"/>
  <c r="AB672" i="5"/>
  <c r="AC672" i="5"/>
  <c r="AF672" i="5"/>
  <c r="AH672" i="5"/>
  <c r="AI672" i="5"/>
  <c r="AJ672" i="5"/>
  <c r="AL672" i="5"/>
  <c r="AM672" i="5"/>
  <c r="AP672" i="5"/>
  <c r="AQ672" i="5"/>
  <c r="AR672" i="5"/>
  <c r="AS672" i="5"/>
  <c r="AU672" i="5"/>
  <c r="AV672" i="5"/>
  <c r="AZ672" i="5"/>
  <c r="BA672" i="5"/>
  <c r="BD672" i="5"/>
  <c r="BI672" i="5"/>
  <c r="BJ672" i="5"/>
  <c r="BN672" i="5"/>
  <c r="BR672" i="5"/>
  <c r="BS672" i="5"/>
  <c r="BT672" i="5"/>
  <c r="BZ672" i="5"/>
  <c r="CC672" i="5"/>
  <c r="CD672" i="5"/>
  <c r="CG672" i="5"/>
  <c r="CH672" i="5"/>
  <c r="CI672" i="5"/>
  <c r="F673" i="5"/>
  <c r="K673" i="5"/>
  <c r="N673" i="5"/>
  <c r="R673" i="5"/>
  <c r="S673" i="5"/>
  <c r="V673" i="5"/>
  <c r="W673" i="5"/>
  <c r="Z673" i="5"/>
  <c r="AA673" i="5"/>
  <c r="AB673" i="5"/>
  <c r="AC673" i="5"/>
  <c r="AF673" i="5"/>
  <c r="AG673" i="5"/>
  <c r="AH673" i="5"/>
  <c r="AI673" i="5"/>
  <c r="AJ673" i="5"/>
  <c r="AL673" i="5"/>
  <c r="AM673" i="5"/>
  <c r="AP673" i="5"/>
  <c r="AQ673" i="5"/>
  <c r="AR673" i="5"/>
  <c r="AS673" i="5"/>
  <c r="AU673" i="5"/>
  <c r="AV673" i="5"/>
  <c r="AZ673" i="5"/>
  <c r="BA673" i="5"/>
  <c r="BD673" i="5"/>
  <c r="BI673" i="5"/>
  <c r="BJ673" i="5"/>
  <c r="BN673" i="5"/>
  <c r="BR673" i="5"/>
  <c r="BS673" i="5"/>
  <c r="BT673" i="5"/>
  <c r="BU673" i="5"/>
  <c r="BY673" i="5"/>
  <c r="BZ673" i="5"/>
  <c r="CC673" i="5"/>
  <c r="CD673" i="5"/>
  <c r="CG673" i="5"/>
  <c r="CH673" i="5"/>
  <c r="CI673" i="5"/>
  <c r="E674" i="5"/>
  <c r="F674" i="5"/>
  <c r="K674" i="5"/>
  <c r="N674" i="5"/>
  <c r="R674" i="5"/>
  <c r="S674" i="5"/>
  <c r="V674" i="5"/>
  <c r="W674" i="5"/>
  <c r="Z674" i="5"/>
  <c r="AA674" i="5"/>
  <c r="AB674" i="5"/>
  <c r="AC674" i="5"/>
  <c r="AF674" i="5"/>
  <c r="AG674" i="5"/>
  <c r="AH674" i="5"/>
  <c r="AI674" i="5"/>
  <c r="AJ674" i="5"/>
  <c r="AL674" i="5"/>
  <c r="AM674" i="5"/>
  <c r="AP674" i="5"/>
  <c r="AQ674" i="5"/>
  <c r="AR674" i="5"/>
  <c r="BD674" i="5"/>
  <c r="BI674" i="5"/>
  <c r="BJ674" i="5"/>
  <c r="BN674" i="5"/>
  <c r="BR674" i="5"/>
  <c r="BS674" i="5"/>
  <c r="BT674" i="5"/>
  <c r="BU674" i="5"/>
  <c r="BY674" i="5"/>
  <c r="BZ674" i="5"/>
  <c r="CC674" i="5"/>
  <c r="CD674" i="5"/>
  <c r="CG674" i="5"/>
  <c r="CH674" i="5"/>
  <c r="CI674" i="5"/>
  <c r="F675" i="5"/>
  <c r="K675" i="5"/>
  <c r="N675" i="5"/>
  <c r="R675" i="5"/>
  <c r="S675" i="5"/>
  <c r="V675" i="5"/>
  <c r="W675" i="5"/>
  <c r="Z675" i="5"/>
  <c r="AA675" i="5"/>
  <c r="AB675" i="5"/>
  <c r="AC675" i="5"/>
  <c r="AF675" i="5"/>
  <c r="AG675" i="5"/>
  <c r="AH675" i="5"/>
  <c r="AI675" i="5"/>
  <c r="AJ675" i="5"/>
  <c r="AL675" i="5"/>
  <c r="AM675" i="5"/>
  <c r="AP675" i="5"/>
  <c r="AS675" i="5"/>
  <c r="AU675" i="5"/>
  <c r="AV675" i="5"/>
  <c r="AZ675" i="5"/>
  <c r="BA675" i="5"/>
  <c r="BD675" i="5"/>
  <c r="BI675" i="5"/>
  <c r="BJ675" i="5"/>
  <c r="BN675" i="5"/>
  <c r="BR675" i="5"/>
  <c r="BS675" i="5"/>
  <c r="BT675" i="5"/>
  <c r="BU675" i="5"/>
  <c r="BY675" i="5"/>
  <c r="BZ675" i="5"/>
  <c r="CC675" i="5"/>
  <c r="CD675" i="5"/>
  <c r="CG675" i="5"/>
  <c r="CH675" i="5"/>
  <c r="CI675" i="5"/>
  <c r="F676" i="5"/>
  <c r="K676" i="5"/>
  <c r="N676" i="5"/>
  <c r="R676" i="5"/>
  <c r="S676" i="5"/>
  <c r="V676" i="5"/>
  <c r="W676" i="5"/>
  <c r="Z676" i="5"/>
  <c r="AA676" i="5"/>
  <c r="AB676" i="5"/>
  <c r="AC676" i="5"/>
  <c r="AF676" i="5"/>
  <c r="AG676" i="5"/>
  <c r="AH676" i="5"/>
  <c r="AI676" i="5"/>
  <c r="AJ676" i="5"/>
  <c r="AL676" i="5"/>
  <c r="AM676" i="5"/>
  <c r="AP676" i="5"/>
  <c r="AQ676" i="5"/>
  <c r="AR676" i="5"/>
  <c r="AV676" i="5"/>
  <c r="AZ676" i="5"/>
  <c r="BA676" i="5"/>
  <c r="BD676" i="5"/>
  <c r="BI676" i="5"/>
  <c r="BJ676" i="5"/>
  <c r="BN676" i="5"/>
  <c r="BR676" i="5"/>
  <c r="BS676" i="5"/>
  <c r="BT676" i="5"/>
  <c r="BU676" i="5"/>
  <c r="BY676" i="5"/>
  <c r="BZ676" i="5"/>
  <c r="CC676" i="5"/>
  <c r="CD676" i="5"/>
  <c r="CG676" i="5"/>
  <c r="CH676" i="5"/>
  <c r="CI676" i="5"/>
  <c r="E677" i="5"/>
  <c r="F677" i="5"/>
  <c r="K677" i="5"/>
  <c r="W677" i="5"/>
  <c r="Z677" i="5"/>
  <c r="AA677" i="5"/>
  <c r="AB677" i="5"/>
  <c r="AC677" i="5"/>
  <c r="AF677" i="5"/>
  <c r="AG677" i="5"/>
  <c r="AH677" i="5"/>
  <c r="AI677" i="5"/>
  <c r="AJ677" i="5"/>
  <c r="AL677" i="5"/>
  <c r="AQ677" i="5"/>
  <c r="AR677" i="5"/>
  <c r="AV677" i="5"/>
  <c r="AZ677" i="5"/>
  <c r="BA677" i="5"/>
  <c r="BD677" i="5"/>
  <c r="BI677" i="5"/>
  <c r="BJ677" i="5"/>
  <c r="BN677" i="5"/>
  <c r="BR677" i="5"/>
  <c r="BS677" i="5"/>
  <c r="BT677" i="5"/>
  <c r="BU677" i="5"/>
  <c r="BY677" i="5"/>
  <c r="BZ677" i="5"/>
  <c r="CC677" i="5"/>
  <c r="CD677" i="5"/>
  <c r="CG677" i="5"/>
  <c r="CH677" i="5"/>
  <c r="CI677" i="5"/>
  <c r="E678" i="5"/>
  <c r="F678" i="5"/>
  <c r="K678" i="5"/>
  <c r="N678" i="5"/>
  <c r="R678" i="5"/>
  <c r="S678" i="5"/>
  <c r="V678" i="5"/>
  <c r="W678" i="5"/>
  <c r="Z678" i="5"/>
  <c r="AA678" i="5"/>
  <c r="AB678" i="5"/>
  <c r="AC678" i="5"/>
  <c r="AF678" i="5"/>
  <c r="AH678" i="5"/>
  <c r="AI678" i="5"/>
  <c r="AJ678" i="5"/>
  <c r="AL678" i="5"/>
  <c r="AQ678" i="5"/>
  <c r="AR678" i="5"/>
  <c r="AS678" i="5"/>
  <c r="AU678" i="5"/>
  <c r="AV678" i="5"/>
  <c r="AZ678" i="5"/>
  <c r="BA678" i="5"/>
  <c r="BN678" i="5"/>
  <c r="BR678" i="5"/>
  <c r="BS678" i="5"/>
  <c r="BT678" i="5"/>
  <c r="BU678" i="5"/>
  <c r="BY678" i="5"/>
  <c r="BZ678" i="5"/>
  <c r="CC678" i="5"/>
  <c r="CD678" i="5"/>
  <c r="CG678" i="5"/>
  <c r="CH678" i="5"/>
  <c r="CI678" i="5"/>
  <c r="E679" i="5"/>
  <c r="F679" i="5"/>
  <c r="K679" i="5"/>
  <c r="N679" i="5"/>
  <c r="R679" i="5"/>
  <c r="S679" i="5"/>
  <c r="V679" i="5"/>
  <c r="W679" i="5"/>
  <c r="Z679" i="5"/>
  <c r="AA679" i="5"/>
  <c r="AB679" i="5"/>
  <c r="AC679" i="5"/>
  <c r="AF679" i="5"/>
  <c r="AG679" i="5"/>
  <c r="AH679" i="5"/>
  <c r="AI679" i="5"/>
  <c r="AJ679" i="5"/>
  <c r="AL679" i="5"/>
  <c r="AM679" i="5"/>
  <c r="AP679" i="5"/>
  <c r="AQ679" i="5"/>
  <c r="AR679" i="5"/>
  <c r="AS679" i="5"/>
  <c r="AU679" i="5"/>
  <c r="AV679" i="5"/>
  <c r="AZ679" i="5"/>
  <c r="BD679" i="5"/>
  <c r="BI679" i="5"/>
  <c r="BJ679" i="5"/>
  <c r="BN679" i="5"/>
  <c r="BR679" i="5"/>
  <c r="BS679" i="5"/>
  <c r="BT679" i="5"/>
  <c r="BU679" i="5"/>
  <c r="BY679" i="5"/>
  <c r="BZ679" i="5"/>
  <c r="CC679" i="5"/>
  <c r="CD679" i="5"/>
  <c r="CG679" i="5"/>
  <c r="CH679" i="5"/>
  <c r="CI679" i="5"/>
  <c r="E680" i="5"/>
  <c r="K680" i="5"/>
  <c r="N680" i="5"/>
  <c r="R680" i="5"/>
  <c r="S680" i="5"/>
  <c r="V680" i="5"/>
  <c r="W680" i="5"/>
  <c r="Z680" i="5"/>
  <c r="AA680" i="5"/>
  <c r="AB680" i="5"/>
  <c r="AC680" i="5"/>
  <c r="AF680" i="5"/>
  <c r="AH680" i="5"/>
  <c r="AI680" i="5"/>
  <c r="AJ680" i="5"/>
  <c r="AL680" i="5"/>
  <c r="AM680" i="5"/>
  <c r="AP680" i="5"/>
  <c r="AQ680" i="5"/>
  <c r="AR680" i="5"/>
  <c r="AS680" i="5"/>
  <c r="AU680" i="5"/>
  <c r="AV680" i="5"/>
  <c r="AZ680" i="5"/>
  <c r="BD680" i="5"/>
  <c r="BI680" i="5"/>
  <c r="BJ680" i="5"/>
  <c r="BN680" i="5"/>
  <c r="BR680" i="5"/>
  <c r="BS680" i="5"/>
  <c r="BT680" i="5"/>
  <c r="BU680" i="5"/>
  <c r="BY680" i="5"/>
  <c r="BZ680" i="5"/>
  <c r="CC680" i="5"/>
  <c r="CD680" i="5"/>
  <c r="CG680" i="5"/>
  <c r="CH680" i="5"/>
  <c r="CI680" i="5"/>
  <c r="F681" i="5"/>
  <c r="K681" i="5"/>
  <c r="N681" i="5"/>
  <c r="R681" i="5"/>
  <c r="S681" i="5"/>
  <c r="V681" i="5"/>
  <c r="W681" i="5"/>
  <c r="Z681" i="5"/>
  <c r="AA681" i="5"/>
  <c r="AB681" i="5"/>
  <c r="AC681" i="5"/>
  <c r="AF681" i="5"/>
  <c r="AG681" i="5"/>
  <c r="AH681" i="5"/>
  <c r="AI681" i="5"/>
  <c r="AJ681" i="5"/>
  <c r="AL681" i="5"/>
  <c r="AM681" i="5"/>
  <c r="AP681" i="5"/>
  <c r="AQ681" i="5"/>
  <c r="AR681" i="5"/>
  <c r="AS681" i="5"/>
  <c r="AU681" i="5"/>
  <c r="AV681" i="5"/>
  <c r="AZ681" i="5"/>
  <c r="BA681" i="5"/>
  <c r="BD681" i="5"/>
  <c r="BI681" i="5"/>
  <c r="BJ681" i="5"/>
  <c r="BN681" i="5"/>
  <c r="BR681" i="5"/>
  <c r="BS681" i="5"/>
  <c r="BT681" i="5"/>
  <c r="BU681" i="5"/>
  <c r="BY681" i="5"/>
  <c r="BZ681" i="5"/>
  <c r="CC681" i="5"/>
  <c r="CD681" i="5"/>
  <c r="CG681" i="5"/>
  <c r="CH681" i="5"/>
  <c r="CI681" i="5"/>
  <c r="F682" i="5"/>
  <c r="K682" i="5"/>
  <c r="N682" i="5"/>
  <c r="R682" i="5"/>
  <c r="S682" i="5"/>
  <c r="V682" i="5"/>
  <c r="W682" i="5"/>
  <c r="Z682" i="5"/>
  <c r="AA682" i="5"/>
  <c r="AB682" i="5"/>
  <c r="AC682" i="5"/>
  <c r="AF682" i="5"/>
  <c r="AG682" i="5"/>
  <c r="AH682" i="5"/>
  <c r="AI682" i="5"/>
  <c r="AJ682" i="5"/>
  <c r="AL682" i="5"/>
  <c r="AM682" i="5"/>
  <c r="AP682" i="5"/>
  <c r="AQ682" i="5"/>
  <c r="AR682" i="5"/>
  <c r="AS682" i="5"/>
  <c r="AU682" i="5"/>
  <c r="AV682" i="5"/>
  <c r="AZ682" i="5"/>
  <c r="BA682" i="5"/>
  <c r="BD682" i="5"/>
  <c r="BI682" i="5"/>
  <c r="BJ682" i="5"/>
  <c r="BN682" i="5"/>
  <c r="BR682" i="5"/>
  <c r="BU682" i="5"/>
  <c r="BY682" i="5"/>
  <c r="BZ682" i="5"/>
  <c r="CC682" i="5"/>
  <c r="CD682" i="5"/>
  <c r="CG682" i="5"/>
  <c r="CH682" i="5"/>
  <c r="CI682" i="5"/>
  <c r="E683" i="5"/>
  <c r="K683" i="5"/>
  <c r="N683" i="5"/>
  <c r="R683" i="5"/>
  <c r="S683" i="5"/>
  <c r="V683" i="5"/>
  <c r="W683" i="5"/>
  <c r="Z683" i="5"/>
  <c r="AA683" i="5"/>
  <c r="AB683" i="5"/>
  <c r="AC683" i="5"/>
  <c r="AF683" i="5"/>
  <c r="AJ683" i="5"/>
  <c r="AL683" i="5"/>
  <c r="AM683" i="5"/>
  <c r="AP683" i="5"/>
  <c r="AQ683" i="5"/>
  <c r="AR683" i="5"/>
  <c r="AS683" i="5"/>
  <c r="AU683" i="5"/>
  <c r="AV683" i="5"/>
  <c r="AZ683" i="5"/>
  <c r="BA683" i="5"/>
  <c r="BD683" i="5"/>
  <c r="BI683" i="5"/>
  <c r="BJ683" i="5"/>
  <c r="BN683" i="5"/>
  <c r="BR683" i="5"/>
  <c r="BS683" i="5"/>
  <c r="BT683" i="5"/>
  <c r="BU683" i="5"/>
  <c r="BY683" i="5"/>
  <c r="CD683" i="5"/>
  <c r="CG683" i="5"/>
  <c r="CH683" i="5"/>
  <c r="CI683" i="5"/>
  <c r="E684" i="5"/>
  <c r="K684" i="5"/>
  <c r="N684" i="5"/>
  <c r="R684" i="5"/>
  <c r="S684" i="5"/>
  <c r="V684" i="5"/>
  <c r="W684" i="5"/>
  <c r="Z684" i="5"/>
  <c r="AA684" i="5"/>
  <c r="AB684" i="5"/>
  <c r="AC684" i="5"/>
  <c r="AF684" i="5"/>
  <c r="AG684" i="5"/>
  <c r="AH684" i="5"/>
  <c r="AI684" i="5"/>
  <c r="AJ684" i="5"/>
  <c r="AL684" i="5"/>
  <c r="AM684" i="5"/>
  <c r="AP684" i="5"/>
  <c r="AQ684" i="5"/>
  <c r="AR684" i="5"/>
  <c r="AS684" i="5"/>
  <c r="AU684" i="5"/>
  <c r="AV684" i="5"/>
  <c r="AZ684" i="5"/>
  <c r="BA684" i="5"/>
  <c r="BD684" i="5"/>
  <c r="BI684" i="5"/>
  <c r="BJ684" i="5"/>
  <c r="BN684" i="5"/>
  <c r="BR684" i="5"/>
  <c r="BS684" i="5"/>
  <c r="BT684" i="5"/>
  <c r="BZ684" i="5"/>
  <c r="CC684" i="5"/>
  <c r="CD684" i="5"/>
  <c r="CG684" i="5"/>
  <c r="CH684" i="5"/>
  <c r="CI684" i="5"/>
  <c r="F685" i="5"/>
  <c r="K685" i="5"/>
  <c r="N685" i="5"/>
  <c r="R685" i="5"/>
  <c r="S685" i="5"/>
  <c r="V685" i="5"/>
  <c r="W685" i="5"/>
  <c r="Z685" i="5"/>
  <c r="AA685" i="5"/>
  <c r="AB685" i="5"/>
  <c r="AC685" i="5"/>
  <c r="AF685" i="5"/>
  <c r="AG685" i="5"/>
  <c r="AH685" i="5"/>
  <c r="AI685" i="5"/>
  <c r="AJ685" i="5"/>
  <c r="AL685" i="5"/>
  <c r="AM685" i="5"/>
  <c r="AP685" i="5"/>
  <c r="AQ685" i="5"/>
  <c r="AR685" i="5"/>
  <c r="AS685" i="5"/>
  <c r="AU685" i="5"/>
  <c r="AV685" i="5"/>
  <c r="AZ685" i="5"/>
  <c r="BA685" i="5"/>
  <c r="BD685" i="5"/>
  <c r="BI685" i="5"/>
  <c r="BJ685" i="5"/>
  <c r="BN685" i="5"/>
  <c r="BR685" i="5"/>
  <c r="BS685" i="5"/>
  <c r="BT685" i="5"/>
  <c r="BU685" i="5"/>
  <c r="BY685" i="5"/>
  <c r="BZ685" i="5"/>
  <c r="CC685" i="5"/>
  <c r="CD685" i="5"/>
  <c r="CG685" i="5"/>
  <c r="CH685" i="5"/>
  <c r="CI685" i="5"/>
  <c r="F686" i="5"/>
  <c r="K686" i="5"/>
  <c r="N686" i="5"/>
  <c r="R686" i="5"/>
  <c r="S686" i="5"/>
  <c r="V686" i="5"/>
  <c r="W686" i="5"/>
  <c r="Z686" i="5"/>
  <c r="AA686" i="5"/>
  <c r="AB686" i="5"/>
  <c r="AC686" i="5"/>
  <c r="AF686" i="5"/>
  <c r="AG686" i="5"/>
  <c r="AH686" i="5"/>
  <c r="AI686" i="5"/>
  <c r="AJ686" i="5"/>
  <c r="AL686" i="5"/>
  <c r="AM686" i="5"/>
  <c r="AP686" i="5"/>
  <c r="AQ686" i="5"/>
  <c r="AR686" i="5"/>
  <c r="AS686" i="5"/>
  <c r="AU686" i="5"/>
  <c r="AV686" i="5"/>
  <c r="AZ686" i="5"/>
  <c r="BA686" i="5"/>
  <c r="BD686" i="5"/>
  <c r="BI686" i="5"/>
  <c r="BJ686" i="5"/>
  <c r="BN686" i="5"/>
  <c r="BR686" i="5"/>
  <c r="BS686" i="5"/>
  <c r="BT686" i="5"/>
  <c r="BU686" i="5"/>
  <c r="BY686" i="5"/>
  <c r="BZ686" i="5"/>
  <c r="CC686" i="5"/>
  <c r="CD686" i="5"/>
  <c r="CG686" i="5"/>
  <c r="CH686" i="5"/>
  <c r="CI686" i="5"/>
  <c r="F687" i="5"/>
  <c r="K687" i="5"/>
  <c r="N687" i="5"/>
  <c r="R687" i="5"/>
  <c r="S687" i="5"/>
  <c r="V687" i="5"/>
  <c r="W687" i="5"/>
  <c r="Z687" i="5"/>
  <c r="AA687" i="5"/>
  <c r="AB687" i="5"/>
  <c r="AC687" i="5"/>
  <c r="AF687" i="5"/>
  <c r="AG687" i="5"/>
  <c r="AH687" i="5"/>
  <c r="AI687" i="5"/>
  <c r="AJ687" i="5"/>
  <c r="AL687" i="5"/>
  <c r="AM687" i="5"/>
  <c r="AP687" i="5"/>
  <c r="AQ687" i="5"/>
  <c r="AR687" i="5"/>
  <c r="AS687" i="5"/>
  <c r="AU687" i="5"/>
  <c r="AV687" i="5"/>
  <c r="AZ687" i="5"/>
  <c r="BA687" i="5"/>
  <c r="BD687" i="5"/>
  <c r="BI687" i="5"/>
  <c r="BJ687" i="5"/>
  <c r="BN687" i="5"/>
  <c r="BR687" i="5"/>
  <c r="BS687" i="5"/>
  <c r="BT687" i="5"/>
  <c r="BU687" i="5"/>
  <c r="BY687" i="5"/>
  <c r="BZ687" i="5"/>
  <c r="CC687" i="5"/>
  <c r="CD687" i="5"/>
  <c r="CG687" i="5"/>
  <c r="CH687" i="5"/>
  <c r="CI687" i="5"/>
  <c r="D688" i="5"/>
  <c r="F688" i="5"/>
  <c r="K688" i="5"/>
  <c r="N688" i="5"/>
  <c r="R688" i="5"/>
  <c r="S688" i="5"/>
  <c r="V688" i="5"/>
  <c r="W688" i="5"/>
  <c r="Z688" i="5"/>
  <c r="AA688" i="5"/>
  <c r="AB688" i="5"/>
  <c r="AC688" i="5"/>
  <c r="AF688" i="5"/>
  <c r="AG688" i="5"/>
  <c r="AH688" i="5"/>
  <c r="AI688" i="5"/>
  <c r="AJ688" i="5"/>
  <c r="AL688" i="5"/>
  <c r="AM688" i="5"/>
  <c r="AP688" i="5"/>
  <c r="AQ688" i="5"/>
  <c r="AR688" i="5"/>
  <c r="AS688" i="5"/>
  <c r="AU688" i="5"/>
  <c r="AV688" i="5"/>
  <c r="AZ688" i="5"/>
  <c r="BA688" i="5"/>
  <c r="BD688" i="5"/>
  <c r="BI688" i="5"/>
  <c r="BJ688" i="5"/>
  <c r="BN688" i="5"/>
  <c r="BR688" i="5"/>
  <c r="BS688" i="5"/>
  <c r="BT688" i="5"/>
  <c r="BU688" i="5"/>
  <c r="BY688" i="5"/>
  <c r="BZ688" i="5"/>
  <c r="CC688" i="5"/>
  <c r="CD688" i="5"/>
  <c r="CG688" i="5"/>
  <c r="CH688" i="5"/>
  <c r="CI688" i="5"/>
  <c r="E4" i="4"/>
  <c r="E5" i="4"/>
  <c r="E6" i="4"/>
  <c r="E7" i="4"/>
  <c r="E8" i="4"/>
  <c r="E9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82" i="4"/>
  <c r="E83" i="4"/>
  <c r="E84" i="4"/>
  <c r="E85" i="4"/>
  <c r="E86" i="4"/>
  <c r="E87" i="4"/>
  <c r="E88" i="4"/>
  <c r="E89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C227" i="4"/>
  <c r="D227" i="4"/>
  <c r="C231" i="4"/>
  <c r="D231" i="4"/>
  <c r="I231" i="4"/>
  <c r="M231" i="4"/>
  <c r="N231" i="4"/>
  <c r="P231" i="4"/>
  <c r="R231" i="4"/>
  <c r="U231" i="4"/>
  <c r="W231" i="4"/>
  <c r="Z231" i="4"/>
  <c r="C232" i="4"/>
  <c r="D232" i="4"/>
  <c r="I232" i="4"/>
  <c r="M232" i="4"/>
  <c r="N232" i="4"/>
  <c r="P232" i="4"/>
  <c r="R232" i="4"/>
  <c r="U232" i="4"/>
  <c r="W232" i="4"/>
  <c r="Z232" i="4"/>
  <c r="C233" i="4"/>
  <c r="D233" i="4"/>
  <c r="C234" i="4"/>
  <c r="D234" i="4"/>
  <c r="C235" i="4"/>
  <c r="D235" i="4"/>
  <c r="I235" i="4"/>
  <c r="M235" i="4"/>
  <c r="N235" i="4"/>
  <c r="P235" i="4"/>
  <c r="R235" i="4"/>
  <c r="U235" i="4"/>
  <c r="W235" i="4"/>
  <c r="Z235" i="4"/>
  <c r="C236" i="4"/>
  <c r="D236" i="4"/>
  <c r="I236" i="4"/>
  <c r="M236" i="4"/>
  <c r="N236" i="4"/>
  <c r="P236" i="4"/>
  <c r="R236" i="4"/>
  <c r="U236" i="4"/>
  <c r="W236" i="4"/>
  <c r="Z236" i="4"/>
  <c r="C237" i="4"/>
  <c r="D237" i="4"/>
  <c r="I237" i="4"/>
  <c r="M237" i="4"/>
  <c r="N237" i="4"/>
  <c r="P237" i="4"/>
  <c r="R237" i="4"/>
  <c r="U237" i="4"/>
  <c r="W237" i="4"/>
  <c r="Z237" i="4"/>
  <c r="C238" i="4"/>
  <c r="D238" i="4"/>
  <c r="I238" i="4"/>
  <c r="M238" i="4"/>
  <c r="N238" i="4"/>
  <c r="P238" i="4"/>
  <c r="R238" i="4"/>
  <c r="U238" i="4"/>
  <c r="W238" i="4"/>
  <c r="Z238" i="4"/>
  <c r="D239" i="4"/>
  <c r="C240" i="4"/>
  <c r="I240" i="4"/>
  <c r="M240" i="4"/>
  <c r="N240" i="4"/>
  <c r="P240" i="4"/>
  <c r="R240" i="4"/>
  <c r="U240" i="4"/>
  <c r="W240" i="4"/>
  <c r="Z240" i="4"/>
  <c r="C241" i="4"/>
  <c r="D241" i="4"/>
  <c r="I241" i="4"/>
  <c r="M241" i="4"/>
  <c r="N241" i="4"/>
  <c r="P241" i="4"/>
  <c r="R241" i="4"/>
  <c r="U241" i="4"/>
  <c r="W241" i="4"/>
  <c r="Z241" i="4"/>
  <c r="C242" i="4"/>
  <c r="D242" i="4"/>
  <c r="I242" i="4"/>
  <c r="M242" i="4"/>
  <c r="N242" i="4"/>
  <c r="P242" i="4"/>
  <c r="R242" i="4"/>
  <c r="U242" i="4"/>
  <c r="W242" i="4"/>
  <c r="Z242" i="4"/>
  <c r="E5" i="3"/>
  <c r="E6" i="3"/>
  <c r="E7" i="3"/>
  <c r="E8" i="3"/>
  <c r="E9" i="3"/>
  <c r="E10" i="3"/>
  <c r="E11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C45" i="3"/>
  <c r="D45" i="3"/>
  <c r="G45" i="3"/>
  <c r="G46" i="3" s="1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126" i="2"/>
  <c r="D126" i="2"/>
  <c r="H126" i="2"/>
  <c r="H127" i="2" s="1"/>
  <c r="I126" i="2"/>
  <c r="I127" i="2" s="1"/>
  <c r="K126" i="2"/>
  <c r="K127" i="2" s="1"/>
  <c r="N126" i="2"/>
  <c r="N127" i="2" s="1"/>
  <c r="O126" i="2"/>
  <c r="O127" i="2" s="1"/>
  <c r="Q126" i="2"/>
  <c r="Q127" i="2" s="1"/>
  <c r="S126" i="2"/>
  <c r="S127" i="2" s="1"/>
  <c r="T126" i="2"/>
  <c r="T127" i="2" s="1"/>
  <c r="E570" i="5"/>
  <c r="E644" i="5"/>
  <c r="E635" i="5"/>
  <c r="E612" i="5"/>
  <c r="E588" i="5"/>
  <c r="E584" i="5"/>
  <c r="E580" i="5"/>
  <c r="E576" i="5"/>
  <c r="E651" i="5"/>
  <c r="E632" i="5"/>
  <c r="E618" i="5"/>
  <c r="E613" i="5"/>
  <c r="E652" i="5"/>
  <c r="E641" i="5"/>
  <c r="E586" i="5"/>
  <c r="E659" i="5"/>
  <c r="E653" i="5"/>
  <c r="E616" i="5"/>
  <c r="E608" i="5"/>
  <c r="E604" i="5"/>
  <c r="E601" i="5"/>
  <c r="E658" i="5"/>
  <c r="E656" i="5"/>
  <c r="E650" i="5"/>
  <c r="E646" i="5"/>
  <c r="E134" i="2"/>
  <c r="E636" i="5"/>
  <c r="E624" i="5"/>
  <c r="E621" i="5"/>
  <c r="E609" i="5"/>
  <c r="E605" i="5"/>
  <c r="E602" i="5"/>
  <c r="E592" i="5"/>
  <c r="E589" i="5"/>
  <c r="E585" i="5"/>
  <c r="E581" i="5"/>
  <c r="E577" i="5"/>
  <c r="E643" i="5"/>
  <c r="E640" i="5"/>
  <c r="E637" i="5"/>
  <c r="E633" i="5"/>
  <c r="E622" i="5"/>
  <c r="E614" i="5"/>
  <c r="E606" i="5"/>
  <c r="E599" i="5"/>
  <c r="E596" i="5"/>
  <c r="E593" i="5"/>
  <c r="E590" i="5"/>
  <c r="E578" i="5"/>
  <c r="E663" i="5"/>
  <c r="E657" i="5"/>
  <c r="E648" i="5"/>
  <c r="E638" i="5"/>
  <c r="E634" i="5"/>
  <c r="E619" i="5"/>
  <c r="E615" i="5"/>
  <c r="E611" i="5"/>
  <c r="E607" i="5"/>
  <c r="E600" i="5"/>
  <c r="E597" i="5"/>
  <c r="E594" i="5"/>
  <c r="E587" i="5"/>
  <c r="E583" i="5"/>
  <c r="E579" i="5"/>
  <c r="E575" i="5"/>
  <c r="E676" i="5"/>
  <c r="E661" i="5"/>
  <c r="E655" i="5"/>
  <c r="E649" i="5"/>
  <c r="E645" i="5"/>
  <c r="E631" i="5"/>
  <c r="E571" i="5"/>
  <c r="E647" i="5"/>
  <c r="F652" i="5" l="1"/>
  <c r="F649" i="5"/>
  <c r="E227" i="4"/>
  <c r="E135" i="2"/>
  <c r="E145" i="2"/>
  <c r="E139" i="2"/>
  <c r="E141" i="2"/>
  <c r="E131" i="2"/>
  <c r="E130" i="2"/>
  <c r="E143" i="2"/>
  <c r="E566" i="5"/>
  <c r="E567" i="5"/>
  <c r="E133" i="2"/>
  <c r="E137" i="2"/>
  <c r="E673" i="5"/>
  <c r="E660" i="5"/>
  <c r="E675" i="5"/>
  <c r="E670" i="5"/>
  <c r="E686" i="5"/>
  <c r="E642" i="5"/>
  <c r="E681" i="5"/>
  <c r="E598" i="5"/>
  <c r="E687" i="5"/>
  <c r="E572" i="5"/>
  <c r="E685" i="5"/>
  <c r="E625" i="5"/>
  <c r="E617" i="5"/>
  <c r="E582" i="5"/>
  <c r="E591" i="5"/>
  <c r="E574" i="5"/>
  <c r="E688" i="5"/>
  <c r="E627" i="5"/>
  <c r="E573" i="5"/>
  <c r="E654" i="5"/>
  <c r="E630" i="5"/>
  <c r="E626" i="5"/>
  <c r="E682" i="5"/>
  <c r="E662" i="5"/>
  <c r="E629" i="5"/>
  <c r="E620" i="5"/>
  <c r="E603" i="5"/>
  <c r="E595" i="5"/>
  <c r="E639" i="5"/>
  <c r="E628" i="5"/>
  <c r="E623" i="5"/>
  <c r="E610" i="5"/>
  <c r="E241" i="4"/>
  <c r="E240" i="4"/>
  <c r="E238" i="4"/>
  <c r="E236" i="4"/>
  <c r="E234" i="4"/>
  <c r="E233" i="4"/>
  <c r="E231" i="4"/>
  <c r="E242" i="4"/>
  <c r="E237" i="4"/>
  <c r="E232" i="4"/>
  <c r="E239" i="4"/>
  <c r="E235" i="4"/>
  <c r="E63" i="3"/>
  <c r="E61" i="3"/>
  <c r="E54" i="3"/>
  <c r="E59" i="3"/>
  <c r="E57" i="3"/>
  <c r="E55" i="3"/>
  <c r="E53" i="3"/>
  <c r="E49" i="3"/>
  <c r="E51" i="3"/>
  <c r="E66" i="3"/>
  <c r="E62" i="3"/>
  <c r="E60" i="3"/>
  <c r="E58" i="3"/>
  <c r="E45" i="3"/>
  <c r="E64" i="3"/>
  <c r="E56" i="3"/>
  <c r="E52" i="3"/>
  <c r="E67" i="3"/>
  <c r="E65" i="3"/>
  <c r="E50" i="3"/>
  <c r="E144" i="2"/>
  <c r="E142" i="2"/>
  <c r="E146" i="2"/>
  <c r="E140" i="2"/>
  <c r="E136" i="2"/>
  <c r="E132" i="2"/>
  <c r="E138" i="2"/>
  <c r="E126" i="2"/>
</calcChain>
</file>

<file path=xl/sharedStrings.xml><?xml version="1.0" encoding="utf-8"?>
<sst xmlns="http://schemas.openxmlformats.org/spreadsheetml/2006/main" count="3380" uniqueCount="1323">
  <si>
    <t>TERRACE PARK A</t>
  </si>
  <si>
    <t>TERRACE PARK B</t>
  </si>
  <si>
    <t>WOODLAWN A</t>
  </si>
  <si>
    <t>WOODLAWN B</t>
  </si>
  <si>
    <t>TOTAL</t>
  </si>
  <si>
    <t>REGULAR</t>
  </si>
  <si>
    <t>ABSENTEE</t>
  </si>
  <si>
    <t>WARD 16 -1-</t>
  </si>
  <si>
    <t>DEER PK CTY -4-</t>
  </si>
  <si>
    <t>MILFORD CTY -3-</t>
  </si>
  <si>
    <t>ADDYSTON VIL -1-</t>
  </si>
  <si>
    <t>AMBERLEY VIL -4-</t>
  </si>
  <si>
    <t>ARLINGTON HGTS VIL -1-</t>
  </si>
  <si>
    <t>CLEVES VIL -2-</t>
  </si>
  <si>
    <t>GLENDALE VIL -2-</t>
  </si>
  <si>
    <t>NORTH BEND VIL -1-</t>
  </si>
  <si>
    <t>MILFORD SCH -1-</t>
  </si>
  <si>
    <t>FOR PK CTY -13-</t>
  </si>
  <si>
    <t>IND HILL CTY -6-</t>
  </si>
  <si>
    <t>NCH CTY -7-</t>
  </si>
  <si>
    <t>WYOMING CTY -5-</t>
  </si>
  <si>
    <t>DELHI TWP -19-</t>
  </si>
  <si>
    <t>GREEN TWP -43-</t>
  </si>
  <si>
    <t>HARRISON TWP -8-</t>
  </si>
  <si>
    <t>MIAMI TWP -12-</t>
  </si>
  <si>
    <t>SPRINGFIELD TWP -28-</t>
  </si>
  <si>
    <t>EVENDALE VIL -3-</t>
  </si>
  <si>
    <t>FAIRFAX VIL -1-</t>
  </si>
  <si>
    <t>GOLF MANOR VIL -2-</t>
  </si>
  <si>
    <t>GREENHILLS VIL -3-</t>
  </si>
  <si>
    <t>MARIEMONT VIL -2-</t>
  </si>
  <si>
    <t>NEWTOWN VIL -2-</t>
  </si>
  <si>
    <t>TERR PK VIL -2-</t>
  </si>
  <si>
    <t>MARIEMONT SCH -8-</t>
  </si>
  <si>
    <t>MT HEALTHY SCH -21-</t>
  </si>
  <si>
    <t>WINTON WDS SCH -22-</t>
  </si>
  <si>
    <t>WYOMING SCH -5-</t>
  </si>
  <si>
    <t>FINNEYTOWN SCH -10-</t>
  </si>
  <si>
    <t>OAKHILLS SCH -50-</t>
  </si>
  <si>
    <t>THREE RIVERS SCH -12-</t>
  </si>
  <si>
    <t>HARRISON UNINCORP -3-</t>
  </si>
  <si>
    <t>MIAMI UNINCORP -8-</t>
  </si>
  <si>
    <t>CITY OF BLUE ASH</t>
  </si>
  <si>
    <t xml:space="preserve">CITY OF FOREST PARK                 </t>
  </si>
  <si>
    <t>CITY OF HARRISON</t>
  </si>
  <si>
    <t>CITY OF INDIAN HILL</t>
  </si>
  <si>
    <t>CITY OF LOVELAND</t>
  </si>
  <si>
    <t>CITY OF MADEIRA</t>
  </si>
  <si>
    <t>CITY OF MILFORD</t>
  </si>
  <si>
    <t>CITY OF MONTGOMERY</t>
  </si>
  <si>
    <t>CITY OF NORTH COLLEGE HILL</t>
  </si>
  <si>
    <t>CITY OF NORWOOD</t>
  </si>
  <si>
    <t>CITY OF SPRINGDALE</t>
  </si>
  <si>
    <t>CITY OF WYOMING</t>
  </si>
  <si>
    <t>CITY OF CHEVIOT</t>
  </si>
  <si>
    <t>CITY OF MT. HEALTHY</t>
  </si>
  <si>
    <t>CITY OF READING</t>
  </si>
  <si>
    <t>CITY OF DEER PARK</t>
  </si>
  <si>
    <t>VILLAGE OF ADDYSTON</t>
  </si>
  <si>
    <t>VILLAGE OF AMBERLEY</t>
  </si>
  <si>
    <t>VILLAGE OF ARLINGTON HGTS</t>
  </si>
  <si>
    <t>VILLAGE OF CLEVES</t>
  </si>
  <si>
    <t>VILLAGE OF EVENDALE</t>
  </si>
  <si>
    <t>VILLAGE OF FAIRFAX</t>
  </si>
  <si>
    <t>VILLAGE OF GLENDALE</t>
  </si>
  <si>
    <t>VILLAGE OF GOLF MANOR</t>
  </si>
  <si>
    <t>VILLAGE OF LINCOLN HGTS</t>
  </si>
  <si>
    <t>VILLAGE OF MARIEMONT</t>
  </si>
  <si>
    <t>VILLAGE OF NEWTOWN</t>
  </si>
  <si>
    <t>VILLAGE OF NORTH BEND</t>
  </si>
  <si>
    <t>VILLAGE OF WOODLAWN</t>
  </si>
  <si>
    <t>ANDERSON TOWNSHIP</t>
  </si>
  <si>
    <t>COLERAIN TOWNSHIP</t>
  </si>
  <si>
    <t>COLUMBIA TOWNSHIP</t>
  </si>
  <si>
    <t>CROSBY TOWNSHIP</t>
  </si>
  <si>
    <t>DELHI TOWNSHIP</t>
  </si>
  <si>
    <t>GREEN TOWNSHIP</t>
  </si>
  <si>
    <t>HARRISON TOWNSHIP</t>
  </si>
  <si>
    <t>MIAMI TOWNSHIP</t>
  </si>
  <si>
    <t>SPRINGFIELD TOWNSHIP</t>
  </si>
  <si>
    <t>SYCAMORE TOWNSHIP</t>
  </si>
  <si>
    <t>SYMMES TOWNSHIP</t>
  </si>
  <si>
    <t>WHITEWATER TOWNSHIP</t>
  </si>
  <si>
    <t>CINCINNATI CITY SCHOOL DISTRICT</t>
  </si>
  <si>
    <t>DEER PARK SCHOOL DISTRICT</t>
  </si>
  <si>
    <t>INDIAN HILL SCHOOL DISTRICT</t>
  </si>
  <si>
    <t>LOVELAND SCHOOL DISTRICT</t>
  </si>
  <si>
    <t>MADEIRA SCHOOL DISTRICT</t>
  </si>
  <si>
    <t>MARIEMONT SCHOOL DISTRICT</t>
  </si>
  <si>
    <t>MILFORD SCHOOL DISTRICT</t>
  </si>
  <si>
    <t>MT. HEALTHY SCHOOL DISTRICT</t>
  </si>
  <si>
    <t>NORTH COLLEGE HILL SCHOOL DISTRICT</t>
  </si>
  <si>
    <t>NORWOOD SCHOOL DISTRICT</t>
  </si>
  <si>
    <t>PRINCETON SCHOOL DISTRICT</t>
  </si>
  <si>
    <t>READING SCHOOL DISTRICT</t>
  </si>
  <si>
    <t>ST. BERNARD ELMWOOD PL.  SCHOOL DISTRICT</t>
  </si>
  <si>
    <t>SYCAMORE SCHOOL DISTRICT</t>
  </si>
  <si>
    <t>WINTON WOODS SCHOOL DISTRICT</t>
  </si>
  <si>
    <t>WYOMING SCHOOL DISTRICT</t>
  </si>
  <si>
    <t>HAMILTON CO EDUCATION SERVICE CENTER</t>
  </si>
  <si>
    <t>FINNEYTOWN LOCAL SCHOOL DISTRICT</t>
  </si>
  <si>
    <t>FOREST HILLS LOCAL SCHOOL DISTRICT</t>
  </si>
  <si>
    <t>NORTHWEST LOCAL SCHOOL DISTRICT</t>
  </si>
  <si>
    <t>OAK HILLS LOCAL  SCHOOL DISTRICT</t>
  </si>
  <si>
    <t>SOUTHWEST LOCAL SCHOOL DISTRICT</t>
  </si>
  <si>
    <t>THREE RIVERS LOCAL SCHOOL DISTRICT</t>
  </si>
  <si>
    <t>PRC #</t>
  </si>
  <si>
    <t>PRECINCT</t>
  </si>
  <si>
    <t>REGISTERED VOTERS TOTAL</t>
  </si>
  <si>
    <t>BALLOTS CAST TOTAL</t>
  </si>
  <si>
    <t>PERCENT</t>
  </si>
  <si>
    <t>YES</t>
  </si>
  <si>
    <t>NO</t>
  </si>
  <si>
    <t>FOR</t>
  </si>
  <si>
    <t>AGAINST</t>
  </si>
  <si>
    <t>AMBERLEY A</t>
  </si>
  <si>
    <t>AMBERLEY B</t>
  </si>
  <si>
    <t>AMBERLEY C</t>
  </si>
  <si>
    <t>AMBERLEY D</t>
  </si>
  <si>
    <t>ARLINGTON HGTS A</t>
  </si>
  <si>
    <t>FAIRFAX A</t>
  </si>
  <si>
    <t>ELMWOOD A</t>
  </si>
  <si>
    <t>EVENDALE A</t>
  </si>
  <si>
    <t>EVENDALE B</t>
  </si>
  <si>
    <t>EVENDALE C</t>
  </si>
  <si>
    <t>GLENDALE A</t>
  </si>
  <si>
    <t>GLENDALE B</t>
  </si>
  <si>
    <t>GOLF MANOR A</t>
  </si>
  <si>
    <t>GOLF MANOR B</t>
  </si>
  <si>
    <t>GREENHILLS A</t>
  </si>
  <si>
    <t>GREENHILLS B</t>
  </si>
  <si>
    <t>GREENHILLS C</t>
  </si>
  <si>
    <t>LINCOLN HGTS A</t>
  </si>
  <si>
    <t>LINCOLN HGTS B</t>
  </si>
  <si>
    <t>LOCKLAND A</t>
  </si>
  <si>
    <t>LOCKLAND B</t>
  </si>
  <si>
    <t>MARIEMONT A</t>
  </si>
  <si>
    <t>MARIEMONT B</t>
  </si>
  <si>
    <t>ADDYSTON A</t>
  </si>
  <si>
    <t>CLEVES A</t>
  </si>
  <si>
    <t>CLEVES B</t>
  </si>
  <si>
    <t>NORTH BEND A</t>
  </si>
  <si>
    <t>NEWTOWN A</t>
  </si>
  <si>
    <t>NEWTOWN B</t>
  </si>
  <si>
    <t>LOCKLAND LOCAL SCHOOL DISTRICT</t>
  </si>
  <si>
    <t>0101 CIN 1-A</t>
  </si>
  <si>
    <t>0102 CIN 1-B</t>
  </si>
  <si>
    <t>0103 CIN 1-C</t>
  </si>
  <si>
    <t>0104 CIN 1-D</t>
  </si>
  <si>
    <t>0105 CIN 1-E</t>
  </si>
  <si>
    <t>0106 CIN 1-F</t>
  </si>
  <si>
    <t>0107 CIN 1-G</t>
  </si>
  <si>
    <t>0108 CIN 1-H</t>
  </si>
  <si>
    <t>0109 CIN 1-I</t>
  </si>
  <si>
    <t>0110 CIN 1-J</t>
  </si>
  <si>
    <t>0111 CIN 1-K</t>
  </si>
  <si>
    <t>0112 CIN 1-L</t>
  </si>
  <si>
    <t>0113 CIN 1-M</t>
  </si>
  <si>
    <t>0201 CIN 2-A</t>
  </si>
  <si>
    <t>0202 CIN 2-B</t>
  </si>
  <si>
    <t>0203 CIN 2-C</t>
  </si>
  <si>
    <t>0204 CIN 2-D</t>
  </si>
  <si>
    <t>0205 CIN 2-E</t>
  </si>
  <si>
    <t>0206 CIN 2-F</t>
  </si>
  <si>
    <t>0207 CIN 2-G</t>
  </si>
  <si>
    <t>0208 CIN 2-H</t>
  </si>
  <si>
    <t>0209 CIN 2-I</t>
  </si>
  <si>
    <t>0210 CIN 2-J</t>
  </si>
  <si>
    <t>0211 CIN 2-K</t>
  </si>
  <si>
    <t>0301 CIN 3-A</t>
  </si>
  <si>
    <t>0302 CIN 3-B</t>
  </si>
  <si>
    <t>0303 CIN 3-C</t>
  </si>
  <si>
    <t>0304 CIN 3-D</t>
  </si>
  <si>
    <t>0305 CIN 3-E</t>
  </si>
  <si>
    <t>0401 CIN 4-A</t>
  </si>
  <si>
    <t>0402 CIN 4-B</t>
  </si>
  <si>
    <t>0403 CIN 4-C</t>
  </si>
  <si>
    <t>0404 CIN 4-D</t>
  </si>
  <si>
    <t>0405 CIN 4-E</t>
  </si>
  <si>
    <t>0406 CIN 4-F</t>
  </si>
  <si>
    <t>0407 CIN 4-G</t>
  </si>
  <si>
    <t>0408 CIN 4-H</t>
  </si>
  <si>
    <t>0501 CIN 5-A</t>
  </si>
  <si>
    <t>0502 CIN 5-B</t>
  </si>
  <si>
    <t>0503 CIN 5-C</t>
  </si>
  <si>
    <t>0504 CIN 5-D</t>
  </si>
  <si>
    <t>0505 CIN 5-E</t>
  </si>
  <si>
    <t>0506 CIN 5-F</t>
  </si>
  <si>
    <t>0507 CIN 5-G</t>
  </si>
  <si>
    <t>0508 CIN 5-H</t>
  </si>
  <si>
    <t>0509 CIN 5-I</t>
  </si>
  <si>
    <t>0601 CIN 6-A</t>
  </si>
  <si>
    <t>0602 CIN 6-B</t>
  </si>
  <si>
    <t>0603 CIN 6-C</t>
  </si>
  <si>
    <t>0604 CIN 6-D</t>
  </si>
  <si>
    <t>0701 CIN 7-A</t>
  </si>
  <si>
    <t>0702 CIN 7-B</t>
  </si>
  <si>
    <t>0703 CIN 7-C</t>
  </si>
  <si>
    <t>0704 CIN 7-D</t>
  </si>
  <si>
    <t>0705 CIN 7-E</t>
  </si>
  <si>
    <t>0706 CIN 7-F</t>
  </si>
  <si>
    <t>0707 CIN 7-G</t>
  </si>
  <si>
    <t>0708 CIN 7-H</t>
  </si>
  <si>
    <t>0709 CIN 7-I</t>
  </si>
  <si>
    <t>0710 CIN 7-J</t>
  </si>
  <si>
    <t>0801 CIN 8-A</t>
  </si>
  <si>
    <t>0802 CIN 8-B</t>
  </si>
  <si>
    <t>0803 CIN 8-C</t>
  </si>
  <si>
    <t>0804 CIN 8-D</t>
  </si>
  <si>
    <t>0901 CIN 9-A</t>
  </si>
  <si>
    <t>0902 CIN 9-B</t>
  </si>
  <si>
    <t>0903 CIN 9-C</t>
  </si>
  <si>
    <t>1001 CIN 10-A</t>
  </si>
  <si>
    <t>1002 CIN 10-B</t>
  </si>
  <si>
    <t>1101 CIN 11-A</t>
  </si>
  <si>
    <t>1102 CIN 11-B</t>
  </si>
  <si>
    <t>1103 CIN 11-C</t>
  </si>
  <si>
    <t>1201 CIN 12-A</t>
  </si>
  <si>
    <t>1202 CIN 12-B</t>
  </si>
  <si>
    <t>1203 CIN 12-C</t>
  </si>
  <si>
    <t>1301 CIN 13-A</t>
  </si>
  <si>
    <t>1302 CIN 13-B</t>
  </si>
  <si>
    <t>1303 CIN 13-C</t>
  </si>
  <si>
    <t>1304 CIN 13-D</t>
  </si>
  <si>
    <t>1305 CIN 13-E</t>
  </si>
  <si>
    <t>1306 CIN 13-F</t>
  </si>
  <si>
    <t>1401 CIN 14-A</t>
  </si>
  <si>
    <t>1402 CIN 14-B</t>
  </si>
  <si>
    <t>1403 CIN 14-C</t>
  </si>
  <si>
    <t>1404 CIN 14-D</t>
  </si>
  <si>
    <t>1405 CIN 14-E</t>
  </si>
  <si>
    <t>1406 CIN 14-F</t>
  </si>
  <si>
    <t>1407 CIN 14-G</t>
  </si>
  <si>
    <t>1408 CIN 14-H</t>
  </si>
  <si>
    <t>1409 CIN 14-I</t>
  </si>
  <si>
    <t>1501 CIN 15-A</t>
  </si>
  <si>
    <t>1502 CIN 15-B</t>
  </si>
  <si>
    <t>1503 CIN 15-C</t>
  </si>
  <si>
    <t>1504 CIN 15-D</t>
  </si>
  <si>
    <t>1505 CIN 15-E</t>
  </si>
  <si>
    <t>1506 CIN 15-F</t>
  </si>
  <si>
    <t>1507 CIN 15-G</t>
  </si>
  <si>
    <t>1508 CIN 15-H</t>
  </si>
  <si>
    <t>1509 CIN 15-I</t>
  </si>
  <si>
    <t>1510 CIN 15-J</t>
  </si>
  <si>
    <t>1601 CIN 16-A</t>
  </si>
  <si>
    <t>1701 CIN 17-A</t>
  </si>
  <si>
    <t>1702 CIN 17-B</t>
  </si>
  <si>
    <t>1703 CIN 17-C</t>
  </si>
  <si>
    <t>1801 CIN 18-A</t>
  </si>
  <si>
    <t>1802 CIN 18-B</t>
  </si>
  <si>
    <t>1901 CIN 19-A</t>
  </si>
  <si>
    <t>1902 CIN 19-B</t>
  </si>
  <si>
    <t>1903 CIN 19-C</t>
  </si>
  <si>
    <t>1904 CIN 19-D</t>
  </si>
  <si>
    <t>2001 CIN 20-A</t>
  </si>
  <si>
    <t>2002 CIN 20-B</t>
  </si>
  <si>
    <t>2003 CIN 20-C</t>
  </si>
  <si>
    <t>2004 CIN 20-D</t>
  </si>
  <si>
    <t>2101 CIN 21-A</t>
  </si>
  <si>
    <t>2102 CIN 21-B</t>
  </si>
  <si>
    <t>2103 CIN 21-C</t>
  </si>
  <si>
    <t>2104 CIN 21-D</t>
  </si>
  <si>
    <t>2201 CIN 22-A</t>
  </si>
  <si>
    <t>2202 CIN 22-B</t>
  </si>
  <si>
    <t>2203 CIN 22-C</t>
  </si>
  <si>
    <t>2301 CIN 23-A</t>
  </si>
  <si>
    <t>2302 CIN 23-B</t>
  </si>
  <si>
    <t>2303 CIN 23-C</t>
  </si>
  <si>
    <t>2304 CIN 23-D</t>
  </si>
  <si>
    <t>2305 CIN 23-E</t>
  </si>
  <si>
    <t>2306 CIN 23-F</t>
  </si>
  <si>
    <t>2307 CIN 23-G</t>
  </si>
  <si>
    <t>2308 CIN 23-H</t>
  </si>
  <si>
    <t>2309 CIN 23-I</t>
  </si>
  <si>
    <t>2310 CIN 23-J</t>
  </si>
  <si>
    <t>2311 CIN 23-K</t>
  </si>
  <si>
    <t>2312 CIN 23-L</t>
  </si>
  <si>
    <t>2313 CIN 23-M</t>
  </si>
  <si>
    <t>2314 CIN 23-N</t>
  </si>
  <si>
    <t>2315 CIN 23-O</t>
  </si>
  <si>
    <t>2316 CIN 23-P</t>
  </si>
  <si>
    <t>2317 CIN 23-Q</t>
  </si>
  <si>
    <t>2318 CIN 23-R</t>
  </si>
  <si>
    <t>2401 CIN 24-A</t>
  </si>
  <si>
    <t>2402 CIN 24-B</t>
  </si>
  <si>
    <t>2403 CIN 24-C</t>
  </si>
  <si>
    <t>2404 CIN 24-D</t>
  </si>
  <si>
    <t>2405 CIN 24-E</t>
  </si>
  <si>
    <t>2406 CIN 24-F</t>
  </si>
  <si>
    <t>2407 CIN 24-G</t>
  </si>
  <si>
    <t>2408 CIN 24-H</t>
  </si>
  <si>
    <t>2409 CIN 24-I</t>
  </si>
  <si>
    <t>2501 CIN 25-A</t>
  </si>
  <si>
    <t>2502 CIN 25-B</t>
  </si>
  <si>
    <t>2503 CIN 25-C</t>
  </si>
  <si>
    <t>2504 CIN 25-D</t>
  </si>
  <si>
    <t>2505 CIN 25-E</t>
  </si>
  <si>
    <t>2506 CIN 25-F</t>
  </si>
  <si>
    <t>2507 CIN 25-G</t>
  </si>
  <si>
    <t>2508 CIN 25-H</t>
  </si>
  <si>
    <t>2509 CIN 25-I</t>
  </si>
  <si>
    <t>2510 CIN 25-J</t>
  </si>
  <si>
    <t>2511 CIN 25-K</t>
  </si>
  <si>
    <t>2601 CIN 26-A</t>
  </si>
  <si>
    <t>2602 CIN 26-B</t>
  </si>
  <si>
    <t>2603 CIN 26-C</t>
  </si>
  <si>
    <t>2604 CIN 26-D</t>
  </si>
  <si>
    <t>2605 CIN 26-E</t>
  </si>
  <si>
    <t>2606 CIN 26-F</t>
  </si>
  <si>
    <t>2607 CIN 26-G</t>
  </si>
  <si>
    <t>2608 CIN 26-H</t>
  </si>
  <si>
    <t>2609 CIN 26-I</t>
  </si>
  <si>
    <t>2610 CIN 26-J</t>
  </si>
  <si>
    <t>2611 CIN 26-K</t>
  </si>
  <si>
    <t>2612 CIN 26-L</t>
  </si>
  <si>
    <t>2613 CIN 26-M</t>
  </si>
  <si>
    <t>2614 CIN 26-N</t>
  </si>
  <si>
    <t>2615 CIN 26-O</t>
  </si>
  <si>
    <t>2616 CIN 26-P</t>
  </si>
  <si>
    <t>2811 BLUE 1-A</t>
  </si>
  <si>
    <t>2812 BLUE 1-B</t>
  </si>
  <si>
    <t>2821 BLUE 2-A</t>
  </si>
  <si>
    <t>2822 BLUE 2-B</t>
  </si>
  <si>
    <t>2823 BLUE 2-C</t>
  </si>
  <si>
    <t>2831 BLUE 3-A</t>
  </si>
  <si>
    <t>2832 BLUE 3-B</t>
  </si>
  <si>
    <t>2841 BLUE 4-A</t>
  </si>
  <si>
    <t>2851 BLUE 5-A</t>
  </si>
  <si>
    <t>2852 BLUE 5-B</t>
  </si>
  <si>
    <t>2911 CHEV 1-A</t>
  </si>
  <si>
    <t>2921 CHEV 2-A</t>
  </si>
  <si>
    <t>2931 CHEV 3-A</t>
  </si>
  <si>
    <t>2941 CHEV 4-A</t>
  </si>
  <si>
    <t>3111 DR PK 1-A</t>
  </si>
  <si>
    <t>3121 DR PK 2-A</t>
  </si>
  <si>
    <t>3131 DR PK 3-A</t>
  </si>
  <si>
    <t>3141 DR PK 4-A</t>
  </si>
  <si>
    <t>3201 FR PK A</t>
  </si>
  <si>
    <t>3202 FR PK B</t>
  </si>
  <si>
    <t>3203 FR PK C</t>
  </si>
  <si>
    <t>3204 FR PK D</t>
  </si>
  <si>
    <t>3205 FR PK E</t>
  </si>
  <si>
    <t>3206 FR PK F</t>
  </si>
  <si>
    <t>3207 FR PK G</t>
  </si>
  <si>
    <t>3208 FR PK H</t>
  </si>
  <si>
    <t>3209 FR PK I</t>
  </si>
  <si>
    <t>3210 FR PK J</t>
  </si>
  <si>
    <t>3211 FR PK K</t>
  </si>
  <si>
    <t>3212 FR PK L</t>
  </si>
  <si>
    <t>3213 FR PK M</t>
  </si>
  <si>
    <t>3401 HARR A</t>
  </si>
  <si>
    <t>3402 HARR B</t>
  </si>
  <si>
    <t>3403 HARR C</t>
  </si>
  <si>
    <t>3404 HARR D</t>
  </si>
  <si>
    <t>3405 HARR E</t>
  </si>
  <si>
    <t>3501 IND HLL A</t>
  </si>
  <si>
    <t>3502 IND HLL B</t>
  </si>
  <si>
    <t>3503 IND HLL C</t>
  </si>
  <si>
    <t>3504 IND HLL D</t>
  </si>
  <si>
    <t>3505 IND HLL E</t>
  </si>
  <si>
    <t>3506 IND HLL F</t>
  </si>
  <si>
    <t>3701 LOVE A</t>
  </si>
  <si>
    <t>3702 LOVE B</t>
  </si>
  <si>
    <t>3703 LOVE C</t>
  </si>
  <si>
    <t>3704 LOVE D</t>
  </si>
  <si>
    <t>3705 LOVE E</t>
  </si>
  <si>
    <t>3706 LOVE F</t>
  </si>
  <si>
    <t>3707 LOVE G</t>
  </si>
  <si>
    <t>3801 MADRA A</t>
  </si>
  <si>
    <t>3802 MADRA B</t>
  </si>
  <si>
    <t>3803 MADRA C</t>
  </si>
  <si>
    <t>3804 MADRA D</t>
  </si>
  <si>
    <t>3805 MADRA E</t>
  </si>
  <si>
    <t>3806 MADRA F</t>
  </si>
  <si>
    <t>3807 MADRA G</t>
  </si>
  <si>
    <t>3808 MADRA H</t>
  </si>
  <si>
    <t>4001 MONT A</t>
  </si>
  <si>
    <t>4002 MONT B</t>
  </si>
  <si>
    <t>4003 MONT C</t>
  </si>
  <si>
    <t>4004 MONT D</t>
  </si>
  <si>
    <t>4005 MONT E</t>
  </si>
  <si>
    <t>4006 MONT F</t>
  </si>
  <si>
    <t>4007 MONT G</t>
  </si>
  <si>
    <t>4008 MONT H</t>
  </si>
  <si>
    <t>4009 MONT I</t>
  </si>
  <si>
    <t>4111 MTHY 1-A</t>
  </si>
  <si>
    <t>4121 MTHY 2-A</t>
  </si>
  <si>
    <t>4131 MTHY 3-A</t>
  </si>
  <si>
    <t>4141 MTHY 4-A</t>
  </si>
  <si>
    <t>4311 NCH 1-A</t>
  </si>
  <si>
    <t>4312 NCH 1-B</t>
  </si>
  <si>
    <t>4321 NCH 2-A</t>
  </si>
  <si>
    <t>4331 NCH 3-A</t>
  </si>
  <si>
    <t>4341 NCH 4-A</t>
  </si>
  <si>
    <t>4342 NCH 4-B</t>
  </si>
  <si>
    <t>4343 NCH 4-C</t>
  </si>
  <si>
    <t>4411 NORW 1-A</t>
  </si>
  <si>
    <t>4412 NORW 1-B</t>
  </si>
  <si>
    <t>4421 NORW 2-A</t>
  </si>
  <si>
    <t>4422 NORW 2-B</t>
  </si>
  <si>
    <t>4423 NORW 2-C</t>
  </si>
  <si>
    <t>4431 NORW 3-A</t>
  </si>
  <si>
    <t>4432 NORW 3-B</t>
  </si>
  <si>
    <t>4433 NORW 3-C</t>
  </si>
  <si>
    <t>4441 NORW 4-A</t>
  </si>
  <si>
    <t>4442 NORW 4-B</t>
  </si>
  <si>
    <t>4443 NORW 4-C</t>
  </si>
  <si>
    <t>4611 READ 1-A</t>
  </si>
  <si>
    <t>4612 READ 1-B</t>
  </si>
  <si>
    <t>4621 READ 2-A</t>
  </si>
  <si>
    <t>4622 READ 2-B</t>
  </si>
  <si>
    <t>4631 READ 3-A</t>
  </si>
  <si>
    <t>4632 READ 3-B</t>
  </si>
  <si>
    <t>4641 READ 4-A</t>
  </si>
  <si>
    <t>4642 READ 4-B</t>
  </si>
  <si>
    <t>4911 SHAR 1-A</t>
  </si>
  <si>
    <t>4912 SHAR 1-B</t>
  </si>
  <si>
    <t>4921 SHAR 2-A</t>
  </si>
  <si>
    <t>4931 SHAR 3-A</t>
  </si>
  <si>
    <t>4932 SHAR 3-B</t>
  </si>
  <si>
    <t>4941 SHAR 4-A</t>
  </si>
  <si>
    <t>4942 SHAR 4-B</t>
  </si>
  <si>
    <t>5201 SPDALE A</t>
  </si>
  <si>
    <t>5202 SPDALE B</t>
  </si>
  <si>
    <t>5203 SPDALE C</t>
  </si>
  <si>
    <t>5204 SPDALE D</t>
  </si>
  <si>
    <t>5205 SPDALE E</t>
  </si>
  <si>
    <t>5206 SPDALE F</t>
  </si>
  <si>
    <t>5207 SPDALE G</t>
  </si>
  <si>
    <t>5208 SPDALE H</t>
  </si>
  <si>
    <t>5301 WYOM A</t>
  </si>
  <si>
    <t>5302 WYOM B</t>
  </si>
  <si>
    <t>5303 WYOM C</t>
  </si>
  <si>
    <t>5304 WYOM D</t>
  </si>
  <si>
    <t>5305 WYOM E</t>
  </si>
  <si>
    <t>VILLAGE OF SAINT BERNARD</t>
  </si>
  <si>
    <t>VILLAGE OF SILVERTON</t>
  </si>
  <si>
    <t>5501 AMBER A</t>
  </si>
  <si>
    <t>5502 AMBER B</t>
  </si>
  <si>
    <t>5503 AMBER C</t>
  </si>
  <si>
    <t>5504 AMBER D</t>
  </si>
  <si>
    <t>5601 AND A</t>
  </si>
  <si>
    <t>5602 AND B</t>
  </si>
  <si>
    <t>5603 AND C</t>
  </si>
  <si>
    <t>5604 AND D</t>
  </si>
  <si>
    <t>5605 AND E</t>
  </si>
  <si>
    <t>5606 AND F</t>
  </si>
  <si>
    <t>5607 AND G</t>
  </si>
  <si>
    <t>5608 AND H</t>
  </si>
  <si>
    <t>5609 AND I</t>
  </si>
  <si>
    <t>5610 AND J</t>
  </si>
  <si>
    <t>5611 AND K</t>
  </si>
  <si>
    <t>5612 AND L</t>
  </si>
  <si>
    <t>5613 AND M</t>
  </si>
  <si>
    <t>5614 AND N</t>
  </si>
  <si>
    <t>5615 AND O</t>
  </si>
  <si>
    <t>5616 AND P</t>
  </si>
  <si>
    <t>5617 AND Q</t>
  </si>
  <si>
    <t>5618 AND R</t>
  </si>
  <si>
    <t>5619 AND S</t>
  </si>
  <si>
    <t>5620 AND T</t>
  </si>
  <si>
    <t>5621 AND U</t>
  </si>
  <si>
    <t>5622 AND V</t>
  </si>
  <si>
    <t>5623 AND W</t>
  </si>
  <si>
    <t>5624 AND X</t>
  </si>
  <si>
    <t>5625 AND Y</t>
  </si>
  <si>
    <t>5626 AND Z</t>
  </si>
  <si>
    <t>5627 AND AA</t>
  </si>
  <si>
    <t>5628 AND BB</t>
  </si>
  <si>
    <t>5629 AND CC</t>
  </si>
  <si>
    <t>5630 AND DD</t>
  </si>
  <si>
    <t>5631 AND EE</t>
  </si>
  <si>
    <t>5632 AND FF</t>
  </si>
  <si>
    <t>5801 ARLN A</t>
  </si>
  <si>
    <t>5901 COLE A</t>
  </si>
  <si>
    <t>5902 COLE B</t>
  </si>
  <si>
    <t>5903 COLE C</t>
  </si>
  <si>
    <t>5904 COLE D</t>
  </si>
  <si>
    <t>5905 COLE E</t>
  </si>
  <si>
    <t>5906 COLE F</t>
  </si>
  <si>
    <t>5907 COLE G</t>
  </si>
  <si>
    <t>5908 COLE H</t>
  </si>
  <si>
    <t>5909 COLE I</t>
  </si>
  <si>
    <t>5910 COLE J</t>
  </si>
  <si>
    <t>5911 COLE K</t>
  </si>
  <si>
    <t>5912 COLE L</t>
  </si>
  <si>
    <t>5913 COLE M</t>
  </si>
  <si>
    <t>5914 COLE N</t>
  </si>
  <si>
    <t>5915 COLE O</t>
  </si>
  <si>
    <t>5916 COLE P</t>
  </si>
  <si>
    <t>5917 COLE Q</t>
  </si>
  <si>
    <t>5918 COLE R</t>
  </si>
  <si>
    <t>5919 COLE S</t>
  </si>
  <si>
    <t>5920 COLE T</t>
  </si>
  <si>
    <t>5921 COLE U</t>
  </si>
  <si>
    <t>5922 COLE V</t>
  </si>
  <si>
    <t>5923 COLE W</t>
  </si>
  <si>
    <t>5924 COLE X</t>
  </si>
  <si>
    <t>5925 COLE Y</t>
  </si>
  <si>
    <t>5926 COLE Z</t>
  </si>
  <si>
    <t>5927 COLE AA</t>
  </si>
  <si>
    <t>5928 COLE BB</t>
  </si>
  <si>
    <t>5929 COLE CC</t>
  </si>
  <si>
    <t>5930 COLE DD</t>
  </si>
  <si>
    <t>5931 COLE EE</t>
  </si>
  <si>
    <t>5932 COLE FF</t>
  </si>
  <si>
    <t>5933 COLE GG</t>
  </si>
  <si>
    <t>5934 COLE HH</t>
  </si>
  <si>
    <t>5935 COLE II</t>
  </si>
  <si>
    <t>5936 COLE JJ</t>
  </si>
  <si>
    <t>5937 COLE KK</t>
  </si>
  <si>
    <t>5938 COLE LL</t>
  </si>
  <si>
    <t>6201 COLUM A</t>
  </si>
  <si>
    <t>6202 COLUM B</t>
  </si>
  <si>
    <t>6203 COLUM C</t>
  </si>
  <si>
    <t>6204 COLUM D</t>
  </si>
  <si>
    <t>6205 COLUM E</t>
  </si>
  <si>
    <t>6206 COLUM F</t>
  </si>
  <si>
    <t>6207 COLUM G</t>
  </si>
  <si>
    <t>6208 COLUM H</t>
  </si>
  <si>
    <t>6209 COLUM I</t>
  </si>
  <si>
    <t>6401 CROSB A</t>
  </si>
  <si>
    <t>6402 CROSB B</t>
  </si>
  <si>
    <t>6501 DELHI A</t>
  </si>
  <si>
    <t>6502 DELHI B</t>
  </si>
  <si>
    <t>6503 DELHI C</t>
  </si>
  <si>
    <t>6504 DELHI D</t>
  </si>
  <si>
    <t>6505 DELHI E</t>
  </si>
  <si>
    <t>6506 DELHI F</t>
  </si>
  <si>
    <t>6507 DELHI G</t>
  </si>
  <si>
    <t>6508 DELHI H</t>
  </si>
  <si>
    <t>6509 DELHI I</t>
  </si>
  <si>
    <t>6510 DELHI J</t>
  </si>
  <si>
    <t>6511 DELHI K</t>
  </si>
  <si>
    <t>6512 DELHI L</t>
  </si>
  <si>
    <t>6513 DELHI M</t>
  </si>
  <si>
    <t>6514 DELHI N</t>
  </si>
  <si>
    <t>6515 DELHI O</t>
  </si>
  <si>
    <t>6516 DELHI P</t>
  </si>
  <si>
    <t>6517 DELHI Q</t>
  </si>
  <si>
    <t>6518 DELHI R</t>
  </si>
  <si>
    <t>6519 DELHI S</t>
  </si>
  <si>
    <t>6701 ELMW A</t>
  </si>
  <si>
    <t>6801 EVEN A</t>
  </si>
  <si>
    <t>6802 EVEN B</t>
  </si>
  <si>
    <t>6803 EVEN C</t>
  </si>
  <si>
    <t>6901 FAIRFX A</t>
  </si>
  <si>
    <t>7001 GLEN A</t>
  </si>
  <si>
    <t>7002 GLEN B</t>
  </si>
  <si>
    <t>7101 GOLF A</t>
  </si>
  <si>
    <t>7102 GOLF B</t>
  </si>
  <si>
    <t>7301 GREEN A</t>
  </si>
  <si>
    <t>7302 GREEN B</t>
  </si>
  <si>
    <t>7303 GREEN C</t>
  </si>
  <si>
    <t>7304 GREEN D</t>
  </si>
  <si>
    <t>7305 GREEN E</t>
  </si>
  <si>
    <t>7306 GREEN F</t>
  </si>
  <si>
    <t>7307 GREEN G</t>
  </si>
  <si>
    <t>7308 GREEN H</t>
  </si>
  <si>
    <t>7309 GREEN I</t>
  </si>
  <si>
    <t>7310 GREEN J</t>
  </si>
  <si>
    <t>7311 GREEN K</t>
  </si>
  <si>
    <t>7312 GREEN L</t>
  </si>
  <si>
    <t>7313 GREEN M</t>
  </si>
  <si>
    <t>7314 GREEN N</t>
  </si>
  <si>
    <t>7315 GREEN O</t>
  </si>
  <si>
    <t>7316 GREEN P</t>
  </si>
  <si>
    <t>7317 GREEN Q</t>
  </si>
  <si>
    <t>7318 GREEN R</t>
  </si>
  <si>
    <t>7319 GREEN S</t>
  </si>
  <si>
    <t>7320 GREEN T</t>
  </si>
  <si>
    <t>7321 GREEN U</t>
  </si>
  <si>
    <t>7322 GREEN V</t>
  </si>
  <si>
    <t>7323 GREEN W</t>
  </si>
  <si>
    <t>7324 GREEN X</t>
  </si>
  <si>
    <t>7325 GREEN Y</t>
  </si>
  <si>
    <t>7326 GREEN Z</t>
  </si>
  <si>
    <t>7327 GREEN AA</t>
  </si>
  <si>
    <t>7328 GREEN BB</t>
  </si>
  <si>
    <t>7329 GREEN CC</t>
  </si>
  <si>
    <t>7330 GREEN DD</t>
  </si>
  <si>
    <t>7331 GREEN EE</t>
  </si>
  <si>
    <t>7332 GREEN FF</t>
  </si>
  <si>
    <t>7333 GREEN GG</t>
  </si>
  <si>
    <t>7334 GREEN HH</t>
  </si>
  <si>
    <t>7335 GREEN II</t>
  </si>
  <si>
    <t>7336 GREEN JJ</t>
  </si>
  <si>
    <t>7337 GREEN KK</t>
  </si>
  <si>
    <t>7338 GREEN LL</t>
  </si>
  <si>
    <t>7339 GREEN MM</t>
  </si>
  <si>
    <t>7340 GREEN NN</t>
  </si>
  <si>
    <t>7341 GREEN OO</t>
  </si>
  <si>
    <t>7342 GREEN PP</t>
  </si>
  <si>
    <t>7343 GREEN QQ</t>
  </si>
  <si>
    <t>7401 GR HL A</t>
  </si>
  <si>
    <t>7402 GR HL B</t>
  </si>
  <si>
    <t>7403 GR HL C</t>
  </si>
  <si>
    <t>7601 HARR AA</t>
  </si>
  <si>
    <t>7602 HARR BB</t>
  </si>
  <si>
    <t>7603 HARR CC</t>
  </si>
  <si>
    <t>7701 LIN HT A</t>
  </si>
  <si>
    <t>7702 LIN HT B</t>
  </si>
  <si>
    <t>7901 LOCK A</t>
  </si>
  <si>
    <t>7902 LOCK B</t>
  </si>
  <si>
    <t>8001 MARMT A</t>
  </si>
  <si>
    <t>8002 MARMT B</t>
  </si>
  <si>
    <t>8211 ADDY A</t>
  </si>
  <si>
    <t>8221 CLEVE A</t>
  </si>
  <si>
    <t>8222 CLEVE B</t>
  </si>
  <si>
    <t>8231 NO BEND A</t>
  </si>
  <si>
    <t>8301 MIAMI A</t>
  </si>
  <si>
    <t>8302 MIAMI B</t>
  </si>
  <si>
    <t>8303 MIAMI C</t>
  </si>
  <si>
    <t>8304 MIAMI D</t>
  </si>
  <si>
    <t>8305 MIAMI E</t>
  </si>
  <si>
    <t>8306 MIAMI F</t>
  </si>
  <si>
    <t>8307 MIAMI G</t>
  </si>
  <si>
    <t>8308 MIAMI H</t>
  </si>
  <si>
    <t>8401 NEWT A</t>
  </si>
  <si>
    <t>8402 NEWT B</t>
  </si>
  <si>
    <t>8511 ST BN 1-A</t>
  </si>
  <si>
    <t>8521 ST BN 2-A</t>
  </si>
  <si>
    <t>8531 ST BN 3-A</t>
  </si>
  <si>
    <t>8541 ST BN 4-A</t>
  </si>
  <si>
    <t>8601 SILVT A</t>
  </si>
  <si>
    <t>8602 SILVT B</t>
  </si>
  <si>
    <t>8603 SILVT C</t>
  </si>
  <si>
    <t>8701 SPFLD A</t>
  </si>
  <si>
    <t>8702 SPFLD B</t>
  </si>
  <si>
    <t>8703 SPFLD C</t>
  </si>
  <si>
    <t>8704 SPFLD D</t>
  </si>
  <si>
    <t>8705 SPFLD E</t>
  </si>
  <si>
    <t>8706 SPFLD F</t>
  </si>
  <si>
    <t>8707 SPFLD G</t>
  </si>
  <si>
    <t>8708 SPFLD H</t>
  </si>
  <si>
    <t>8709 SPFLD I</t>
  </si>
  <si>
    <t>8710 SPFLD J</t>
  </si>
  <si>
    <t>8711 SPFLD K</t>
  </si>
  <si>
    <t>8712 SPFLD L</t>
  </si>
  <si>
    <t>8713 SPFLD M</t>
  </si>
  <si>
    <t>8714 SPFLD N</t>
  </si>
  <si>
    <t>8715 SPFLD O</t>
  </si>
  <si>
    <t>8716 SPFLD P</t>
  </si>
  <si>
    <t>8717 SPFLD Q</t>
  </si>
  <si>
    <t>8718 SPFLD R</t>
  </si>
  <si>
    <t>8719 SPFLD S</t>
  </si>
  <si>
    <t>8720 SPFLD T</t>
  </si>
  <si>
    <t>8721 SPFLD U</t>
  </si>
  <si>
    <t>8722 SPFLD V</t>
  </si>
  <si>
    <t>8723 SPFLD W</t>
  </si>
  <si>
    <t>8724 SPFLD X</t>
  </si>
  <si>
    <t>8725 SPFLD Y</t>
  </si>
  <si>
    <t>8726 SPFLD Z</t>
  </si>
  <si>
    <t>8727 SPFLD AA</t>
  </si>
  <si>
    <t>8728 SPFLD BB</t>
  </si>
  <si>
    <t>8901 SYCAM A</t>
  </si>
  <si>
    <t>8902 SYCAM B</t>
  </si>
  <si>
    <t>8903 SYCAM C</t>
  </si>
  <si>
    <t>8904 SYCAM D</t>
  </si>
  <si>
    <t>8905 SYCAM E</t>
  </si>
  <si>
    <t>8906 SYCAM F</t>
  </si>
  <si>
    <t>8907 SYCAM G</t>
  </si>
  <si>
    <t>8908 SYCAM H</t>
  </si>
  <si>
    <t>8909 SYCAM I</t>
  </si>
  <si>
    <t>8910 SYCAM J</t>
  </si>
  <si>
    <t>8911 SYCAM K</t>
  </si>
  <si>
    <t>8912 SYCAM L</t>
  </si>
  <si>
    <t>8913 SYCAM M</t>
  </si>
  <si>
    <t>8914 SYCAM N</t>
  </si>
  <si>
    <t>9101 SYMM A</t>
  </si>
  <si>
    <t>9102 SYMM B</t>
  </si>
  <si>
    <t>9103 SYMM C</t>
  </si>
  <si>
    <t>9104 SYMM D</t>
  </si>
  <si>
    <t>9105 SYMM E</t>
  </si>
  <si>
    <t>9106 SYMM F</t>
  </si>
  <si>
    <t>9107 SYMM G</t>
  </si>
  <si>
    <t>9108 SYMM H</t>
  </si>
  <si>
    <t>9109 SYMM I</t>
  </si>
  <si>
    <t>9110 SYMM J</t>
  </si>
  <si>
    <t>9111 SYMM K</t>
  </si>
  <si>
    <t>9112 SYMM L</t>
  </si>
  <si>
    <t>9301 TER PK A</t>
  </si>
  <si>
    <t>9302 TER PK B</t>
  </si>
  <si>
    <t>9501 WHWTR A</t>
  </si>
  <si>
    <t>9502 WHWTR B</t>
  </si>
  <si>
    <t>9503 WHWTR C</t>
  </si>
  <si>
    <t>9701 WOOD A</t>
  </si>
  <si>
    <t>9702 WOOD B</t>
  </si>
  <si>
    <t>WARD 1 -13-</t>
  </si>
  <si>
    <t>WARD 2 -11-</t>
  </si>
  <si>
    <t>WARD 3 -5-</t>
  </si>
  <si>
    <t>WARD 4 -8-</t>
  </si>
  <si>
    <t>WARD 5 -9-</t>
  </si>
  <si>
    <t>WARD 8 -4-</t>
  </si>
  <si>
    <t>WARD 14 -9-</t>
  </si>
  <si>
    <t>WARD 15 -10-</t>
  </si>
  <si>
    <t>WARD 17 -3-</t>
  </si>
  <si>
    <t>WARD 18 -2-</t>
  </si>
  <si>
    <t>WARD 19 -4-</t>
  </si>
  <si>
    <t>WARD 22 -3-</t>
  </si>
  <si>
    <t>WARD 23 -18-</t>
  </si>
  <si>
    <t>WARD 24 -9-</t>
  </si>
  <si>
    <t>CHEVIOT CTY -4-</t>
  </si>
  <si>
    <t>LOVELAND CTY -7-</t>
  </si>
  <si>
    <t>MADEIRA CTY -8-</t>
  </si>
  <si>
    <t>MONTGOMERY CTY -9-</t>
  </si>
  <si>
    <t>MT HEALTHY CTY -4-</t>
  </si>
  <si>
    <t>READING CTY -8-</t>
  </si>
  <si>
    <t>SHARONVILLE CTY -7-</t>
  </si>
  <si>
    <t>ANDERSON TWP -32-</t>
  </si>
  <si>
    <t>COLERAIN TWP -38-</t>
  </si>
  <si>
    <t>COLUMBIA TWP -9-</t>
  </si>
  <si>
    <t>SYCAMORE TWP -14-</t>
  </si>
  <si>
    <t>SYMMES TWP -12-</t>
  </si>
  <si>
    <t>WHITEWATER TWP -3-</t>
  </si>
  <si>
    <t>ELMWOOD VIL -1-</t>
  </si>
  <si>
    <t>LINCOLN HTS VIL -2-</t>
  </si>
  <si>
    <t>LOCKLAND VIL -2-</t>
  </si>
  <si>
    <t>ST BERNARD VIL -4-</t>
  </si>
  <si>
    <t>SILVERTON VIL -3-</t>
  </si>
  <si>
    <t>WOODLAWN VIL -2-</t>
  </si>
  <si>
    <t>7TH SENATE -91-</t>
  </si>
  <si>
    <t>JUDICIAL DIST 6 -87-</t>
  </si>
  <si>
    <t>DR PK SCH -10-</t>
  </si>
  <si>
    <t>IND HILL SCH -17-</t>
  </si>
  <si>
    <t>LOVELAND SCH -13-</t>
  </si>
  <si>
    <t>MADEIRA SCH -10-</t>
  </si>
  <si>
    <t>NCH SCH DIST -10-</t>
  </si>
  <si>
    <t>ST BER-ELM SCH -5-</t>
  </si>
  <si>
    <t>FOR HILLS SCH -34-</t>
  </si>
  <si>
    <t>LOCKLAND SCH -3-</t>
  </si>
  <si>
    <t>NORTHWEST SCH -57-</t>
  </si>
  <si>
    <t>SPRINGDALE CTY -8-</t>
  </si>
  <si>
    <t>PRINCETON SCH -29-</t>
  </si>
  <si>
    <t>CROSBY TWP -3-</t>
  </si>
  <si>
    <t>SYCAMORE SCH -35-</t>
  </si>
  <si>
    <t>SAINT BERNARD -4-</t>
  </si>
  <si>
    <t>SILVERTON -3-</t>
  </si>
  <si>
    <t>1204 CIN 12-D</t>
  </si>
  <si>
    <t>1205 CIN 12-E</t>
  </si>
  <si>
    <t>1307 CIN 13-G</t>
  </si>
  <si>
    <t>1308 CIN 13-H</t>
  </si>
  <si>
    <t>0711 CIN 7-K</t>
  </si>
  <si>
    <t>0904 CIN 9-D</t>
  </si>
  <si>
    <t>1003 CIN 10-C</t>
  </si>
  <si>
    <t>2005 CIN 20-E</t>
  </si>
  <si>
    <t>2105 CIN 21-E</t>
  </si>
  <si>
    <t>2512 CIN 25-L</t>
  </si>
  <si>
    <t>2617 CIN 26-Q</t>
  </si>
  <si>
    <t>2618 CIN 26-R</t>
  </si>
  <si>
    <t>2619 CIN 26-S</t>
  </si>
  <si>
    <t>3406 HARR F</t>
  </si>
  <si>
    <t>WARD 26 -19-</t>
  </si>
  <si>
    <t>WARD 7 -11-</t>
  </si>
  <si>
    <t>WARD 9 -4-</t>
  </si>
  <si>
    <t>WARD 10 -3-</t>
  </si>
  <si>
    <t>WARD 12 -5-</t>
  </si>
  <si>
    <t>WARD 13 -8-</t>
  </si>
  <si>
    <t>WARD 20 -5-</t>
  </si>
  <si>
    <t>WARD 21 -5-</t>
  </si>
  <si>
    <t>WARD 25 -12-</t>
  </si>
  <si>
    <t>9TH SENATE -230-</t>
  </si>
  <si>
    <t>8TH SENATE -238-</t>
  </si>
  <si>
    <t>JUDICIAL DIST 2 -74-</t>
  </si>
  <si>
    <t>JUDICIAL DIST 3 -83-</t>
  </si>
  <si>
    <t>JUDICIAL DIST 7 -71-</t>
  </si>
  <si>
    <t>READING SCH -9-</t>
  </si>
  <si>
    <t>VILLAGE OF ELMWOOD PL</t>
  </si>
  <si>
    <t>CITY OF SHARONVILLE</t>
  </si>
  <si>
    <t>2841 BLUE 4-B</t>
  </si>
  <si>
    <t>0604 CIN 6-E</t>
  </si>
  <si>
    <t>1104 CIN 11-D</t>
  </si>
  <si>
    <t>4413 NORW 1-C</t>
  </si>
  <si>
    <t>CINTI CTY -190-</t>
  </si>
  <si>
    <t>WARD 6 -5-</t>
  </si>
  <si>
    <t>WARD 11 -4-</t>
  </si>
  <si>
    <t>BLUE ASH CTY -11-</t>
  </si>
  <si>
    <t>NORWOOD CTY -12-</t>
  </si>
  <si>
    <t>Member of Council By Ward                                                                                                       (Vote for 1)</t>
  </si>
  <si>
    <t>Member of Council By Ward  (Vote for 1)</t>
  </si>
  <si>
    <t>0605 CIN 6-E</t>
  </si>
  <si>
    <t>2842 BLUE 4-B</t>
  </si>
  <si>
    <t>1ST CONG -338-</t>
  </si>
  <si>
    <t>2ND CONG -225-</t>
  </si>
  <si>
    <t>JUDICIAL DIST 1 -54-</t>
  </si>
  <si>
    <t>JUDICIAL DIST 4 -87-</t>
  </si>
  <si>
    <t>JUDICIAL DIST 5 -107-</t>
  </si>
  <si>
    <t>CIN SCH -232-</t>
  </si>
  <si>
    <r>
      <t xml:space="preserve">Ward 2              </t>
    </r>
    <r>
      <rPr>
        <b/>
        <i/>
        <sz val="8"/>
        <rFont val="Arial"/>
        <family val="2"/>
      </rPr>
      <t>2 year term</t>
    </r>
  </si>
  <si>
    <r>
      <t xml:space="preserve">Ward 4                </t>
    </r>
    <r>
      <rPr>
        <b/>
        <i/>
        <sz val="8"/>
        <rFont val="Arial"/>
        <family val="2"/>
      </rPr>
      <t>2 year term</t>
    </r>
  </si>
  <si>
    <r>
      <t xml:space="preserve">Dist B                   </t>
    </r>
    <r>
      <rPr>
        <b/>
        <i/>
        <sz val="8"/>
        <rFont val="Arial"/>
        <family val="2"/>
      </rPr>
      <t>2 year term</t>
    </r>
  </si>
  <si>
    <r>
      <t xml:space="preserve">Dist C              </t>
    </r>
    <r>
      <rPr>
        <b/>
        <i/>
        <sz val="8"/>
        <rFont val="Arial"/>
        <family val="2"/>
      </rPr>
      <t xml:space="preserve">  2 year term</t>
    </r>
  </si>
  <si>
    <r>
      <t xml:space="preserve">Dist E                </t>
    </r>
    <r>
      <rPr>
        <b/>
        <i/>
        <sz val="8"/>
        <rFont val="Arial"/>
        <family val="2"/>
      </rPr>
      <t>2 year term</t>
    </r>
  </si>
  <si>
    <r>
      <t xml:space="preserve">Ward 2                                                                   </t>
    </r>
    <r>
      <rPr>
        <b/>
        <i/>
        <sz val="8"/>
        <rFont val="Arial"/>
        <family val="2"/>
      </rPr>
      <t>2 year term</t>
    </r>
  </si>
  <si>
    <t>Robert D. Tankersley   (Rep)</t>
  </si>
  <si>
    <t>VILLAGE OF GREENHILLS</t>
  </si>
  <si>
    <r>
      <t xml:space="preserve">Member of Council                                                                      (Vote for 3)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</si>
  <si>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r>
      <t xml:space="preserve">Dist A                                                  </t>
    </r>
    <r>
      <rPr>
        <b/>
        <i/>
        <sz val="8"/>
        <rFont val="Arial"/>
        <family val="2"/>
      </rPr>
      <t>2 year term</t>
    </r>
  </si>
  <si>
    <t>Member of Council by District                                                                                 (Vote for 1)</t>
  </si>
  <si>
    <r>
      <t xml:space="preserve">   Member of Council at Large                           (Vote for 2)                                                                 </t>
    </r>
    <r>
      <rPr>
        <b/>
        <i/>
        <sz val="10"/>
        <rFont val="Arial"/>
        <family val="2"/>
      </rPr>
      <t>2 year term</t>
    </r>
  </si>
  <si>
    <t>NORWOOD SCH-12-</t>
  </si>
  <si>
    <t>MUNICIPAL COURT</t>
  </si>
  <si>
    <t>3407 HARR G</t>
  </si>
  <si>
    <t>HARRISON CTY -7-</t>
  </si>
  <si>
    <t>CITY OF CINCINNATI</t>
  </si>
  <si>
    <r>
      <t xml:space="preserve">Ward 1                                             </t>
    </r>
    <r>
      <rPr>
        <b/>
        <i/>
        <sz val="8"/>
        <rFont val="Arial"/>
        <family val="2"/>
      </rPr>
      <t>4 year term</t>
    </r>
  </si>
  <si>
    <r>
      <t xml:space="preserve">Member of Council at Large                                          (Vote for 3)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</si>
  <si>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t>VILLAGE OF TERRACE PARK</t>
  </si>
  <si>
    <r>
      <t xml:space="preserve">Mayor                                              (Vote for 1)                                                             </t>
    </r>
    <r>
      <rPr>
        <b/>
        <i/>
        <sz val="10"/>
        <rFont val="Arial"/>
        <family val="2"/>
      </rPr>
      <t>4 year term</t>
    </r>
  </si>
  <si>
    <t>Jan-Michele Lemon Kearney</t>
  </si>
  <si>
    <r>
      <t xml:space="preserve">Member of Council                                               (Vote for 3)                                                                </t>
    </r>
    <r>
      <rPr>
        <b/>
        <i/>
        <sz val="10"/>
        <rFont val="Arial"/>
        <family val="2"/>
      </rPr>
      <t>4 year term</t>
    </r>
  </si>
  <si>
    <r>
      <t xml:space="preserve">Member of Council                                                                                                                                    (Vote for 7)                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>2 year term</t>
    </r>
  </si>
  <si>
    <t>Richard Bardach</t>
  </si>
  <si>
    <r>
      <t xml:space="preserve">Member Board of Education                                                          (Vote for 3)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</si>
  <si>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Ronald L. Spears, Jr.</t>
  </si>
  <si>
    <r>
      <t xml:space="preserve">Member Board of Education                                                                                                                                                                        (Vote for 3)                                                                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</si>
  <si>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r>
      <t xml:space="preserve">Ward 1                                                </t>
    </r>
    <r>
      <rPr>
        <b/>
        <i/>
        <sz val="8"/>
        <rFont val="Arial"/>
        <family val="2"/>
      </rPr>
      <t>2 year term</t>
    </r>
  </si>
  <si>
    <r>
      <t xml:space="preserve">President of Council                (Vote for 1)                        </t>
    </r>
    <r>
      <rPr>
        <b/>
        <i/>
        <sz val="10"/>
        <rFont val="Arial"/>
        <family val="2"/>
      </rPr>
      <t>2 year term</t>
    </r>
  </si>
  <si>
    <r>
      <t xml:space="preserve">Member of Council at Large                                                                                     (Vote for 3)                                                                                                              </t>
    </r>
    <r>
      <rPr>
        <b/>
        <i/>
        <sz val="10"/>
        <rFont val="Arial"/>
        <family val="2"/>
      </rPr>
      <t xml:space="preserve"> 2 year term</t>
    </r>
  </si>
  <si>
    <r>
      <t xml:space="preserve">Ward 1                      </t>
    </r>
    <r>
      <rPr>
        <b/>
        <i/>
        <sz val="8"/>
        <rFont val="Arial"/>
        <family val="2"/>
      </rPr>
      <t>2 year term</t>
    </r>
  </si>
  <si>
    <r>
      <t xml:space="preserve">Ward 2                                                </t>
    </r>
    <r>
      <rPr>
        <b/>
        <i/>
        <sz val="8"/>
        <rFont val="Arial"/>
        <family val="2"/>
      </rPr>
      <t>2 year term</t>
    </r>
  </si>
  <si>
    <t>Member of Council By Ward                                                                                                   (Vote for 1)</t>
  </si>
  <si>
    <r>
      <t xml:space="preserve">Ward 3                                                 </t>
    </r>
    <r>
      <rPr>
        <b/>
        <i/>
        <sz val="8"/>
        <rFont val="Arial"/>
        <family val="2"/>
      </rPr>
      <t>2 year term</t>
    </r>
  </si>
  <si>
    <r>
      <t xml:space="preserve">Ward 4                                                </t>
    </r>
    <r>
      <rPr>
        <b/>
        <i/>
        <sz val="8"/>
        <rFont val="Arial"/>
        <family val="2"/>
      </rPr>
      <t>2 year term</t>
    </r>
  </si>
  <si>
    <r>
      <t xml:space="preserve">Ward 3                </t>
    </r>
    <r>
      <rPr>
        <b/>
        <i/>
        <sz val="8"/>
        <rFont val="Arial"/>
        <family val="2"/>
      </rPr>
      <t>2 year term</t>
    </r>
  </si>
  <si>
    <t>Dave             Koch             (Rep)</t>
  </si>
  <si>
    <t>Paul J.    Schmidt      (Rep)</t>
  </si>
  <si>
    <r>
      <t xml:space="preserve">Member of Council at Large                                                                                                                                                                                                            (Vote for 7)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>2 year term</t>
    </r>
  </si>
  <si>
    <t>SPRINGFIELD TWP -29-</t>
  </si>
  <si>
    <r>
      <t xml:space="preserve">Member Board of Education                                               (Vote for 3)                                         </t>
    </r>
    <r>
      <rPr>
        <b/>
        <i/>
        <sz val="10"/>
        <rFont val="Arial Narrow"/>
        <family val="2"/>
      </rPr>
      <t>4 year term</t>
    </r>
  </si>
  <si>
    <t>3901 MILF A</t>
  </si>
  <si>
    <t>MILFORD CTY -1-</t>
  </si>
  <si>
    <t>1ST CONG -375-</t>
  </si>
  <si>
    <t>8TH CONG -190-</t>
  </si>
  <si>
    <t>7TH SENATE -94-</t>
  </si>
  <si>
    <t>9TH SENATE -229-</t>
  </si>
  <si>
    <t>24TH HOUSE -73-</t>
  </si>
  <si>
    <t>25TH HOUSE -69-</t>
  </si>
  <si>
    <t>26TH HOUSE -87-</t>
  </si>
  <si>
    <t>27TH HOUSE -94-</t>
  </si>
  <si>
    <t>28TH HOUSE -90-</t>
  </si>
  <si>
    <t>29TH HOUSE -72-</t>
  </si>
  <si>
    <t>30TH HOUSE -77-</t>
  </si>
  <si>
    <t>JUDICIAL DIST 5 -105-</t>
  </si>
  <si>
    <t>JUDICIAL DIST 7 -72-</t>
  </si>
  <si>
    <t>OFFICIAL RESULTS                                                                     GENERAL ELECTION                                                                                         NOVEMBER 7, 2023                                                                HAMILTON COUNTY, OHIO</t>
  </si>
  <si>
    <t>OFFICIAL  RESULTS                                                                     GENERAL ELECTION                                                                                         NOVEMBER 7, 2023                                                                HAMILTON COUNTY, OHIO</t>
  </si>
  <si>
    <t>OFFICIAL RESULTS                                  GENERAL ELECTION                             NOVEMBER 7, 2023                                       HAMILTON COUNTY, OHIO</t>
  </si>
  <si>
    <t>OFFICIAL/RECOUNT RESULTS                                                 GENERAL ELECTION                                       NOVEMBER 7, 2023                                                HAMILTON COUNTY, OHIO</t>
  </si>
  <si>
    <t>OFFICIAL RESULTS                                                                    GENERAL ELECTION                                                                                         NOVEMBER 7, 2023                                                                HAMILTON COUNTY, OHIO</t>
  </si>
  <si>
    <t>Janaya Trotter Bratton</t>
  </si>
  <si>
    <t>Donte           Johnson</t>
  </si>
  <si>
    <t>Samantha Silverstein</t>
  </si>
  <si>
    <r>
      <t xml:space="preserve">Judge District 1                                     (Vote for 1)                                                     </t>
    </r>
    <r>
      <rPr>
        <b/>
        <i/>
        <sz val="10"/>
        <rFont val="Arial"/>
        <family val="2"/>
      </rPr>
      <t>(Term Commencing: 1/3/24)</t>
    </r>
  </si>
  <si>
    <r>
      <t xml:space="preserve">Judge District 2                                     (Vote for 1)                                                     </t>
    </r>
    <r>
      <rPr>
        <b/>
        <i/>
        <sz val="10"/>
        <rFont val="Arial"/>
        <family val="2"/>
      </rPr>
      <t>(Term Commencing: 1/3/24)</t>
    </r>
  </si>
  <si>
    <t>Judge District 3                                     (Vote for 1)                                                   (Term Commencing: 1/3/24)</t>
  </si>
  <si>
    <r>
      <t xml:space="preserve">Judge District 4                                     (Vote for 1)                                                     </t>
    </r>
    <r>
      <rPr>
        <b/>
        <i/>
        <sz val="10"/>
        <rFont val="Arial"/>
        <family val="2"/>
      </rPr>
      <t>(Term Commencing: 1/3/24)</t>
    </r>
  </si>
  <si>
    <t>Judge District 5                                     (Vote for 1)                                                    (Term Commencing: 1/3/24)</t>
  </si>
  <si>
    <r>
      <t xml:space="preserve">Judge District 6                                     (Vote for 1)                                                     </t>
    </r>
    <r>
      <rPr>
        <b/>
        <i/>
        <sz val="10"/>
        <rFont val="Arial"/>
        <family val="2"/>
      </rPr>
      <t>(Term Commencing: 1/3/24)</t>
    </r>
  </si>
  <si>
    <t>Judge District 7                                     (Vote for 1)                                                    (Term Commencing: 1/3/24)</t>
  </si>
  <si>
    <t>Jeff Cramerding</t>
  </si>
  <si>
    <t>Reggie          Harris</t>
  </si>
  <si>
    <t>Mark          Jeffreys</t>
  </si>
  <si>
    <t>Liz            Keating</t>
  </si>
  <si>
    <t>Victoria        Parks</t>
  </si>
  <si>
    <t>Seth           Walsh</t>
  </si>
  <si>
    <r>
      <t xml:space="preserve">Ward 3                                                    </t>
    </r>
    <r>
      <rPr>
        <b/>
        <i/>
        <sz val="8"/>
        <rFont val="Arial"/>
        <family val="2"/>
      </rPr>
      <t>4 year term</t>
    </r>
  </si>
  <si>
    <r>
      <t xml:space="preserve">Ward 5                                             </t>
    </r>
    <r>
      <rPr>
        <b/>
        <i/>
        <sz val="8"/>
        <rFont val="Arial"/>
        <family val="2"/>
      </rPr>
      <t>4 year term</t>
    </r>
  </si>
  <si>
    <r>
      <t xml:space="preserve">Member of Council at Large B                         (Vote for 1)                       </t>
    </r>
    <r>
      <rPr>
        <b/>
        <i/>
        <sz val="10"/>
        <rFont val="Arial"/>
        <family val="2"/>
      </rPr>
      <t>4 year term</t>
    </r>
  </si>
  <si>
    <r>
      <t xml:space="preserve">Mayor                           (Vote for 1)                               </t>
    </r>
    <r>
      <rPr>
        <b/>
        <i/>
        <sz val="10"/>
        <rFont val="Arial"/>
        <family val="2"/>
      </rPr>
      <t>4 year term</t>
    </r>
  </si>
  <si>
    <r>
      <t xml:space="preserve">Auditor                       (Vote for 1)                          </t>
    </r>
    <r>
      <rPr>
        <b/>
        <i/>
        <sz val="10"/>
        <rFont val="Arial"/>
        <family val="2"/>
      </rPr>
      <t>4 year term</t>
    </r>
  </si>
  <si>
    <r>
      <t xml:space="preserve">Director of Law                     (Vote for 1)                          </t>
    </r>
    <r>
      <rPr>
        <b/>
        <i/>
        <sz val="10"/>
        <rFont val="Arial"/>
        <family val="2"/>
      </rPr>
      <t>4 year term</t>
    </r>
  </si>
  <si>
    <t>Troy Dean Borgmann (Dem)</t>
  </si>
  <si>
    <t>Samuel D. Keller              (Dem)</t>
  </si>
  <si>
    <t>Theresa Ciolino-Klien           (Dem)</t>
  </si>
  <si>
    <t>Kimberlee Erdman Rohr (Dem)</t>
  </si>
  <si>
    <t>Stefanie A. Hawk              (Dem)</t>
  </si>
  <si>
    <t>Matthew Ciambarella (Rep)</t>
  </si>
  <si>
    <t>Amy Luken-Richter           (Rep)</t>
  </si>
  <si>
    <t>Member of Council at Large                                                                                                                 (Vote for 3)</t>
  </si>
  <si>
    <r>
      <t xml:space="preserve">Member of Council at Large                                                                                                                                                      (Vote for 3)                                        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</si>
  <si>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t>Shaughn         Daily</t>
  </si>
  <si>
    <t>Neil                 Kelly</t>
  </si>
  <si>
    <r>
      <t>Member of Council at Large                                                                                 (Vote for 3)                                                                                                                      4</t>
    </r>
    <r>
      <rPr>
        <b/>
        <i/>
        <sz val="10"/>
        <rFont val="Arial"/>
        <family val="2"/>
      </rPr>
      <t xml:space="preserve"> year term</t>
    </r>
  </si>
  <si>
    <t>Anthony         Egner            (Rep)</t>
  </si>
  <si>
    <t>Ryan           Samuels        (Rep)</t>
  </si>
  <si>
    <t>Jean L.        Wilson           (Rep)</t>
  </si>
  <si>
    <r>
      <t xml:space="preserve">Member of Council at Large                                                                                                          (Vote for 3)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</si>
  <si>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r>
      <t xml:space="preserve">Member of Council at Large                                                                                                                     (Vote for 3)                     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</si>
  <si>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r>
      <t xml:space="preserve">Member of Council at Large                                                                                                                         (Vote for 3)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</si>
  <si>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t>Mayor                           (Vote for 1)                               4 year term</t>
  </si>
  <si>
    <r>
      <t xml:space="preserve">Member of Council at Large                                                                      (Vote for 3)                                                                </t>
    </r>
    <r>
      <rPr>
        <b/>
        <i/>
        <sz val="10"/>
        <rFont val="Arial"/>
        <family val="2"/>
      </rPr>
      <t>4 year term</t>
    </r>
  </si>
  <si>
    <t>Cordel D. George, Jr.  (Dem)</t>
  </si>
  <si>
    <t>Peggy A.      Rissel          (Rep)</t>
  </si>
  <si>
    <t>Joe              Roetting          (Rep)</t>
  </si>
  <si>
    <r>
      <t xml:space="preserve">Member of Council at Large                                                                      (Vote for 3)                                                                    </t>
    </r>
    <r>
      <rPr>
        <b/>
        <i/>
        <sz val="10"/>
        <rFont val="Arial"/>
        <family val="2"/>
      </rPr>
      <t>4 year term</t>
    </r>
  </si>
  <si>
    <t>Mashalah Alexander</t>
  </si>
  <si>
    <r>
      <t xml:space="preserve">Ward 3                                                </t>
    </r>
    <r>
      <rPr>
        <b/>
        <i/>
        <sz val="8"/>
        <rFont val="Arial"/>
        <family val="2"/>
      </rPr>
      <t>2 year term</t>
    </r>
  </si>
  <si>
    <r>
      <t xml:space="preserve">Ward 4                          </t>
    </r>
    <r>
      <rPr>
        <b/>
        <i/>
        <sz val="8"/>
        <rFont val="Arial"/>
        <family val="2"/>
      </rPr>
      <t xml:space="preserve">                           2 year term</t>
    </r>
  </si>
  <si>
    <r>
      <t xml:space="preserve">Auditor                                (Vote for 1)                            </t>
    </r>
    <r>
      <rPr>
        <b/>
        <i/>
        <sz val="10"/>
        <rFont val="Arial"/>
        <family val="2"/>
      </rPr>
      <t xml:space="preserve"> 4 year term</t>
    </r>
  </si>
  <si>
    <r>
      <t xml:space="preserve">Director of Law                                (Vote for 1)                            </t>
    </r>
    <r>
      <rPr>
        <b/>
        <i/>
        <sz val="10"/>
        <rFont val="Arial"/>
        <family val="2"/>
      </rPr>
      <t xml:space="preserve"> 4 year term</t>
    </r>
  </si>
  <si>
    <t>Victor Schneider  (Rep)</t>
  </si>
  <si>
    <t>Joseph S. Geers            (Dem)</t>
  </si>
  <si>
    <t>Keith D.    Moore        (Dem)</t>
  </si>
  <si>
    <r>
      <t xml:space="preserve">Member of Council at Large                                                                                     (Vote for 3)                                                                                                                  </t>
    </r>
    <r>
      <rPr>
        <b/>
        <i/>
        <sz val="10"/>
        <rFont val="Arial"/>
        <family val="2"/>
      </rPr>
      <t>2 year term</t>
    </r>
  </si>
  <si>
    <t>Jon           Atwood        (Rep)</t>
  </si>
  <si>
    <t>Emily K. Franzen          (Dem)</t>
  </si>
  <si>
    <t>Tony             Hooks         (Rep)</t>
  </si>
  <si>
    <t>Susan             Hoover           (Dem)</t>
  </si>
  <si>
    <t>Alexis            Royse           (Dem)</t>
  </si>
  <si>
    <t>Mary          Yeager          (Rep)</t>
  </si>
  <si>
    <t>Sam           Bowling      (Dem)</t>
  </si>
  <si>
    <t>Chris           Kelsch         (Rep)</t>
  </si>
  <si>
    <t>Lisa               Russ              (Rep)</t>
  </si>
  <si>
    <t>Candace Winterbauer (Dem)</t>
  </si>
  <si>
    <t>Jeff              Girton              (Dem)</t>
  </si>
  <si>
    <t>Robert              Hill               (Rep)</t>
  </si>
  <si>
    <t>John            Breadon            (Rep)</t>
  </si>
  <si>
    <r>
      <t>Mayor                               (Vote for 1)                        4</t>
    </r>
    <r>
      <rPr>
        <b/>
        <i/>
        <sz val="10"/>
        <rFont val="Arial"/>
        <family val="2"/>
      </rPr>
      <t xml:space="preserve"> year term</t>
    </r>
  </si>
  <si>
    <r>
      <t>Auditor                              (Vote for 1)                        4</t>
    </r>
    <r>
      <rPr>
        <b/>
        <i/>
        <sz val="10"/>
        <rFont val="Arial"/>
        <family val="2"/>
      </rPr>
      <t xml:space="preserve"> year term</t>
    </r>
  </si>
  <si>
    <r>
      <t>Director of Law                              (Vote for 1)                        4</t>
    </r>
    <r>
      <rPr>
        <b/>
        <i/>
        <sz val="10"/>
        <rFont val="Arial"/>
        <family val="2"/>
      </rPr>
      <t xml:space="preserve"> year term</t>
    </r>
  </si>
  <si>
    <t>Robert J. Ashbrock</t>
  </si>
  <si>
    <t>Robert P. Bemmes           (Rep)</t>
  </si>
  <si>
    <t>Sabrina A. Smith              (Rep)</t>
  </si>
  <si>
    <t>David T. Stevenson (Rep)</t>
  </si>
  <si>
    <t>Shelly         Kroeger</t>
  </si>
  <si>
    <t>Andrew J. Bronner     (Rep)</t>
  </si>
  <si>
    <t>David A.        Powell          (Rep)</t>
  </si>
  <si>
    <t>Mark A.        Bishop            (Rep)</t>
  </si>
  <si>
    <t>James A. Shelton        (Dem)</t>
  </si>
  <si>
    <t>Robert P. Boehner        (Rep)</t>
  </si>
  <si>
    <t>Kevin M. Hardman          (Rep)</t>
  </si>
  <si>
    <t>Paul              Culter             (Rep)</t>
  </si>
  <si>
    <t>Ed Cunningham (Rep)</t>
  </si>
  <si>
    <t>Charles     Lippert          (Rep)</t>
  </si>
  <si>
    <r>
      <t xml:space="preserve">Member of Council at Large                                                                                     (Vote for 3)                                                                  </t>
    </r>
    <r>
      <rPr>
        <b/>
        <i/>
        <sz val="10"/>
        <rFont val="Arial"/>
        <family val="2"/>
      </rPr>
      <t xml:space="preserve"> 2 year term</t>
    </r>
  </si>
  <si>
    <t>Sue                Knight</t>
  </si>
  <si>
    <t>V. Glen            Lovitt III         (Rep)</t>
  </si>
  <si>
    <t>Amy Sharpshair (Rep)</t>
  </si>
  <si>
    <t>Mike                Wilson                 (Rep)</t>
  </si>
  <si>
    <t>Robert W.       Cox</t>
  </si>
  <si>
    <r>
      <t xml:space="preserve">Mayor                                                    (Vote for 1)                                                </t>
    </r>
    <r>
      <rPr>
        <b/>
        <i/>
        <sz val="10"/>
        <rFont val="Arial"/>
        <family val="2"/>
      </rPr>
      <t>4 year term</t>
    </r>
  </si>
  <si>
    <t>Jill                 Cole</t>
  </si>
  <si>
    <t>Pramod        Jhaveri</t>
  </si>
  <si>
    <t>Marc           Sirkin</t>
  </si>
  <si>
    <r>
      <t xml:space="preserve">Mayor                                                                           (Vote for 1)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</si>
  <si>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r>
      <t xml:space="preserve">Board of Trustees of Public Affairs            (Vote for 2)                         </t>
    </r>
    <r>
      <rPr>
        <b/>
        <i/>
        <sz val="10"/>
        <rFont val="Arial"/>
        <family val="2"/>
      </rPr>
      <t>4 year term</t>
    </r>
  </si>
  <si>
    <r>
      <t xml:space="preserve">Dist D             </t>
    </r>
    <r>
      <rPr>
        <b/>
        <i/>
        <sz val="8"/>
        <rFont val="Arial"/>
        <family val="2"/>
      </rPr>
      <t xml:space="preserve">        2 year term</t>
    </r>
  </si>
  <si>
    <r>
      <t xml:space="preserve">Mayor                                               (Vote for 1)                                                             </t>
    </r>
    <r>
      <rPr>
        <b/>
        <i/>
        <sz val="10"/>
        <rFont val="Arial"/>
        <family val="2"/>
      </rPr>
      <t>4 year term</t>
    </r>
  </si>
  <si>
    <r>
      <t xml:space="preserve">Member of Council                                               (Vote for 2)                                                             </t>
    </r>
    <r>
      <rPr>
        <b/>
        <i/>
        <sz val="10"/>
        <rFont val="Arial"/>
        <family val="2"/>
      </rPr>
      <t>4 year term</t>
    </r>
  </si>
  <si>
    <r>
      <t xml:space="preserve">Mayor                                               (Vote for 1)                                                               </t>
    </r>
    <r>
      <rPr>
        <b/>
        <i/>
        <sz val="10"/>
        <rFont val="Arial"/>
        <family val="2"/>
      </rPr>
      <t>4 year term</t>
    </r>
  </si>
  <si>
    <t>Chuck   Birkholtz           (Rep)</t>
  </si>
  <si>
    <r>
      <t xml:space="preserve">Clerk-Treasurer                                            (Vote for 1)                                                             </t>
    </r>
    <r>
      <rPr>
        <b/>
        <i/>
        <sz val="10"/>
        <rFont val="Arial"/>
        <family val="2"/>
      </rPr>
      <t>4 year term</t>
    </r>
  </si>
  <si>
    <t>Daniel J. Snelling</t>
  </si>
  <si>
    <t>Thelma Swanson</t>
  </si>
  <si>
    <r>
      <t xml:space="preserve">Mayor                                                                     (Vote for 1)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</si>
  <si>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t>Christopher Patterson</t>
  </si>
  <si>
    <t>Tom            Sextro</t>
  </si>
  <si>
    <r>
      <t xml:space="preserve">Member of Council                                                                            (Vote for 2)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</si>
  <si>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r>
      <t xml:space="preserve">Mayor                                                                            (Vote for 1)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</si>
  <si>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t>Jenny      Kilgore</t>
  </si>
  <si>
    <r>
      <t xml:space="preserve">Member of Council                                                                                             (Vote for 2)             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</si>
  <si>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t>Anna M.         Albi</t>
  </si>
  <si>
    <t>Scotty Johnson</t>
  </si>
  <si>
    <t>Meeka D.        Owens</t>
  </si>
  <si>
    <t>Kathryn E. Schneider</t>
  </si>
  <si>
    <t>Natasha Kohorst</t>
  </si>
  <si>
    <t>Reginald C. Sylvester</t>
  </si>
  <si>
    <t>Denise           Holt</t>
  </si>
  <si>
    <t>Aharon        Brown</t>
  </si>
  <si>
    <r>
      <t xml:space="preserve">Member of Council at Large                                                                                              (Vote for 3)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</si>
  <si>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t>Ken                 Suer</t>
  </si>
  <si>
    <t>Tracie     Nichols</t>
  </si>
  <si>
    <t>Ken               Miracle            (Rep)</t>
  </si>
  <si>
    <t>Ken Wietmarschen  (Rep)</t>
  </si>
  <si>
    <t>Kevin M. Mattscheck</t>
  </si>
  <si>
    <t>Dwight       Daum</t>
  </si>
  <si>
    <t>Anthony J.  Gertz</t>
  </si>
  <si>
    <r>
      <t xml:space="preserve">Ward 1                                                  </t>
    </r>
    <r>
      <rPr>
        <b/>
        <i/>
        <sz val="8"/>
        <rFont val="Arial"/>
        <family val="2"/>
      </rPr>
      <t>2 year term</t>
    </r>
  </si>
  <si>
    <t>Daniel E. Kloppenburg</t>
  </si>
  <si>
    <t>David E.         Gleaves</t>
  </si>
  <si>
    <t>Melissa         Monich</t>
  </si>
  <si>
    <t>Elena M.        Pavel</t>
  </si>
  <si>
    <r>
      <t>Mayor                                               (Vote for 1)                                                    4</t>
    </r>
    <r>
      <rPr>
        <b/>
        <i/>
        <sz val="10"/>
        <rFont val="Arial"/>
        <family val="2"/>
      </rPr>
      <t xml:space="preserve"> year term</t>
    </r>
  </si>
  <si>
    <r>
      <t xml:space="preserve">President of Council                                                 (Vote for 1)                                                   </t>
    </r>
    <r>
      <rPr>
        <b/>
        <i/>
        <sz val="10"/>
        <rFont val="Arial"/>
        <family val="2"/>
      </rPr>
      <t xml:space="preserve"> 2 year term</t>
    </r>
  </si>
  <si>
    <r>
      <t xml:space="preserve">Mayor                               (Vote for 1)                        </t>
    </r>
    <r>
      <rPr>
        <b/>
        <i/>
        <sz val="10"/>
        <rFont val="Arial"/>
        <family val="2"/>
      </rPr>
      <t>4 year term</t>
    </r>
  </si>
  <si>
    <t>Member of Council By Ward                                                            (Vote for 1)</t>
  </si>
  <si>
    <t>Keely M.       Paul</t>
  </si>
  <si>
    <t>Dara L.       Wood</t>
  </si>
  <si>
    <t>Adam        Frankel</t>
  </si>
  <si>
    <t>Geri          Meister</t>
  </si>
  <si>
    <t>Linda C.          Bolton</t>
  </si>
  <si>
    <t>Richard H. Finan</t>
  </si>
  <si>
    <r>
      <t xml:space="preserve">Mayor                                                                                           (Vote for 1)                   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</si>
  <si>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t>Charlotte Bruewer</t>
  </si>
  <si>
    <r>
      <t xml:space="preserve">Member of Council                                                                                           (Vote for 2)                   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</si>
  <si>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r>
      <t xml:space="preserve">Member of Council                                                                                           (Vote for 1)                                                                                                               </t>
    </r>
    <r>
      <rPr>
        <b/>
        <i/>
        <sz val="10"/>
        <rFont val="Arial"/>
        <family val="2"/>
      </rPr>
      <t>Unexpired Term Ending 11/30/2025</t>
    </r>
  </si>
  <si>
    <t>Jeffrey T.         Halter          (Rep)</t>
  </si>
  <si>
    <t>Rachel        Hudson         (Rep)</t>
  </si>
  <si>
    <t>Maria C. Waltherr        (Rep)</t>
  </si>
  <si>
    <t>Phyllis          Baber</t>
  </si>
  <si>
    <t>Brian           Pittman</t>
  </si>
  <si>
    <r>
      <t xml:space="preserve">Member of Council                                                                                     (Vote for 3)          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</si>
  <si>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r>
      <t xml:space="preserve">Member of Council                                               (Vote for 2)                                                                        </t>
    </r>
    <r>
      <rPr>
        <b/>
        <i/>
        <sz val="10"/>
        <rFont val="Arial"/>
        <family val="2"/>
      </rPr>
      <t>4 year term</t>
    </r>
  </si>
  <si>
    <t>VILL OF LOCKLAND</t>
  </si>
  <si>
    <r>
      <t xml:space="preserve">Member of Council                                                                              (Vote for 2)                                                                                    </t>
    </r>
    <r>
      <rPr>
        <b/>
        <i/>
        <sz val="10"/>
        <rFont val="Arial"/>
        <family val="2"/>
      </rPr>
      <t xml:space="preserve"> 4 year term</t>
    </r>
  </si>
  <si>
    <r>
      <t xml:space="preserve">Member of Council                                               (Vote for 2)                                                                 </t>
    </r>
    <r>
      <rPr>
        <b/>
        <i/>
        <sz val="10"/>
        <rFont val="Arial"/>
        <family val="2"/>
      </rPr>
      <t>4 year term</t>
    </r>
  </si>
  <si>
    <t>Frances Reardon Romweber</t>
  </si>
  <si>
    <r>
      <t xml:space="preserve">Member of Council at Large                                                                                                 (Vote for 3)                                                                 </t>
    </r>
    <r>
      <rPr>
        <b/>
        <i/>
        <sz val="10"/>
        <rFont val="Arial"/>
        <family val="2"/>
      </rPr>
      <t>4 year term</t>
    </r>
  </si>
  <si>
    <t>Mark          Quarry</t>
  </si>
  <si>
    <t>Dottie         Williams        (Dem)</t>
  </si>
  <si>
    <t>Franklin D. Wilson          (Dem)</t>
  </si>
  <si>
    <t>Jonathan L. Stuchell</t>
  </si>
  <si>
    <t>Vice Mayor / Pres Council      (Vote for 1)             2 year term</t>
  </si>
  <si>
    <r>
      <t>Auditor      (Vote for 1)             4</t>
    </r>
    <r>
      <rPr>
        <b/>
        <i/>
        <sz val="10"/>
        <rFont val="Arial"/>
        <family val="2"/>
      </rPr>
      <t xml:space="preserve"> year term</t>
    </r>
  </si>
  <si>
    <r>
      <t>Director of Law      (Vote for 1)             4</t>
    </r>
    <r>
      <rPr>
        <b/>
        <i/>
        <sz val="10"/>
        <rFont val="Arial"/>
        <family val="2"/>
      </rPr>
      <t xml:space="preserve"> year term</t>
    </r>
  </si>
  <si>
    <t>Steve               Asbach</t>
  </si>
  <si>
    <t>Connor Moreton</t>
  </si>
  <si>
    <r>
      <t xml:space="preserve">Member of Council                                               (Vote for 2)                                                               </t>
    </r>
    <r>
      <rPr>
        <b/>
        <i/>
        <sz val="10"/>
        <rFont val="Arial"/>
        <family val="2"/>
      </rPr>
      <t>4 year term</t>
    </r>
  </si>
  <si>
    <t>Aaron L. Tillman III</t>
  </si>
  <si>
    <t>Rosemary Brown</t>
  </si>
  <si>
    <t>Michelle          Starr</t>
  </si>
  <si>
    <r>
      <t xml:space="preserve">Fiscal Officer                  (Vote for 1)                        </t>
    </r>
    <r>
      <rPr>
        <b/>
        <i/>
        <sz val="10"/>
        <rFont val="Arial"/>
        <family val="2"/>
      </rPr>
      <t>4 year term</t>
    </r>
  </si>
  <si>
    <r>
      <t xml:space="preserve">Trustee                                                             (Vote for 1)                                                               </t>
    </r>
    <r>
      <rPr>
        <b/>
        <i/>
        <sz val="10"/>
        <rFont val="Arial"/>
        <family val="2"/>
      </rPr>
      <t>4 year term</t>
    </r>
  </si>
  <si>
    <t>Dee              Stone</t>
  </si>
  <si>
    <t>Matt          Wahlert</t>
  </si>
  <si>
    <t>Rose K.         Stertz</t>
  </si>
  <si>
    <t>Tom          Straus</t>
  </si>
  <si>
    <t>Rob       Schrimpf</t>
  </si>
  <si>
    <t>Dan J.     Berning</t>
  </si>
  <si>
    <t>Jonathan T. Deters</t>
  </si>
  <si>
    <t>Tom           James</t>
  </si>
  <si>
    <t>Tracy      Kellums</t>
  </si>
  <si>
    <t>Joseph C. Grossi</t>
  </si>
  <si>
    <t>Phil              Beck</t>
  </si>
  <si>
    <t>James L.          Brett</t>
  </si>
  <si>
    <t>Bryan        Cannon</t>
  </si>
  <si>
    <t>Paul         Schiele</t>
  </si>
  <si>
    <t>Kendra        Mapp</t>
  </si>
  <si>
    <t>Ben             Lindy</t>
  </si>
  <si>
    <r>
      <t xml:space="preserve">Member Board of Education                                                                                                                                                                       (Vote for 3)                            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</si>
  <si>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r>
      <t xml:space="preserve">Member Board of Education                              (Vote for 2)                                                          </t>
    </r>
    <r>
      <rPr>
        <b/>
        <i/>
        <sz val="10"/>
        <rFont val="Arial Narrow"/>
        <family val="2"/>
      </rPr>
      <t>4 year term</t>
    </r>
  </si>
  <si>
    <t>Chris           Huster</t>
  </si>
  <si>
    <t>Paul            Godwin</t>
  </si>
  <si>
    <r>
      <t xml:space="preserve">Member Board of Education                                                                                                                                                                                                                                                       (Vote for 2)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</si>
  <si>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Niki             Singh</t>
  </si>
  <si>
    <r>
      <t xml:space="preserve">Member Board of Education                                                                                                                                                                       (Vote for 2)                                                                  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</si>
  <si>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Christina Jeranek</t>
  </si>
  <si>
    <r>
      <t xml:space="preserve">Member Board of Education                              (Vote for 2)                                                           </t>
    </r>
    <r>
      <rPr>
        <b/>
        <i/>
        <sz val="10"/>
        <rFont val="Arial Narrow"/>
        <family val="2"/>
      </rPr>
      <t>4 year term</t>
    </r>
  </si>
  <si>
    <t>Nan                  Dill</t>
  </si>
  <si>
    <t>Kelli              Neville</t>
  </si>
  <si>
    <r>
      <t xml:space="preserve">Member Board of Education                                                                                                                   (Vote for 2)            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</si>
  <si>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r>
      <t xml:space="preserve">Member Board of Education                                                                                     (Vote for 2)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</si>
  <si>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r>
      <t xml:space="preserve">Member Board of Education                                          (Vote for 2)                                                                 </t>
    </r>
    <r>
      <rPr>
        <b/>
        <i/>
        <sz val="10"/>
        <rFont val="Arial Narrow"/>
        <family val="2"/>
      </rPr>
      <t>4 year term</t>
    </r>
  </si>
  <si>
    <r>
      <t xml:space="preserve">Member Board of Education                                   (Vote for 2)                                                          </t>
    </r>
    <r>
      <rPr>
        <b/>
        <i/>
        <sz val="10"/>
        <rFont val="Arial Narrow"/>
        <family val="2"/>
      </rPr>
      <t>4 year term</t>
    </r>
  </si>
  <si>
    <t>Alice           Rericha</t>
  </si>
  <si>
    <r>
      <t xml:space="preserve">Member Board of Education                                                                                     (Vote for 3)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</si>
  <si>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Gina Ruffin Moore</t>
  </si>
  <si>
    <t>Jon Myron Simons</t>
  </si>
  <si>
    <t>Susan                 Wyder</t>
  </si>
  <si>
    <r>
      <t xml:space="preserve">Member Board of Education                                   (Vote for 2)                                                           </t>
    </r>
    <r>
      <rPr>
        <b/>
        <i/>
        <sz val="10"/>
        <rFont val="Arial Narrow"/>
        <family val="2"/>
      </rPr>
      <t>4 year term</t>
    </r>
  </si>
  <si>
    <r>
      <t xml:space="preserve">Member Board of Education                                                                                                                                             (Vote for 2)                                    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</si>
  <si>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Brad Comerford</t>
  </si>
  <si>
    <t>Isabel Mendez Pacios</t>
  </si>
  <si>
    <t>Zeeshan           Pasha</t>
  </si>
  <si>
    <r>
      <t xml:space="preserve">Member Board of Education                                                                                                                 (Vote for 2)         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</si>
  <si>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r>
      <t xml:space="preserve">Member Board of Education                                                                                                                                          (Vote for 2)                                      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</si>
  <si>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r>
      <t xml:space="preserve">Member of Governing Board                                                            (Vote for 2)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</si>
  <si>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Melody Staudt-Dargis</t>
  </si>
  <si>
    <r>
      <t xml:space="preserve">Member Board of Education                                                                                                                  (Vote for 2)          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</si>
  <si>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James E.              Reeb, Jr.</t>
  </si>
  <si>
    <r>
      <t xml:space="preserve">Member Board of Education                                                                                                                                             (Vote for 2)                                                              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</si>
  <si>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Kevin Comerford</t>
  </si>
  <si>
    <t>Jason Simmons</t>
  </si>
  <si>
    <t>Wendy Strickler Biederman</t>
  </si>
  <si>
    <t>Member of Council at Large                                                                                                                                                                           (Vote for 9)</t>
  </si>
  <si>
    <t>Brian P.     Smyth          (Nonparty)</t>
  </si>
  <si>
    <t>Matthew Halterman (Nonparty)</t>
  </si>
  <si>
    <t>Ryan P.  Grubbs        (Rep)</t>
  </si>
  <si>
    <t>Jennifer   Moody  (Nonparty)</t>
  </si>
  <si>
    <t>Maria     Williams (Nonparty)</t>
  </si>
  <si>
    <t>Katie   Eadicicco (Nonparty)</t>
  </si>
  <si>
    <t>Scott V. Thamann (Nonparty)</t>
  </si>
  <si>
    <t>Kyle E.          Smith  (Nonparty)</t>
  </si>
  <si>
    <r>
      <t xml:space="preserve">Member of Council                                               (Vote for 2)                                                                     </t>
    </r>
    <r>
      <rPr>
        <b/>
        <i/>
        <sz val="10"/>
        <rFont val="Arial"/>
        <family val="2"/>
      </rPr>
      <t>4 year term</t>
    </r>
  </si>
  <si>
    <t>No Valid Petition Filed</t>
  </si>
  <si>
    <t>Kendall R. Glover  (Nonparty)</t>
  </si>
  <si>
    <t>William                  Mallory</t>
  </si>
  <si>
    <t>Curt           Kissinger</t>
  </si>
  <si>
    <t>Brad              Greenberg</t>
  </si>
  <si>
    <t>Bernie              Bouchard</t>
  </si>
  <si>
    <t>Jackie             Ginocchio</t>
  </si>
  <si>
    <t>Joe           Hoelker</t>
  </si>
  <si>
    <t>John D. Donnellon</t>
  </si>
  <si>
    <t>Christine Westmark Hedger</t>
  </si>
  <si>
    <t>Matthew James Robinson  (Write-In)</t>
  </si>
  <si>
    <t>Wayne       Coates</t>
  </si>
  <si>
    <t>Jeffrey G. Gibson</t>
  </si>
  <si>
    <t>Elizabeth C. Isphording</t>
  </si>
  <si>
    <t>Stephen H. Krehbiel</t>
  </si>
  <si>
    <t>Shayne O. Manning</t>
  </si>
  <si>
    <t>Andrew A.        Byer</t>
  </si>
  <si>
    <t>Richard J.   Hidy</t>
  </si>
  <si>
    <t>Patricia J.    Stern</t>
  </si>
  <si>
    <t>Deidre Hazelbaker</t>
  </si>
  <si>
    <t>Kathy        Bailey</t>
  </si>
  <si>
    <t>Andy        Bateman</t>
  </si>
  <si>
    <t>Brian   Goodyear</t>
  </si>
  <si>
    <t>Joseph Leslie Grolmes</t>
  </si>
  <si>
    <t>Gibson        Arling</t>
  </si>
  <si>
    <t>Tom      Henning</t>
  </si>
  <si>
    <t>Logan      Junger</t>
  </si>
  <si>
    <t>Chad        Shaffer</t>
  </si>
  <si>
    <t>Kristopher Parrish</t>
  </si>
  <si>
    <t>Mark Thompson</t>
  </si>
  <si>
    <t>Ralph       Vilardo, Jr.</t>
  </si>
  <si>
    <t>Brad             Price</t>
  </si>
  <si>
    <t>Catherine Mills-Reynolds</t>
  </si>
  <si>
    <t>Martha A. Shields</t>
  </si>
  <si>
    <t>Tammy         Moore</t>
  </si>
  <si>
    <t>Craig        Margolis</t>
  </si>
  <si>
    <t>Mary Jo         Zorb</t>
  </si>
  <si>
    <t>Luree        Blythe</t>
  </si>
  <si>
    <t>Brandon         Davis</t>
  </si>
  <si>
    <t>Mary         Dewald</t>
  </si>
  <si>
    <t>Lawrence C. Hawkins III</t>
  </si>
  <si>
    <t>Carolyn Ghantous</t>
  </si>
  <si>
    <t>Tom                 Hall</t>
  </si>
  <si>
    <t>Michelle McFarland</t>
  </si>
  <si>
    <t>Joseph Ramirez</t>
  </si>
  <si>
    <t>LaVonne L. Webster</t>
  </si>
  <si>
    <r>
      <t xml:space="preserve">Member of Council at Large                                                                                                      (Vote for 3)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</si>
  <si>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t>Katie                 Wells</t>
  </si>
  <si>
    <t>Daniel M. Driehaus</t>
  </si>
  <si>
    <t>Grant T.       Hoffman</t>
  </si>
  <si>
    <t>Cindy          Peebles</t>
  </si>
  <si>
    <t>April         Robles</t>
  </si>
  <si>
    <t>Jodi Woffington</t>
  </si>
  <si>
    <t>Chris Woodside</t>
  </si>
  <si>
    <t>Lisa               Mear</t>
  </si>
  <si>
    <t>Al                    Glick               (Write-In)</t>
  </si>
  <si>
    <r>
      <t xml:space="preserve">Treasurer                                  (Vote for 1)                         </t>
    </r>
    <r>
      <rPr>
        <b/>
        <i/>
        <sz val="10"/>
        <rFont val="Arial"/>
        <family val="2"/>
      </rPr>
      <t>4 year term</t>
    </r>
  </si>
  <si>
    <r>
      <t xml:space="preserve">Clerk                            (Vote for 1)                         </t>
    </r>
    <r>
      <rPr>
        <b/>
        <i/>
        <sz val="10"/>
        <rFont val="Arial"/>
        <family val="2"/>
      </rPr>
      <t>4 year term</t>
    </r>
  </si>
  <si>
    <t>Margaret Ann Dozier</t>
  </si>
  <si>
    <t>Daniel L.    Pillow</t>
  </si>
  <si>
    <t>Catherine L. Nixon-Byess (Write-In)</t>
  </si>
  <si>
    <r>
      <t xml:space="preserve">Member of Council            (Vote for 2)                         </t>
    </r>
    <r>
      <rPr>
        <b/>
        <i/>
        <sz val="10"/>
        <rFont val="Arial"/>
        <family val="2"/>
      </rPr>
      <t>4 year term</t>
    </r>
  </si>
  <si>
    <t>Jay L.          Shatz</t>
  </si>
  <si>
    <t>Ben              Hunt</t>
  </si>
  <si>
    <t>Bob           Rosen</t>
  </si>
  <si>
    <t>Douglas R. Carter</t>
  </si>
  <si>
    <t>Steven          Crase</t>
  </si>
  <si>
    <t>Kathleen May Davis</t>
  </si>
  <si>
    <t>Ana Maria            Gil</t>
  </si>
  <si>
    <t>Stiney Vonderhaar</t>
  </si>
  <si>
    <t>Beth      McDaniel</t>
  </si>
  <si>
    <t>Diane Cunningham Redden</t>
  </si>
  <si>
    <t>Sharon              Lally</t>
  </si>
  <si>
    <t>Tracy L. Naticchioni</t>
  </si>
  <si>
    <r>
      <t xml:space="preserve">Mayor                                                       (Vote for 1)                                              </t>
    </r>
    <r>
      <rPr>
        <b/>
        <i/>
        <sz val="10"/>
        <rFont val="Arial"/>
        <family val="2"/>
      </rPr>
      <t>4 year term</t>
    </r>
  </si>
  <si>
    <t>Mike                Besl</t>
  </si>
  <si>
    <t>Marilyn A.       Duke</t>
  </si>
  <si>
    <t>Will            Kreidler</t>
  </si>
  <si>
    <t>Amy L.             Flury</t>
  </si>
  <si>
    <t>Sharon  Chaney</t>
  </si>
  <si>
    <t>Stefan C. Densmore</t>
  </si>
  <si>
    <t>Minna         Fischer</t>
  </si>
  <si>
    <t>Brittney A. Kreimer</t>
  </si>
  <si>
    <t>Roger                Van Harn</t>
  </si>
  <si>
    <t>Melody N. Mayle</t>
  </si>
  <si>
    <t>David         Bidnick</t>
  </si>
  <si>
    <t>Ruby                 Kinsey-Mumphrey</t>
  </si>
  <si>
    <t>Bill                Brown</t>
  </si>
  <si>
    <t>Robert               Van Stone</t>
  </si>
  <si>
    <t>Marcy             Lewis</t>
  </si>
  <si>
    <t>Mark       Kobasuk</t>
  </si>
  <si>
    <t>Chuck           Short</t>
  </si>
  <si>
    <t>Sarah Donohue</t>
  </si>
  <si>
    <t>Tracy        Boone</t>
  </si>
  <si>
    <t>Douglas M. Sammons, Sr.</t>
  </si>
  <si>
    <t>David  Moorman</t>
  </si>
  <si>
    <r>
      <t>Mayor                         (Vote for 1)                       4</t>
    </r>
    <r>
      <rPr>
        <b/>
        <i/>
        <sz val="10"/>
        <rFont val="Arial"/>
        <family val="2"/>
      </rPr>
      <t xml:space="preserve"> year term</t>
    </r>
  </si>
  <si>
    <t>Bob      Hausfeld</t>
  </si>
  <si>
    <t>Peggy Brickweg</t>
  </si>
  <si>
    <t>Valerie               Van Valkenburg-Walden</t>
  </si>
  <si>
    <r>
      <t xml:space="preserve">Member of Council at Large                                                                                                                                                                                             (Vote for 7)      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>4</t>
    </r>
    <r>
      <rPr>
        <b/>
        <sz val="10"/>
        <rFont val="Arial"/>
        <family val="2"/>
      </rPr>
      <t>/</t>
    </r>
    <r>
      <rPr>
        <b/>
        <i/>
        <sz val="10"/>
        <rFont val="Arial"/>
        <family val="2"/>
      </rPr>
      <t>2 year term</t>
    </r>
  </si>
  <si>
    <t>Arthur Butch Abrams</t>
  </si>
  <si>
    <t>Jeffrey A. Edwards</t>
  </si>
  <si>
    <t>Nicole R. Klungle</t>
  </si>
  <si>
    <t>Christopher Schildmeyer</t>
  </si>
  <si>
    <t>Gregg Lair (Write-In)</t>
  </si>
  <si>
    <t>Kurt           Brickweg</t>
  </si>
  <si>
    <t>Ray       Culbertson</t>
  </si>
  <si>
    <t>John R.       Estep</t>
  </si>
  <si>
    <t>Patty       Hausfeld</t>
  </si>
  <si>
    <t>Gus        Stuchell</t>
  </si>
  <si>
    <t>Tom            Tepe, Jr.</t>
  </si>
  <si>
    <t>John A.      Gaskey</t>
  </si>
  <si>
    <t>Brian K.         Poole</t>
  </si>
  <si>
    <r>
      <t xml:space="preserve">Member of Council                                                                                               (Vote for 3)                                                                                                              </t>
    </r>
    <r>
      <rPr>
        <b/>
        <i/>
        <sz val="10"/>
        <rFont val="Arial"/>
        <family val="2"/>
      </rPr>
      <t>4 year term</t>
    </r>
  </si>
  <si>
    <t>Garrick Berkhalter</t>
  </si>
  <si>
    <t>Marcus T. Calhoun</t>
  </si>
  <si>
    <t>Esther           Boyd</t>
  </si>
  <si>
    <t>Mary L.             Hill</t>
  </si>
  <si>
    <t>Dominic       Wolfer</t>
  </si>
  <si>
    <t>Brian M. Johnson</t>
  </si>
  <si>
    <t>Theresa Harper Kolodzik</t>
  </si>
  <si>
    <t>Chuck Klosterman</t>
  </si>
  <si>
    <t>Jeff                  Baker</t>
  </si>
  <si>
    <t>Bridgett Brogden</t>
  </si>
  <si>
    <t>Brian            Lamar</t>
  </si>
  <si>
    <t>Caroline Heekin</t>
  </si>
  <si>
    <t>Doug A. Lohman</t>
  </si>
  <si>
    <t>Matthew Wallace</t>
  </si>
  <si>
    <t>Todd J.        Schimpf</t>
  </si>
  <si>
    <t>Jim          Luebbe</t>
  </si>
  <si>
    <t>Tony       Rosiello</t>
  </si>
  <si>
    <t>Kenny          Fohl</t>
  </si>
  <si>
    <t>Mark            Louis</t>
  </si>
  <si>
    <t>Risa C.         Dole</t>
  </si>
  <si>
    <t>Timothy Vollrath</t>
  </si>
  <si>
    <t>Cindy L.         Oser</t>
  </si>
  <si>
    <t>Sara               Braun</t>
  </si>
  <si>
    <t>Kristie Dukes Davis</t>
  </si>
  <si>
    <t>Karen Brownlee</t>
  </si>
  <si>
    <t>Guy G. Schaible</t>
  </si>
  <si>
    <t>Eve           Bolton</t>
  </si>
  <si>
    <r>
      <t xml:space="preserve">Member of Board of Education (Vote for 1)                           </t>
    </r>
    <r>
      <rPr>
        <b/>
        <i/>
        <sz val="10"/>
        <rFont val="Arial Narrow"/>
        <family val="2"/>
      </rPr>
      <t>Unexpired 12/31/25</t>
    </r>
  </si>
  <si>
    <t>Kara McCormick</t>
  </si>
  <si>
    <t>Chip           Barrett</t>
  </si>
  <si>
    <t>Meghan           Cole</t>
  </si>
  <si>
    <t>Tori            Frericks</t>
  </si>
  <si>
    <t>Robert          Warfel</t>
  </si>
  <si>
    <t>Lynn M. Mangan</t>
  </si>
  <si>
    <t>Robert        Vanover</t>
  </si>
  <si>
    <t>Linda J.        Cecil</t>
  </si>
  <si>
    <r>
      <t xml:space="preserve">Member Board of Education                                                  (Vote for 2)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</si>
  <si>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Bradley T. Cunningham</t>
  </si>
  <si>
    <t>Anita Ortiz Grolmes</t>
  </si>
  <si>
    <t>Kim             Heath</t>
  </si>
  <si>
    <t>Ann            Ramos</t>
  </si>
  <si>
    <t>Paul J. Chambers</t>
  </si>
  <si>
    <t>Rebecca       Born</t>
  </si>
  <si>
    <t>Emily        Chesnut</t>
  </si>
  <si>
    <t>Myra        Powers</t>
  </si>
  <si>
    <t>Kimberly A. Bouldin-Bryant</t>
  </si>
  <si>
    <t>Barbara      Graves</t>
  </si>
  <si>
    <t>Helen    O'Rourke</t>
  </si>
  <si>
    <t>Debbie         Cole</t>
  </si>
  <si>
    <t>Brittany         Kelsch</t>
  </si>
  <si>
    <t>Cassandra A. Saines</t>
  </si>
  <si>
    <t>Crystal Gee Menner</t>
  </si>
  <si>
    <t>Amy        Thamann</t>
  </si>
  <si>
    <t>Rebecca L. Blevins</t>
  </si>
  <si>
    <t>Linda Keith Radtke</t>
  </si>
  <si>
    <t>Joseph E. Wheeler</t>
  </si>
  <si>
    <t>Victor           Harris</t>
  </si>
  <si>
    <t>Adrienne C. James</t>
  </si>
  <si>
    <t>Bill        Speelman</t>
  </si>
  <si>
    <t>Angela G. Knighten</t>
  </si>
  <si>
    <t>Paula           Kuhn</t>
  </si>
  <si>
    <t>Joe          Brinkman</t>
  </si>
  <si>
    <t>Michael P. Evans</t>
  </si>
  <si>
    <t>Illya Torrance Thomas</t>
  </si>
  <si>
    <t>Jeanie         Zoller</t>
  </si>
  <si>
    <r>
      <t xml:space="preserve">Member of Board of Education                               (Vote for 1)                                                        </t>
    </r>
    <r>
      <rPr>
        <b/>
        <i/>
        <sz val="10"/>
        <rFont val="Arial Narrow"/>
        <family val="2"/>
      </rPr>
      <t>Unexpired 12/31/25</t>
    </r>
  </si>
  <si>
    <t>John        Feldmeier</t>
  </si>
  <si>
    <t>Fred             Hunt</t>
  </si>
  <si>
    <t>Chadwick G. Engleman</t>
  </si>
  <si>
    <t>Seth               Plaut</t>
  </si>
  <si>
    <t>Kenneth       Kuhn</t>
  </si>
  <si>
    <t>Kris           Wahlke</t>
  </si>
  <si>
    <t>Krista          Blum</t>
  </si>
  <si>
    <t>Lauren M. Costanzo</t>
  </si>
  <si>
    <r>
      <t xml:space="preserve">Member Board of Education                                                                                     (Vote for 3)                         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</si>
  <si>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Christine Colliver</t>
  </si>
  <si>
    <t>Matt           Tietsort</t>
  </si>
  <si>
    <t>Jim               Detzel</t>
  </si>
  <si>
    <t>Victoria            Lowry</t>
  </si>
  <si>
    <t>Nancy       Slattery</t>
  </si>
  <si>
    <r>
      <t xml:space="preserve">Member Board of Education                                                                                                      (Vote for 3)  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</si>
  <si>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Daniel A. Voynovich</t>
  </si>
  <si>
    <t>Janice         Hunter</t>
  </si>
  <si>
    <t>Lisa               Ibold</t>
  </si>
  <si>
    <t>Sam       Yorgovan</t>
  </si>
  <si>
    <r>
      <t xml:space="preserve">Member Board of Education                                                           (Vote for 3)                                                                                    </t>
    </r>
    <r>
      <rPr>
        <b/>
        <i/>
        <sz val="10"/>
        <rFont val="Arial Narrow"/>
        <family val="2"/>
      </rPr>
      <t>4 year term</t>
    </r>
  </si>
  <si>
    <t>Jeffrey Paul Biddle</t>
  </si>
  <si>
    <t>Rodney A. Smith</t>
  </si>
  <si>
    <t>Robert                 Kief</t>
  </si>
  <si>
    <t>Chris L.        Payne</t>
  </si>
  <si>
    <t>Susan J.        Miller</t>
  </si>
  <si>
    <t>Stephanie M. Stafford              (Write-In)</t>
  </si>
  <si>
    <r>
      <t xml:space="preserve">ISSUE 1                                        State of Ohio                            </t>
    </r>
    <r>
      <rPr>
        <sz val="10"/>
        <color theme="1"/>
        <rFont val="Arial Narrow"/>
        <family val="2"/>
      </rPr>
      <t>Proposed Constitutional Amendment - Abortion</t>
    </r>
  </si>
  <si>
    <r>
      <t xml:space="preserve">ISSUE 2                                        State of Ohio                           </t>
    </r>
    <r>
      <rPr>
        <sz val="10"/>
        <color theme="1"/>
        <rFont val="Arial Narrow"/>
        <family val="2"/>
      </rPr>
      <t xml:space="preserve"> Proposed Initiative Petition - Cannabis</t>
    </r>
  </si>
  <si>
    <r>
      <t xml:space="preserve">ISSUE 4                            Village of Fairfax                </t>
    </r>
    <r>
      <rPr>
        <sz val="10"/>
        <color theme="1"/>
        <rFont val="Arial Narrow"/>
        <family val="2"/>
      </rPr>
      <t>-</t>
    </r>
    <r>
      <rPr>
        <b/>
        <sz val="10"/>
        <color theme="1"/>
        <rFont val="Arial Narrow"/>
        <family val="2"/>
      </rPr>
      <t xml:space="preserve"> </t>
    </r>
    <r>
      <rPr>
        <sz val="10"/>
        <color theme="1"/>
        <rFont val="Arial Narrow"/>
        <family val="2"/>
      </rPr>
      <t>Proposed Ordinance -         Gas Aggregation</t>
    </r>
  </si>
  <si>
    <r>
      <t xml:space="preserve">ISSUE 5                            Village of Fairfax                </t>
    </r>
    <r>
      <rPr>
        <sz val="10"/>
        <color theme="1"/>
        <rFont val="Arial Narrow"/>
        <family val="2"/>
      </rPr>
      <t>- Proposed Ordinance -         Electric Aggregation</t>
    </r>
  </si>
  <si>
    <r>
      <t xml:space="preserve">ISSUE 7                            Village of Lincoln Heights               </t>
    </r>
    <r>
      <rPr>
        <sz val="10"/>
        <color theme="1"/>
        <rFont val="Arial Narrow"/>
        <family val="2"/>
      </rPr>
      <t xml:space="preserve"> - Proposed Ordinance -         Electric Aggregation</t>
    </r>
  </si>
  <si>
    <r>
      <t xml:space="preserve">ISSUE 8                            Village of Mariemont                </t>
    </r>
    <r>
      <rPr>
        <sz val="10"/>
        <color theme="1"/>
        <rFont val="Arial Narrow"/>
        <family val="2"/>
      </rPr>
      <t>- Proposed Ordinance -         Gas Aggregation</t>
    </r>
  </si>
  <si>
    <r>
      <t xml:space="preserve">ISSUE 9                            Village of Mariemont                </t>
    </r>
    <r>
      <rPr>
        <sz val="10"/>
        <color theme="1"/>
        <rFont val="Arial Narrow"/>
        <family val="2"/>
      </rPr>
      <t>- Proposed Ordinance -         Electric Aggregation</t>
    </r>
  </si>
  <si>
    <r>
      <t xml:space="preserve">ISSUE 10                            Village of Mariemont                  </t>
    </r>
    <r>
      <rPr>
        <sz val="10"/>
        <color theme="1"/>
        <rFont val="Arial Narrow"/>
        <family val="2"/>
      </rPr>
      <t>- Tax Levy (Renewal) -         3.08ml 5yr - Current Operating Expenses</t>
    </r>
  </si>
  <si>
    <r>
      <t xml:space="preserve">ISSUE 11                            Village of Mariemont                  </t>
    </r>
    <r>
      <rPr>
        <sz val="10"/>
        <color theme="1"/>
        <rFont val="Arial Narrow"/>
        <family val="2"/>
      </rPr>
      <t>- Tax Levy (Renewal) -         1ml 5yr - MariElders, Inc</t>
    </r>
  </si>
  <si>
    <r>
      <t xml:space="preserve">ISSUE 14                           Township of Colerain                  </t>
    </r>
    <r>
      <rPr>
        <sz val="10"/>
        <color theme="1"/>
        <rFont val="Arial Narrow"/>
        <family val="2"/>
      </rPr>
      <t>- Tax Levy (Additional) -        4.65ml CPT - Police Services</t>
    </r>
  </si>
  <si>
    <r>
      <t xml:space="preserve">ISSUE 15                           Township of Delhi                  </t>
    </r>
    <r>
      <rPr>
        <sz val="10"/>
        <color theme="1"/>
        <rFont val="Arial Narrow"/>
        <family val="2"/>
      </rPr>
      <t>- Tax Levy (Additional) -         1.99ml CPT - Fire / Emergency Services</t>
    </r>
  </si>
  <si>
    <r>
      <t xml:space="preserve">ISSUE 16                           Township of Miami                  </t>
    </r>
    <r>
      <rPr>
        <sz val="10"/>
        <color theme="1"/>
        <rFont val="Arial Narrow"/>
        <family val="2"/>
      </rPr>
      <t>- Tax Levy (Renewal &amp; Increase) -                       2.25ml 5yrs - Waste Disposal</t>
    </r>
  </si>
  <si>
    <r>
      <t xml:space="preserve">ISSUE 17                           Milford Exempted Village School District                               </t>
    </r>
    <r>
      <rPr>
        <sz val="10"/>
        <color theme="1"/>
        <rFont val="Arial Narrow"/>
        <family val="2"/>
      </rPr>
      <t>- Tax Levy (Additional) -                       5.99ml 25yrs - Emergency Requirements</t>
    </r>
  </si>
  <si>
    <r>
      <t xml:space="preserve">ISSUE 18                           Anderson Township Park District                               </t>
    </r>
    <r>
      <rPr>
        <sz val="10"/>
        <color theme="1"/>
        <rFont val="Arial Narrow"/>
        <family val="2"/>
      </rPr>
      <t>- Tax Levy (Additional) -                       1ml 25yrs - Defraying expenses &amp; Improving Lands</t>
    </r>
  </si>
  <si>
    <r>
      <t xml:space="preserve">ISSUE 20                           Hamilton County                                 </t>
    </r>
    <r>
      <rPr>
        <sz val="10"/>
        <color theme="1"/>
        <rFont val="Arial Narrow"/>
        <family val="2"/>
      </rPr>
      <t>- Tax Levy (Renewal &amp; Increase) -                            1ml 10yr - Public Library</t>
    </r>
  </si>
  <si>
    <r>
      <t xml:space="preserve">ISSUE 12                           Village of Terrace Park                  </t>
    </r>
    <r>
      <rPr>
        <sz val="10"/>
        <color theme="1"/>
        <rFont val="Arial Narrow"/>
        <family val="2"/>
      </rPr>
      <t>- Tax Levy (Renewal) -         2.5ml 5yrs - Current Operating Expenses</t>
    </r>
  </si>
  <si>
    <r>
      <t xml:space="preserve">ISSUE 13                           Village of Woodlawn                  </t>
    </r>
    <r>
      <rPr>
        <sz val="10"/>
        <color theme="1"/>
        <rFont val="Arial Narrow"/>
        <family val="2"/>
      </rPr>
      <t>- Income Tax (Additional) -         0.3% 5yrs - Street, Curb Maintenance</t>
    </r>
  </si>
  <si>
    <r>
      <t xml:space="preserve">ISSUE 19                           Hamilton County                                 </t>
    </r>
    <r>
      <rPr>
        <sz val="10"/>
        <color theme="1"/>
        <rFont val="Arial Narrow"/>
        <family val="2"/>
      </rPr>
      <t>- Tax Levy (Renewal) - 0.46ml 5yrs - Zoo Operations</t>
    </r>
  </si>
  <si>
    <r>
      <t xml:space="preserve">ISSUE 3                            Village of Cleves           </t>
    </r>
    <r>
      <rPr>
        <sz val="10"/>
        <color theme="1"/>
        <rFont val="Arial Narrow"/>
        <family val="2"/>
      </rPr>
      <t xml:space="preserve">       - Tax Levy (Additional) -         7ml 5yrs - Current Operating Expenses</t>
    </r>
  </si>
  <si>
    <r>
      <t xml:space="preserve">ISSUE 6                            Village of Golf Manor                  </t>
    </r>
    <r>
      <rPr>
        <sz val="10"/>
        <color theme="1"/>
        <rFont val="Arial Narrow"/>
        <family val="2"/>
      </rPr>
      <t>- Tax Levy (Renewal) -         2ml 5yrs - Current Operating Expenses</t>
    </r>
  </si>
  <si>
    <r>
      <t xml:space="preserve">ISSUE 21                           City of Cheviot                  </t>
    </r>
    <r>
      <rPr>
        <sz val="10"/>
        <color theme="1"/>
        <rFont val="Arial Narrow"/>
        <family val="2"/>
      </rPr>
      <t>- Tax Levy (Additional) -        3ml 5yrs - Operating Fire Department</t>
    </r>
  </si>
  <si>
    <r>
      <t xml:space="preserve">ISSUE 22                           City of Cincinnati                  </t>
    </r>
    <r>
      <rPr>
        <sz val="10"/>
        <color theme="1"/>
        <rFont val="Arial Narrow"/>
        <family val="2"/>
      </rPr>
      <t>- Proposed Ordinance -        Sale Cincinnati Southern Railway</t>
    </r>
  </si>
  <si>
    <r>
      <t xml:space="preserve">ISSUE 24                           City of Cincinnati                  </t>
    </r>
    <r>
      <rPr>
        <sz val="10"/>
        <color theme="1"/>
        <rFont val="Arial Narrow"/>
        <family val="2"/>
      </rPr>
      <t>- Charter Amendment  -                          Affordable Housing Tax (0.30%)</t>
    </r>
  </si>
  <si>
    <r>
      <t xml:space="preserve">ISSUE 23                           City of Cincinnati                  </t>
    </r>
    <r>
      <rPr>
        <sz val="10"/>
        <color theme="1"/>
        <rFont val="Arial Narrow"/>
        <family val="2"/>
      </rPr>
      <t>- Charter Amendment  -                               Election Reform</t>
    </r>
  </si>
  <si>
    <r>
      <t xml:space="preserve">ISSUE 25                           City of Mt. Healthy                  </t>
    </r>
    <r>
      <rPr>
        <sz val="10"/>
        <color theme="1"/>
        <rFont val="Arial Narrow"/>
        <family val="2"/>
      </rPr>
      <t>- Tax Levy (Additional) -        1.54ml CPT - Police Services</t>
    </r>
  </si>
  <si>
    <r>
      <t xml:space="preserve">ISSUE 26                            City of North College Hill               </t>
    </r>
    <r>
      <rPr>
        <sz val="10"/>
        <color theme="1"/>
        <rFont val="Arial Narrow"/>
        <family val="2"/>
      </rPr>
      <t>- Proposed Ordinance -         Gas Aggregation</t>
    </r>
  </si>
  <si>
    <r>
      <t xml:space="preserve">ISSUE 27                            City of North College Hill               </t>
    </r>
    <r>
      <rPr>
        <sz val="10"/>
        <color theme="1"/>
        <rFont val="Arial Narrow"/>
        <family val="2"/>
      </rPr>
      <t>- Proposed Ordinance -         Electric Aggregation</t>
    </r>
  </si>
  <si>
    <r>
      <t xml:space="preserve">ISSUE 28                           City of North College Hill                  </t>
    </r>
    <r>
      <rPr>
        <sz val="10"/>
        <color theme="1"/>
        <rFont val="Arial Narrow"/>
        <family val="2"/>
      </rPr>
      <t>- Tax Levy (Renewal) -        0.5ml 5yrs - Senior Citizens Services</t>
    </r>
  </si>
  <si>
    <r>
      <t xml:space="preserve">ISSUE 29                            Local Liquor Option (Norwood 2-C)                                    </t>
    </r>
    <r>
      <rPr>
        <sz val="10"/>
        <color theme="1"/>
        <rFont val="Arial Narrow"/>
        <family val="2"/>
      </rPr>
      <t xml:space="preserve">  Particular Use at Business Location</t>
    </r>
  </si>
  <si>
    <t>SOUTHWEST SCH -15-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</si>
</sst>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4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name val="Arial Narrow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4"/>
      <color indexed="8"/>
      <name val="Arial"/>
      <family val="2"/>
    </font>
    <font>
      <b/>
      <sz val="13"/>
      <name val="ARIAL"/>
      <family val="2"/>
    </font>
    <font>
      <sz val="10"/>
      <name val="Arial Narrow"/>
      <family val="2"/>
    </font>
    <font>
      <b/>
      <sz val="14"/>
      <name val="Arial Narrow"/>
      <family val="2"/>
    </font>
    <font>
      <sz val="10"/>
      <color indexed="8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10"/>
      <color indexed="8"/>
      <name val="Arial Narrow"/>
      <family val="2"/>
    </font>
    <font>
      <b/>
      <sz val="13"/>
      <color indexed="8"/>
      <name val="Arial"/>
      <family val="2"/>
    </font>
    <font>
      <sz val="8.0500000000000007"/>
      <color indexed="8"/>
      <name val="Arial"/>
      <family val="2"/>
    </font>
    <font>
      <sz val="10"/>
      <color theme="1"/>
      <name val="Arial"/>
      <family val="2"/>
    </font>
    <font>
      <b/>
      <sz val="8"/>
      <color theme="1"/>
      <name val="Arial Narrow"/>
      <family val="2"/>
    </font>
    <font>
      <b/>
      <sz val="8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name val="Arial"/>
      <family val="2"/>
    </font>
    <font>
      <b/>
      <i/>
      <sz val="8"/>
      <name val="Arial"/>
      <family val="2"/>
    </font>
    <font>
      <b/>
      <sz val="13"/>
      <name val="Arial Narrow"/>
      <family val="2"/>
    </font>
    <font>
      <sz val="13"/>
      <color indexed="8"/>
      <name val="Arial Narrow"/>
      <family val="2"/>
    </font>
    <font>
      <sz val="13"/>
      <name val="Arial Narrow"/>
      <family val="2"/>
    </font>
    <font>
      <b/>
      <i/>
      <sz val="1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8"/>
      </patternFill>
    </fill>
  </fills>
  <borders count="1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</borders>
  <cellStyleXfs count="4">
    <xf numFmtId="0" fontId="0" fillId="0" borderId="0">
      <alignment vertical="top"/>
    </xf>
    <xf numFmtId="43" fontId="1" fillId="0" borderId="0" applyFont="0" applyFill="0" applyBorder="0" applyAlignment="0" applyProtection="0"/>
    <xf numFmtId="0" fontId="23" fillId="0" borderId="0"/>
    <xf numFmtId="0" fontId="3" fillId="0" borderId="0">
      <alignment vertical="top"/>
    </xf>
  </cellStyleXfs>
  <cellXfs count="908">
    <xf numFmtId="0" fontId="0" fillId="0" borderId="0" xfId="0" applyAlignment="1"/>
    <xf numFmtId="0" fontId="7" fillId="3" borderId="0" xfId="0" applyFont="1" applyFill="1" applyAlignment="1"/>
    <xf numFmtId="0" fontId="7" fillId="3" borderId="1" xfId="0" applyFont="1" applyFill="1" applyBorder="1" applyAlignment="1"/>
    <xf numFmtId="0" fontId="0" fillId="3" borderId="1" xfId="0" applyFill="1" applyBorder="1" applyAlignment="1"/>
    <xf numFmtId="3" fontId="4" fillId="3" borderId="0" xfId="0" applyNumberFormat="1" applyFont="1" applyFill="1" applyAlignment="1"/>
    <xf numFmtId="0" fontId="8" fillId="3" borderId="1" xfId="0" applyFont="1" applyFill="1" applyBorder="1" applyAlignment="1"/>
    <xf numFmtId="0" fontId="8" fillId="3" borderId="0" xfId="0" applyFont="1" applyFill="1" applyAlignment="1"/>
    <xf numFmtId="0" fontId="6" fillId="3" borderId="1" xfId="0" applyFont="1" applyFill="1" applyBorder="1" applyAlignment="1"/>
    <xf numFmtId="0" fontId="15" fillId="3" borderId="0" xfId="0" applyFont="1" applyFill="1" applyAlignment="1"/>
    <xf numFmtId="0" fontId="19" fillId="3" borderId="0" xfId="0" applyFont="1" applyFill="1" applyAlignment="1"/>
    <xf numFmtId="1" fontId="17" fillId="3" borderId="1" xfId="3" applyNumberFormat="1" applyFont="1" applyFill="1" applyBorder="1" applyAlignment="1">
      <alignment horizontal="center" vertical="top"/>
    </xf>
    <xf numFmtId="0" fontId="17" fillId="3" borderId="1" xfId="3" applyFont="1" applyFill="1" applyBorder="1" applyAlignment="1"/>
    <xf numFmtId="0" fontId="15" fillId="3" borderId="1" xfId="0" applyFont="1" applyFill="1" applyBorder="1" applyAlignment="1"/>
    <xf numFmtId="3" fontId="6" fillId="3" borderId="1" xfId="0" applyNumberFormat="1" applyFont="1" applyFill="1" applyBorder="1" applyAlignment="1"/>
    <xf numFmtId="3" fontId="6" fillId="3" borderId="0" xfId="0" applyNumberFormat="1" applyFont="1" applyFill="1" applyAlignment="1"/>
    <xf numFmtId="3" fontId="6" fillId="3" borderId="1" xfId="0" applyNumberFormat="1" applyFont="1" applyFill="1" applyBorder="1">
      <alignment vertical="top"/>
    </xf>
    <xf numFmtId="0" fontId="6" fillId="3" borderId="1" xfId="0" applyFont="1" applyFill="1" applyBorder="1">
      <alignment vertical="top"/>
    </xf>
    <xf numFmtId="0" fontId="6" fillId="4" borderId="1" xfId="0" applyFont="1" applyFill="1" applyBorder="1">
      <alignment vertical="top"/>
    </xf>
    <xf numFmtId="0" fontId="15" fillId="3" borderId="3" xfId="0" applyFont="1" applyFill="1" applyBorder="1" applyAlignment="1"/>
    <xf numFmtId="0" fontId="15" fillId="3" borderId="2" xfId="0" applyFont="1" applyFill="1" applyBorder="1" applyAlignment="1"/>
    <xf numFmtId="0" fontId="7" fillId="3" borderId="5" xfId="0" applyFont="1" applyFill="1" applyBorder="1" applyAlignment="1"/>
    <xf numFmtId="0" fontId="0" fillId="3" borderId="2" xfId="0" applyFill="1" applyBorder="1" applyAlignment="1"/>
    <xf numFmtId="3" fontId="6" fillId="3" borderId="2" xfId="0" applyNumberFormat="1" applyFont="1" applyFill="1" applyBorder="1" applyAlignment="1"/>
    <xf numFmtId="0" fontId="5" fillId="3" borderId="1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/>
    <xf numFmtId="0" fontId="8" fillId="3" borderId="2" xfId="0" applyFont="1" applyFill="1" applyBorder="1" applyAlignment="1"/>
    <xf numFmtId="0" fontId="15" fillId="3" borderId="5" xfId="0" applyFont="1" applyFill="1" applyBorder="1" applyAlignment="1"/>
    <xf numFmtId="0" fontId="15" fillId="3" borderId="9" xfId="0" applyFont="1" applyFill="1" applyBorder="1" applyAlignment="1"/>
    <xf numFmtId="1" fontId="17" fillId="3" borderId="5" xfId="3" applyNumberFormat="1" applyFont="1" applyFill="1" applyBorder="1" applyAlignment="1">
      <alignment horizontal="center" vertical="top"/>
    </xf>
    <xf numFmtId="0" fontId="17" fillId="3" borderId="5" xfId="3" applyFont="1" applyFill="1" applyBorder="1" applyAlignment="1"/>
    <xf numFmtId="0" fontId="5" fillId="3" borderId="10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15" fillId="3" borderId="56" xfId="0" applyFont="1" applyFill="1" applyBorder="1" applyAlignment="1"/>
    <xf numFmtId="0" fontId="6" fillId="4" borderId="56" xfId="0" applyFont="1" applyFill="1" applyBorder="1">
      <alignment vertical="top"/>
    </xf>
    <xf numFmtId="0" fontId="18" fillId="3" borderId="47" xfId="0" applyFont="1" applyFill="1" applyBorder="1" applyAlignment="1">
      <alignment horizontal="center" vertical="center"/>
    </xf>
    <xf numFmtId="0" fontId="18" fillId="3" borderId="82" xfId="0" applyFont="1" applyFill="1" applyBorder="1" applyAlignment="1">
      <alignment horizontal="center" vertical="center" wrapText="1"/>
    </xf>
    <xf numFmtId="0" fontId="18" fillId="3" borderId="68" xfId="0" applyFont="1" applyFill="1" applyBorder="1" applyAlignment="1">
      <alignment horizontal="center" vertic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47" xfId="0" applyFont="1" applyFill="1" applyBorder="1" applyAlignment="1">
      <alignment horizontal="center" vertical="center" wrapText="1"/>
    </xf>
    <xf numFmtId="0" fontId="5" fillId="3" borderId="65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3" borderId="82" xfId="0" applyFont="1" applyFill="1" applyBorder="1" applyAlignment="1">
      <alignment horizontal="center" vertical="center" wrapText="1"/>
    </xf>
    <xf numFmtId="0" fontId="5" fillId="3" borderId="86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/>
    </xf>
    <xf numFmtId="0" fontId="5" fillId="3" borderId="8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3" fontId="6" fillId="3" borderId="46" xfId="0" applyNumberFormat="1" applyFont="1" applyFill="1" applyBorder="1" applyAlignment="1">
      <alignment horizontal="center" vertical="center"/>
    </xf>
    <xf numFmtId="3" fontId="17" fillId="3" borderId="2" xfId="0" applyNumberFormat="1" applyFont="1" applyFill="1" applyBorder="1" applyAlignment="1">
      <alignment horizontal="center" vertical="center"/>
    </xf>
    <xf numFmtId="3" fontId="17" fillId="3" borderId="46" xfId="0" applyNumberFormat="1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3" fontId="6" fillId="3" borderId="78" xfId="0" applyNumberFormat="1" applyFont="1" applyFill="1" applyBorder="1" applyAlignment="1">
      <alignment horizontal="center" vertical="center"/>
    </xf>
    <xf numFmtId="1" fontId="17" fillId="3" borderId="2" xfId="0" applyNumberFormat="1" applyFont="1" applyFill="1" applyBorder="1" applyAlignment="1">
      <alignment horizontal="center" vertical="center"/>
    </xf>
    <xf numFmtId="3" fontId="17" fillId="3" borderId="78" xfId="0" applyNumberFormat="1" applyFont="1" applyFill="1" applyBorder="1" applyAlignment="1">
      <alignment horizontal="center" vertical="center"/>
    </xf>
    <xf numFmtId="3" fontId="17" fillId="3" borderId="3" xfId="0" applyNumberFormat="1" applyFont="1" applyFill="1" applyBorder="1" applyAlignment="1">
      <alignment horizontal="center" vertical="center"/>
    </xf>
    <xf numFmtId="3" fontId="17" fillId="3" borderId="78" xfId="0" applyNumberFormat="1" applyFont="1" applyFill="1" applyBorder="1" applyAlignment="1" applyProtection="1">
      <alignment horizontal="center" vertical="center"/>
      <protection locked="0"/>
    </xf>
    <xf numFmtId="3" fontId="17" fillId="3" borderId="46" xfId="0" applyNumberFormat="1" applyFont="1" applyFill="1" applyBorder="1" applyAlignment="1" applyProtection="1">
      <alignment horizontal="center" vertical="center"/>
      <protection locked="0"/>
    </xf>
    <xf numFmtId="3" fontId="17" fillId="3" borderId="2" xfId="0" applyNumberFormat="1" applyFont="1" applyFill="1" applyBorder="1" applyAlignment="1" applyProtection="1">
      <alignment horizontal="center" vertical="center"/>
      <protection locked="0"/>
    </xf>
    <xf numFmtId="3" fontId="17" fillId="3" borderId="3" xfId="0" applyNumberFormat="1" applyFont="1" applyFill="1" applyBorder="1" applyAlignment="1" applyProtection="1">
      <alignment horizontal="center" vertical="center"/>
      <protection locked="0"/>
    </xf>
    <xf numFmtId="1" fontId="17" fillId="3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Font="1" applyBorder="1" applyAlignment="1">
      <alignment horizontal="center" vertical="center"/>
    </xf>
    <xf numFmtId="3" fontId="15" fillId="3" borderId="2" xfId="0" applyNumberFormat="1" applyFont="1" applyFill="1" applyBorder="1" applyAlignment="1">
      <alignment horizontal="center" vertical="center"/>
    </xf>
    <xf numFmtId="3" fontId="15" fillId="3" borderId="46" xfId="0" applyNumberFormat="1" applyFont="1" applyFill="1" applyBorder="1" applyAlignment="1">
      <alignment horizontal="center" vertical="center"/>
    </xf>
    <xf numFmtId="3" fontId="15" fillId="3" borderId="3" xfId="0" applyNumberFormat="1" applyFont="1" applyFill="1" applyBorder="1" applyAlignment="1">
      <alignment horizontal="center" vertical="center"/>
    </xf>
    <xf numFmtId="0" fontId="17" fillId="0" borderId="80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79" xfId="0" applyFont="1" applyBorder="1" applyAlignment="1">
      <alignment horizontal="center" vertical="center"/>
    </xf>
    <xf numFmtId="0" fontId="26" fillId="0" borderId="80" xfId="0" applyFont="1" applyBorder="1" applyAlignment="1">
      <alignment horizontal="center" vertical="center"/>
    </xf>
    <xf numFmtId="3" fontId="6" fillId="3" borderId="80" xfId="0" applyNumberFormat="1" applyFont="1" applyFill="1" applyBorder="1" applyAlignment="1">
      <alignment horizontal="center" vertical="center"/>
    </xf>
    <xf numFmtId="0" fontId="17" fillId="3" borderId="80" xfId="0" applyFont="1" applyFill="1" applyBorder="1" applyAlignment="1">
      <alignment horizontal="center" vertical="center"/>
    </xf>
    <xf numFmtId="1" fontId="15" fillId="3" borderId="2" xfId="0" applyNumberFormat="1" applyFont="1" applyFill="1" applyBorder="1" applyAlignment="1">
      <alignment horizontal="center" vertical="center"/>
    </xf>
    <xf numFmtId="1" fontId="15" fillId="3" borderId="80" xfId="0" applyNumberFormat="1" applyFont="1" applyFill="1" applyBorder="1" applyAlignment="1">
      <alignment horizontal="center" vertical="center"/>
    </xf>
    <xf numFmtId="3" fontId="17" fillId="3" borderId="80" xfId="0" applyNumberFormat="1" applyFont="1" applyFill="1" applyBorder="1" applyAlignment="1">
      <alignment horizontal="center" vertical="center"/>
    </xf>
    <xf numFmtId="1" fontId="17" fillId="3" borderId="80" xfId="0" applyNumberFormat="1" applyFont="1" applyFill="1" applyBorder="1" applyAlignment="1">
      <alignment horizontal="center" vertical="center"/>
    </xf>
    <xf numFmtId="3" fontId="17" fillId="3" borderId="80" xfId="0" applyNumberFormat="1" applyFont="1" applyFill="1" applyBorder="1" applyAlignment="1" applyProtection="1">
      <alignment horizontal="center" vertical="center"/>
      <protection locked="0"/>
    </xf>
    <xf numFmtId="1" fontId="17" fillId="3" borderId="80" xfId="0" applyNumberFormat="1" applyFont="1" applyFill="1" applyBorder="1" applyAlignment="1" applyProtection="1">
      <alignment horizontal="center" vertical="center"/>
      <protection locked="0"/>
    </xf>
    <xf numFmtId="3" fontId="15" fillId="3" borderId="78" xfId="0" applyNumberFormat="1" applyFont="1" applyFill="1" applyBorder="1" applyAlignment="1">
      <alignment horizontal="center" vertical="center"/>
    </xf>
    <xf numFmtId="3" fontId="15" fillId="3" borderId="80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/>
    </xf>
    <xf numFmtId="0" fontId="18" fillId="3" borderId="86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7" fillId="3" borderId="11" xfId="0" applyFont="1" applyFill="1" applyBorder="1" applyAlignment="1"/>
    <xf numFmtId="0" fontId="0" fillId="3" borderId="78" xfId="0" applyFill="1" applyBorder="1" applyAlignment="1"/>
    <xf numFmtId="0" fontId="17" fillId="0" borderId="108" xfId="0" applyFont="1" applyBorder="1" applyAlignment="1">
      <alignment horizontal="center" vertical="center"/>
    </xf>
    <xf numFmtId="0" fontId="17" fillId="0" borderId="110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5" fillId="0" borderId="110" xfId="0" applyFont="1" applyBorder="1" applyAlignment="1">
      <alignment horizontal="center" vertical="center"/>
    </xf>
    <xf numFmtId="0" fontId="15" fillId="0" borderId="80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5" fillId="3" borderId="114" xfId="0" applyFont="1" applyFill="1" applyBorder="1" applyAlignment="1">
      <alignment horizontal="center" vertical="center" wrapText="1"/>
    </xf>
    <xf numFmtId="0" fontId="5" fillId="3" borderId="115" xfId="0" applyFont="1" applyFill="1" applyBorder="1" applyAlignment="1">
      <alignment horizontal="center" vertical="center" wrapText="1"/>
    </xf>
    <xf numFmtId="0" fontId="5" fillId="3" borderId="116" xfId="0" applyFont="1" applyFill="1" applyBorder="1" applyAlignment="1">
      <alignment horizontal="center" vertical="center" wrapText="1"/>
    </xf>
    <xf numFmtId="0" fontId="5" fillId="3" borderId="117" xfId="0" applyFont="1" applyFill="1" applyBorder="1" applyAlignment="1">
      <alignment horizontal="center" vertical="center" wrapText="1"/>
    </xf>
    <xf numFmtId="0" fontId="25" fillId="0" borderId="118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25" fillId="0" borderId="119" xfId="0" applyFont="1" applyBorder="1" applyAlignment="1">
      <alignment horizontal="center" vertical="center" wrapText="1"/>
    </xf>
    <xf numFmtId="0" fontId="25" fillId="0" borderId="120" xfId="0" applyFont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/>
    </xf>
    <xf numFmtId="0" fontId="25" fillId="3" borderId="44" xfId="0" applyFont="1" applyFill="1" applyBorder="1" applyAlignment="1">
      <alignment horizontal="center" vertical="center" wrapText="1"/>
    </xf>
    <xf numFmtId="0" fontId="25" fillId="3" borderId="119" xfId="0" applyFont="1" applyFill="1" applyBorder="1" applyAlignment="1">
      <alignment horizontal="center" vertical="center" wrapText="1"/>
    </xf>
    <xf numFmtId="0" fontId="25" fillId="3" borderId="41" xfId="0" applyFont="1" applyFill="1" applyBorder="1" applyAlignment="1">
      <alignment horizontal="center" vertical="center" wrapText="1"/>
    </xf>
    <xf numFmtId="0" fontId="5" fillId="0" borderId="119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25" fillId="3" borderId="42" xfId="0" applyFont="1" applyFill="1" applyBorder="1" applyAlignment="1">
      <alignment horizontal="center" vertical="center" wrapText="1"/>
    </xf>
    <xf numFmtId="0" fontId="25" fillId="3" borderId="118" xfId="0" applyFont="1" applyFill="1" applyBorder="1" applyAlignment="1">
      <alignment horizontal="center" vertical="center" wrapText="1"/>
    </xf>
    <xf numFmtId="0" fontId="25" fillId="3" borderId="43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25" fillId="3" borderId="120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25" fillId="3" borderId="121" xfId="2" applyFont="1" applyFill="1" applyBorder="1" applyAlignment="1">
      <alignment horizontal="center" vertical="center" wrapText="1"/>
    </xf>
    <xf numFmtId="0" fontId="25" fillId="3" borderId="49" xfId="2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122" xfId="0" applyFont="1" applyBorder="1" applyAlignment="1">
      <alignment horizontal="center" vertical="center" wrapText="1"/>
    </xf>
    <xf numFmtId="0" fontId="25" fillId="0" borderId="123" xfId="0" applyFont="1" applyBorder="1" applyAlignment="1">
      <alignment horizontal="center" vertical="center" wrapText="1"/>
    </xf>
    <xf numFmtId="0" fontId="25" fillId="0" borderId="121" xfId="0" applyFont="1" applyBorder="1" applyAlignment="1">
      <alignment horizontal="center" vertical="center" wrapText="1"/>
    </xf>
    <xf numFmtId="0" fontId="17" fillId="4" borderId="1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29" xfId="0" applyFont="1" applyFill="1" applyBorder="1" applyAlignment="1">
      <alignment horizontal="center" vertical="center"/>
    </xf>
    <xf numFmtId="0" fontId="15" fillId="3" borderId="79" xfId="0" applyFont="1" applyFill="1" applyBorder="1" applyAlignment="1">
      <alignment horizontal="center" vertical="center"/>
    </xf>
    <xf numFmtId="0" fontId="15" fillId="3" borderId="69" xfId="0" applyFont="1" applyFill="1" applyBorder="1" applyAlignment="1">
      <alignment horizontal="center" vertical="center"/>
    </xf>
    <xf numFmtId="0" fontId="15" fillId="3" borderId="93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40" xfId="0" applyFont="1" applyFill="1" applyBorder="1" applyAlignment="1">
      <alignment horizontal="center" vertical="center"/>
    </xf>
    <xf numFmtId="0" fontId="15" fillId="3" borderId="77" xfId="0" applyFont="1" applyFill="1" applyBorder="1" applyAlignment="1">
      <alignment horizontal="center" vertical="center"/>
    </xf>
    <xf numFmtId="0" fontId="17" fillId="4" borderId="108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0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6" xfId="0" applyFont="1" applyFill="1" applyBorder="1" applyAlignment="1">
      <alignment horizontal="center" vertical="center"/>
    </xf>
    <xf numFmtId="0" fontId="15" fillId="3" borderId="108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110" xfId="0" applyFont="1" applyFill="1" applyBorder="1" applyAlignment="1">
      <alignment horizontal="center" vertical="center"/>
    </xf>
    <xf numFmtId="0" fontId="15" fillId="3" borderId="78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10" xfId="0" applyFont="1" applyBorder="1" applyAlignment="1">
      <alignment horizontal="center" vertical="center"/>
    </xf>
    <xf numFmtId="0" fontId="17" fillId="4" borderId="2" xfId="1" applyNumberFormat="1" applyFont="1" applyFill="1" applyBorder="1" applyAlignment="1">
      <alignment horizontal="center" vertical="center"/>
    </xf>
    <xf numFmtId="0" fontId="17" fillId="4" borderId="3" xfId="1" applyNumberFormat="1" applyFont="1" applyFill="1" applyBorder="1" applyAlignment="1">
      <alignment horizontal="center" vertical="center"/>
    </xf>
    <xf numFmtId="0" fontId="17" fillId="4" borderId="46" xfId="1" applyNumberFormat="1" applyFont="1" applyFill="1" applyBorder="1" applyAlignment="1">
      <alignment horizontal="center" vertical="center"/>
    </xf>
    <xf numFmtId="0" fontId="17" fillId="4" borderId="80" xfId="1" applyNumberFormat="1" applyFont="1" applyFill="1" applyBorder="1" applyAlignment="1">
      <alignment horizontal="center" vertical="center"/>
    </xf>
    <xf numFmtId="0" fontId="17" fillId="4" borderId="78" xfId="1" applyNumberFormat="1" applyFont="1" applyFill="1" applyBorder="1" applyAlignment="1">
      <alignment horizontal="center" vertical="center"/>
    </xf>
    <xf numFmtId="0" fontId="17" fillId="4" borderId="7" xfId="1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1" applyNumberFormat="1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4" borderId="80" xfId="0" applyFont="1" applyFill="1" applyBorder="1" applyAlignment="1">
      <alignment horizontal="center" vertical="center"/>
    </xf>
    <xf numFmtId="0" fontId="17" fillId="4" borderId="4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46" xfId="0" applyFont="1" applyFill="1" applyBorder="1" applyAlignment="1">
      <alignment horizontal="center" vertical="center"/>
    </xf>
    <xf numFmtId="0" fontId="17" fillId="3" borderId="2" xfId="0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67" xfId="0" applyFont="1" applyFill="1" applyBorder="1" applyAlignment="1" applyProtection="1">
      <alignment horizontal="center" vertical="center"/>
      <protection locked="0"/>
    </xf>
    <xf numFmtId="0" fontId="17" fillId="3" borderId="57" xfId="0" applyFont="1" applyFill="1" applyBorder="1" applyAlignment="1" applyProtection="1">
      <alignment horizontal="center" vertical="center"/>
      <protection locked="0"/>
    </xf>
    <xf numFmtId="0" fontId="15" fillId="3" borderId="19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7" fillId="4" borderId="14" xfId="1" applyNumberFormat="1" applyFont="1" applyFill="1" applyBorder="1" applyAlignment="1">
      <alignment horizontal="center" vertical="center"/>
    </xf>
    <xf numFmtId="0" fontId="17" fillId="4" borderId="11" xfId="1" applyNumberFormat="1" applyFont="1" applyFill="1" applyBorder="1" applyAlignment="1">
      <alignment horizontal="center" vertical="center"/>
    </xf>
    <xf numFmtId="0" fontId="17" fillId="4" borderId="69" xfId="1" applyNumberFormat="1" applyFont="1" applyFill="1" applyBorder="1" applyAlignment="1">
      <alignment horizontal="center" vertical="center"/>
    </xf>
    <xf numFmtId="0" fontId="17" fillId="4" borderId="5" xfId="1" applyNumberFormat="1" applyFont="1" applyFill="1" applyBorder="1" applyAlignment="1">
      <alignment horizontal="center" vertical="center"/>
    </xf>
    <xf numFmtId="0" fontId="17" fillId="4" borderId="19" xfId="1" applyNumberFormat="1" applyFont="1" applyFill="1" applyBorder="1" applyAlignment="1">
      <alignment horizontal="center" vertical="center"/>
    </xf>
    <xf numFmtId="0" fontId="17" fillId="4" borderId="9" xfId="1" applyNumberFormat="1" applyFont="1" applyFill="1" applyBorder="1" applyAlignment="1">
      <alignment horizontal="center" vertical="center"/>
    </xf>
    <xf numFmtId="0" fontId="17" fillId="4" borderId="77" xfId="1" applyNumberFormat="1" applyFont="1" applyFill="1" applyBorder="1" applyAlignment="1">
      <alignment horizontal="center" vertical="center"/>
    </xf>
    <xf numFmtId="0" fontId="17" fillId="4" borderId="29" xfId="1" applyNumberFormat="1" applyFont="1" applyFill="1" applyBorder="1" applyAlignment="1">
      <alignment horizontal="center" vertical="center"/>
    </xf>
    <xf numFmtId="0" fontId="17" fillId="4" borderId="79" xfId="1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4" borderId="24" xfId="1" applyNumberFormat="1" applyFont="1" applyFill="1" applyBorder="1" applyAlignment="1">
      <alignment horizontal="center" vertical="center"/>
    </xf>
    <xf numFmtId="0" fontId="17" fillId="4" borderId="88" xfId="1" applyNumberFormat="1" applyFont="1" applyFill="1" applyBorder="1" applyAlignment="1">
      <alignment horizontal="center" vertical="center"/>
    </xf>
    <xf numFmtId="0" fontId="17" fillId="4" borderId="30" xfId="1" applyNumberFormat="1" applyFont="1" applyFill="1" applyBorder="1" applyAlignment="1">
      <alignment horizontal="center" vertical="center"/>
    </xf>
    <xf numFmtId="0" fontId="17" fillId="4" borderId="25" xfId="1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7" fillId="4" borderId="78" xfId="0" applyFont="1" applyFill="1" applyBorder="1">
      <alignment vertical="top"/>
    </xf>
    <xf numFmtId="0" fontId="17" fillId="4" borderId="110" xfId="1" applyNumberFormat="1" applyFont="1" applyFill="1" applyBorder="1" applyAlignment="1">
      <alignment horizontal="center" vertical="center"/>
    </xf>
    <xf numFmtId="0" fontId="17" fillId="4" borderId="78" xfId="0" applyFont="1" applyFill="1" applyBorder="1" applyAlignment="1">
      <alignment horizontal="center" vertical="center"/>
    </xf>
    <xf numFmtId="0" fontId="17" fillId="2" borderId="46" xfId="1" applyNumberFormat="1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3" fontId="6" fillId="3" borderId="108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3" fontId="17" fillId="3" borderId="108" xfId="0" applyNumberFormat="1" applyFont="1" applyFill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/>
    </xf>
    <xf numFmtId="3" fontId="6" fillId="3" borderId="30" xfId="0" applyNumberFormat="1" applyFont="1" applyFill="1" applyBorder="1" applyAlignment="1">
      <alignment horizontal="center" vertical="center"/>
    </xf>
    <xf numFmtId="3" fontId="17" fillId="3" borderId="7" xfId="0" applyNumberFormat="1" applyFont="1" applyFill="1" applyBorder="1" applyAlignment="1">
      <alignment horizontal="center" vertical="center"/>
    </xf>
    <xf numFmtId="3" fontId="17" fillId="3" borderId="22" xfId="0" applyNumberFormat="1" applyFont="1" applyFill="1" applyBorder="1" applyAlignment="1">
      <alignment horizontal="center" vertical="center"/>
    </xf>
    <xf numFmtId="3" fontId="20" fillId="3" borderId="2" xfId="0" applyNumberFormat="1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center" vertical="center"/>
    </xf>
    <xf numFmtId="3" fontId="20" fillId="3" borderId="80" xfId="0" applyNumberFormat="1" applyFont="1" applyFill="1" applyBorder="1" applyAlignment="1">
      <alignment horizontal="center" vertical="center"/>
    </xf>
    <xf numFmtId="3" fontId="17" fillId="3" borderId="1" xfId="0" applyNumberFormat="1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center"/>
    </xf>
    <xf numFmtId="3" fontId="15" fillId="3" borderId="7" xfId="0" applyNumberFormat="1" applyFont="1" applyFill="1" applyBorder="1" applyAlignment="1">
      <alignment horizontal="center" vertical="center"/>
    </xf>
    <xf numFmtId="3" fontId="15" fillId="3" borderId="67" xfId="0" applyNumberFormat="1" applyFont="1" applyFill="1" applyBorder="1" applyAlignment="1">
      <alignment horizontal="center" vertical="center"/>
    </xf>
    <xf numFmtId="3" fontId="15" fillId="3" borderId="56" xfId="0" applyNumberFormat="1" applyFont="1" applyFill="1" applyBorder="1" applyAlignment="1">
      <alignment horizontal="center" vertical="center"/>
    </xf>
    <xf numFmtId="3" fontId="15" fillId="3" borderId="81" xfId="0" applyNumberFormat="1" applyFont="1" applyFill="1" applyBorder="1" applyAlignment="1">
      <alignment horizontal="center" vertical="center"/>
    </xf>
    <xf numFmtId="3" fontId="20" fillId="3" borderId="46" xfId="0" applyNumberFormat="1" applyFont="1" applyFill="1" applyBorder="1" applyAlignment="1">
      <alignment horizontal="center" vertical="center"/>
    </xf>
    <xf numFmtId="3" fontId="17" fillId="3" borderId="110" xfId="0" applyNumberFormat="1" applyFont="1" applyFill="1" applyBorder="1" applyAlignment="1">
      <alignment horizontal="center" vertical="center"/>
    </xf>
    <xf numFmtId="3" fontId="6" fillId="3" borderId="110" xfId="0" applyNumberFormat="1" applyFont="1" applyFill="1" applyBorder="1" applyAlignment="1">
      <alignment horizontal="center" vertical="center"/>
    </xf>
    <xf numFmtId="3" fontId="17" fillId="3" borderId="111" xfId="0" applyNumberFormat="1" applyFont="1" applyFill="1" applyBorder="1" applyAlignment="1">
      <alignment horizontal="center" vertical="center"/>
    </xf>
    <xf numFmtId="3" fontId="17" fillId="3" borderId="67" xfId="0" applyNumberFormat="1" applyFont="1" applyFill="1" applyBorder="1" applyAlignment="1">
      <alignment horizontal="center" vertical="center"/>
    </xf>
    <xf numFmtId="3" fontId="17" fillId="3" borderId="66" xfId="0" applyNumberFormat="1" applyFont="1" applyFill="1" applyBorder="1" applyAlignment="1">
      <alignment horizontal="center" vertical="center"/>
    </xf>
    <xf numFmtId="3" fontId="17" fillId="3" borderId="81" xfId="0" applyNumberFormat="1" applyFont="1" applyFill="1" applyBorder="1" applyAlignment="1">
      <alignment horizontal="center" vertical="center"/>
    </xf>
    <xf numFmtId="0" fontId="17" fillId="4" borderId="77" xfId="0" applyFont="1" applyFill="1" applyBorder="1" applyAlignment="1">
      <alignment horizontal="center" vertical="top"/>
    </xf>
    <xf numFmtId="0" fontId="17" fillId="4" borderId="78" xfId="0" applyFont="1" applyFill="1" applyBorder="1" applyAlignment="1">
      <alignment horizontal="center" vertical="top"/>
    </xf>
    <xf numFmtId="3" fontId="17" fillId="3" borderId="57" xfId="0" applyNumberFormat="1" applyFont="1" applyFill="1" applyBorder="1" applyAlignment="1">
      <alignment horizontal="center" vertical="center"/>
    </xf>
    <xf numFmtId="3" fontId="17" fillId="3" borderId="55" xfId="0" applyNumberFormat="1" applyFont="1" applyFill="1" applyBorder="1" applyAlignment="1">
      <alignment horizontal="center" vertical="center"/>
    </xf>
    <xf numFmtId="3" fontId="6" fillId="3" borderId="22" xfId="0" applyNumberFormat="1" applyFont="1" applyFill="1" applyBorder="1" applyAlignment="1">
      <alignment horizontal="center" vertical="center"/>
    </xf>
    <xf numFmtId="3" fontId="6" fillId="3" borderId="14" xfId="0" applyNumberFormat="1" applyFont="1" applyFill="1" applyBorder="1" applyAlignment="1">
      <alignment horizontal="center" vertical="center"/>
    </xf>
    <xf numFmtId="1" fontId="17" fillId="3" borderId="1" xfId="3" applyNumberFormat="1" applyFont="1" applyFill="1" applyBorder="1" applyAlignment="1">
      <alignment horizontal="right" vertical="top"/>
    </xf>
    <xf numFmtId="3" fontId="17" fillId="3" borderId="108" xfId="0" applyNumberFormat="1" applyFont="1" applyFill="1" applyBorder="1" applyAlignment="1" applyProtection="1">
      <alignment horizontal="center" vertical="center"/>
      <protection locked="0"/>
    </xf>
    <xf numFmtId="3" fontId="17" fillId="3" borderId="110" xfId="0" applyNumberFormat="1" applyFont="1" applyFill="1" applyBorder="1" applyAlignment="1" applyProtection="1">
      <alignment horizontal="center" vertical="center"/>
      <protection locked="0"/>
    </xf>
    <xf numFmtId="3" fontId="17" fillId="3" borderId="1" xfId="0" applyNumberFormat="1" applyFont="1" applyFill="1" applyBorder="1" applyAlignment="1" applyProtection="1">
      <alignment horizontal="center" vertical="center"/>
      <protection locked="0"/>
    </xf>
    <xf numFmtId="3" fontId="17" fillId="3" borderId="7" xfId="0" applyNumberFormat="1" applyFont="1" applyFill="1" applyBorder="1" applyAlignment="1" applyProtection="1">
      <alignment horizontal="center" vertical="center"/>
      <protection locked="0"/>
    </xf>
    <xf numFmtId="3" fontId="17" fillId="3" borderId="22" xfId="0" applyNumberFormat="1" applyFont="1" applyFill="1" applyBorder="1" applyAlignment="1" applyProtection="1">
      <alignment horizontal="center" vertical="center"/>
      <protection locked="0"/>
    </xf>
    <xf numFmtId="3" fontId="17" fillId="3" borderId="109" xfId="0" applyNumberFormat="1" applyFont="1" applyFill="1" applyBorder="1" applyAlignment="1" applyProtection="1">
      <alignment horizontal="center" vertical="center"/>
      <protection locked="0"/>
    </xf>
    <xf numFmtId="3" fontId="17" fillId="3" borderId="111" xfId="0" applyNumberFormat="1" applyFont="1" applyFill="1" applyBorder="1" applyAlignment="1" applyProtection="1">
      <alignment horizontal="center" vertical="center"/>
      <protection locked="0"/>
    </xf>
    <xf numFmtId="3" fontId="17" fillId="3" borderId="67" xfId="0" applyNumberFormat="1" applyFont="1" applyFill="1" applyBorder="1" applyAlignment="1" applyProtection="1">
      <alignment horizontal="center" vertical="center"/>
      <protection locked="0"/>
    </xf>
    <xf numFmtId="3" fontId="17" fillId="3" borderId="56" xfId="0" applyNumberFormat="1" applyFont="1" applyFill="1" applyBorder="1" applyAlignment="1" applyProtection="1">
      <alignment horizontal="center" vertical="center"/>
      <protection locked="0"/>
    </xf>
    <xf numFmtId="3" fontId="17" fillId="3" borderId="66" xfId="0" applyNumberFormat="1" applyFont="1" applyFill="1" applyBorder="1" applyAlignment="1" applyProtection="1">
      <alignment horizontal="center" vertical="center"/>
      <protection locked="0"/>
    </xf>
    <xf numFmtId="3" fontId="17" fillId="3" borderId="81" xfId="0" applyNumberFormat="1" applyFont="1" applyFill="1" applyBorder="1" applyAlignment="1" applyProtection="1">
      <alignment horizontal="center" vertical="center"/>
      <protection locked="0"/>
    </xf>
    <xf numFmtId="3" fontId="17" fillId="3" borderId="57" xfId="0" applyNumberFormat="1" applyFont="1" applyFill="1" applyBorder="1" applyAlignment="1" applyProtection="1">
      <alignment horizontal="center" vertical="center"/>
      <protection locked="0"/>
    </xf>
    <xf numFmtId="3" fontId="17" fillId="4" borderId="77" xfId="0" applyNumberFormat="1" applyFont="1" applyFill="1" applyBorder="1">
      <alignment vertical="top"/>
    </xf>
    <xf numFmtId="3" fontId="15" fillId="3" borderId="23" xfId="0" applyNumberFormat="1" applyFont="1" applyFill="1" applyBorder="1" applyAlignment="1">
      <alignment horizontal="center" vertical="center"/>
    </xf>
    <xf numFmtId="3" fontId="15" fillId="3" borderId="79" xfId="0" applyNumberFormat="1" applyFont="1" applyFill="1" applyBorder="1" applyAlignment="1">
      <alignment horizontal="center" vertical="center"/>
    </xf>
    <xf numFmtId="3" fontId="15" fillId="3" borderId="11" xfId="0" applyNumberFormat="1" applyFont="1" applyFill="1" applyBorder="1" applyAlignment="1">
      <alignment horizontal="center" vertical="center"/>
    </xf>
    <xf numFmtId="3" fontId="17" fillId="0" borderId="11" xfId="0" applyNumberFormat="1" applyFont="1" applyBorder="1" applyAlignment="1">
      <alignment horizontal="center" vertical="center"/>
    </xf>
    <xf numFmtId="3" fontId="17" fillId="0" borderId="29" xfId="0" applyNumberFormat="1" applyFont="1" applyBorder="1" applyAlignment="1">
      <alignment horizontal="center" vertical="center"/>
    </xf>
    <xf numFmtId="3" fontId="17" fillId="4" borderId="2" xfId="0" applyNumberFormat="1" applyFont="1" applyFill="1" applyBorder="1">
      <alignment vertical="top"/>
    </xf>
    <xf numFmtId="3" fontId="15" fillId="3" borderId="22" xfId="0" applyNumberFormat="1" applyFont="1" applyFill="1" applyBorder="1" applyAlignment="1">
      <alignment horizontal="center" vertical="center"/>
    </xf>
    <xf numFmtId="3" fontId="15" fillId="3" borderId="14" xfId="0" applyNumberFormat="1" applyFont="1" applyFill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3" fontId="17" fillId="0" borderId="7" xfId="0" applyNumberFormat="1" applyFont="1" applyBorder="1" applyAlignment="1">
      <alignment horizontal="center" vertical="center"/>
    </xf>
    <xf numFmtId="3" fontId="17" fillId="0" borderId="80" xfId="0" applyNumberFormat="1" applyFont="1" applyBorder="1" applyAlignment="1">
      <alignment horizontal="center" vertical="center"/>
    </xf>
    <xf numFmtId="3" fontId="17" fillId="4" borderId="2" xfId="1" applyNumberFormat="1" applyFont="1" applyFill="1" applyBorder="1" applyAlignment="1">
      <alignment horizontal="center" vertical="center"/>
    </xf>
    <xf numFmtId="3" fontId="17" fillId="4" borderId="22" xfId="1" applyNumberFormat="1" applyFont="1" applyFill="1" applyBorder="1" applyAlignment="1">
      <alignment horizontal="center" vertical="center"/>
    </xf>
    <xf numFmtId="3" fontId="17" fillId="4" borderId="80" xfId="1" applyNumberFormat="1" applyFon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3" fontId="17" fillId="0" borderId="22" xfId="0" applyNumberFormat="1" applyFont="1" applyBorder="1" applyAlignment="1">
      <alignment horizontal="center" vertical="center"/>
    </xf>
    <xf numFmtId="3" fontId="17" fillId="4" borderId="7" xfId="1" applyNumberFormat="1" applyFont="1" applyFill="1" applyBorder="1" applyAlignment="1">
      <alignment horizontal="center" vertical="center"/>
    </xf>
    <xf numFmtId="3" fontId="17" fillId="3" borderId="112" xfId="0" applyNumberFormat="1" applyFont="1" applyFill="1" applyBorder="1" applyAlignment="1">
      <alignment horizontal="center" vertical="center"/>
    </xf>
    <xf numFmtId="3" fontId="17" fillId="3" borderId="56" xfId="0" applyNumberFormat="1" applyFont="1" applyFill="1" applyBorder="1" applyAlignment="1">
      <alignment horizontal="center" vertical="center"/>
    </xf>
    <xf numFmtId="3" fontId="17" fillId="4" borderId="2" xfId="0" applyNumberFormat="1" applyFont="1" applyFill="1" applyBorder="1" applyAlignment="1">
      <alignment horizontal="center" vertical="top"/>
    </xf>
    <xf numFmtId="3" fontId="20" fillId="3" borderId="14" xfId="0" applyNumberFormat="1" applyFont="1" applyFill="1" applyBorder="1" applyAlignment="1">
      <alignment horizontal="center" vertical="center"/>
    </xf>
    <xf numFmtId="3" fontId="20" fillId="3" borderId="3" xfId="0" applyNumberFormat="1" applyFont="1" applyFill="1" applyBorder="1" applyAlignment="1">
      <alignment horizontal="center" vertical="center"/>
    </xf>
    <xf numFmtId="3" fontId="20" fillId="3" borderId="78" xfId="0" applyNumberFormat="1" applyFont="1" applyFill="1" applyBorder="1" applyAlignment="1">
      <alignment horizontal="center" vertical="center"/>
    </xf>
    <xf numFmtId="3" fontId="17" fillId="3" borderId="14" xfId="0" applyNumberFormat="1" applyFont="1" applyFill="1" applyBorder="1" applyAlignment="1">
      <alignment horizontal="center" vertical="center"/>
    </xf>
    <xf numFmtId="3" fontId="15" fillId="3" borderId="57" xfId="0" applyNumberFormat="1" applyFont="1" applyFill="1" applyBorder="1" applyAlignment="1">
      <alignment horizontal="center" vertical="center"/>
    </xf>
    <xf numFmtId="3" fontId="15" fillId="3" borderId="73" xfId="0" applyNumberFormat="1" applyFont="1" applyFill="1" applyBorder="1" applyAlignment="1">
      <alignment horizontal="center" vertical="center"/>
    </xf>
    <xf numFmtId="3" fontId="15" fillId="3" borderId="55" xfId="0" applyNumberFormat="1" applyFont="1" applyFill="1" applyBorder="1" applyAlignment="1">
      <alignment horizontal="center" vertical="center"/>
    </xf>
    <xf numFmtId="3" fontId="15" fillId="3" borderId="113" xfId="0" applyNumberFormat="1" applyFont="1" applyFill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6" fillId="3" borderId="56" xfId="0" applyFont="1" applyFill="1" applyBorder="1" applyAlignment="1"/>
    <xf numFmtId="0" fontId="15" fillId="3" borderId="52" xfId="0" applyFont="1" applyFill="1" applyBorder="1" applyAlignment="1">
      <alignment horizontal="center" vertical="center"/>
    </xf>
    <xf numFmtId="0" fontId="15" fillId="3" borderId="53" xfId="0" applyFont="1" applyFill="1" applyBorder="1" applyAlignment="1">
      <alignment horizontal="center" vertical="center"/>
    </xf>
    <xf numFmtId="0" fontId="15" fillId="3" borderId="127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3" fontId="17" fillId="3" borderId="30" xfId="0" applyNumberFormat="1" applyFont="1" applyFill="1" applyBorder="1" applyAlignment="1">
      <alignment horizontal="center" vertical="center"/>
    </xf>
    <xf numFmtId="3" fontId="17" fillId="3" borderId="98" xfId="0" applyNumberFormat="1" applyFont="1" applyFill="1" applyBorder="1" applyAlignment="1">
      <alignment horizontal="center" vertical="center"/>
    </xf>
    <xf numFmtId="0" fontId="17" fillId="4" borderId="22" xfId="1" applyNumberFormat="1" applyFont="1" applyFill="1" applyBorder="1" applyAlignment="1">
      <alignment horizontal="center" vertical="center"/>
    </xf>
    <xf numFmtId="3" fontId="17" fillId="3" borderId="55" xfId="0" applyNumberFormat="1" applyFont="1" applyFill="1" applyBorder="1" applyAlignment="1" applyProtection="1">
      <alignment horizontal="center" vertical="center"/>
      <protection locked="0"/>
    </xf>
    <xf numFmtId="3" fontId="17" fillId="3" borderId="14" xfId="0" applyNumberFormat="1" applyFont="1" applyFill="1" applyBorder="1" applyAlignment="1" applyProtection="1">
      <alignment horizontal="center" vertical="center"/>
      <protection locked="0"/>
    </xf>
    <xf numFmtId="3" fontId="17" fillId="3" borderId="126" xfId="0" applyNumberFormat="1" applyFont="1" applyFill="1" applyBorder="1" applyAlignment="1" applyProtection="1">
      <alignment horizontal="center" vertical="center"/>
      <protection locked="0"/>
    </xf>
    <xf numFmtId="0" fontId="15" fillId="3" borderId="125" xfId="0" applyFont="1" applyFill="1" applyBorder="1" applyAlignment="1">
      <alignment horizontal="center" vertical="center"/>
    </xf>
    <xf numFmtId="3" fontId="20" fillId="4" borderId="1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center"/>
    </xf>
    <xf numFmtId="0" fontId="7" fillId="3" borderId="53" xfId="0" applyFont="1" applyFill="1" applyBorder="1" applyAlignment="1"/>
    <xf numFmtId="0" fontId="25" fillId="3" borderId="43" xfId="2" applyFont="1" applyFill="1" applyBorder="1" applyAlignment="1">
      <alignment horizontal="center" vertical="center" wrapText="1"/>
    </xf>
    <xf numFmtId="3" fontId="15" fillId="3" borderId="126" xfId="0" applyNumberFormat="1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3" fontId="20" fillId="3" borderId="22" xfId="0" applyNumberFormat="1" applyFont="1" applyFill="1" applyBorder="1" applyAlignment="1">
      <alignment horizontal="center" vertical="center"/>
    </xf>
    <xf numFmtId="3" fontId="15" fillId="3" borderId="112" xfId="0" applyNumberFormat="1" applyFont="1" applyFill="1" applyBorder="1" applyAlignment="1">
      <alignment horizontal="center" vertical="center"/>
    </xf>
    <xf numFmtId="0" fontId="17" fillId="4" borderId="53" xfId="1" applyNumberFormat="1" applyFont="1" applyFill="1" applyBorder="1" applyAlignment="1">
      <alignment horizontal="center" vertical="center"/>
    </xf>
    <xf numFmtId="0" fontId="17" fillId="4" borderId="23" xfId="1" applyNumberFormat="1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top"/>
    </xf>
    <xf numFmtId="3" fontId="17" fillId="3" borderId="1" xfId="0" applyNumberFormat="1" applyFont="1" applyFill="1" applyBorder="1" applyAlignment="1">
      <alignment horizontal="center" vertical="top"/>
    </xf>
    <xf numFmtId="3" fontId="17" fillId="3" borderId="56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7" fillId="4" borderId="30" xfId="0" applyFont="1" applyFill="1" applyBorder="1" applyAlignment="1">
      <alignment horizontal="center" vertical="center"/>
    </xf>
    <xf numFmtId="0" fontId="15" fillId="3" borderId="130" xfId="0" applyFont="1" applyFill="1" applyBorder="1" applyAlignment="1">
      <alignment horizontal="center" vertical="center"/>
    </xf>
    <xf numFmtId="3" fontId="17" fillId="3" borderId="112" xfId="0" applyNumberFormat="1" applyFont="1" applyFill="1" applyBorder="1" applyAlignment="1" applyProtection="1">
      <alignment horizontal="center" vertical="center"/>
      <protection locked="0"/>
    </xf>
    <xf numFmtId="0" fontId="17" fillId="4" borderId="14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0" fontId="15" fillId="3" borderId="131" xfId="0" applyFont="1" applyFill="1" applyBorder="1" applyAlignment="1">
      <alignment horizontal="center" vertical="center"/>
    </xf>
    <xf numFmtId="0" fontId="17" fillId="4" borderId="5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17" fillId="0" borderId="131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25" fillId="3" borderId="119" xfId="2" applyFont="1" applyFill="1" applyBorder="1" applyAlignment="1">
      <alignment horizontal="center" vertical="center" wrapText="1"/>
    </xf>
    <xf numFmtId="0" fontId="25" fillId="3" borderId="44" xfId="2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3" fontId="15" fillId="3" borderId="13" xfId="0" applyNumberFormat="1" applyFont="1" applyFill="1" applyBorder="1" applyAlignment="1">
      <alignment horizontal="center" vertical="center"/>
    </xf>
    <xf numFmtId="0" fontId="15" fillId="3" borderId="53" xfId="0" applyFont="1" applyFill="1" applyBorder="1" applyAlignment="1"/>
    <xf numFmtId="3" fontId="20" fillId="3" borderId="7" xfId="0" applyNumberFormat="1" applyFont="1" applyFill="1" applyBorder="1" applyAlignment="1">
      <alignment horizontal="center" vertical="center"/>
    </xf>
    <xf numFmtId="0" fontId="17" fillId="4" borderId="128" xfId="1" applyNumberFormat="1" applyFont="1" applyFill="1" applyBorder="1" applyAlignment="1">
      <alignment horizontal="center" vertical="center"/>
    </xf>
    <xf numFmtId="0" fontId="15" fillId="5" borderId="110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 wrapText="1"/>
    </xf>
    <xf numFmtId="3" fontId="15" fillId="3" borderId="130" xfId="0" applyNumberFormat="1" applyFont="1" applyFill="1" applyBorder="1" applyAlignment="1">
      <alignment horizontal="center" vertical="center"/>
    </xf>
    <xf numFmtId="0" fontId="25" fillId="3" borderId="41" xfId="2" applyFont="1" applyFill="1" applyBorder="1" applyAlignment="1">
      <alignment horizontal="center" vertical="center" wrapText="1"/>
    </xf>
    <xf numFmtId="0" fontId="15" fillId="3" borderId="11" xfId="0" applyFont="1" applyFill="1" applyBorder="1" applyAlignment="1"/>
    <xf numFmtId="0" fontId="25" fillId="0" borderId="134" xfId="0" applyFont="1" applyBorder="1" applyAlignment="1">
      <alignment horizontal="center" vertical="center" wrapText="1"/>
    </xf>
    <xf numFmtId="0" fontId="17" fillId="4" borderId="52" xfId="1" applyNumberFormat="1" applyFont="1" applyFill="1" applyBorder="1" applyAlignment="1">
      <alignment horizontal="center" vertical="center"/>
    </xf>
    <xf numFmtId="0" fontId="26" fillId="0" borderId="78" xfId="0" applyFont="1" applyBorder="1" applyAlignment="1">
      <alignment horizontal="center" vertical="center"/>
    </xf>
    <xf numFmtId="0" fontId="24" fillId="0" borderId="78" xfId="0" applyFont="1" applyBorder="1" applyAlignment="1">
      <alignment horizontal="center" vertical="center"/>
    </xf>
    <xf numFmtId="0" fontId="17" fillId="3" borderId="14" xfId="0" applyFont="1" applyFill="1" applyBorder="1" applyAlignment="1" applyProtection="1">
      <alignment horizontal="center" vertical="center"/>
      <protection locked="0"/>
    </xf>
    <xf numFmtId="0" fontId="17" fillId="3" borderId="126" xfId="0" applyFont="1" applyFill="1" applyBorder="1" applyAlignment="1" applyProtection="1">
      <alignment horizontal="center" vertical="center"/>
      <protection locked="0"/>
    </xf>
    <xf numFmtId="0" fontId="5" fillId="3" borderId="135" xfId="0" applyFont="1" applyFill="1" applyBorder="1" applyAlignment="1">
      <alignment horizontal="center" vertical="center" wrapText="1"/>
    </xf>
    <xf numFmtId="3" fontId="15" fillId="0" borderId="5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20" fillId="3" borderId="30" xfId="0" applyNumberFormat="1" applyFont="1" applyFill="1" applyBorder="1" applyAlignment="1">
      <alignment horizontal="center" vertical="center"/>
    </xf>
    <xf numFmtId="3" fontId="15" fillId="3" borderId="30" xfId="0" applyNumberFormat="1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/>
    </xf>
    <xf numFmtId="0" fontId="17" fillId="0" borderId="81" xfId="0" applyFont="1" applyBorder="1" applyAlignment="1">
      <alignment horizontal="center" vertical="center"/>
    </xf>
    <xf numFmtId="10" fontId="17" fillId="4" borderId="69" xfId="0" applyNumberFormat="1" applyFont="1" applyFill="1" applyBorder="1" applyAlignment="1">
      <alignment horizontal="center" vertical="center"/>
    </xf>
    <xf numFmtId="10" fontId="17" fillId="4" borderId="46" xfId="0" applyNumberFormat="1" applyFont="1" applyFill="1" applyBorder="1" applyAlignment="1">
      <alignment horizontal="center" vertical="center"/>
    </xf>
    <xf numFmtId="10" fontId="17" fillId="4" borderId="5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17" fillId="3" borderId="5" xfId="3" applyNumberFormat="1" applyFont="1" applyFill="1" applyBorder="1" applyAlignment="1">
      <alignment horizontal="center" vertical="center"/>
    </xf>
    <xf numFmtId="0" fontId="17" fillId="3" borderId="5" xfId="3" applyFont="1" applyFill="1" applyBorder="1" applyAlignment="1">
      <alignment vertical="center"/>
    </xf>
    <xf numFmtId="1" fontId="17" fillId="3" borderId="1" xfId="3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vertical="center"/>
    </xf>
    <xf numFmtId="0" fontId="17" fillId="3" borderId="56" xfId="3" applyFont="1" applyFill="1" applyBorder="1" applyAlignment="1">
      <alignment vertical="center"/>
    </xf>
    <xf numFmtId="3" fontId="15" fillId="0" borderId="56" xfId="0" applyNumberFormat="1" applyFont="1" applyBorder="1" applyAlignment="1">
      <alignment horizontal="center" vertical="center"/>
    </xf>
    <xf numFmtId="0" fontId="20" fillId="3" borderId="5" xfId="3" applyFont="1" applyFill="1" applyBorder="1" applyAlignment="1">
      <alignment vertical="center"/>
    </xf>
    <xf numFmtId="3" fontId="6" fillId="0" borderId="5" xfId="0" applyNumberFormat="1" applyFont="1" applyBorder="1" applyAlignment="1">
      <alignment horizontal="center" vertical="center"/>
    </xf>
    <xf numFmtId="3" fontId="6" fillId="3" borderId="1" xfId="0" applyNumberFormat="1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3" fontId="17" fillId="0" borderId="4" xfId="0" applyNumberFormat="1" applyFont="1" applyBorder="1" applyAlignment="1">
      <alignment horizontal="center" vertical="center"/>
    </xf>
    <xf numFmtId="0" fontId="15" fillId="3" borderId="56" xfId="0" applyFont="1" applyFill="1" applyBorder="1" applyAlignment="1">
      <alignment vertical="center"/>
    </xf>
    <xf numFmtId="3" fontId="20" fillId="0" borderId="5" xfId="0" applyNumberFormat="1" applyFont="1" applyBorder="1" applyAlignment="1">
      <alignment horizontal="center" vertical="center"/>
    </xf>
    <xf numFmtId="1" fontId="17" fillId="3" borderId="13" xfId="3" applyNumberFormat="1" applyFont="1" applyFill="1" applyBorder="1" applyAlignment="1">
      <alignment horizontal="center" vertical="center"/>
    </xf>
    <xf numFmtId="0" fontId="17" fillId="3" borderId="13" xfId="3" applyFont="1" applyFill="1" applyBorder="1" applyAlignment="1">
      <alignment vertical="center"/>
    </xf>
    <xf numFmtId="3" fontId="15" fillId="0" borderId="13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10" fontId="17" fillId="4" borderId="91" xfId="0" applyNumberFormat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36" xfId="0" applyFont="1" applyBorder="1" applyAlignment="1">
      <alignment horizontal="center" vertical="center"/>
    </xf>
    <xf numFmtId="0" fontId="17" fillId="0" borderId="137" xfId="0" applyFont="1" applyBorder="1" applyAlignment="1">
      <alignment horizontal="center" vertical="center"/>
    </xf>
    <xf numFmtId="0" fontId="17" fillId="0" borderId="138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38" xfId="0" applyFont="1" applyFill="1" applyBorder="1" applyAlignment="1">
      <alignment horizontal="center" vertical="center"/>
    </xf>
    <xf numFmtId="0" fontId="17" fillId="3" borderId="138" xfId="0" applyFont="1" applyFill="1" applyBorder="1" applyAlignment="1">
      <alignment horizontal="center" vertical="center"/>
    </xf>
    <xf numFmtId="0" fontId="17" fillId="3" borderId="139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36" xfId="0" applyFont="1" applyFill="1" applyBorder="1" applyAlignment="1">
      <alignment horizontal="center" vertical="center"/>
    </xf>
    <xf numFmtId="0" fontId="9" fillId="3" borderId="137" xfId="0" applyFont="1" applyFill="1" applyBorder="1" applyAlignment="1">
      <alignment horizontal="center" vertical="center"/>
    </xf>
    <xf numFmtId="0" fontId="9" fillId="3" borderId="136" xfId="0" applyFont="1" applyFill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0" fontId="17" fillId="3" borderId="69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vertical="center"/>
    </xf>
    <xf numFmtId="3" fontId="17" fillId="3" borderId="73" xfId="0" applyNumberFormat="1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/>
    <xf numFmtId="3" fontId="6" fillId="3" borderId="5" xfId="0" applyNumberFormat="1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>
      <alignment horizontal="center"/>
    </xf>
    <xf numFmtId="3" fontId="6" fillId="3" borderId="11" xfId="0" applyNumberFormat="1" applyFont="1" applyFill="1" applyBorder="1" applyAlignment="1">
      <alignment horizontal="center" vertical="center"/>
    </xf>
    <xf numFmtId="3" fontId="6" fillId="3" borderId="79" xfId="0" applyNumberFormat="1" applyFont="1" applyFill="1" applyBorder="1" applyAlignment="1">
      <alignment horizontal="center" vertical="center"/>
    </xf>
    <xf numFmtId="1" fontId="17" fillId="3" borderId="56" xfId="3" applyNumberFormat="1" applyFont="1" applyFill="1" applyBorder="1" applyAlignment="1">
      <alignment horizontal="center" vertical="top"/>
    </xf>
    <xf numFmtId="0" fontId="17" fillId="3" borderId="56" xfId="3" applyFont="1" applyFill="1" applyBorder="1" applyAlignment="1"/>
    <xf numFmtId="0" fontId="6" fillId="3" borderId="5" xfId="0" applyFont="1" applyFill="1" applyBorder="1">
      <alignment vertical="top"/>
    </xf>
    <xf numFmtId="0" fontId="17" fillId="3" borderId="5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top"/>
    </xf>
    <xf numFmtId="0" fontId="17" fillId="3" borderId="79" xfId="0" applyFont="1" applyFill="1" applyBorder="1" applyAlignment="1">
      <alignment horizontal="center" vertical="center"/>
    </xf>
    <xf numFmtId="3" fontId="6" fillId="3" borderId="56" xfId="0" applyNumberFormat="1" applyFont="1" applyFill="1" applyBorder="1" applyAlignment="1"/>
    <xf numFmtId="3" fontId="6" fillId="3" borderId="56" xfId="0" applyNumberFormat="1" applyFont="1" applyFill="1" applyBorder="1">
      <alignment vertical="top"/>
    </xf>
    <xf numFmtId="3" fontId="6" fillId="3" borderId="56" xfId="0" applyNumberFormat="1" applyFont="1" applyFill="1" applyBorder="1" applyAlignment="1">
      <alignment horizontal="center" vertical="center"/>
    </xf>
    <xf numFmtId="3" fontId="20" fillId="0" borderId="56" xfId="0" applyNumberFormat="1" applyFont="1" applyBorder="1" applyAlignment="1">
      <alignment horizontal="center" vertical="center"/>
    </xf>
    <xf numFmtId="3" fontId="6" fillId="3" borderId="67" xfId="0" applyNumberFormat="1" applyFont="1" applyFill="1" applyBorder="1" applyAlignment="1">
      <alignment horizontal="center" vertical="center"/>
    </xf>
    <xf numFmtId="3" fontId="6" fillId="3" borderId="81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/>
    <xf numFmtId="0" fontId="15" fillId="3" borderId="136" xfId="0" applyFont="1" applyFill="1" applyBorder="1" applyAlignment="1">
      <alignment horizontal="center" vertical="center"/>
    </xf>
    <xf numFmtId="0" fontId="15" fillId="3" borderId="141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40" xfId="0" applyFont="1" applyFill="1" applyBorder="1" applyAlignment="1">
      <alignment horizontal="center" vertical="center"/>
    </xf>
    <xf numFmtId="0" fontId="15" fillId="3" borderId="139" xfId="0" applyFont="1" applyFill="1" applyBorder="1" applyAlignment="1">
      <alignment horizontal="center" vertical="center"/>
    </xf>
    <xf numFmtId="0" fontId="15" fillId="3" borderId="138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91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42" xfId="0" applyFont="1" applyFill="1" applyBorder="1" applyAlignment="1">
      <alignment horizontal="center" vertical="center"/>
    </xf>
    <xf numFmtId="3" fontId="6" fillId="3" borderId="52" xfId="0" applyNumberFormat="1" applyFont="1" applyFill="1" applyBorder="1" applyAlignment="1"/>
    <xf numFmtId="3" fontId="6" fillId="3" borderId="53" xfId="0" applyNumberFormat="1" applyFont="1" applyFill="1" applyBorder="1" applyAlignment="1"/>
    <xf numFmtId="3" fontId="6" fillId="3" borderId="53" xfId="0" applyNumberFormat="1" applyFont="1" applyFill="1" applyBorder="1" applyAlignment="1">
      <alignment horizontal="center" vertical="center"/>
    </xf>
    <xf numFmtId="3" fontId="6" fillId="3" borderId="130" xfId="0" applyNumberFormat="1" applyFont="1" applyFill="1" applyBorder="1" applyAlignment="1">
      <alignment horizontal="center" vertical="center"/>
    </xf>
    <xf numFmtId="3" fontId="6" fillId="3" borderId="131" xfId="0" applyNumberFormat="1" applyFont="1" applyFill="1" applyBorder="1" applyAlignment="1">
      <alignment horizontal="center" vertical="center"/>
    </xf>
    <xf numFmtId="3" fontId="6" fillId="3" borderId="128" xfId="0" applyNumberFormat="1" applyFont="1" applyFill="1" applyBorder="1" applyAlignment="1">
      <alignment horizontal="center" vertical="center"/>
    </xf>
    <xf numFmtId="0" fontId="6" fillId="3" borderId="130" xfId="0" applyFont="1" applyFill="1" applyBorder="1" applyAlignment="1">
      <alignment horizontal="center" vertical="center"/>
    </xf>
    <xf numFmtId="0" fontId="6" fillId="3" borderId="131" xfId="0" applyFont="1" applyFill="1" applyBorder="1" applyAlignment="1">
      <alignment horizontal="center" vertical="center"/>
    </xf>
    <xf numFmtId="3" fontId="6" fillId="3" borderId="54" xfId="0" applyNumberFormat="1" applyFont="1" applyFill="1" applyBorder="1" applyAlignment="1">
      <alignment horizontal="center" vertical="center"/>
    </xf>
    <xf numFmtId="3" fontId="6" fillId="3" borderId="52" xfId="0" applyNumberFormat="1" applyFont="1" applyFill="1" applyBorder="1" applyAlignment="1">
      <alignment horizontal="center" vertical="center"/>
    </xf>
    <xf numFmtId="3" fontId="6" fillId="3" borderId="127" xfId="0" applyNumberFormat="1" applyFont="1" applyFill="1" applyBorder="1" applyAlignment="1">
      <alignment horizontal="center" vertical="center"/>
    </xf>
    <xf numFmtId="3" fontId="6" fillId="3" borderId="144" xfId="0" applyNumberFormat="1" applyFont="1" applyFill="1" applyBorder="1" applyAlignment="1">
      <alignment horizontal="center" vertical="center"/>
    </xf>
    <xf numFmtId="3" fontId="6" fillId="3" borderId="129" xfId="0" applyNumberFormat="1" applyFont="1" applyFill="1" applyBorder="1" applyAlignment="1">
      <alignment horizontal="center" vertical="center"/>
    </xf>
    <xf numFmtId="3" fontId="6" fillId="3" borderId="78" xfId="0" applyNumberFormat="1" applyFont="1" applyFill="1" applyBorder="1" applyAlignment="1"/>
    <xf numFmtId="3" fontId="6" fillId="3" borderId="55" xfId="0" applyNumberFormat="1" applyFont="1" applyFill="1" applyBorder="1" applyAlignment="1"/>
    <xf numFmtId="3" fontId="20" fillId="4" borderId="56" xfId="0" applyNumberFormat="1" applyFont="1" applyFill="1" applyBorder="1" applyAlignment="1">
      <alignment horizontal="center" vertical="center"/>
    </xf>
    <xf numFmtId="3" fontId="6" fillId="3" borderId="66" xfId="0" applyNumberFormat="1" applyFont="1" applyFill="1" applyBorder="1" applyAlignment="1">
      <alignment horizontal="center" vertical="center"/>
    </xf>
    <xf numFmtId="0" fontId="6" fillId="3" borderId="111" xfId="0" applyFont="1" applyFill="1" applyBorder="1" applyAlignment="1">
      <alignment horizontal="center" vertical="center"/>
    </xf>
    <xf numFmtId="0" fontId="6" fillId="3" borderId="67" xfId="0" applyFont="1" applyFill="1" applyBorder="1" applyAlignment="1">
      <alignment horizontal="center" vertical="center"/>
    </xf>
    <xf numFmtId="0" fontId="6" fillId="3" borderId="66" xfId="0" applyFont="1" applyFill="1" applyBorder="1" applyAlignment="1">
      <alignment horizontal="center" vertical="center"/>
    </xf>
    <xf numFmtId="3" fontId="6" fillId="3" borderId="57" xfId="0" applyNumberFormat="1" applyFont="1" applyFill="1" applyBorder="1" applyAlignment="1">
      <alignment horizontal="center" vertical="center"/>
    </xf>
    <xf numFmtId="3" fontId="6" fillId="3" borderId="98" xfId="0" applyNumberFormat="1" applyFont="1" applyFill="1" applyBorder="1" applyAlignment="1">
      <alignment horizontal="center" vertical="center"/>
    </xf>
    <xf numFmtId="3" fontId="6" fillId="3" borderId="55" xfId="0" applyNumberFormat="1" applyFont="1" applyFill="1" applyBorder="1" applyAlignment="1">
      <alignment horizontal="center" vertical="center"/>
    </xf>
    <xf numFmtId="3" fontId="6" fillId="3" borderId="112" xfId="0" applyNumberFormat="1" applyFont="1" applyFill="1" applyBorder="1" applyAlignment="1">
      <alignment horizontal="center" vertical="center"/>
    </xf>
    <xf numFmtId="3" fontId="6" fillId="3" borderId="111" xfId="0" applyNumberFormat="1" applyFont="1" applyFill="1" applyBorder="1" applyAlignment="1">
      <alignment horizontal="center" vertical="center"/>
    </xf>
    <xf numFmtId="0" fontId="15" fillId="3" borderId="88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3" fontId="17" fillId="0" borderId="5" xfId="0" applyNumberFormat="1" applyFont="1" applyBorder="1" applyAlignment="1">
      <alignment horizontal="center" vertical="top"/>
    </xf>
    <xf numFmtId="3" fontId="17" fillId="0" borderId="1" xfId="0" applyNumberFormat="1" applyFont="1" applyBorder="1" applyAlignment="1">
      <alignment horizontal="center" vertical="top"/>
    </xf>
    <xf numFmtId="3" fontId="6" fillId="3" borderId="1" xfId="0" applyNumberFormat="1" applyFont="1" applyFill="1" applyBorder="1" applyAlignment="1">
      <alignment horizontal="center"/>
    </xf>
    <xf numFmtId="1" fontId="15" fillId="3" borderId="1" xfId="0" applyNumberFormat="1" applyFont="1" applyFill="1" applyBorder="1" applyAlignment="1">
      <alignment horizontal="center" vertical="top"/>
    </xf>
    <xf numFmtId="1" fontId="17" fillId="3" borderId="1" xfId="0" applyNumberFormat="1" applyFont="1" applyFill="1" applyBorder="1" applyAlignment="1">
      <alignment horizontal="center" vertical="top"/>
    </xf>
    <xf numFmtId="3" fontId="17" fillId="0" borderId="4" xfId="0" applyNumberFormat="1" applyFont="1" applyBorder="1" applyAlignment="1">
      <alignment horizontal="center" vertical="top"/>
    </xf>
    <xf numFmtId="3" fontId="17" fillId="3" borderId="1" xfId="0" applyNumberFormat="1" applyFont="1" applyFill="1" applyBorder="1" applyAlignment="1" applyProtection="1">
      <alignment horizontal="center" vertical="top"/>
      <protection locked="0"/>
    </xf>
    <xf numFmtId="3" fontId="15" fillId="0" borderId="1" xfId="0" applyNumberFormat="1" applyFont="1" applyBorder="1" applyAlignment="1">
      <alignment horizontal="center" vertical="top"/>
    </xf>
    <xf numFmtId="0" fontId="15" fillId="3" borderId="5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0" fontId="20" fillId="4" borderId="46" xfId="0" applyNumberFormat="1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66" xfId="0" applyFont="1" applyFill="1" applyBorder="1" applyAlignment="1" applyProtection="1">
      <alignment horizontal="center" vertical="center"/>
      <protection locked="0"/>
    </xf>
    <xf numFmtId="0" fontId="25" fillId="3" borderId="123" xfId="2" applyFont="1" applyFill="1" applyBorder="1" applyAlignment="1">
      <alignment horizontal="center" vertical="center" wrapText="1"/>
    </xf>
    <xf numFmtId="3" fontId="15" fillId="3" borderId="131" xfId="0" applyNumberFormat="1" applyFont="1" applyFill="1" applyBorder="1" applyAlignment="1">
      <alignment horizontal="center" vertical="center"/>
    </xf>
    <xf numFmtId="0" fontId="5" fillId="3" borderId="119" xfId="0" applyFont="1" applyFill="1" applyBorder="1" applyAlignment="1">
      <alignment horizontal="center" vertical="center" wrapText="1"/>
    </xf>
    <xf numFmtId="0" fontId="5" fillId="3" borderId="123" xfId="0" applyFont="1" applyFill="1" applyBorder="1" applyAlignment="1">
      <alignment horizontal="center" vertical="center" wrapText="1"/>
    </xf>
    <xf numFmtId="3" fontId="17" fillId="4" borderId="23" xfId="0" applyNumberFormat="1" applyFont="1" applyFill="1" applyBorder="1">
      <alignment vertical="top"/>
    </xf>
    <xf numFmtId="3" fontId="17" fillId="4" borderId="22" xfId="0" applyNumberFormat="1" applyFont="1" applyFill="1" applyBorder="1">
      <alignment vertical="top"/>
    </xf>
    <xf numFmtId="3" fontId="17" fillId="4" borderId="22" xfId="0" applyNumberFormat="1" applyFont="1" applyFill="1" applyBorder="1" applyAlignment="1">
      <alignment horizontal="center" vertical="top"/>
    </xf>
    <xf numFmtId="1" fontId="17" fillId="3" borderId="13" xfId="3" applyNumberFormat="1" applyFont="1" applyFill="1" applyBorder="1" applyAlignment="1">
      <alignment horizontal="center" vertical="top"/>
    </xf>
    <xf numFmtId="0" fontId="17" fillId="3" borderId="13" xfId="3" applyFont="1" applyFill="1" applyBorder="1" applyAlignment="1"/>
    <xf numFmtId="3" fontId="17" fillId="0" borderId="13" xfId="0" applyNumberFormat="1" applyFont="1" applyBorder="1" applyAlignment="1">
      <alignment horizontal="center" vertical="center"/>
    </xf>
    <xf numFmtId="3" fontId="17" fillId="4" borderId="16" xfId="0" applyNumberFormat="1" applyFont="1" applyFill="1" applyBorder="1">
      <alignment vertical="top"/>
    </xf>
    <xf numFmtId="3" fontId="17" fillId="4" borderId="139" xfId="0" applyNumberFormat="1" applyFont="1" applyFill="1" applyBorder="1">
      <alignment vertical="top"/>
    </xf>
    <xf numFmtId="3" fontId="15" fillId="3" borderId="142" xfId="0" applyNumberFormat="1" applyFont="1" applyFill="1" applyBorder="1" applyAlignment="1">
      <alignment horizontal="center" vertical="center"/>
    </xf>
    <xf numFmtId="3" fontId="15" fillId="3" borderId="16" xfId="0" applyNumberFormat="1" applyFont="1" applyFill="1" applyBorder="1" applyAlignment="1">
      <alignment horizontal="center" vertical="center"/>
    </xf>
    <xf numFmtId="3" fontId="15" fillId="3" borderId="139" xfId="0" applyNumberFormat="1" applyFont="1" applyFill="1" applyBorder="1" applyAlignment="1">
      <alignment horizontal="center" vertical="center"/>
    </xf>
    <xf numFmtId="3" fontId="15" fillId="3" borderId="136" xfId="0" applyNumberFormat="1" applyFont="1" applyFill="1" applyBorder="1" applyAlignment="1">
      <alignment horizontal="center" vertical="center"/>
    </xf>
    <xf numFmtId="3" fontId="17" fillId="0" borderId="16" xfId="0" applyNumberFormat="1" applyFont="1" applyBorder="1" applyAlignment="1">
      <alignment horizontal="center" vertical="center"/>
    </xf>
    <xf numFmtId="3" fontId="17" fillId="3" borderId="11" xfId="0" applyNumberFormat="1" applyFont="1" applyFill="1" applyBorder="1" applyAlignment="1">
      <alignment horizontal="center" vertical="center"/>
    </xf>
    <xf numFmtId="3" fontId="17" fillId="3" borderId="23" xfId="0" applyNumberFormat="1" applyFont="1" applyFill="1" applyBorder="1" applyAlignment="1">
      <alignment horizontal="center" vertical="center"/>
    </xf>
    <xf numFmtId="3" fontId="17" fillId="3" borderId="79" xfId="0" applyNumberFormat="1" applyFont="1" applyFill="1" applyBorder="1" applyAlignment="1">
      <alignment horizontal="center" vertical="center"/>
    </xf>
    <xf numFmtId="3" fontId="17" fillId="3" borderId="29" xfId="0" applyNumberFormat="1" applyFont="1" applyFill="1" applyBorder="1" applyAlignment="1">
      <alignment horizontal="center" vertical="center"/>
    </xf>
    <xf numFmtId="3" fontId="6" fillId="3" borderId="23" xfId="0" applyNumberFormat="1" applyFont="1" applyFill="1" applyBorder="1" applyAlignment="1">
      <alignment horizontal="center" vertical="center"/>
    </xf>
    <xf numFmtId="3" fontId="6" fillId="3" borderId="29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 wrapText="1"/>
    </xf>
    <xf numFmtId="0" fontId="4" fillId="3" borderId="75" xfId="0" applyFont="1" applyFill="1" applyBorder="1" applyAlignment="1">
      <alignment horizontal="center" vertical="center" wrapText="1"/>
    </xf>
    <xf numFmtId="0" fontId="4" fillId="3" borderId="103" xfId="0" applyFont="1" applyFill="1" applyBorder="1" applyAlignment="1">
      <alignment horizontal="center" vertical="center" wrapText="1"/>
    </xf>
    <xf numFmtId="0" fontId="15" fillId="3" borderId="148" xfId="0" applyFont="1" applyFill="1" applyBorder="1" applyAlignment="1">
      <alignment horizontal="center" vertical="center"/>
    </xf>
    <xf numFmtId="3" fontId="6" fillId="3" borderId="125" xfId="0" applyNumberFormat="1" applyFont="1" applyFill="1" applyBorder="1" applyAlignment="1">
      <alignment horizontal="center" vertical="center"/>
    </xf>
    <xf numFmtId="0" fontId="17" fillId="4" borderId="108" xfId="1" applyNumberFormat="1" applyFont="1" applyFill="1" applyBorder="1" applyAlignment="1">
      <alignment horizontal="center" vertical="center"/>
    </xf>
    <xf numFmtId="0" fontId="15" fillId="3" borderId="128" xfId="0" applyFont="1" applyFill="1" applyBorder="1" applyAlignment="1">
      <alignment horizontal="center" vertical="center"/>
    </xf>
    <xf numFmtId="3" fontId="6" fillId="3" borderId="109" xfId="0" applyNumberFormat="1" applyFont="1" applyFill="1" applyBorder="1" applyAlignment="1">
      <alignment horizontal="center" vertical="center"/>
    </xf>
    <xf numFmtId="3" fontId="17" fillId="3" borderId="109" xfId="0" applyNumberFormat="1" applyFont="1" applyFill="1" applyBorder="1" applyAlignment="1">
      <alignment horizontal="center" vertical="center"/>
    </xf>
    <xf numFmtId="0" fontId="4" fillId="3" borderId="151" xfId="0" applyFont="1" applyFill="1" applyBorder="1" applyAlignment="1">
      <alignment horizontal="center" vertical="center" wrapText="1"/>
    </xf>
    <xf numFmtId="0" fontId="26" fillId="0" borderId="81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26" xfId="0" applyFont="1" applyBorder="1" applyAlignment="1">
      <alignment horizontal="center" vertical="center"/>
    </xf>
    <xf numFmtId="1" fontId="15" fillId="3" borderId="14" xfId="0" applyNumberFormat="1" applyFont="1" applyFill="1" applyBorder="1" applyAlignment="1">
      <alignment horizontal="center" vertical="center"/>
    </xf>
    <xf numFmtId="1" fontId="17" fillId="3" borderId="14" xfId="0" applyNumberFormat="1" applyFont="1" applyFill="1" applyBorder="1" applyAlignment="1">
      <alignment horizontal="center" vertical="center"/>
    </xf>
    <xf numFmtId="1" fontId="17" fillId="3" borderId="14" xfId="0" applyNumberFormat="1" applyFont="1" applyFill="1" applyBorder="1" applyAlignment="1" applyProtection="1">
      <alignment horizontal="center" vertical="center"/>
      <protection locked="0"/>
    </xf>
    <xf numFmtId="3" fontId="17" fillId="3" borderId="126" xfId="0" applyNumberFormat="1" applyFont="1" applyFill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 wrapText="1"/>
    </xf>
    <xf numFmtId="0" fontId="26" fillId="0" borderId="153" xfId="0" applyFont="1" applyBorder="1" applyAlignment="1">
      <alignment horizontal="center" vertical="center"/>
    </xf>
    <xf numFmtId="0" fontId="26" fillId="0" borderId="154" xfId="0" applyFont="1" applyBorder="1" applyAlignment="1">
      <alignment horizontal="center" vertical="center"/>
    </xf>
    <xf numFmtId="0" fontId="17" fillId="0" borderId="154" xfId="0" applyFont="1" applyBorder="1" applyAlignment="1">
      <alignment horizontal="center" vertical="center"/>
    </xf>
    <xf numFmtId="0" fontId="26" fillId="0" borderId="155" xfId="0" applyFont="1" applyBorder="1" applyAlignment="1">
      <alignment horizontal="center" vertical="center"/>
    </xf>
    <xf numFmtId="3" fontId="15" fillId="3" borderId="154" xfId="0" applyNumberFormat="1" applyFont="1" applyFill="1" applyBorder="1" applyAlignment="1">
      <alignment horizontal="center" vertical="center"/>
    </xf>
    <xf numFmtId="0" fontId="17" fillId="3" borderId="154" xfId="0" applyFont="1" applyFill="1" applyBorder="1" applyAlignment="1">
      <alignment horizontal="center" vertical="center"/>
    </xf>
    <xf numFmtId="1" fontId="15" fillId="3" borderId="154" xfId="0" applyNumberFormat="1" applyFont="1" applyFill="1" applyBorder="1" applyAlignment="1">
      <alignment horizontal="center" vertical="center"/>
    </xf>
    <xf numFmtId="3" fontId="17" fillId="3" borderId="154" xfId="0" applyNumberFormat="1" applyFont="1" applyFill="1" applyBorder="1" applyAlignment="1">
      <alignment horizontal="center" vertical="center"/>
    </xf>
    <xf numFmtId="1" fontId="17" fillId="3" borderId="154" xfId="0" applyNumberFormat="1" applyFont="1" applyFill="1" applyBorder="1" applyAlignment="1">
      <alignment horizontal="center" vertical="center"/>
    </xf>
    <xf numFmtId="3" fontId="17" fillId="3" borderId="154" xfId="0" applyNumberFormat="1" applyFont="1" applyFill="1" applyBorder="1" applyAlignment="1" applyProtection="1">
      <alignment horizontal="center" vertical="center"/>
      <protection locked="0"/>
    </xf>
    <xf numFmtId="1" fontId="17" fillId="3" borderId="154" xfId="0" applyNumberFormat="1" applyFont="1" applyFill="1" applyBorder="1" applyAlignment="1" applyProtection="1">
      <alignment horizontal="center" vertical="center"/>
      <protection locked="0"/>
    </xf>
    <xf numFmtId="3" fontId="17" fillId="3" borderId="155" xfId="0" applyNumberFormat="1" applyFont="1" applyFill="1" applyBorder="1" applyAlignment="1">
      <alignment horizontal="center" vertical="center"/>
    </xf>
    <xf numFmtId="0" fontId="0" fillId="0" borderId="156" xfId="0" applyBorder="1" applyAlignment="1">
      <alignment vertical="center"/>
    </xf>
    <xf numFmtId="0" fontId="15" fillId="3" borderId="157" xfId="0" applyFont="1" applyFill="1" applyBorder="1" applyAlignment="1">
      <alignment horizontal="center" vertical="center"/>
    </xf>
    <xf numFmtId="0" fontId="15" fillId="3" borderId="158" xfId="0" applyFont="1" applyFill="1" applyBorder="1" applyAlignment="1">
      <alignment horizontal="center" vertical="center"/>
    </xf>
    <xf numFmtId="0" fontId="17" fillId="4" borderId="158" xfId="0" applyFont="1" applyFill="1" applyBorder="1" applyAlignment="1">
      <alignment horizontal="center" vertical="center"/>
    </xf>
    <xf numFmtId="0" fontId="17" fillId="0" borderId="158" xfId="0" applyFont="1" applyBorder="1" applyAlignment="1">
      <alignment horizontal="center" vertical="center"/>
    </xf>
    <xf numFmtId="3" fontId="6" fillId="3" borderId="158" xfId="0" applyNumberFormat="1" applyFont="1" applyFill="1" applyBorder="1" applyAlignment="1">
      <alignment horizontal="center" vertical="center"/>
    </xf>
    <xf numFmtId="3" fontId="17" fillId="3" borderId="158" xfId="0" applyNumberFormat="1" applyFont="1" applyFill="1" applyBorder="1" applyAlignment="1">
      <alignment horizontal="center" vertical="center"/>
    </xf>
    <xf numFmtId="3" fontId="17" fillId="3" borderId="158" xfId="0" applyNumberFormat="1" applyFont="1" applyFill="1" applyBorder="1" applyAlignment="1" applyProtection="1">
      <alignment horizontal="center" vertical="center"/>
      <protection locked="0"/>
    </xf>
    <xf numFmtId="3" fontId="17" fillId="3" borderId="159" xfId="0" applyNumberFormat="1" applyFont="1" applyFill="1" applyBorder="1" applyAlignment="1" applyProtection="1">
      <alignment horizontal="center" vertical="center"/>
      <protection locked="0"/>
    </xf>
    <xf numFmtId="0" fontId="15" fillId="3" borderId="162" xfId="0" applyFont="1" applyFill="1" applyBorder="1" applyAlignment="1">
      <alignment horizontal="center" vertical="center"/>
    </xf>
    <xf numFmtId="0" fontId="17" fillId="3" borderId="1" xfId="0" applyFont="1" applyFill="1" applyBorder="1" applyAlignment="1" applyProtection="1">
      <alignment horizontal="center" vertical="center"/>
      <protection locked="0"/>
    </xf>
    <xf numFmtId="0" fontId="17" fillId="3" borderId="56" xfId="0" applyFont="1" applyFill="1" applyBorder="1" applyAlignment="1" applyProtection="1">
      <alignment horizontal="center" vertical="center"/>
      <protection locked="0"/>
    </xf>
    <xf numFmtId="0" fontId="6" fillId="3" borderId="75" xfId="0" applyFont="1" applyFill="1" applyBorder="1" applyAlignment="1">
      <alignment horizontal="center" vertical="center" wrapText="1"/>
    </xf>
    <xf numFmtId="0" fontId="17" fillId="4" borderId="140" xfId="0" applyFont="1" applyFill="1" applyBorder="1" applyAlignment="1">
      <alignment horizontal="center" vertical="center"/>
    </xf>
    <xf numFmtId="0" fontId="15" fillId="3" borderId="163" xfId="0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36" xfId="0" applyFont="1" applyBorder="1" applyAlignment="1">
      <alignment horizontal="center" vertical="center"/>
    </xf>
    <xf numFmtId="0" fontId="24" fillId="0" borderId="141" xfId="0" applyFont="1" applyBorder="1" applyAlignment="1">
      <alignment horizontal="center" vertical="center"/>
    </xf>
    <xf numFmtId="0" fontId="24" fillId="0" borderId="140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4" borderId="77" xfId="0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vertical="center"/>
    </xf>
    <xf numFmtId="0" fontId="17" fillId="3" borderId="162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77" xfId="0" applyFont="1" applyBorder="1" applyAlignment="1">
      <alignment horizontal="center" vertical="center"/>
    </xf>
    <xf numFmtId="0" fontId="17" fillId="3" borderId="77" xfId="0" applyFont="1" applyFill="1" applyBorder="1" applyAlignment="1">
      <alignment horizontal="center" vertical="center"/>
    </xf>
    <xf numFmtId="0" fontId="17" fillId="3" borderId="93" xfId="0" applyFont="1" applyFill="1" applyBorder="1" applyAlignment="1">
      <alignment horizontal="center" vertical="center"/>
    </xf>
    <xf numFmtId="3" fontId="6" fillId="3" borderId="157" xfId="0" applyNumberFormat="1" applyFont="1" applyFill="1" applyBorder="1" applyAlignment="1">
      <alignment horizontal="center" vertical="center"/>
    </xf>
    <xf numFmtId="3" fontId="6" fillId="3" borderId="143" xfId="0" applyNumberFormat="1" applyFont="1" applyFill="1" applyBorder="1" applyAlignment="1">
      <alignment horizontal="center" vertical="center"/>
    </xf>
    <xf numFmtId="3" fontId="20" fillId="4" borderId="55" xfId="0" applyNumberFormat="1" applyFont="1" applyFill="1" applyBorder="1" applyAlignment="1">
      <alignment horizontal="center" vertical="center"/>
    </xf>
    <xf numFmtId="3" fontId="6" fillId="3" borderId="159" xfId="0" applyNumberFormat="1" applyFont="1" applyFill="1" applyBorder="1" applyAlignment="1">
      <alignment horizontal="center" vertical="center"/>
    </xf>
    <xf numFmtId="3" fontId="6" fillId="3" borderId="126" xfId="0" applyNumberFormat="1" applyFont="1" applyFill="1" applyBorder="1" applyAlignment="1">
      <alignment horizontal="center" vertical="center"/>
    </xf>
    <xf numFmtId="3" fontId="17" fillId="4" borderId="157" xfId="0" applyNumberFormat="1" applyFont="1" applyFill="1" applyBorder="1">
      <alignment vertical="top"/>
    </xf>
    <xf numFmtId="3" fontId="17" fillId="4" borderId="158" xfId="0" applyNumberFormat="1" applyFont="1" applyFill="1" applyBorder="1">
      <alignment vertical="top"/>
    </xf>
    <xf numFmtId="3" fontId="17" fillId="4" borderId="158" xfId="0" applyNumberFormat="1" applyFont="1" applyFill="1" applyBorder="1" applyAlignment="1">
      <alignment horizontal="center" vertical="top"/>
    </xf>
    <xf numFmtId="3" fontId="17" fillId="4" borderId="163" xfId="0" applyNumberFormat="1" applyFont="1" applyFill="1" applyBorder="1">
      <alignment vertical="top"/>
    </xf>
    <xf numFmtId="3" fontId="17" fillId="3" borderId="162" xfId="0" applyNumberFormat="1" applyFont="1" applyFill="1" applyBorder="1" applyAlignment="1">
      <alignment horizontal="center" vertical="center"/>
    </xf>
    <xf numFmtId="3" fontId="17" fillId="3" borderId="159" xfId="0" applyNumberFormat="1" applyFont="1" applyFill="1" applyBorder="1" applyAlignment="1">
      <alignment horizontal="center" vertical="center"/>
    </xf>
    <xf numFmtId="3" fontId="15" fillId="3" borderId="53" xfId="0" applyNumberFormat="1" applyFont="1" applyFill="1" applyBorder="1" applyAlignment="1">
      <alignment horizontal="center" vertical="center"/>
    </xf>
    <xf numFmtId="3" fontId="17" fillId="4" borderId="1" xfId="1" applyNumberFormat="1" applyFont="1" applyFill="1" applyBorder="1" applyAlignment="1">
      <alignment horizontal="center" vertical="center"/>
    </xf>
    <xf numFmtId="3" fontId="17" fillId="3" borderId="5" xfId="0" applyNumberFormat="1" applyFont="1" applyFill="1" applyBorder="1" applyAlignment="1">
      <alignment horizontal="center" vertical="center"/>
    </xf>
    <xf numFmtId="0" fontId="4" fillId="3" borderId="64" xfId="0" applyFont="1" applyFill="1" applyBorder="1" applyAlignment="1">
      <alignment horizontal="center" vertical="center" wrapText="1"/>
    </xf>
    <xf numFmtId="3" fontId="15" fillId="3" borderId="125" xfId="0" applyNumberFormat="1" applyFont="1" applyFill="1" applyBorder="1" applyAlignment="1">
      <alignment horizontal="center" vertical="center"/>
    </xf>
    <xf numFmtId="3" fontId="15" fillId="3" borderId="108" xfId="0" applyNumberFormat="1" applyFont="1" applyFill="1" applyBorder="1" applyAlignment="1">
      <alignment horizontal="center" vertical="center"/>
    </xf>
    <xf numFmtId="3" fontId="17" fillId="4" borderId="108" xfId="1" applyNumberFormat="1" applyFont="1" applyFill="1" applyBorder="1" applyAlignment="1">
      <alignment horizontal="center" vertical="center"/>
    </xf>
    <xf numFmtId="3" fontId="17" fillId="0" borderId="108" xfId="0" applyNumberFormat="1" applyFont="1" applyBorder="1" applyAlignment="1">
      <alignment horizontal="center" vertical="center"/>
    </xf>
    <xf numFmtId="3" fontId="15" fillId="3" borderId="148" xfId="0" applyNumberFormat="1" applyFont="1" applyFill="1" applyBorder="1" applyAlignment="1">
      <alignment horizontal="center" vertical="center"/>
    </xf>
    <xf numFmtId="3" fontId="17" fillId="3" borderId="93" xfId="0" applyNumberFormat="1" applyFont="1" applyFill="1" applyBorder="1" applyAlignment="1">
      <alignment horizontal="center" vertical="center"/>
    </xf>
    <xf numFmtId="3" fontId="15" fillId="3" borderId="157" xfId="0" applyNumberFormat="1" applyFont="1" applyFill="1" applyBorder="1" applyAlignment="1">
      <alignment horizontal="center" vertical="center"/>
    </xf>
    <xf numFmtId="3" fontId="15" fillId="3" borderId="158" xfId="0" applyNumberFormat="1" applyFont="1" applyFill="1" applyBorder="1" applyAlignment="1">
      <alignment horizontal="center" vertical="center"/>
    </xf>
    <xf numFmtId="3" fontId="17" fillId="4" borderId="158" xfId="1" applyNumberFormat="1" applyFont="1" applyFill="1" applyBorder="1" applyAlignment="1">
      <alignment horizontal="center" vertical="center"/>
    </xf>
    <xf numFmtId="3" fontId="17" fillId="0" borderId="158" xfId="0" applyNumberFormat="1" applyFont="1" applyBorder="1" applyAlignment="1">
      <alignment horizontal="center" vertical="center"/>
    </xf>
    <xf numFmtId="3" fontId="15" fillId="3" borderId="163" xfId="0" applyNumberFormat="1" applyFont="1" applyFill="1" applyBorder="1" applyAlignment="1">
      <alignment horizontal="center" vertical="center"/>
    </xf>
    <xf numFmtId="0" fontId="25" fillId="3" borderId="120" xfId="2" applyFont="1" applyFill="1" applyBorder="1" applyAlignment="1">
      <alignment horizontal="center" vertical="center" wrapText="1"/>
    </xf>
    <xf numFmtId="3" fontId="15" fillId="3" borderId="144" xfId="0" applyNumberFormat="1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 vertical="center" wrapText="1"/>
    </xf>
    <xf numFmtId="3" fontId="17" fillId="0" borderId="157" xfId="0" applyNumberFormat="1" applyFont="1" applyBorder="1" applyAlignment="1">
      <alignment horizontal="center" vertical="center"/>
    </xf>
    <xf numFmtId="0" fontId="25" fillId="3" borderId="104" xfId="2" applyFont="1" applyFill="1" applyBorder="1" applyAlignment="1">
      <alignment horizontal="center" vertical="center" wrapText="1"/>
    </xf>
    <xf numFmtId="3" fontId="6" fillId="3" borderId="162" xfId="0" applyNumberFormat="1" applyFont="1" applyFill="1" applyBorder="1" applyAlignment="1">
      <alignment horizontal="center" vertical="center"/>
    </xf>
    <xf numFmtId="3" fontId="17" fillId="0" borderId="163" xfId="0" applyNumberFormat="1" applyFont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 wrapText="1"/>
    </xf>
    <xf numFmtId="0" fontId="17" fillId="4" borderId="162" xfId="1" applyNumberFormat="1" applyFont="1" applyFill="1" applyBorder="1" applyAlignment="1">
      <alignment horizontal="center" vertical="center"/>
    </xf>
    <xf numFmtId="0" fontId="17" fillId="4" borderId="158" xfId="1" applyNumberFormat="1" applyFont="1" applyFill="1" applyBorder="1" applyAlignment="1">
      <alignment horizontal="center" vertical="center"/>
    </xf>
    <xf numFmtId="0" fontId="15" fillId="0" borderId="158" xfId="0" applyFont="1" applyBorder="1" applyAlignment="1">
      <alignment horizontal="center" vertical="center"/>
    </xf>
    <xf numFmtId="3" fontId="20" fillId="3" borderId="158" xfId="0" applyNumberFormat="1" applyFont="1" applyFill="1" applyBorder="1" applyAlignment="1">
      <alignment horizontal="center" vertical="center"/>
    </xf>
    <xf numFmtId="3" fontId="15" fillId="3" borderId="159" xfId="0" applyNumberFormat="1" applyFont="1" applyFill="1" applyBorder="1" applyAlignment="1">
      <alignment horizontal="center" vertical="center"/>
    </xf>
    <xf numFmtId="0" fontId="30" fillId="3" borderId="47" xfId="0" applyFont="1" applyFill="1" applyBorder="1" applyAlignment="1">
      <alignment horizontal="center" vertical="center" wrapText="1"/>
    </xf>
    <xf numFmtId="0" fontId="17" fillId="4" borderId="157" xfId="1" applyNumberFormat="1" applyFont="1" applyFill="1" applyBorder="1" applyAlignment="1">
      <alignment horizontal="center" vertical="center"/>
    </xf>
    <xf numFmtId="3" fontId="15" fillId="3" borderId="15" xfId="0" applyNumberFormat="1" applyFont="1" applyFill="1" applyBorder="1" applyAlignment="1">
      <alignment horizontal="center" vertical="center"/>
    </xf>
    <xf numFmtId="3" fontId="17" fillId="3" borderId="25" xfId="0" applyNumberFormat="1" applyFont="1" applyFill="1" applyBorder="1" applyAlignment="1">
      <alignment horizontal="center" vertical="center"/>
    </xf>
    <xf numFmtId="3" fontId="17" fillId="0" borderId="13" xfId="0" applyNumberFormat="1" applyFont="1" applyBorder="1" applyAlignment="1">
      <alignment horizontal="center" vertical="top"/>
    </xf>
    <xf numFmtId="0" fontId="17" fillId="4" borderId="16" xfId="1" applyNumberFormat="1" applyFont="1" applyFill="1" applyBorder="1" applyAlignment="1">
      <alignment horizontal="center" vertical="center"/>
    </xf>
    <xf numFmtId="0" fontId="17" fillId="4" borderId="91" xfId="1" applyNumberFormat="1" applyFont="1" applyFill="1" applyBorder="1" applyAlignment="1">
      <alignment horizontal="center" vertical="center"/>
    </xf>
    <xf numFmtId="0" fontId="17" fillId="4" borderId="139" xfId="1" applyNumberFormat="1" applyFont="1" applyFill="1" applyBorder="1" applyAlignment="1">
      <alignment horizontal="center" vertical="center"/>
    </xf>
    <xf numFmtId="0" fontId="17" fillId="4" borderId="163" xfId="1" applyNumberFormat="1" applyFont="1" applyFill="1" applyBorder="1" applyAlignment="1">
      <alignment horizontal="center" vertical="center"/>
    </xf>
    <xf numFmtId="0" fontId="17" fillId="4" borderId="15" xfId="1" applyNumberFormat="1" applyFont="1" applyFill="1" applyBorder="1" applyAlignment="1">
      <alignment horizontal="center" vertical="center"/>
    </xf>
    <xf numFmtId="0" fontId="17" fillId="4" borderId="137" xfId="1" applyNumberFormat="1" applyFont="1" applyFill="1" applyBorder="1" applyAlignment="1">
      <alignment horizontal="center" vertical="center"/>
    </xf>
    <xf numFmtId="0" fontId="17" fillId="4" borderId="140" xfId="1" applyNumberFormat="1" applyFont="1" applyFill="1" applyBorder="1" applyAlignment="1">
      <alignment horizontal="center" vertical="center"/>
    </xf>
    <xf numFmtId="0" fontId="17" fillId="4" borderId="142" xfId="1" applyNumberFormat="1" applyFont="1" applyFill="1" applyBorder="1" applyAlignment="1">
      <alignment horizontal="center" vertical="center"/>
    </xf>
    <xf numFmtId="0" fontId="17" fillId="4" borderId="13" xfId="1" applyNumberFormat="1" applyFont="1" applyFill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3" fontId="17" fillId="3" borderId="69" xfId="0" applyNumberFormat="1" applyFont="1" applyFill="1" applyBorder="1" applyAlignment="1">
      <alignment horizontal="center" vertical="center"/>
    </xf>
    <xf numFmtId="3" fontId="17" fillId="3" borderId="19" xfId="0" applyNumberFormat="1" applyFont="1" applyFill="1" applyBorder="1" applyAlignment="1">
      <alignment horizontal="center" vertical="center"/>
    </xf>
    <xf numFmtId="3" fontId="17" fillId="3" borderId="9" xfId="0" applyNumberFormat="1" applyFont="1" applyFill="1" applyBorder="1" applyAlignment="1">
      <alignment horizontal="center" vertical="center"/>
    </xf>
    <xf numFmtId="3" fontId="17" fillId="3" borderId="77" xfId="0" applyNumberFormat="1" applyFont="1" applyFill="1" applyBorder="1" applyAlignment="1">
      <alignment horizontal="center" vertical="center"/>
    </xf>
    <xf numFmtId="3" fontId="6" fillId="3" borderId="53" xfId="0" applyNumberFormat="1" applyFont="1" applyFill="1" applyBorder="1" applyAlignment="1">
      <alignment horizontal="center"/>
    </xf>
    <xf numFmtId="10" fontId="20" fillId="4" borderId="54" xfId="0" applyNumberFormat="1" applyFont="1" applyFill="1" applyBorder="1" applyAlignment="1">
      <alignment horizontal="center" vertical="center"/>
    </xf>
    <xf numFmtId="3" fontId="20" fillId="3" borderId="130" xfId="0" applyNumberFormat="1" applyFont="1" applyFill="1" applyBorder="1" applyAlignment="1">
      <alignment horizontal="center" vertical="center"/>
    </xf>
    <xf numFmtId="3" fontId="20" fillId="3" borderId="53" xfId="0" applyNumberFormat="1" applyFont="1" applyFill="1" applyBorder="1" applyAlignment="1">
      <alignment horizontal="center" vertical="center"/>
    </xf>
    <xf numFmtId="3" fontId="20" fillId="3" borderId="54" xfId="0" applyNumberFormat="1" applyFont="1" applyFill="1" applyBorder="1" applyAlignment="1">
      <alignment horizontal="center" vertical="center"/>
    </xf>
    <xf numFmtId="3" fontId="20" fillId="3" borderId="129" xfId="0" applyNumberFormat="1" applyFont="1" applyFill="1" applyBorder="1" applyAlignment="1">
      <alignment horizontal="center" vertical="center"/>
    </xf>
    <xf numFmtId="3" fontId="20" fillId="3" borderId="157" xfId="0" applyNumberFormat="1" applyFont="1" applyFill="1" applyBorder="1" applyAlignment="1">
      <alignment horizontal="center" vertical="center"/>
    </xf>
    <xf numFmtId="3" fontId="20" fillId="3" borderId="143" xfId="0" applyNumberFormat="1" applyFont="1" applyFill="1" applyBorder="1" applyAlignment="1">
      <alignment horizontal="center" vertical="center"/>
    </xf>
    <xf numFmtId="3" fontId="20" fillId="3" borderId="164" xfId="0" applyNumberFormat="1" applyFont="1" applyFill="1" applyBorder="1" applyAlignment="1">
      <alignment horizontal="center" vertical="center"/>
    </xf>
    <xf numFmtId="3" fontId="20" fillId="3" borderId="52" xfId="0" applyNumberFormat="1" applyFont="1" applyFill="1" applyBorder="1" applyAlignment="1">
      <alignment horizontal="center" vertical="center"/>
    </xf>
    <xf numFmtId="3" fontId="20" fillId="3" borderId="144" xfId="0" applyNumberFormat="1" applyFont="1" applyFill="1" applyBorder="1" applyAlignment="1">
      <alignment horizontal="center" vertical="center"/>
    </xf>
    <xf numFmtId="3" fontId="6" fillId="3" borderId="56" xfId="0" applyNumberFormat="1" applyFont="1" applyFill="1" applyBorder="1" applyAlignment="1">
      <alignment horizontal="center"/>
    </xf>
    <xf numFmtId="10" fontId="20" fillId="4" borderId="57" xfId="0" applyNumberFormat="1" applyFont="1" applyFill="1" applyBorder="1" applyAlignment="1">
      <alignment horizontal="center" vertical="center"/>
    </xf>
    <xf numFmtId="3" fontId="20" fillId="3" borderId="67" xfId="0" applyNumberFormat="1" applyFont="1" applyFill="1" applyBorder="1" applyAlignment="1">
      <alignment horizontal="center" vertical="center"/>
    </xf>
    <xf numFmtId="3" fontId="20" fillId="3" borderId="56" xfId="0" applyNumberFormat="1" applyFont="1" applyFill="1" applyBorder="1" applyAlignment="1">
      <alignment horizontal="center" vertical="center"/>
    </xf>
    <xf numFmtId="3" fontId="20" fillId="3" borderId="57" xfId="0" applyNumberFormat="1" applyFont="1" applyFill="1" applyBorder="1" applyAlignment="1">
      <alignment horizontal="center" vertical="center"/>
    </xf>
    <xf numFmtId="3" fontId="20" fillId="3" borderId="112" xfId="0" applyNumberFormat="1" applyFont="1" applyFill="1" applyBorder="1" applyAlignment="1">
      <alignment horizontal="center" vertical="center"/>
    </xf>
    <xf numFmtId="3" fontId="20" fillId="3" borderId="159" xfId="0" applyNumberFormat="1" applyFont="1" applyFill="1" applyBorder="1" applyAlignment="1">
      <alignment horizontal="center" vertical="center"/>
    </xf>
    <xf numFmtId="3" fontId="20" fillId="3" borderId="126" xfId="0" applyNumberFormat="1" applyFont="1" applyFill="1" applyBorder="1" applyAlignment="1">
      <alignment horizontal="center" vertical="center"/>
    </xf>
    <xf numFmtId="3" fontId="20" fillId="3" borderId="73" xfId="0" applyNumberFormat="1" applyFont="1" applyFill="1" applyBorder="1" applyAlignment="1">
      <alignment horizontal="center" vertical="center"/>
    </xf>
    <xf numFmtId="3" fontId="20" fillId="3" borderId="55" xfId="0" applyNumberFormat="1" applyFont="1" applyFill="1" applyBorder="1" applyAlignment="1">
      <alignment horizontal="center" vertical="center"/>
    </xf>
    <xf numFmtId="3" fontId="20" fillId="3" borderId="81" xfId="0" applyNumberFormat="1" applyFont="1" applyFill="1" applyBorder="1" applyAlignment="1">
      <alignment horizontal="center" vertical="center"/>
    </xf>
    <xf numFmtId="3" fontId="27" fillId="0" borderId="153" xfId="0" applyNumberFormat="1" applyFont="1" applyBorder="1" applyAlignment="1">
      <alignment horizontal="center" vertical="center"/>
    </xf>
    <xf numFmtId="3" fontId="27" fillId="0" borderId="19" xfId="0" applyNumberFormat="1" applyFont="1" applyBorder="1" applyAlignment="1">
      <alignment horizontal="center" vertical="center"/>
    </xf>
    <xf numFmtId="3" fontId="27" fillId="0" borderId="11" xfId="0" applyNumberFormat="1" applyFont="1" applyBorder="1" applyAlignment="1">
      <alignment horizontal="center" vertical="center"/>
    </xf>
    <xf numFmtId="3" fontId="27" fillId="0" borderId="79" xfId="0" applyNumberFormat="1" applyFont="1" applyBorder="1" applyAlignment="1">
      <alignment horizontal="center" vertical="center"/>
    </xf>
    <xf numFmtId="3" fontId="27" fillId="0" borderId="154" xfId="0" applyNumberFormat="1" applyFont="1" applyBorder="1" applyAlignment="1">
      <alignment horizontal="center" vertical="center"/>
    </xf>
    <xf numFmtId="3" fontId="27" fillId="0" borderId="14" xfId="0" applyNumberFormat="1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3" fontId="27" fillId="0" borderId="80" xfId="0" applyNumberFormat="1" applyFont="1" applyBorder="1" applyAlignment="1">
      <alignment horizontal="center" vertical="center"/>
    </xf>
    <xf numFmtId="10" fontId="17" fillId="4" borderId="90" xfId="0" applyNumberFormat="1" applyFont="1" applyFill="1" applyBorder="1" applyAlignment="1">
      <alignment horizontal="center" vertical="center"/>
    </xf>
    <xf numFmtId="1" fontId="17" fillId="3" borderId="53" xfId="3" applyNumberFormat="1" applyFont="1" applyFill="1" applyBorder="1" applyAlignment="1">
      <alignment horizontal="center" vertical="center"/>
    </xf>
    <xf numFmtId="1" fontId="17" fillId="3" borderId="55" xfId="3" applyNumberFormat="1" applyFont="1" applyFill="1" applyBorder="1" applyAlignment="1">
      <alignment horizontal="center" vertical="center"/>
    </xf>
    <xf numFmtId="1" fontId="17" fillId="3" borderId="78" xfId="3" applyNumberFormat="1" applyFont="1" applyFill="1" applyBorder="1" applyAlignment="1">
      <alignment horizontal="center" vertical="center"/>
    </xf>
    <xf numFmtId="1" fontId="17" fillId="3" borderId="52" xfId="3" applyNumberFormat="1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20" fillId="3" borderId="165" xfId="3" applyFont="1" applyFill="1" applyBorder="1" applyAlignment="1">
      <alignment vertical="center"/>
    </xf>
    <xf numFmtId="3" fontId="15" fillId="0" borderId="165" xfId="0" applyNumberFormat="1" applyFont="1" applyBorder="1" applyAlignment="1">
      <alignment horizontal="center" vertical="center"/>
    </xf>
    <xf numFmtId="0" fontId="20" fillId="3" borderId="171" xfId="3" applyFont="1" applyFill="1" applyBorder="1" applyAlignment="1">
      <alignment vertical="center"/>
    </xf>
    <xf numFmtId="3" fontId="6" fillId="0" borderId="171" xfId="0" applyNumberFormat="1" applyFont="1" applyBorder="1" applyAlignment="1">
      <alignment horizontal="center" vertical="center"/>
    </xf>
    <xf numFmtId="3" fontId="20" fillId="0" borderId="171" xfId="0" applyNumberFormat="1" applyFont="1" applyBorder="1" applyAlignment="1">
      <alignment horizontal="center" vertical="center"/>
    </xf>
    <xf numFmtId="10" fontId="20" fillId="4" borderId="172" xfId="0" applyNumberFormat="1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10" fontId="20" fillId="4" borderId="166" xfId="0" applyNumberFormat="1" applyFont="1" applyFill="1" applyBorder="1" applyAlignment="1">
      <alignment horizontal="center" vertical="center"/>
    </xf>
    <xf numFmtId="3" fontId="20" fillId="0" borderId="165" xfId="0" applyNumberFormat="1" applyFont="1" applyBorder="1" applyAlignment="1">
      <alignment horizontal="center" vertical="center"/>
    </xf>
    <xf numFmtId="3" fontId="27" fillId="0" borderId="155" xfId="0" applyNumberFormat="1" applyFont="1" applyBorder="1" applyAlignment="1">
      <alignment horizontal="center" vertical="center"/>
    </xf>
    <xf numFmtId="3" fontId="27" fillId="0" borderId="126" xfId="0" applyNumberFormat="1" applyFont="1" applyBorder="1" applyAlignment="1">
      <alignment horizontal="center" vertical="center"/>
    </xf>
    <xf numFmtId="3" fontId="27" fillId="0" borderId="67" xfId="0" applyNumberFormat="1" applyFont="1" applyBorder="1" applyAlignment="1">
      <alignment horizontal="center" vertical="center"/>
    </xf>
    <xf numFmtId="3" fontId="27" fillId="0" borderId="81" xfId="0" applyNumberFormat="1" applyFont="1" applyBorder="1" applyAlignment="1">
      <alignment horizontal="center" vertical="center"/>
    </xf>
    <xf numFmtId="3" fontId="20" fillId="0" borderId="173" xfId="0" applyNumberFormat="1" applyFont="1" applyBorder="1" applyAlignment="1">
      <alignment horizontal="center" vertical="center"/>
    </xf>
    <xf numFmtId="3" fontId="20" fillId="0" borderId="174" xfId="0" applyNumberFormat="1" applyFont="1" applyBorder="1" applyAlignment="1">
      <alignment horizontal="center" vertical="center"/>
    </xf>
    <xf numFmtId="3" fontId="20" fillId="0" borderId="175" xfId="0" applyNumberFormat="1" applyFont="1" applyBorder="1" applyAlignment="1">
      <alignment horizontal="center" vertical="center"/>
    </xf>
    <xf numFmtId="3" fontId="20" fillId="0" borderId="176" xfId="0" applyNumberFormat="1" applyFont="1" applyBorder="1" applyAlignment="1">
      <alignment horizontal="center" vertical="center"/>
    </xf>
    <xf numFmtId="3" fontId="20" fillId="3" borderId="173" xfId="0" applyNumberFormat="1" applyFont="1" applyFill="1" applyBorder="1" applyAlignment="1">
      <alignment horizontal="center" vertical="center"/>
    </xf>
    <xf numFmtId="3" fontId="20" fillId="3" borderId="105" xfId="0" applyNumberFormat="1" applyFont="1" applyFill="1" applyBorder="1" applyAlignment="1">
      <alignment horizontal="center" vertical="center"/>
    </xf>
    <xf numFmtId="3" fontId="20" fillId="3" borderId="176" xfId="0" applyNumberFormat="1" applyFont="1" applyFill="1" applyBorder="1" applyAlignment="1">
      <alignment horizontal="center" vertical="center"/>
    </xf>
    <xf numFmtId="3" fontId="20" fillId="3" borderId="102" xfId="0" applyNumberFormat="1" applyFont="1" applyFill="1" applyBorder="1" applyAlignment="1">
      <alignment horizontal="center" vertical="center"/>
    </xf>
    <xf numFmtId="3" fontId="20" fillId="3" borderId="174" xfId="0" applyNumberFormat="1" applyFont="1" applyFill="1" applyBorder="1" applyAlignment="1">
      <alignment horizontal="center" vertical="center"/>
    </xf>
    <xf numFmtId="3" fontId="20" fillId="3" borderId="175" xfId="0" applyNumberFormat="1" applyFont="1" applyFill="1" applyBorder="1" applyAlignment="1">
      <alignment horizontal="center" vertical="center"/>
    </xf>
    <xf numFmtId="3" fontId="20" fillId="3" borderId="172" xfId="0" applyNumberFormat="1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3" fontId="20" fillId="0" borderId="7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30" xfId="0" applyNumberFormat="1" applyFont="1" applyBorder="1" applyAlignment="1">
      <alignment horizontal="center" vertical="center"/>
    </xf>
    <xf numFmtId="3" fontId="20" fillId="0" borderId="167" xfId="0" applyNumberFormat="1" applyFont="1" applyBorder="1" applyAlignment="1">
      <alignment horizontal="center" vertical="center"/>
    </xf>
    <xf numFmtId="3" fontId="20" fillId="0" borderId="168" xfId="0" applyNumberFormat="1" applyFont="1" applyBorder="1" applyAlignment="1">
      <alignment horizontal="center" vertical="center"/>
    </xf>
    <xf numFmtId="3" fontId="20" fillId="0" borderId="169" xfId="0" applyNumberFormat="1" applyFont="1" applyBorder="1" applyAlignment="1">
      <alignment horizontal="center" vertical="center"/>
    </xf>
    <xf numFmtId="3" fontId="20" fillId="0" borderId="170" xfId="0" applyNumberFormat="1" applyFont="1" applyBorder="1" applyAlignment="1">
      <alignment horizontal="center" vertical="center"/>
    </xf>
    <xf numFmtId="3" fontId="20" fillId="3" borderId="167" xfId="0" applyNumberFormat="1" applyFont="1" applyFill="1" applyBorder="1" applyAlignment="1">
      <alignment horizontal="center" vertical="center"/>
    </xf>
    <xf numFmtId="3" fontId="20" fillId="3" borderId="49" xfId="0" applyNumberFormat="1" applyFont="1" applyFill="1" applyBorder="1" applyAlignment="1">
      <alignment horizontal="center" vertical="center"/>
    </xf>
    <xf numFmtId="3" fontId="20" fillId="3" borderId="170" xfId="0" applyNumberFormat="1" applyFont="1" applyFill="1" applyBorder="1" applyAlignment="1">
      <alignment horizontal="center" vertical="center"/>
    </xf>
    <xf numFmtId="3" fontId="20" fillId="3" borderId="123" xfId="0" applyNumberFormat="1" applyFont="1" applyFill="1" applyBorder="1" applyAlignment="1">
      <alignment horizontal="center" vertical="center"/>
    </xf>
    <xf numFmtId="3" fontId="20" fillId="3" borderId="168" xfId="0" applyNumberFormat="1" applyFont="1" applyFill="1" applyBorder="1" applyAlignment="1">
      <alignment horizontal="center" vertical="center"/>
    </xf>
    <xf numFmtId="3" fontId="20" fillId="3" borderId="169" xfId="0" applyNumberFormat="1" applyFont="1" applyFill="1" applyBorder="1" applyAlignment="1">
      <alignment horizontal="center" vertical="center"/>
    </xf>
    <xf numFmtId="3" fontId="20" fillId="3" borderId="166" xfId="0" applyNumberFormat="1" applyFont="1" applyFill="1" applyBorder="1" applyAlignment="1">
      <alignment horizontal="center" vertical="center"/>
    </xf>
    <xf numFmtId="0" fontId="7" fillId="3" borderId="156" xfId="0" applyFont="1" applyFill="1" applyBorder="1" applyAlignment="1"/>
    <xf numFmtId="3" fontId="6" fillId="3" borderId="145" xfId="0" applyNumberFormat="1" applyFont="1" applyFill="1" applyBorder="1" applyAlignment="1">
      <alignment horizontal="center" vertical="center"/>
    </xf>
    <xf numFmtId="3" fontId="6" fillId="3" borderId="25" xfId="0" applyNumberFormat="1" applyFont="1" applyFill="1" applyBorder="1" applyAlignment="1">
      <alignment horizontal="center" vertical="center"/>
    </xf>
    <xf numFmtId="3" fontId="6" fillId="3" borderId="146" xfId="0" applyNumberFormat="1" applyFont="1" applyFill="1" applyBorder="1" applyAlignment="1">
      <alignment horizontal="center" vertical="center"/>
    </xf>
    <xf numFmtId="10" fontId="17" fillId="4" borderId="69" xfId="0" applyNumberFormat="1" applyFont="1" applyFill="1" applyBorder="1" applyAlignment="1">
      <alignment horizontal="center" vertical="top"/>
    </xf>
    <xf numFmtId="10" fontId="17" fillId="4" borderId="46" xfId="0" applyNumberFormat="1" applyFont="1" applyFill="1" applyBorder="1" applyAlignment="1">
      <alignment horizontal="center" vertical="top"/>
    </xf>
    <xf numFmtId="10" fontId="17" fillId="4" borderId="57" xfId="0" applyNumberFormat="1" applyFont="1" applyFill="1" applyBorder="1" applyAlignment="1">
      <alignment horizontal="center" vertical="top"/>
    </xf>
    <xf numFmtId="10" fontId="20" fillId="4" borderId="69" xfId="0" applyNumberFormat="1" applyFont="1" applyFill="1" applyBorder="1" applyAlignment="1">
      <alignment horizontal="center" vertical="top"/>
    </xf>
    <xf numFmtId="10" fontId="20" fillId="4" borderId="46" xfId="0" applyNumberFormat="1" applyFont="1" applyFill="1" applyBorder="1" applyAlignment="1">
      <alignment horizontal="center" vertical="top"/>
    </xf>
    <xf numFmtId="10" fontId="20" fillId="4" borderId="57" xfId="0" applyNumberFormat="1" applyFont="1" applyFill="1" applyBorder="1" applyAlignment="1">
      <alignment horizontal="center" vertical="top"/>
    </xf>
    <xf numFmtId="0" fontId="16" fillId="3" borderId="52" xfId="0" applyFont="1" applyFill="1" applyBorder="1" applyAlignment="1">
      <alignment horizontal="center" vertical="center" wrapText="1"/>
    </xf>
    <xf numFmtId="0" fontId="15" fillId="3" borderId="53" xfId="0" applyFont="1" applyFill="1" applyBorder="1" applyAlignment="1">
      <alignment vertical="center" wrapText="1"/>
    </xf>
    <xf numFmtId="0" fontId="15" fillId="3" borderId="54" xfId="0" applyFont="1" applyFill="1" applyBorder="1" applyAlignment="1">
      <alignment vertical="center" wrapText="1"/>
    </xf>
    <xf numFmtId="0" fontId="15" fillId="3" borderId="55" xfId="0" applyFont="1" applyFill="1" applyBorder="1" applyAlignment="1">
      <alignment vertical="center" wrapText="1"/>
    </xf>
    <xf numFmtId="0" fontId="15" fillId="3" borderId="56" xfId="0" applyFont="1" applyFill="1" applyBorder="1" applyAlignment="1">
      <alignment vertical="center" wrapText="1"/>
    </xf>
    <xf numFmtId="0" fontId="15" fillId="3" borderId="57" xfId="0" applyFont="1" applyFill="1" applyBorder="1" applyAlignment="1">
      <alignment vertical="center" wrapText="1"/>
    </xf>
    <xf numFmtId="0" fontId="16" fillId="3" borderId="82" xfId="0" applyFont="1" applyFill="1" applyBorder="1" applyAlignment="1">
      <alignment horizontal="center" vertical="center" wrapText="1"/>
    </xf>
    <xf numFmtId="0" fontId="16" fillId="3" borderId="86" xfId="0" applyFont="1" applyFill="1" applyBorder="1" applyAlignment="1">
      <alignment horizontal="center" vertical="center" wrapText="1"/>
    </xf>
    <xf numFmtId="0" fontId="4" fillId="3" borderId="103" xfId="0" applyFont="1" applyFill="1" applyBorder="1" applyAlignment="1">
      <alignment horizontal="center" vertical="center" wrapText="1"/>
    </xf>
    <xf numFmtId="0" fontId="4" fillId="3" borderId="75" xfId="0" applyFont="1" applyFill="1" applyBorder="1" applyAlignment="1">
      <alignment horizontal="center" vertical="center" wrapText="1"/>
    </xf>
    <xf numFmtId="0" fontId="16" fillId="3" borderId="50" xfId="0" applyFont="1" applyFill="1" applyBorder="1" applyAlignment="1">
      <alignment horizontal="center" vertical="center" wrapText="1"/>
    </xf>
    <xf numFmtId="0" fontId="16" fillId="3" borderId="49" xfId="0" applyFont="1" applyFill="1" applyBorder="1" applyAlignment="1">
      <alignment horizontal="center" vertical="center" wrapText="1"/>
    </xf>
    <xf numFmtId="0" fontId="16" fillId="3" borderId="104" xfId="0" applyFont="1" applyFill="1" applyBorder="1" applyAlignment="1">
      <alignment horizontal="center" vertical="center" wrapText="1"/>
    </xf>
    <xf numFmtId="0" fontId="4" fillId="3" borderId="74" xfId="0" applyFont="1" applyFill="1" applyBorder="1" applyAlignment="1">
      <alignment horizontal="center" vertical="center" wrapText="1"/>
    </xf>
    <xf numFmtId="0" fontId="4" fillId="3" borderId="100" xfId="0" applyFont="1" applyFill="1" applyBorder="1" applyAlignment="1">
      <alignment horizontal="center" vertical="center" wrapText="1"/>
    </xf>
    <xf numFmtId="0" fontId="4" fillId="3" borderId="101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4" fillId="3" borderId="106" xfId="0" applyFont="1" applyFill="1" applyBorder="1" applyAlignment="1">
      <alignment horizontal="center" vertical="center" wrapText="1"/>
    </xf>
    <xf numFmtId="0" fontId="4" fillId="3" borderId="102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47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105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63" xfId="0" applyFont="1" applyFill="1" applyBorder="1" applyAlignment="1">
      <alignment horizontal="center" vertical="center"/>
    </xf>
    <xf numFmtId="0" fontId="12" fillId="3" borderId="6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91" xfId="0" applyFont="1" applyFill="1" applyBorder="1" applyAlignment="1">
      <alignment horizontal="center" vertical="center" wrapText="1"/>
    </xf>
    <xf numFmtId="0" fontId="13" fillId="3" borderId="82" xfId="0" applyFont="1" applyFill="1" applyBorder="1" applyAlignment="1">
      <alignment horizontal="center" vertical="center" wrapText="1"/>
    </xf>
    <xf numFmtId="0" fontId="13" fillId="3" borderId="86" xfId="0" applyFont="1" applyFill="1" applyBorder="1" applyAlignment="1">
      <alignment horizontal="center" vertical="center" wrapText="1"/>
    </xf>
    <xf numFmtId="0" fontId="13" fillId="3" borderId="68" xfId="0" applyFont="1" applyFill="1" applyBorder="1" applyAlignment="1">
      <alignment horizontal="center" vertical="center" wrapText="1"/>
    </xf>
    <xf numFmtId="0" fontId="2" fillId="3" borderId="59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4" fillId="3" borderId="94" xfId="0" applyFont="1" applyFill="1" applyBorder="1" applyAlignment="1">
      <alignment horizontal="center" vertical="center" wrapText="1"/>
    </xf>
    <xf numFmtId="0" fontId="4" fillId="3" borderId="72" xfId="0" applyFont="1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 wrapText="1"/>
    </xf>
    <xf numFmtId="0" fontId="12" fillId="3" borderId="84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70" xfId="0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13" fillId="3" borderId="86" xfId="0" applyFont="1" applyFill="1" applyBorder="1" applyAlignment="1">
      <alignment horizontal="center" vertical="center"/>
    </xf>
    <xf numFmtId="0" fontId="13" fillId="3" borderId="68" xfId="0" applyFont="1" applyFill="1" applyBorder="1" applyAlignment="1">
      <alignment horizontal="center" vertical="center"/>
    </xf>
    <xf numFmtId="0" fontId="2" fillId="3" borderId="82" xfId="0" applyFont="1" applyFill="1" applyBorder="1" applyAlignment="1">
      <alignment horizontal="center" vertical="center" wrapText="1"/>
    </xf>
    <xf numFmtId="0" fontId="2" fillId="3" borderId="86" xfId="0" applyFont="1" applyFill="1" applyBorder="1" applyAlignment="1">
      <alignment horizontal="center" vertical="center" wrapText="1"/>
    </xf>
    <xf numFmtId="0" fontId="2" fillId="3" borderId="68" xfId="0" applyFont="1" applyFill="1" applyBorder="1" applyAlignment="1">
      <alignment horizontal="center" vertical="center" wrapText="1"/>
    </xf>
    <xf numFmtId="0" fontId="4" fillId="3" borderId="149" xfId="0" applyFont="1" applyFill="1" applyBorder="1" applyAlignment="1">
      <alignment horizontal="center" vertical="center" wrapText="1"/>
    </xf>
    <xf numFmtId="0" fontId="4" fillId="3" borderId="150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4" borderId="54" xfId="0" applyFont="1" applyFill="1" applyBorder="1" applyAlignment="1">
      <alignment horizontal="center" vertical="center" wrapText="1"/>
    </xf>
    <xf numFmtId="0" fontId="3" fillId="3" borderId="12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45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7" fillId="3" borderId="90" xfId="0" applyFont="1" applyFill="1" applyBorder="1" applyAlignment="1">
      <alignment horizontal="center" vertical="center"/>
    </xf>
    <xf numFmtId="0" fontId="3" fillId="4" borderId="63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/>
    </xf>
    <xf numFmtId="0" fontId="13" fillId="3" borderId="60" xfId="0" applyFont="1" applyFill="1" applyBorder="1" applyAlignment="1">
      <alignment horizontal="center" vertical="center"/>
    </xf>
    <xf numFmtId="0" fontId="13" fillId="3" borderId="61" xfId="0" applyFont="1" applyFill="1" applyBorder="1" applyAlignment="1">
      <alignment horizontal="center" vertical="center"/>
    </xf>
    <xf numFmtId="0" fontId="13" fillId="3" borderId="62" xfId="0" applyFont="1" applyFill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4" fillId="3" borderId="89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90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6" fillId="3" borderId="83" xfId="0" applyFont="1" applyFill="1" applyBorder="1" applyAlignment="1">
      <alignment horizontal="center" vertical="center" wrapText="1"/>
    </xf>
    <xf numFmtId="0" fontId="16" fillId="3" borderId="58" xfId="0" applyFont="1" applyFill="1" applyBorder="1" applyAlignment="1">
      <alignment horizontal="center" vertical="center" wrapText="1"/>
    </xf>
    <xf numFmtId="0" fontId="16" fillId="3" borderId="64" xfId="0" applyFont="1" applyFill="1" applyBorder="1" applyAlignment="1">
      <alignment horizontal="center" vertical="center" wrapText="1"/>
    </xf>
    <xf numFmtId="0" fontId="16" fillId="3" borderId="76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65" xfId="0" applyFont="1" applyFill="1" applyBorder="1" applyAlignment="1">
      <alignment horizontal="center" vertical="center" wrapText="1"/>
    </xf>
    <xf numFmtId="0" fontId="16" fillId="3" borderId="44" xfId="0" applyFont="1" applyFill="1" applyBorder="1" applyAlignment="1">
      <alignment horizontal="center" vertical="center" wrapText="1"/>
    </xf>
    <xf numFmtId="0" fontId="16" fillId="3" borderId="41" xfId="0" applyFont="1" applyFill="1" applyBorder="1" applyAlignment="1">
      <alignment horizontal="center" vertical="center" wrapText="1"/>
    </xf>
    <xf numFmtId="0" fontId="16" fillId="3" borderId="43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 wrapText="1"/>
    </xf>
    <xf numFmtId="0" fontId="11" fillId="3" borderId="62" xfId="0" applyFont="1" applyFill="1" applyBorder="1" applyAlignment="1">
      <alignment horizontal="center" vertical="center" wrapText="1"/>
    </xf>
    <xf numFmtId="0" fontId="11" fillId="3" borderId="63" xfId="0" applyFont="1" applyFill="1" applyBorder="1" applyAlignment="1">
      <alignment horizontal="center" vertical="center" wrapText="1"/>
    </xf>
    <xf numFmtId="0" fontId="4" fillId="3" borderId="107" xfId="0" applyFont="1" applyFill="1" applyBorder="1" applyAlignment="1">
      <alignment horizontal="center" vertical="center" wrapText="1"/>
    </xf>
    <xf numFmtId="0" fontId="4" fillId="3" borderId="160" xfId="0" applyFont="1" applyFill="1" applyBorder="1" applyAlignment="1">
      <alignment horizontal="center" vertical="center" wrapText="1"/>
    </xf>
    <xf numFmtId="0" fontId="4" fillId="3" borderId="161" xfId="0" applyFont="1" applyFill="1" applyBorder="1" applyAlignment="1">
      <alignment horizontal="center" vertical="center" wrapText="1"/>
    </xf>
    <xf numFmtId="0" fontId="14" fillId="3" borderId="82" xfId="0" applyFont="1" applyFill="1" applyBorder="1" applyAlignment="1">
      <alignment horizontal="center" vertical="center" wrapText="1"/>
    </xf>
    <xf numFmtId="0" fontId="14" fillId="3" borderId="86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14" fillId="3" borderId="68" xfId="0" applyFont="1" applyFill="1" applyBorder="1" applyAlignment="1">
      <alignment horizontal="center" vertical="center" wrapText="1"/>
    </xf>
    <xf numFmtId="0" fontId="14" fillId="3" borderId="82" xfId="0" applyFont="1" applyFill="1" applyBorder="1" applyAlignment="1">
      <alignment horizontal="center" vertical="center"/>
    </xf>
    <xf numFmtId="0" fontId="14" fillId="3" borderId="86" xfId="0" applyFont="1" applyFill="1" applyBorder="1" applyAlignment="1">
      <alignment horizontal="center" vertical="center"/>
    </xf>
    <xf numFmtId="0" fontId="14" fillId="3" borderId="68" xfId="0" applyFont="1" applyFill="1" applyBorder="1" applyAlignment="1">
      <alignment horizontal="center" vertical="center"/>
    </xf>
    <xf numFmtId="0" fontId="21" fillId="4" borderId="86" xfId="0" applyFont="1" applyFill="1" applyBorder="1" applyAlignment="1">
      <alignment horizontal="center" vertical="center"/>
    </xf>
    <xf numFmtId="0" fontId="21" fillId="4" borderId="68" xfId="0" applyFont="1" applyFill="1" applyBorder="1" applyAlignment="1">
      <alignment horizontal="center" vertical="center"/>
    </xf>
    <xf numFmtId="0" fontId="21" fillId="4" borderId="82" xfId="0" applyFont="1" applyFill="1" applyBorder="1" applyAlignment="1">
      <alignment horizontal="center" vertical="center"/>
    </xf>
    <xf numFmtId="0" fontId="21" fillId="3" borderId="82" xfId="0" applyFont="1" applyFill="1" applyBorder="1" applyAlignment="1">
      <alignment horizontal="center" vertical="center"/>
    </xf>
    <xf numFmtId="0" fontId="21" fillId="3" borderId="86" xfId="0" applyFont="1" applyFill="1" applyBorder="1" applyAlignment="1">
      <alignment horizontal="center" vertical="center"/>
    </xf>
    <xf numFmtId="0" fontId="21" fillId="3" borderId="68" xfId="0" applyFont="1" applyFill="1" applyBorder="1" applyAlignment="1">
      <alignment horizontal="center" vertical="center"/>
    </xf>
    <xf numFmtId="0" fontId="14" fillId="3" borderId="60" xfId="0" applyFont="1" applyFill="1" applyBorder="1" applyAlignment="1">
      <alignment horizontal="center" vertical="center" wrapText="1"/>
    </xf>
    <xf numFmtId="0" fontId="14" fillId="3" borderId="63" xfId="0" applyFont="1" applyFill="1" applyBorder="1" applyAlignment="1">
      <alignment horizontal="center" vertical="center" wrapText="1"/>
    </xf>
    <xf numFmtId="0" fontId="2" fillId="3" borderId="83" xfId="0" applyFont="1" applyFill="1" applyBorder="1" applyAlignment="1">
      <alignment horizontal="center" vertical="center" wrapText="1"/>
    </xf>
    <xf numFmtId="0" fontId="0" fillId="3" borderId="58" xfId="0" applyFill="1" applyBorder="1" applyAlignment="1">
      <alignment vertical="center" wrapText="1"/>
    </xf>
    <xf numFmtId="0" fontId="0" fillId="3" borderId="64" xfId="0" applyFill="1" applyBorder="1" applyAlignment="1">
      <alignment vertical="center" wrapText="1"/>
    </xf>
    <xf numFmtId="0" fontId="0" fillId="3" borderId="76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0" fillId="3" borderId="44" xfId="0" applyFill="1" applyBorder="1" applyAlignment="1"/>
    <xf numFmtId="0" fontId="0" fillId="3" borderId="41" xfId="0" applyFill="1" applyBorder="1" applyAlignment="1"/>
    <xf numFmtId="0" fontId="0" fillId="3" borderId="42" xfId="0" applyFill="1" applyBorder="1" applyAlignment="1"/>
    <xf numFmtId="0" fontId="4" fillId="3" borderId="132" xfId="0" applyFont="1" applyFill="1" applyBorder="1" applyAlignment="1">
      <alignment horizontal="center" vertical="center" wrapText="1"/>
    </xf>
    <xf numFmtId="0" fontId="3" fillId="3" borderId="133" xfId="0" applyFont="1" applyFill="1" applyBorder="1" applyAlignment="1">
      <alignment horizontal="center" vertical="center" wrapText="1"/>
    </xf>
    <xf numFmtId="0" fontId="3" fillId="3" borderId="85" xfId="0" applyFont="1" applyFill="1" applyBorder="1" applyAlignment="1">
      <alignment horizontal="center" vertical="center" wrapText="1"/>
    </xf>
    <xf numFmtId="0" fontId="14" fillId="3" borderId="60" xfId="0" applyFont="1" applyFill="1" applyBorder="1" applyAlignment="1">
      <alignment horizontal="center" vertical="center"/>
    </xf>
    <xf numFmtId="0" fontId="14" fillId="3" borderId="61" xfId="0" applyFont="1" applyFill="1" applyBorder="1" applyAlignment="1">
      <alignment horizontal="center" vertical="center"/>
    </xf>
    <xf numFmtId="0" fontId="14" fillId="3" borderId="62" xfId="0" applyFont="1" applyFill="1" applyBorder="1" applyAlignment="1">
      <alignment horizontal="center" vertical="center"/>
    </xf>
    <xf numFmtId="0" fontId="14" fillId="3" borderId="63" xfId="0" applyFont="1" applyFill="1" applyBorder="1" applyAlignment="1">
      <alignment horizontal="center" vertical="center"/>
    </xf>
    <xf numFmtId="0" fontId="4" fillId="3" borderId="99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0" fillId="0" borderId="47" xfId="0" applyBorder="1" applyAlignment="1"/>
    <xf numFmtId="0" fontId="14" fillId="3" borderId="59" xfId="0" applyFont="1" applyFill="1" applyBorder="1" applyAlignment="1">
      <alignment horizontal="center" vertical="center" wrapText="1"/>
    </xf>
    <xf numFmtId="0" fontId="6" fillId="3" borderId="74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75" xfId="0" applyFont="1" applyFill="1" applyBorder="1" applyAlignment="1">
      <alignment horizontal="center" vertical="center" wrapText="1"/>
    </xf>
    <xf numFmtId="0" fontId="6" fillId="3" borderId="87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17" fillId="3" borderId="92" xfId="0" applyFont="1" applyFill="1" applyBorder="1" applyAlignment="1">
      <alignment horizontal="center" vertical="center" wrapText="1"/>
    </xf>
    <xf numFmtId="0" fontId="15" fillId="3" borderId="92" xfId="0" applyFont="1" applyFill="1" applyBorder="1" applyAlignment="1">
      <alignment horizontal="center" vertical="center" wrapText="1"/>
    </xf>
    <xf numFmtId="0" fontId="6" fillId="3" borderId="96" xfId="0" applyFont="1" applyFill="1" applyBorder="1" applyAlignment="1">
      <alignment horizontal="center" vertical="center" wrapText="1"/>
    </xf>
    <xf numFmtId="0" fontId="15" fillId="3" borderId="85" xfId="0" applyFont="1" applyFill="1" applyBorder="1" applyAlignment="1">
      <alignment horizontal="center" vertical="center" wrapText="1"/>
    </xf>
    <xf numFmtId="0" fontId="6" fillId="3" borderId="9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5" fillId="3" borderId="90" xfId="0" applyFont="1" applyFill="1" applyBorder="1" applyAlignment="1">
      <alignment horizontal="center" vertical="center" wrapText="1"/>
    </xf>
    <xf numFmtId="0" fontId="30" fillId="3" borderId="59" xfId="0" applyFont="1" applyFill="1" applyBorder="1" applyAlignment="1">
      <alignment horizontal="center" vertical="center" wrapText="1"/>
    </xf>
    <xf numFmtId="0" fontId="30" fillId="3" borderId="86" xfId="0" applyFont="1" applyFill="1" applyBorder="1" applyAlignment="1">
      <alignment horizontal="center" vertical="center" wrapText="1"/>
    </xf>
    <xf numFmtId="0" fontId="32" fillId="3" borderId="63" xfId="0" applyFont="1" applyFill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center" vertical="center" wrapText="1"/>
    </xf>
    <xf numFmtId="0" fontId="31" fillId="3" borderId="63" xfId="0" applyFont="1" applyFill="1" applyBorder="1" applyAlignment="1">
      <alignment wrapText="1"/>
    </xf>
    <xf numFmtId="0" fontId="31" fillId="3" borderId="63" xfId="0" applyFont="1" applyFill="1" applyBorder="1" applyAlignment="1">
      <alignment horizontal="center" vertical="center" wrapText="1"/>
    </xf>
    <xf numFmtId="0" fontId="6" fillId="3" borderId="99" xfId="0" applyFont="1" applyFill="1" applyBorder="1" applyAlignment="1">
      <alignment horizontal="center" vertical="center" wrapText="1"/>
    </xf>
    <xf numFmtId="0" fontId="1" fillId="3" borderId="58" xfId="0" applyFont="1" applyFill="1" applyBorder="1" applyAlignment="1">
      <alignment vertical="center" wrapText="1"/>
    </xf>
    <xf numFmtId="0" fontId="1" fillId="3" borderId="64" xfId="0" applyFont="1" applyFill="1" applyBorder="1" applyAlignment="1">
      <alignment vertical="center" wrapText="1"/>
    </xf>
    <xf numFmtId="0" fontId="1" fillId="3" borderId="44" xfId="0" applyFont="1" applyFill="1" applyBorder="1" applyAlignment="1">
      <alignment vertical="center" wrapText="1"/>
    </xf>
    <xf numFmtId="0" fontId="1" fillId="3" borderId="41" xfId="0" applyFont="1" applyFill="1" applyBorder="1" applyAlignment="1">
      <alignment vertical="center" wrapText="1"/>
    </xf>
    <xf numFmtId="0" fontId="1" fillId="3" borderId="43" xfId="0" applyFont="1" applyFill="1" applyBorder="1" applyAlignment="1">
      <alignment vertical="center" wrapText="1"/>
    </xf>
    <xf numFmtId="0" fontId="32" fillId="3" borderId="62" xfId="0" applyFont="1" applyFill="1" applyBorder="1" applyAlignment="1">
      <alignment horizontal="center" vertical="center" wrapText="1"/>
    </xf>
    <xf numFmtId="0" fontId="30" fillId="3" borderId="82" xfId="0" applyFont="1" applyFill="1" applyBorder="1" applyAlignment="1">
      <alignment horizontal="center" vertical="center" wrapText="1"/>
    </xf>
    <xf numFmtId="0" fontId="30" fillId="3" borderId="68" xfId="0" applyFont="1" applyFill="1" applyBorder="1" applyAlignment="1">
      <alignment horizontal="center" vertical="center" wrapText="1"/>
    </xf>
    <xf numFmtId="0" fontId="15" fillId="3" borderId="95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27" fillId="0" borderId="100" xfId="0" applyFont="1" applyBorder="1" applyAlignment="1">
      <alignment horizontal="center" vertical="center" wrapText="1"/>
    </xf>
    <xf numFmtId="0" fontId="27" fillId="0" borderId="94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7" fillId="0" borderId="104" xfId="0" applyFont="1" applyBorder="1" applyAlignment="1">
      <alignment horizontal="center" vertical="center" wrapText="1"/>
    </xf>
    <xf numFmtId="0" fontId="16" fillId="3" borderId="83" xfId="0" applyFont="1" applyFill="1" applyBorder="1" applyAlignment="1">
      <alignment horizontal="center" vertical="center" wrapText="1" readingOrder="1"/>
    </xf>
    <xf numFmtId="0" fontId="15" fillId="3" borderId="58" xfId="0" applyFont="1" applyFill="1" applyBorder="1" applyAlignment="1">
      <alignment horizontal="center" vertical="center" wrapText="1" readingOrder="1"/>
    </xf>
    <xf numFmtId="0" fontId="15" fillId="3" borderId="64" xfId="0" applyFont="1" applyFill="1" applyBorder="1" applyAlignment="1">
      <alignment horizontal="center" vertical="center" wrapText="1" readingOrder="1"/>
    </xf>
    <xf numFmtId="0" fontId="15" fillId="3" borderId="44" xfId="0" applyFont="1" applyFill="1" applyBorder="1" applyAlignment="1">
      <alignment horizontal="center" vertical="center" wrapText="1" readingOrder="1"/>
    </xf>
    <xf numFmtId="0" fontId="15" fillId="3" borderId="41" xfId="0" applyFont="1" applyFill="1" applyBorder="1" applyAlignment="1">
      <alignment horizontal="center" vertical="center" wrapText="1" readingOrder="1"/>
    </xf>
    <xf numFmtId="0" fontId="15" fillId="3" borderId="43" xfId="0" applyFont="1" applyFill="1" applyBorder="1" applyAlignment="1">
      <alignment horizontal="center" vertical="center" wrapText="1" readingOrder="1"/>
    </xf>
    <xf numFmtId="10" fontId="17" fillId="4" borderId="9" xfId="0" applyNumberFormat="1" applyFont="1" applyFill="1" applyBorder="1" applyAlignment="1">
      <alignment horizontal="center" vertical="top"/>
    </xf>
    <xf numFmtId="10" fontId="17" fillId="4" borderId="3" xfId="0" applyNumberFormat="1" applyFont="1" applyFill="1" applyBorder="1" applyAlignment="1">
      <alignment horizontal="center" vertical="top"/>
    </xf>
    <xf numFmtId="10" fontId="17" fillId="4" borderId="137" xfId="0" applyNumberFormat="1" applyFont="1" applyFill="1" applyBorder="1" applyAlignment="1">
      <alignment horizontal="center" vertical="top"/>
    </xf>
    <xf numFmtId="10" fontId="20" fillId="4" borderId="164" xfId="0" applyNumberFormat="1" applyFont="1" applyFill="1" applyBorder="1" applyAlignment="1">
      <alignment horizontal="center" vertical="top"/>
    </xf>
    <xf numFmtId="10" fontId="20" fillId="4" borderId="3" xfId="0" applyNumberFormat="1" applyFont="1" applyFill="1" applyBorder="1" applyAlignment="1">
      <alignment horizontal="center" vertical="top"/>
    </xf>
    <xf numFmtId="10" fontId="20" fillId="4" borderId="73" xfId="0" applyNumberFormat="1" applyFont="1" applyFill="1" applyBorder="1" applyAlignment="1">
      <alignment horizontal="center" vertical="top"/>
    </xf>
    <xf numFmtId="10" fontId="17" fillId="3" borderId="3" xfId="0" applyNumberFormat="1" applyFont="1" applyFill="1" applyBorder="1" applyAlignment="1">
      <alignment horizontal="center" vertical="top"/>
    </xf>
    <xf numFmtId="10" fontId="17" fillId="3" borderId="73" xfId="0" applyNumberFormat="1" applyFont="1" applyFill="1" applyBorder="1" applyAlignment="1">
      <alignment horizontal="center" vertical="top"/>
    </xf>
    <xf numFmtId="0" fontId="7" fillId="3" borderId="5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0" fontId="17" fillId="4" borderId="91" xfId="0" applyNumberFormat="1" applyFont="1" applyFill="1" applyBorder="1" applyAlignment="1">
      <alignment horizontal="center" vertical="top"/>
    </xf>
    <xf numFmtId="10" fontId="20" fillId="4" borderId="54" xfId="0" applyNumberFormat="1" applyFont="1" applyFill="1" applyBorder="1" applyAlignment="1">
      <alignment horizontal="center" vertical="top"/>
    </xf>
    <xf numFmtId="10" fontId="17" fillId="3" borderId="46" xfId="0" applyNumberFormat="1" applyFont="1" applyFill="1" applyBorder="1" applyAlignment="1">
      <alignment horizontal="center" vertical="top"/>
    </xf>
    <xf numFmtId="10" fontId="17" fillId="3" borderId="57" xfId="0" applyNumberFormat="1" applyFont="1" applyFill="1" applyBorder="1" applyAlignment="1">
      <alignment horizontal="center" vertical="top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4"/>
  <sheetViews>
    <sheetView tabSelected="1" workbookViewId="0">
      <pane xSplit="6340" ySplit="2740" topLeftCell="F4"/>
      <selection sqref="A1:E2"/>
      <selection pane="topRight" activeCell="O1" sqref="O1"/>
      <selection pane="bottomLeft" activeCell="C636" sqref="C636:D648"/>
      <selection pane="bottomRight" activeCell="F648" sqref="F648"/>
    </sheetView>
  </sheetViews>
  <sheetFormatPr defaultRowHeight="12.5" x14ac:dyDescent="0.25"/>
  <cols>
    <col min="1" max="1" width="6.54296875" style="369" customWidth="1"/>
    <col min="2" max="2" width="20.26953125" style="369" customWidth="1"/>
    <col min="3" max="3" width="9.7265625" style="325" customWidth="1"/>
    <col min="4" max="5" width="8.7265625" style="325"/>
    <col min="6" max="8" width="14.54296875" style="369" customWidth="1"/>
    <col min="9" max="10" width="11.54296875" style="369" customWidth="1"/>
    <col min="11" max="13" width="14.54296875" style="369" customWidth="1"/>
    <col min="14" max="16384" width="8.7265625" style="369"/>
  </cols>
  <sheetData>
    <row r="1" spans="1:14" ht="26.25" customHeight="1" thickTop="1" thickBot="1" x14ac:dyDescent="0.3">
      <c r="A1" s="711" t="s">
        <v>846</v>
      </c>
      <c r="B1" s="712"/>
      <c r="C1" s="712"/>
      <c r="D1" s="712"/>
      <c r="E1" s="713"/>
      <c r="F1" s="717" t="s">
        <v>802</v>
      </c>
      <c r="G1" s="718"/>
      <c r="H1" s="718"/>
      <c r="I1" s="718"/>
      <c r="J1" s="718"/>
      <c r="K1" s="718"/>
      <c r="L1" s="718"/>
      <c r="M1" s="718"/>
      <c r="N1" s="537"/>
    </row>
    <row r="2" spans="1:14" ht="66" thickTop="1" thickBot="1" x14ac:dyDescent="0.3">
      <c r="A2" s="714"/>
      <c r="B2" s="715"/>
      <c r="C2" s="715"/>
      <c r="D2" s="715"/>
      <c r="E2" s="716"/>
      <c r="F2" s="515" t="s">
        <v>854</v>
      </c>
      <c r="G2" s="508" t="s">
        <v>855</v>
      </c>
      <c r="H2" s="515" t="s">
        <v>856</v>
      </c>
      <c r="I2" s="719" t="s">
        <v>857</v>
      </c>
      <c r="J2" s="720"/>
      <c r="K2" s="506" t="s">
        <v>858</v>
      </c>
      <c r="L2" s="515" t="s">
        <v>859</v>
      </c>
      <c r="M2" s="507" t="s">
        <v>860</v>
      </c>
    </row>
    <row r="3" spans="1:14" ht="32.5" thickTop="1" thickBot="1" x14ac:dyDescent="0.3">
      <c r="A3" s="88" t="s">
        <v>106</v>
      </c>
      <c r="B3" s="89" t="s">
        <v>107</v>
      </c>
      <c r="C3" s="90" t="s">
        <v>108</v>
      </c>
      <c r="D3" s="91" t="s">
        <v>109</v>
      </c>
      <c r="E3" s="92" t="s">
        <v>110</v>
      </c>
      <c r="F3" s="524" t="s">
        <v>851</v>
      </c>
      <c r="G3" s="112" t="s">
        <v>852</v>
      </c>
      <c r="H3" s="524" t="s">
        <v>1088</v>
      </c>
      <c r="I3" s="116" t="s">
        <v>1089</v>
      </c>
      <c r="J3" s="115" t="s">
        <v>853</v>
      </c>
      <c r="K3" s="112" t="s">
        <v>1090</v>
      </c>
      <c r="L3" s="524" t="s">
        <v>1091</v>
      </c>
      <c r="M3" s="117" t="s">
        <v>1092</v>
      </c>
    </row>
    <row r="4" spans="1:14" ht="13.5" thickTop="1" x14ac:dyDescent="0.25">
      <c r="A4" s="658">
        <v>101</v>
      </c>
      <c r="B4" s="371" t="s">
        <v>145</v>
      </c>
      <c r="C4" s="359">
        <v>330</v>
      </c>
      <c r="D4" s="56">
        <v>169</v>
      </c>
      <c r="E4" s="366">
        <f>SUM(D4/C4)</f>
        <v>0.51212121212121209</v>
      </c>
      <c r="F4" s="525"/>
      <c r="G4" s="517"/>
      <c r="H4" s="525"/>
      <c r="I4" s="75">
        <v>72</v>
      </c>
      <c r="J4" s="76">
        <v>59</v>
      </c>
      <c r="K4" s="517"/>
      <c r="L4" s="525"/>
      <c r="M4" s="76"/>
    </row>
    <row r="5" spans="1:14" ht="13" x14ac:dyDescent="0.25">
      <c r="A5" s="657">
        <v>102</v>
      </c>
      <c r="B5" s="373" t="s">
        <v>146</v>
      </c>
      <c r="C5" s="360">
        <v>1320</v>
      </c>
      <c r="D5" s="54">
        <v>826</v>
      </c>
      <c r="E5" s="366">
        <f t="shared" ref="E5:E68" si="0">SUM(D5/C5)</f>
        <v>0.62575757575757573</v>
      </c>
      <c r="F5" s="526"/>
      <c r="G5" s="518"/>
      <c r="H5" s="526"/>
      <c r="I5" s="59">
        <v>246</v>
      </c>
      <c r="J5" s="77">
        <v>474</v>
      </c>
      <c r="K5" s="518"/>
      <c r="L5" s="526"/>
      <c r="M5" s="77"/>
    </row>
    <row r="6" spans="1:14" ht="13" x14ac:dyDescent="0.25">
      <c r="A6" s="657">
        <v>103</v>
      </c>
      <c r="B6" s="373" t="s">
        <v>147</v>
      </c>
      <c r="C6" s="360">
        <v>1201</v>
      </c>
      <c r="D6" s="54">
        <v>586</v>
      </c>
      <c r="E6" s="366">
        <f t="shared" si="0"/>
        <v>0.48792672772689427</v>
      </c>
      <c r="F6" s="526"/>
      <c r="G6" s="518"/>
      <c r="H6" s="526"/>
      <c r="I6" s="59">
        <v>156</v>
      </c>
      <c r="J6" s="77">
        <v>344</v>
      </c>
      <c r="K6" s="518"/>
      <c r="L6" s="526"/>
      <c r="M6" s="77"/>
    </row>
    <row r="7" spans="1:14" ht="13" x14ac:dyDescent="0.25">
      <c r="A7" s="657">
        <v>104</v>
      </c>
      <c r="B7" s="373" t="s">
        <v>148</v>
      </c>
      <c r="C7" s="360">
        <v>822</v>
      </c>
      <c r="D7" s="54">
        <v>423</v>
      </c>
      <c r="E7" s="366">
        <f t="shared" si="0"/>
        <v>0.51459854014598538</v>
      </c>
      <c r="F7" s="526"/>
      <c r="G7" s="518"/>
      <c r="H7" s="526"/>
      <c r="I7" s="59">
        <v>120</v>
      </c>
      <c r="J7" s="77">
        <v>242</v>
      </c>
      <c r="K7" s="518"/>
      <c r="L7" s="526"/>
      <c r="M7" s="77"/>
    </row>
    <row r="8" spans="1:14" ht="13" x14ac:dyDescent="0.25">
      <c r="A8" s="657">
        <v>105</v>
      </c>
      <c r="B8" s="373" t="s">
        <v>149</v>
      </c>
      <c r="C8" s="360">
        <v>1311</v>
      </c>
      <c r="D8" s="54">
        <v>610</v>
      </c>
      <c r="E8" s="366">
        <f t="shared" si="0"/>
        <v>0.46529366895499619</v>
      </c>
      <c r="F8" s="526"/>
      <c r="G8" s="518"/>
      <c r="H8" s="526"/>
      <c r="I8" s="59">
        <v>184</v>
      </c>
      <c r="J8" s="77">
        <v>340</v>
      </c>
      <c r="K8" s="518"/>
      <c r="L8" s="526"/>
      <c r="M8" s="77"/>
    </row>
    <row r="9" spans="1:14" ht="13" x14ac:dyDescent="0.25">
      <c r="A9" s="657">
        <v>106</v>
      </c>
      <c r="B9" s="373" t="s">
        <v>150</v>
      </c>
      <c r="C9" s="360">
        <v>1204</v>
      </c>
      <c r="D9" s="54">
        <v>749</v>
      </c>
      <c r="E9" s="366">
        <f t="shared" si="0"/>
        <v>0.62209302325581395</v>
      </c>
      <c r="F9" s="526"/>
      <c r="G9" s="518"/>
      <c r="H9" s="526"/>
      <c r="I9" s="59">
        <v>228</v>
      </c>
      <c r="J9" s="77">
        <v>387</v>
      </c>
      <c r="K9" s="518"/>
      <c r="L9" s="526"/>
      <c r="M9" s="77"/>
    </row>
    <row r="10" spans="1:14" ht="13" x14ac:dyDescent="0.25">
      <c r="A10" s="657">
        <v>107</v>
      </c>
      <c r="B10" s="373" t="s">
        <v>151</v>
      </c>
      <c r="C10" s="360">
        <v>979</v>
      </c>
      <c r="D10" s="54">
        <v>540</v>
      </c>
      <c r="E10" s="366">
        <f t="shared" si="0"/>
        <v>0.55158324821246174</v>
      </c>
      <c r="F10" s="526"/>
      <c r="G10" s="518"/>
      <c r="H10" s="526"/>
      <c r="I10" s="59">
        <v>185</v>
      </c>
      <c r="J10" s="77">
        <v>272</v>
      </c>
      <c r="K10" s="518"/>
      <c r="L10" s="526"/>
      <c r="M10" s="77"/>
    </row>
    <row r="11" spans="1:14" ht="13" x14ac:dyDescent="0.25">
      <c r="A11" s="657">
        <v>108</v>
      </c>
      <c r="B11" s="373" t="s">
        <v>152</v>
      </c>
      <c r="C11" s="360">
        <v>706</v>
      </c>
      <c r="D11" s="54">
        <v>398</v>
      </c>
      <c r="E11" s="366">
        <f t="shared" si="0"/>
        <v>0.5637393767705382</v>
      </c>
      <c r="F11" s="526"/>
      <c r="G11" s="518"/>
      <c r="H11" s="526"/>
      <c r="I11" s="59">
        <v>143</v>
      </c>
      <c r="J11" s="77">
        <v>205</v>
      </c>
      <c r="K11" s="518"/>
      <c r="L11" s="526"/>
      <c r="M11" s="77"/>
    </row>
    <row r="12" spans="1:14" ht="13" x14ac:dyDescent="0.25">
      <c r="A12" s="657">
        <v>109</v>
      </c>
      <c r="B12" s="373" t="s">
        <v>153</v>
      </c>
      <c r="C12" s="360">
        <v>1162</v>
      </c>
      <c r="D12" s="54">
        <v>674</v>
      </c>
      <c r="E12" s="366">
        <f t="shared" si="0"/>
        <v>0.58003442340791733</v>
      </c>
      <c r="F12" s="526"/>
      <c r="G12" s="518"/>
      <c r="H12" s="526"/>
      <c r="I12" s="59">
        <v>258</v>
      </c>
      <c r="J12" s="77">
        <v>319</v>
      </c>
      <c r="K12" s="518"/>
      <c r="L12" s="526"/>
      <c r="M12" s="77"/>
    </row>
    <row r="13" spans="1:14" ht="13" x14ac:dyDescent="0.25">
      <c r="A13" s="657">
        <v>110</v>
      </c>
      <c r="B13" s="373" t="s">
        <v>154</v>
      </c>
      <c r="C13" s="360">
        <v>1224</v>
      </c>
      <c r="D13" s="54">
        <v>656</v>
      </c>
      <c r="E13" s="366">
        <f t="shared" si="0"/>
        <v>0.53594771241830064</v>
      </c>
      <c r="F13" s="526"/>
      <c r="G13" s="518"/>
      <c r="H13" s="526"/>
      <c r="I13" s="59">
        <v>208</v>
      </c>
      <c r="J13" s="77">
        <v>335</v>
      </c>
      <c r="K13" s="518"/>
      <c r="L13" s="526"/>
      <c r="M13" s="77"/>
    </row>
    <row r="14" spans="1:14" ht="13" x14ac:dyDescent="0.25">
      <c r="A14" s="657">
        <v>111</v>
      </c>
      <c r="B14" s="373" t="s">
        <v>155</v>
      </c>
      <c r="C14" s="360">
        <v>1212</v>
      </c>
      <c r="D14" s="54">
        <v>545</v>
      </c>
      <c r="E14" s="366">
        <f t="shared" si="0"/>
        <v>0.44966996699669964</v>
      </c>
      <c r="F14" s="526"/>
      <c r="G14" s="518"/>
      <c r="H14" s="526"/>
      <c r="I14" s="59">
        <v>145</v>
      </c>
      <c r="J14" s="77">
        <v>321</v>
      </c>
      <c r="K14" s="518"/>
      <c r="L14" s="526"/>
      <c r="M14" s="77"/>
    </row>
    <row r="15" spans="1:14" ht="13" x14ac:dyDescent="0.25">
      <c r="A15" s="657">
        <v>112</v>
      </c>
      <c r="B15" s="373" t="s">
        <v>156</v>
      </c>
      <c r="C15" s="360">
        <v>685</v>
      </c>
      <c r="D15" s="54">
        <v>421</v>
      </c>
      <c r="E15" s="366">
        <f t="shared" si="0"/>
        <v>0.61459854014598536</v>
      </c>
      <c r="F15" s="526"/>
      <c r="G15" s="518"/>
      <c r="H15" s="526"/>
      <c r="I15" s="59">
        <v>167</v>
      </c>
      <c r="J15" s="77">
        <v>206</v>
      </c>
      <c r="K15" s="518"/>
      <c r="L15" s="526"/>
      <c r="M15" s="77"/>
    </row>
    <row r="16" spans="1:14" ht="13" x14ac:dyDescent="0.25">
      <c r="A16" s="657">
        <v>113</v>
      </c>
      <c r="B16" s="373" t="s">
        <v>157</v>
      </c>
      <c r="C16" s="360">
        <v>998</v>
      </c>
      <c r="D16" s="54">
        <v>585</v>
      </c>
      <c r="E16" s="366">
        <f t="shared" si="0"/>
        <v>0.58617234468937873</v>
      </c>
      <c r="F16" s="526"/>
      <c r="G16" s="518"/>
      <c r="H16" s="526"/>
      <c r="I16" s="59">
        <v>195</v>
      </c>
      <c r="J16" s="77">
        <v>294</v>
      </c>
      <c r="K16" s="518"/>
      <c r="L16" s="526"/>
      <c r="M16" s="77"/>
    </row>
    <row r="17" spans="1:13" ht="13" x14ac:dyDescent="0.25">
      <c r="A17" s="657">
        <v>201</v>
      </c>
      <c r="B17" s="373" t="s">
        <v>158</v>
      </c>
      <c r="C17" s="360">
        <v>1437</v>
      </c>
      <c r="D17" s="54">
        <v>606</v>
      </c>
      <c r="E17" s="366">
        <f t="shared" si="0"/>
        <v>0.42171189979123175</v>
      </c>
      <c r="F17" s="526"/>
      <c r="G17" s="518">
        <v>401</v>
      </c>
      <c r="H17" s="526"/>
      <c r="I17" s="59"/>
      <c r="J17" s="77"/>
      <c r="K17" s="518"/>
      <c r="L17" s="526"/>
      <c r="M17" s="77"/>
    </row>
    <row r="18" spans="1:13" ht="13" x14ac:dyDescent="0.25">
      <c r="A18" s="657">
        <v>202</v>
      </c>
      <c r="B18" s="373" t="s">
        <v>159</v>
      </c>
      <c r="C18" s="360">
        <v>1689</v>
      </c>
      <c r="D18" s="54">
        <v>720</v>
      </c>
      <c r="E18" s="366">
        <f t="shared" si="0"/>
        <v>0.42628774422735344</v>
      </c>
      <c r="F18" s="526"/>
      <c r="G18" s="518">
        <v>480</v>
      </c>
      <c r="H18" s="526"/>
      <c r="I18" s="59"/>
      <c r="J18" s="77"/>
      <c r="K18" s="518"/>
      <c r="L18" s="526"/>
      <c r="M18" s="77"/>
    </row>
    <row r="19" spans="1:13" ht="13" x14ac:dyDescent="0.25">
      <c r="A19" s="657">
        <v>203</v>
      </c>
      <c r="B19" s="373" t="s">
        <v>160</v>
      </c>
      <c r="C19" s="360">
        <v>1255</v>
      </c>
      <c r="D19" s="54">
        <v>450</v>
      </c>
      <c r="E19" s="366">
        <f t="shared" si="0"/>
        <v>0.35856573705179284</v>
      </c>
      <c r="F19" s="526"/>
      <c r="G19" s="518"/>
      <c r="H19" s="526"/>
      <c r="I19" s="59">
        <v>78</v>
      </c>
      <c r="J19" s="77">
        <v>277</v>
      </c>
      <c r="K19" s="518"/>
      <c r="L19" s="526"/>
      <c r="M19" s="77"/>
    </row>
    <row r="20" spans="1:13" ht="13" x14ac:dyDescent="0.25">
      <c r="A20" s="657">
        <v>204</v>
      </c>
      <c r="B20" s="373" t="s">
        <v>161</v>
      </c>
      <c r="C20" s="360">
        <v>1355</v>
      </c>
      <c r="D20" s="54">
        <v>692</v>
      </c>
      <c r="E20" s="366">
        <f t="shared" si="0"/>
        <v>0.51070110701107008</v>
      </c>
      <c r="F20" s="526"/>
      <c r="G20" s="518">
        <v>429</v>
      </c>
      <c r="H20" s="526"/>
      <c r="I20" s="59"/>
      <c r="J20" s="77"/>
      <c r="K20" s="518"/>
      <c r="L20" s="526"/>
      <c r="M20" s="77"/>
    </row>
    <row r="21" spans="1:13" ht="13" x14ac:dyDescent="0.25">
      <c r="A21" s="657">
        <v>205</v>
      </c>
      <c r="B21" s="373" t="s">
        <v>162</v>
      </c>
      <c r="C21" s="360">
        <v>1293</v>
      </c>
      <c r="D21" s="54">
        <v>725</v>
      </c>
      <c r="E21" s="366">
        <f t="shared" si="0"/>
        <v>0.56071152358855381</v>
      </c>
      <c r="F21" s="526"/>
      <c r="G21" s="518"/>
      <c r="H21" s="526"/>
      <c r="I21" s="59">
        <v>244</v>
      </c>
      <c r="J21" s="77">
        <v>372</v>
      </c>
      <c r="K21" s="518"/>
      <c r="L21" s="526"/>
      <c r="M21" s="77"/>
    </row>
    <row r="22" spans="1:13" ht="13" x14ac:dyDescent="0.25">
      <c r="A22" s="657">
        <v>206</v>
      </c>
      <c r="B22" s="373" t="s">
        <v>163</v>
      </c>
      <c r="C22" s="360">
        <v>1407</v>
      </c>
      <c r="D22" s="54">
        <v>673</v>
      </c>
      <c r="E22" s="366">
        <f t="shared" si="0"/>
        <v>0.47832267235252313</v>
      </c>
      <c r="F22" s="526"/>
      <c r="G22" s="518">
        <v>434</v>
      </c>
      <c r="H22" s="526"/>
      <c r="I22" s="59"/>
      <c r="J22" s="77"/>
      <c r="K22" s="518"/>
      <c r="L22" s="526"/>
      <c r="M22" s="77"/>
    </row>
    <row r="23" spans="1:13" ht="13" x14ac:dyDescent="0.25">
      <c r="A23" s="657">
        <v>207</v>
      </c>
      <c r="B23" s="373" t="s">
        <v>164</v>
      </c>
      <c r="C23" s="360">
        <v>1309</v>
      </c>
      <c r="D23" s="54">
        <v>709</v>
      </c>
      <c r="E23" s="366">
        <f t="shared" si="0"/>
        <v>0.54163483575248283</v>
      </c>
      <c r="F23" s="526"/>
      <c r="G23" s="518"/>
      <c r="H23" s="526"/>
      <c r="I23" s="59">
        <v>205</v>
      </c>
      <c r="J23" s="77">
        <v>370</v>
      </c>
      <c r="K23" s="518"/>
      <c r="L23" s="526"/>
      <c r="M23" s="77"/>
    </row>
    <row r="24" spans="1:13" ht="13" x14ac:dyDescent="0.25">
      <c r="A24" s="657">
        <v>208</v>
      </c>
      <c r="B24" s="373" t="s">
        <v>165</v>
      </c>
      <c r="C24" s="360">
        <v>958</v>
      </c>
      <c r="D24" s="54">
        <v>422</v>
      </c>
      <c r="E24" s="366">
        <f t="shared" si="0"/>
        <v>0.44050104384133609</v>
      </c>
      <c r="F24" s="526"/>
      <c r="G24" s="518">
        <v>285</v>
      </c>
      <c r="H24" s="526"/>
      <c r="I24" s="59"/>
      <c r="J24" s="77"/>
      <c r="K24" s="518"/>
      <c r="L24" s="526"/>
      <c r="M24" s="77"/>
    </row>
    <row r="25" spans="1:13" ht="13" x14ac:dyDescent="0.25">
      <c r="A25" s="657">
        <v>209</v>
      </c>
      <c r="B25" s="373" t="s">
        <v>166</v>
      </c>
      <c r="C25" s="360">
        <v>1172</v>
      </c>
      <c r="D25" s="54">
        <v>634</v>
      </c>
      <c r="E25" s="366">
        <f t="shared" si="0"/>
        <v>0.54095563139931746</v>
      </c>
      <c r="F25" s="526"/>
      <c r="G25" s="518">
        <v>409</v>
      </c>
      <c r="H25" s="526"/>
      <c r="I25" s="59"/>
      <c r="J25" s="77"/>
      <c r="K25" s="518"/>
      <c r="L25" s="526"/>
      <c r="M25" s="77"/>
    </row>
    <row r="26" spans="1:13" ht="13" x14ac:dyDescent="0.25">
      <c r="A26" s="657">
        <v>210</v>
      </c>
      <c r="B26" s="373" t="s">
        <v>167</v>
      </c>
      <c r="C26" s="360">
        <v>1392</v>
      </c>
      <c r="D26" s="54">
        <v>726</v>
      </c>
      <c r="E26" s="366">
        <f t="shared" si="0"/>
        <v>0.52155172413793105</v>
      </c>
      <c r="F26" s="526"/>
      <c r="G26" s="518"/>
      <c r="H26" s="526"/>
      <c r="I26" s="59">
        <v>168</v>
      </c>
      <c r="J26" s="77">
        <v>431</v>
      </c>
      <c r="K26" s="518"/>
      <c r="L26" s="526"/>
      <c r="M26" s="77"/>
    </row>
    <row r="27" spans="1:13" ht="13" x14ac:dyDescent="0.25">
      <c r="A27" s="657">
        <v>211</v>
      </c>
      <c r="B27" s="373" t="s">
        <v>168</v>
      </c>
      <c r="C27" s="360">
        <v>1479</v>
      </c>
      <c r="D27" s="54">
        <v>778</v>
      </c>
      <c r="E27" s="366">
        <f t="shared" si="0"/>
        <v>0.52603110209601078</v>
      </c>
      <c r="F27" s="526"/>
      <c r="G27" s="518"/>
      <c r="H27" s="526"/>
      <c r="I27" s="59">
        <v>172</v>
      </c>
      <c r="J27" s="77">
        <v>467</v>
      </c>
      <c r="K27" s="518"/>
      <c r="L27" s="526"/>
      <c r="M27" s="77"/>
    </row>
    <row r="28" spans="1:13" ht="13" x14ac:dyDescent="0.25">
      <c r="A28" s="657">
        <v>301</v>
      </c>
      <c r="B28" s="373" t="s">
        <v>169</v>
      </c>
      <c r="C28" s="360">
        <v>1403</v>
      </c>
      <c r="D28" s="54">
        <v>479</v>
      </c>
      <c r="E28" s="366">
        <f t="shared" si="0"/>
        <v>0.3414112615823236</v>
      </c>
      <c r="F28" s="527">
        <v>354</v>
      </c>
      <c r="G28" s="53"/>
      <c r="H28" s="527"/>
      <c r="I28" s="45"/>
      <c r="J28" s="77"/>
      <c r="K28" s="53"/>
      <c r="L28" s="527"/>
      <c r="M28" s="73"/>
    </row>
    <row r="29" spans="1:13" ht="13" x14ac:dyDescent="0.25">
      <c r="A29" s="657">
        <v>302</v>
      </c>
      <c r="B29" s="373" t="s">
        <v>170</v>
      </c>
      <c r="C29" s="360">
        <v>874</v>
      </c>
      <c r="D29" s="54">
        <v>465</v>
      </c>
      <c r="E29" s="366">
        <f t="shared" si="0"/>
        <v>0.53203661327231122</v>
      </c>
      <c r="F29" s="527">
        <v>271</v>
      </c>
      <c r="G29" s="53"/>
      <c r="H29" s="527"/>
      <c r="I29" s="45"/>
      <c r="J29" s="77"/>
      <c r="K29" s="53"/>
      <c r="L29" s="527"/>
      <c r="M29" s="73"/>
    </row>
    <row r="30" spans="1:13" ht="13" x14ac:dyDescent="0.25">
      <c r="A30" s="657">
        <v>303</v>
      </c>
      <c r="B30" s="373" t="s">
        <v>171</v>
      </c>
      <c r="C30" s="360">
        <v>1140</v>
      </c>
      <c r="D30" s="54">
        <v>607</v>
      </c>
      <c r="E30" s="366">
        <f t="shared" si="0"/>
        <v>0.53245614035087718</v>
      </c>
      <c r="F30" s="527">
        <v>385</v>
      </c>
      <c r="G30" s="53"/>
      <c r="H30" s="527"/>
      <c r="I30" s="45"/>
      <c r="J30" s="77"/>
      <c r="K30" s="53"/>
      <c r="L30" s="527"/>
      <c r="M30" s="73"/>
    </row>
    <row r="31" spans="1:13" ht="13" x14ac:dyDescent="0.25">
      <c r="A31" s="657">
        <v>304</v>
      </c>
      <c r="B31" s="373" t="s">
        <v>172</v>
      </c>
      <c r="C31" s="360">
        <v>1536</v>
      </c>
      <c r="D31" s="54">
        <v>520</v>
      </c>
      <c r="E31" s="366">
        <f t="shared" si="0"/>
        <v>0.33854166666666669</v>
      </c>
      <c r="F31" s="527">
        <v>371</v>
      </c>
      <c r="G31" s="53"/>
      <c r="H31" s="527"/>
      <c r="I31" s="45"/>
      <c r="J31" s="77"/>
      <c r="K31" s="53"/>
      <c r="L31" s="527"/>
      <c r="M31" s="73"/>
    </row>
    <row r="32" spans="1:13" ht="13" x14ac:dyDescent="0.25">
      <c r="A32" s="657">
        <v>305</v>
      </c>
      <c r="B32" s="373" t="s">
        <v>173</v>
      </c>
      <c r="C32" s="360">
        <v>1414</v>
      </c>
      <c r="D32" s="54">
        <v>492</v>
      </c>
      <c r="E32" s="366">
        <f t="shared" si="0"/>
        <v>0.34794908062234797</v>
      </c>
      <c r="F32" s="527">
        <v>335</v>
      </c>
      <c r="G32" s="53"/>
      <c r="H32" s="527"/>
      <c r="I32" s="45"/>
      <c r="J32" s="77"/>
      <c r="K32" s="53"/>
      <c r="L32" s="527"/>
      <c r="M32" s="73"/>
    </row>
    <row r="33" spans="1:13" ht="13" x14ac:dyDescent="0.25">
      <c r="A33" s="657">
        <v>401</v>
      </c>
      <c r="B33" s="373" t="s">
        <v>174</v>
      </c>
      <c r="C33" s="360">
        <v>957</v>
      </c>
      <c r="D33" s="54">
        <v>610</v>
      </c>
      <c r="E33" s="366">
        <f t="shared" si="0"/>
        <v>0.63740856844305116</v>
      </c>
      <c r="F33" s="526"/>
      <c r="G33" s="518"/>
      <c r="H33" s="526"/>
      <c r="I33" s="59">
        <v>137</v>
      </c>
      <c r="J33" s="77">
        <v>369</v>
      </c>
      <c r="K33" s="518"/>
      <c r="L33" s="526"/>
      <c r="M33" s="77"/>
    </row>
    <row r="34" spans="1:13" ht="13" x14ac:dyDescent="0.25">
      <c r="A34" s="657">
        <v>402</v>
      </c>
      <c r="B34" s="373" t="s">
        <v>175</v>
      </c>
      <c r="C34" s="360">
        <v>1078</v>
      </c>
      <c r="D34" s="54">
        <v>673</v>
      </c>
      <c r="E34" s="366">
        <f t="shared" si="0"/>
        <v>0.62430426716140996</v>
      </c>
      <c r="F34" s="526"/>
      <c r="G34" s="518"/>
      <c r="H34" s="526"/>
      <c r="I34" s="59">
        <v>151</v>
      </c>
      <c r="J34" s="77">
        <v>403</v>
      </c>
      <c r="K34" s="518"/>
      <c r="L34" s="526"/>
      <c r="M34" s="77"/>
    </row>
    <row r="35" spans="1:13" ht="13" x14ac:dyDescent="0.25">
      <c r="A35" s="657">
        <v>403</v>
      </c>
      <c r="B35" s="373" t="s">
        <v>176</v>
      </c>
      <c r="C35" s="360">
        <v>920</v>
      </c>
      <c r="D35" s="54">
        <v>507</v>
      </c>
      <c r="E35" s="366">
        <f t="shared" si="0"/>
        <v>0.55108695652173911</v>
      </c>
      <c r="F35" s="526"/>
      <c r="G35" s="518"/>
      <c r="H35" s="526"/>
      <c r="I35" s="59">
        <v>119</v>
      </c>
      <c r="J35" s="77">
        <v>319</v>
      </c>
      <c r="K35" s="518"/>
      <c r="L35" s="526"/>
      <c r="M35" s="77"/>
    </row>
    <row r="36" spans="1:13" ht="13" x14ac:dyDescent="0.25">
      <c r="A36" s="657">
        <v>404</v>
      </c>
      <c r="B36" s="373" t="s">
        <v>177</v>
      </c>
      <c r="C36" s="360">
        <v>1225</v>
      </c>
      <c r="D36" s="54">
        <v>756</v>
      </c>
      <c r="E36" s="366">
        <f t="shared" si="0"/>
        <v>0.6171428571428571</v>
      </c>
      <c r="F36" s="526"/>
      <c r="G36" s="518"/>
      <c r="H36" s="526"/>
      <c r="I36" s="59">
        <v>181</v>
      </c>
      <c r="J36" s="77">
        <v>405</v>
      </c>
      <c r="K36" s="518"/>
      <c r="L36" s="526"/>
      <c r="M36" s="77"/>
    </row>
    <row r="37" spans="1:13" ht="13" x14ac:dyDescent="0.25">
      <c r="A37" s="657">
        <v>405</v>
      </c>
      <c r="B37" s="373" t="s">
        <v>178</v>
      </c>
      <c r="C37" s="360">
        <v>1185</v>
      </c>
      <c r="D37" s="54">
        <v>679</v>
      </c>
      <c r="E37" s="366">
        <f t="shared" si="0"/>
        <v>0.57299578059071732</v>
      </c>
      <c r="F37" s="526"/>
      <c r="G37" s="518"/>
      <c r="H37" s="526"/>
      <c r="I37" s="59">
        <v>185</v>
      </c>
      <c r="J37" s="77">
        <v>384</v>
      </c>
      <c r="K37" s="518"/>
      <c r="L37" s="526"/>
      <c r="M37" s="77"/>
    </row>
    <row r="38" spans="1:13" ht="13" x14ac:dyDescent="0.25">
      <c r="A38" s="657">
        <v>406</v>
      </c>
      <c r="B38" s="373" t="s">
        <v>179</v>
      </c>
      <c r="C38" s="360">
        <v>1070</v>
      </c>
      <c r="D38" s="54">
        <v>632</v>
      </c>
      <c r="E38" s="366">
        <f t="shared" si="0"/>
        <v>0.59065420560747661</v>
      </c>
      <c r="F38" s="526"/>
      <c r="G38" s="518"/>
      <c r="H38" s="526"/>
      <c r="I38" s="59">
        <v>194</v>
      </c>
      <c r="J38" s="77">
        <v>358</v>
      </c>
      <c r="K38" s="518"/>
      <c r="L38" s="526"/>
      <c r="M38" s="77"/>
    </row>
    <row r="39" spans="1:13" ht="13" x14ac:dyDescent="0.25">
      <c r="A39" s="657">
        <v>407</v>
      </c>
      <c r="B39" s="373" t="s">
        <v>180</v>
      </c>
      <c r="C39" s="360">
        <v>1243</v>
      </c>
      <c r="D39" s="54">
        <v>815</v>
      </c>
      <c r="E39" s="366">
        <f t="shared" si="0"/>
        <v>0.65567176186645215</v>
      </c>
      <c r="F39" s="526"/>
      <c r="G39" s="518"/>
      <c r="H39" s="526"/>
      <c r="I39" s="59">
        <v>221</v>
      </c>
      <c r="J39" s="77">
        <v>382</v>
      </c>
      <c r="K39" s="518"/>
      <c r="L39" s="526"/>
      <c r="M39" s="77"/>
    </row>
    <row r="40" spans="1:13" ht="13" x14ac:dyDescent="0.25">
      <c r="A40" s="657">
        <v>408</v>
      </c>
      <c r="B40" s="373" t="s">
        <v>181</v>
      </c>
      <c r="C40" s="360">
        <v>1450</v>
      </c>
      <c r="D40" s="54">
        <v>825</v>
      </c>
      <c r="E40" s="366">
        <f t="shared" si="0"/>
        <v>0.56896551724137934</v>
      </c>
      <c r="F40" s="526"/>
      <c r="G40" s="518"/>
      <c r="H40" s="526"/>
      <c r="I40" s="59">
        <v>193</v>
      </c>
      <c r="J40" s="77">
        <v>473</v>
      </c>
      <c r="K40" s="518"/>
      <c r="L40" s="526"/>
      <c r="M40" s="77"/>
    </row>
    <row r="41" spans="1:13" ht="13" x14ac:dyDescent="0.25">
      <c r="A41" s="657">
        <v>501</v>
      </c>
      <c r="B41" s="373" t="s">
        <v>182</v>
      </c>
      <c r="C41" s="360">
        <v>1242</v>
      </c>
      <c r="D41" s="54">
        <v>718</v>
      </c>
      <c r="E41" s="366">
        <f t="shared" si="0"/>
        <v>0.5780998389694042</v>
      </c>
      <c r="F41" s="526"/>
      <c r="G41" s="518"/>
      <c r="H41" s="526"/>
      <c r="I41" s="59">
        <v>241</v>
      </c>
      <c r="J41" s="77">
        <v>348</v>
      </c>
      <c r="K41" s="518"/>
      <c r="L41" s="526"/>
      <c r="M41" s="77"/>
    </row>
    <row r="42" spans="1:13" ht="13" x14ac:dyDescent="0.25">
      <c r="A42" s="657">
        <v>502</v>
      </c>
      <c r="B42" s="373" t="s">
        <v>183</v>
      </c>
      <c r="C42" s="360">
        <v>1130</v>
      </c>
      <c r="D42" s="54">
        <v>739</v>
      </c>
      <c r="E42" s="366">
        <f t="shared" si="0"/>
        <v>0.65398230088495579</v>
      </c>
      <c r="F42" s="526"/>
      <c r="G42" s="518"/>
      <c r="H42" s="526"/>
      <c r="I42" s="59">
        <v>221</v>
      </c>
      <c r="J42" s="77">
        <v>404</v>
      </c>
      <c r="K42" s="518"/>
      <c r="L42" s="526"/>
      <c r="M42" s="77"/>
    </row>
    <row r="43" spans="1:13" ht="13" x14ac:dyDescent="0.25">
      <c r="A43" s="657">
        <v>503</v>
      </c>
      <c r="B43" s="373" t="s">
        <v>184</v>
      </c>
      <c r="C43" s="360">
        <v>843</v>
      </c>
      <c r="D43" s="54">
        <v>522</v>
      </c>
      <c r="E43" s="366">
        <f t="shared" si="0"/>
        <v>0.61921708185053381</v>
      </c>
      <c r="F43" s="527">
        <v>296</v>
      </c>
      <c r="G43" s="53"/>
      <c r="H43" s="527"/>
      <c r="I43" s="45"/>
      <c r="J43" s="77"/>
      <c r="K43" s="53"/>
      <c r="L43" s="527"/>
      <c r="M43" s="73"/>
    </row>
    <row r="44" spans="1:13" ht="13" x14ac:dyDescent="0.25">
      <c r="A44" s="657">
        <v>504</v>
      </c>
      <c r="B44" s="373" t="s">
        <v>185</v>
      </c>
      <c r="C44" s="360">
        <v>1334</v>
      </c>
      <c r="D44" s="54">
        <v>920</v>
      </c>
      <c r="E44" s="366">
        <f t="shared" si="0"/>
        <v>0.68965517241379315</v>
      </c>
      <c r="F44" s="526"/>
      <c r="G44" s="518"/>
      <c r="H44" s="526"/>
      <c r="I44" s="59">
        <v>275</v>
      </c>
      <c r="J44" s="77">
        <v>525</v>
      </c>
      <c r="K44" s="518"/>
      <c r="L44" s="526"/>
      <c r="M44" s="77"/>
    </row>
    <row r="45" spans="1:13" ht="13" x14ac:dyDescent="0.25">
      <c r="A45" s="657">
        <v>505</v>
      </c>
      <c r="B45" s="373" t="s">
        <v>186</v>
      </c>
      <c r="C45" s="360">
        <v>1427</v>
      </c>
      <c r="D45" s="54">
        <v>881</v>
      </c>
      <c r="E45" s="366">
        <f t="shared" si="0"/>
        <v>0.61737911702873161</v>
      </c>
      <c r="F45" s="526"/>
      <c r="G45" s="518"/>
      <c r="H45" s="526"/>
      <c r="I45" s="59">
        <v>237</v>
      </c>
      <c r="J45" s="77">
        <v>504</v>
      </c>
      <c r="K45" s="518"/>
      <c r="L45" s="526"/>
      <c r="M45" s="77"/>
    </row>
    <row r="46" spans="1:13" ht="13" x14ac:dyDescent="0.25">
      <c r="A46" s="657">
        <v>506</v>
      </c>
      <c r="B46" s="373" t="s">
        <v>187</v>
      </c>
      <c r="C46" s="360">
        <v>919</v>
      </c>
      <c r="D46" s="54">
        <v>526</v>
      </c>
      <c r="E46" s="366">
        <f t="shared" si="0"/>
        <v>0.57236126224156691</v>
      </c>
      <c r="F46" s="526"/>
      <c r="G46" s="518"/>
      <c r="H46" s="526"/>
      <c r="I46" s="59">
        <v>163</v>
      </c>
      <c r="J46" s="77">
        <v>273</v>
      </c>
      <c r="K46" s="518"/>
      <c r="L46" s="526"/>
      <c r="M46" s="77"/>
    </row>
    <row r="47" spans="1:13" ht="13" x14ac:dyDescent="0.25">
      <c r="A47" s="657">
        <v>507</v>
      </c>
      <c r="B47" s="373" t="s">
        <v>188</v>
      </c>
      <c r="C47" s="360">
        <v>1522</v>
      </c>
      <c r="D47" s="54">
        <v>826</v>
      </c>
      <c r="E47" s="366">
        <f t="shared" si="0"/>
        <v>0.54270696452036793</v>
      </c>
      <c r="F47" s="526"/>
      <c r="G47" s="518"/>
      <c r="H47" s="526"/>
      <c r="I47" s="59">
        <v>258</v>
      </c>
      <c r="J47" s="77">
        <v>421</v>
      </c>
      <c r="K47" s="518"/>
      <c r="L47" s="526"/>
      <c r="M47" s="77"/>
    </row>
    <row r="48" spans="1:13" ht="13" x14ac:dyDescent="0.25">
      <c r="A48" s="657">
        <v>508</v>
      </c>
      <c r="B48" s="373" t="s">
        <v>189</v>
      </c>
      <c r="C48" s="360">
        <v>966</v>
      </c>
      <c r="D48" s="54">
        <v>454</v>
      </c>
      <c r="E48" s="366">
        <f t="shared" si="0"/>
        <v>0.46997929606625261</v>
      </c>
      <c r="F48" s="527">
        <v>312</v>
      </c>
      <c r="G48" s="53"/>
      <c r="H48" s="527"/>
      <c r="I48" s="45"/>
      <c r="J48" s="77"/>
      <c r="K48" s="53"/>
      <c r="L48" s="527"/>
      <c r="M48" s="73"/>
    </row>
    <row r="49" spans="1:13" ht="13" x14ac:dyDescent="0.25">
      <c r="A49" s="657">
        <v>509</v>
      </c>
      <c r="B49" s="373" t="s">
        <v>190</v>
      </c>
      <c r="C49" s="360">
        <v>1319</v>
      </c>
      <c r="D49" s="54">
        <v>786</v>
      </c>
      <c r="E49" s="366">
        <f t="shared" si="0"/>
        <v>0.59590598938589845</v>
      </c>
      <c r="F49" s="526"/>
      <c r="G49" s="518"/>
      <c r="H49" s="526"/>
      <c r="I49" s="59">
        <v>356</v>
      </c>
      <c r="J49" s="77">
        <v>333</v>
      </c>
      <c r="K49" s="518"/>
      <c r="L49" s="526"/>
      <c r="M49" s="77"/>
    </row>
    <row r="50" spans="1:13" ht="13" x14ac:dyDescent="0.25">
      <c r="A50" s="657">
        <v>601</v>
      </c>
      <c r="B50" s="373" t="s">
        <v>191</v>
      </c>
      <c r="C50" s="360">
        <v>2027</v>
      </c>
      <c r="D50" s="54">
        <v>738</v>
      </c>
      <c r="E50" s="366">
        <f t="shared" si="0"/>
        <v>0.36408485446472622</v>
      </c>
      <c r="F50" s="526"/>
      <c r="G50" s="518"/>
      <c r="H50" s="526"/>
      <c r="I50" s="59">
        <v>102</v>
      </c>
      <c r="J50" s="77">
        <v>496</v>
      </c>
      <c r="K50" s="518"/>
      <c r="L50" s="526"/>
      <c r="M50" s="77"/>
    </row>
    <row r="51" spans="1:13" ht="13" x14ac:dyDescent="0.25">
      <c r="A51" s="657">
        <v>602</v>
      </c>
      <c r="B51" s="373" t="s">
        <v>192</v>
      </c>
      <c r="C51" s="360">
        <v>1304</v>
      </c>
      <c r="D51" s="54">
        <v>411</v>
      </c>
      <c r="E51" s="366">
        <f t="shared" si="0"/>
        <v>0.31518404907975461</v>
      </c>
      <c r="F51" s="526"/>
      <c r="G51" s="518"/>
      <c r="H51" s="526"/>
      <c r="I51" s="59">
        <v>78</v>
      </c>
      <c r="J51" s="77">
        <v>256</v>
      </c>
      <c r="K51" s="518"/>
      <c r="L51" s="526"/>
      <c r="M51" s="77"/>
    </row>
    <row r="52" spans="1:13" ht="13" x14ac:dyDescent="0.25">
      <c r="A52" s="657">
        <v>603</v>
      </c>
      <c r="B52" s="373" t="s">
        <v>193</v>
      </c>
      <c r="C52" s="360">
        <v>1884</v>
      </c>
      <c r="D52" s="54">
        <v>546</v>
      </c>
      <c r="E52" s="366">
        <f t="shared" si="0"/>
        <v>0.28980891719745222</v>
      </c>
      <c r="F52" s="527">
        <v>345</v>
      </c>
      <c r="G52" s="53"/>
      <c r="H52" s="527"/>
      <c r="I52" s="45"/>
      <c r="J52" s="77"/>
      <c r="K52" s="53"/>
      <c r="L52" s="527"/>
      <c r="M52" s="73"/>
    </row>
    <row r="53" spans="1:13" ht="13" x14ac:dyDescent="0.25">
      <c r="A53" s="657">
        <v>604</v>
      </c>
      <c r="B53" s="373" t="s">
        <v>194</v>
      </c>
      <c r="C53" s="360">
        <v>1715</v>
      </c>
      <c r="D53" s="54">
        <v>660</v>
      </c>
      <c r="E53" s="366">
        <f t="shared" si="0"/>
        <v>0.38483965014577259</v>
      </c>
      <c r="F53" s="527">
        <v>428</v>
      </c>
      <c r="G53" s="53"/>
      <c r="H53" s="527"/>
      <c r="I53" s="45"/>
      <c r="J53" s="77"/>
      <c r="K53" s="53"/>
      <c r="L53" s="527"/>
      <c r="M53" s="73"/>
    </row>
    <row r="54" spans="1:13" ht="13" x14ac:dyDescent="0.25">
      <c r="A54" s="657">
        <v>605</v>
      </c>
      <c r="B54" s="373" t="s">
        <v>781</v>
      </c>
      <c r="C54" s="360">
        <v>1382</v>
      </c>
      <c r="D54" s="54">
        <v>569</v>
      </c>
      <c r="E54" s="366">
        <f t="shared" si="0"/>
        <v>0.4117221418234443</v>
      </c>
      <c r="F54" s="527"/>
      <c r="G54" s="53"/>
      <c r="H54" s="527"/>
      <c r="I54" s="45">
        <v>117</v>
      </c>
      <c r="J54" s="77">
        <v>345</v>
      </c>
      <c r="K54" s="53"/>
      <c r="L54" s="527"/>
      <c r="M54" s="73"/>
    </row>
    <row r="55" spans="1:13" ht="13" x14ac:dyDescent="0.25">
      <c r="A55" s="657">
        <v>701</v>
      </c>
      <c r="B55" s="373" t="s">
        <v>195</v>
      </c>
      <c r="C55" s="360">
        <v>1268</v>
      </c>
      <c r="D55" s="54">
        <v>569</v>
      </c>
      <c r="E55" s="366">
        <f t="shared" si="0"/>
        <v>0.44873817034700314</v>
      </c>
      <c r="F55" s="526"/>
      <c r="G55" s="518">
        <v>396</v>
      </c>
      <c r="H55" s="526"/>
      <c r="I55" s="59"/>
      <c r="J55" s="77"/>
      <c r="K55" s="518"/>
      <c r="L55" s="526"/>
      <c r="M55" s="77"/>
    </row>
    <row r="56" spans="1:13" ht="13" x14ac:dyDescent="0.25">
      <c r="A56" s="657">
        <v>702</v>
      </c>
      <c r="B56" s="373" t="s">
        <v>196</v>
      </c>
      <c r="C56" s="360">
        <v>767</v>
      </c>
      <c r="D56" s="54">
        <v>171</v>
      </c>
      <c r="E56" s="366">
        <f t="shared" si="0"/>
        <v>0.22294654498044328</v>
      </c>
      <c r="F56" s="526"/>
      <c r="G56" s="518">
        <v>125</v>
      </c>
      <c r="H56" s="526"/>
      <c r="I56" s="59"/>
      <c r="J56" s="77"/>
      <c r="K56" s="518"/>
      <c r="L56" s="526"/>
      <c r="M56" s="77"/>
    </row>
    <row r="57" spans="1:13" ht="13" x14ac:dyDescent="0.25">
      <c r="A57" s="657">
        <v>703</v>
      </c>
      <c r="B57" s="373" t="s">
        <v>197</v>
      </c>
      <c r="C57" s="360">
        <v>1162</v>
      </c>
      <c r="D57" s="54">
        <v>525</v>
      </c>
      <c r="E57" s="366">
        <f t="shared" si="0"/>
        <v>0.45180722891566266</v>
      </c>
      <c r="F57" s="526"/>
      <c r="G57" s="518">
        <v>401</v>
      </c>
      <c r="H57" s="526"/>
      <c r="I57" s="59"/>
      <c r="J57" s="77"/>
      <c r="K57" s="518"/>
      <c r="L57" s="526"/>
      <c r="M57" s="77"/>
    </row>
    <row r="58" spans="1:13" ht="13" x14ac:dyDescent="0.25">
      <c r="A58" s="657">
        <v>704</v>
      </c>
      <c r="B58" s="373" t="s">
        <v>198</v>
      </c>
      <c r="C58" s="360">
        <v>1193</v>
      </c>
      <c r="D58" s="54">
        <v>403</v>
      </c>
      <c r="E58" s="366">
        <f t="shared" si="0"/>
        <v>0.33780385582564965</v>
      </c>
      <c r="F58" s="526"/>
      <c r="G58" s="518">
        <v>271</v>
      </c>
      <c r="H58" s="526"/>
      <c r="I58" s="59"/>
      <c r="J58" s="77"/>
      <c r="K58" s="518"/>
      <c r="L58" s="526"/>
      <c r="M58" s="77"/>
    </row>
    <row r="59" spans="1:13" ht="13" x14ac:dyDescent="0.25">
      <c r="A59" s="657">
        <v>705</v>
      </c>
      <c r="B59" s="373" t="s">
        <v>199</v>
      </c>
      <c r="C59" s="360">
        <v>609</v>
      </c>
      <c r="D59" s="54">
        <v>274</v>
      </c>
      <c r="E59" s="366">
        <f t="shared" si="0"/>
        <v>0.44991789819376027</v>
      </c>
      <c r="F59" s="526"/>
      <c r="G59" s="518">
        <v>201</v>
      </c>
      <c r="H59" s="526"/>
      <c r="I59" s="59"/>
      <c r="J59" s="77"/>
      <c r="K59" s="518"/>
      <c r="L59" s="526"/>
      <c r="M59" s="77"/>
    </row>
    <row r="60" spans="1:13" ht="13" x14ac:dyDescent="0.25">
      <c r="A60" s="657">
        <v>706</v>
      </c>
      <c r="B60" s="373" t="s">
        <v>200</v>
      </c>
      <c r="C60" s="360">
        <v>898</v>
      </c>
      <c r="D60" s="54">
        <v>309</v>
      </c>
      <c r="E60" s="366">
        <f t="shared" si="0"/>
        <v>0.34409799554565701</v>
      </c>
      <c r="F60" s="526"/>
      <c r="G60" s="518">
        <v>233</v>
      </c>
      <c r="H60" s="526"/>
      <c r="I60" s="59"/>
      <c r="J60" s="77"/>
      <c r="K60" s="518"/>
      <c r="L60" s="526"/>
      <c r="M60" s="77"/>
    </row>
    <row r="61" spans="1:13" ht="13" x14ac:dyDescent="0.25">
      <c r="A61" s="657">
        <v>707</v>
      </c>
      <c r="B61" s="373" t="s">
        <v>201</v>
      </c>
      <c r="C61" s="360">
        <v>1306</v>
      </c>
      <c r="D61" s="54">
        <v>469</v>
      </c>
      <c r="E61" s="366">
        <f t="shared" si="0"/>
        <v>0.35911179173047475</v>
      </c>
      <c r="F61" s="526"/>
      <c r="G61" s="518">
        <v>358</v>
      </c>
      <c r="H61" s="526"/>
      <c r="I61" s="59"/>
      <c r="J61" s="77"/>
      <c r="K61" s="518"/>
      <c r="L61" s="526"/>
      <c r="M61" s="77"/>
    </row>
    <row r="62" spans="1:13" ht="13" x14ac:dyDescent="0.25">
      <c r="A62" s="657">
        <v>708</v>
      </c>
      <c r="B62" s="373" t="s">
        <v>202</v>
      </c>
      <c r="C62" s="360">
        <v>1140</v>
      </c>
      <c r="D62" s="54">
        <v>352</v>
      </c>
      <c r="E62" s="366">
        <f t="shared" si="0"/>
        <v>0.30877192982456142</v>
      </c>
      <c r="F62" s="526"/>
      <c r="G62" s="518"/>
      <c r="H62" s="526">
        <v>271</v>
      </c>
      <c r="I62" s="59"/>
      <c r="J62" s="77"/>
      <c r="K62" s="518"/>
      <c r="L62" s="526"/>
      <c r="M62" s="77"/>
    </row>
    <row r="63" spans="1:13" ht="13" x14ac:dyDescent="0.25">
      <c r="A63" s="657">
        <v>709</v>
      </c>
      <c r="B63" s="373" t="s">
        <v>203</v>
      </c>
      <c r="C63" s="360">
        <v>1138</v>
      </c>
      <c r="D63" s="54">
        <v>485</v>
      </c>
      <c r="E63" s="366">
        <f t="shared" si="0"/>
        <v>0.42618629173989453</v>
      </c>
      <c r="F63" s="526"/>
      <c r="G63" s="518"/>
      <c r="H63" s="526">
        <v>374</v>
      </c>
      <c r="I63" s="59"/>
      <c r="J63" s="77"/>
      <c r="K63" s="518"/>
      <c r="L63" s="526"/>
      <c r="M63" s="77"/>
    </row>
    <row r="64" spans="1:13" ht="13" x14ac:dyDescent="0.25">
      <c r="A64" s="657">
        <v>710</v>
      </c>
      <c r="B64" s="373" t="s">
        <v>204</v>
      </c>
      <c r="C64" s="360">
        <v>513</v>
      </c>
      <c r="D64" s="54">
        <v>138</v>
      </c>
      <c r="E64" s="366">
        <f t="shared" si="0"/>
        <v>0.26900584795321636</v>
      </c>
      <c r="F64" s="526"/>
      <c r="G64" s="518">
        <v>96</v>
      </c>
      <c r="H64" s="526"/>
      <c r="I64" s="59"/>
      <c r="J64" s="77"/>
      <c r="K64" s="518"/>
      <c r="L64" s="526"/>
      <c r="M64" s="77"/>
    </row>
    <row r="65" spans="1:13" ht="13" x14ac:dyDescent="0.25">
      <c r="A65" s="657">
        <v>711</v>
      </c>
      <c r="B65" s="373" t="s">
        <v>743</v>
      </c>
      <c r="C65" s="360">
        <v>1059</v>
      </c>
      <c r="D65" s="54">
        <v>393</v>
      </c>
      <c r="E65" s="366">
        <f t="shared" si="0"/>
        <v>0.37110481586402266</v>
      </c>
      <c r="F65" s="526"/>
      <c r="G65" s="518"/>
      <c r="H65" s="526">
        <v>303</v>
      </c>
      <c r="I65" s="59"/>
      <c r="J65" s="77"/>
      <c r="K65" s="518"/>
      <c r="L65" s="526"/>
      <c r="M65" s="77"/>
    </row>
    <row r="66" spans="1:13" ht="13" x14ac:dyDescent="0.25">
      <c r="A66" s="657">
        <v>801</v>
      </c>
      <c r="B66" s="373" t="s">
        <v>205</v>
      </c>
      <c r="C66" s="360">
        <v>1564</v>
      </c>
      <c r="D66" s="54">
        <v>476</v>
      </c>
      <c r="E66" s="366">
        <f t="shared" si="0"/>
        <v>0.30434782608695654</v>
      </c>
      <c r="F66" s="527">
        <v>308</v>
      </c>
      <c r="G66" s="53"/>
      <c r="H66" s="527"/>
      <c r="I66" s="45"/>
      <c r="J66" s="77"/>
      <c r="K66" s="53"/>
      <c r="L66" s="527"/>
      <c r="M66" s="73"/>
    </row>
    <row r="67" spans="1:13" ht="13" x14ac:dyDescent="0.25">
      <c r="A67" s="657">
        <v>802</v>
      </c>
      <c r="B67" s="373" t="s">
        <v>206</v>
      </c>
      <c r="C67" s="360">
        <v>1379</v>
      </c>
      <c r="D67" s="54">
        <v>647</v>
      </c>
      <c r="E67" s="366">
        <f t="shared" si="0"/>
        <v>0.46918056562726612</v>
      </c>
      <c r="F67" s="527">
        <v>419</v>
      </c>
      <c r="G67" s="53"/>
      <c r="H67" s="527"/>
      <c r="I67" s="45"/>
      <c r="J67" s="77"/>
      <c r="K67" s="53"/>
      <c r="L67" s="527"/>
      <c r="M67" s="73"/>
    </row>
    <row r="68" spans="1:13" ht="13" x14ac:dyDescent="0.25">
      <c r="A68" s="657">
        <v>803</v>
      </c>
      <c r="B68" s="373" t="s">
        <v>207</v>
      </c>
      <c r="C68" s="360">
        <v>1540</v>
      </c>
      <c r="D68" s="54">
        <v>857</v>
      </c>
      <c r="E68" s="366">
        <f t="shared" si="0"/>
        <v>0.55649350649350648</v>
      </c>
      <c r="F68" s="526"/>
      <c r="G68" s="518"/>
      <c r="H68" s="526"/>
      <c r="I68" s="59">
        <v>246</v>
      </c>
      <c r="J68" s="77">
        <v>490</v>
      </c>
      <c r="K68" s="518"/>
      <c r="L68" s="526"/>
      <c r="M68" s="77"/>
    </row>
    <row r="69" spans="1:13" ht="13" x14ac:dyDescent="0.25">
      <c r="A69" s="657">
        <v>804</v>
      </c>
      <c r="B69" s="373" t="s">
        <v>208</v>
      </c>
      <c r="C69" s="360">
        <v>1625</v>
      </c>
      <c r="D69" s="54">
        <v>493</v>
      </c>
      <c r="E69" s="366">
        <f t="shared" ref="E69:E132" si="1">SUM(D69/C69)</f>
        <v>0.30338461538461536</v>
      </c>
      <c r="F69" s="527">
        <v>349</v>
      </c>
      <c r="G69" s="53"/>
      <c r="H69" s="527"/>
      <c r="I69" s="45"/>
      <c r="J69" s="77"/>
      <c r="K69" s="53"/>
      <c r="L69" s="527"/>
      <c r="M69" s="73"/>
    </row>
    <row r="70" spans="1:13" ht="13" x14ac:dyDescent="0.25">
      <c r="A70" s="657">
        <v>901</v>
      </c>
      <c r="B70" s="373" t="s">
        <v>209</v>
      </c>
      <c r="C70" s="360">
        <v>896</v>
      </c>
      <c r="D70" s="54">
        <v>189</v>
      </c>
      <c r="E70" s="366">
        <f t="shared" si="1"/>
        <v>0.2109375</v>
      </c>
      <c r="F70" s="527">
        <v>132</v>
      </c>
      <c r="G70" s="53"/>
      <c r="H70" s="527"/>
      <c r="I70" s="45"/>
      <c r="J70" s="77"/>
      <c r="K70" s="53"/>
      <c r="L70" s="527"/>
      <c r="M70" s="73"/>
    </row>
    <row r="71" spans="1:13" ht="13" x14ac:dyDescent="0.25">
      <c r="A71" s="657">
        <v>902</v>
      </c>
      <c r="B71" s="373" t="s">
        <v>210</v>
      </c>
      <c r="C71" s="360">
        <v>1590</v>
      </c>
      <c r="D71" s="54">
        <v>818</v>
      </c>
      <c r="E71" s="366">
        <f t="shared" si="1"/>
        <v>0.51446540880503144</v>
      </c>
      <c r="F71" s="527">
        <v>529</v>
      </c>
      <c r="G71" s="53"/>
      <c r="H71" s="527"/>
      <c r="I71" s="45"/>
      <c r="J71" s="77"/>
      <c r="K71" s="53"/>
      <c r="L71" s="527"/>
      <c r="M71" s="73"/>
    </row>
    <row r="72" spans="1:13" ht="13" x14ac:dyDescent="0.25">
      <c r="A72" s="657">
        <v>903</v>
      </c>
      <c r="B72" s="373" t="s">
        <v>211</v>
      </c>
      <c r="C72" s="360">
        <v>1369</v>
      </c>
      <c r="D72" s="54">
        <v>396</v>
      </c>
      <c r="E72" s="366">
        <f t="shared" si="1"/>
        <v>0.28926223520818117</v>
      </c>
      <c r="F72" s="527">
        <v>281</v>
      </c>
      <c r="G72" s="53"/>
      <c r="H72" s="527"/>
      <c r="I72" s="45"/>
      <c r="J72" s="77"/>
      <c r="K72" s="53"/>
      <c r="L72" s="527"/>
      <c r="M72" s="73"/>
    </row>
    <row r="73" spans="1:13" ht="13" x14ac:dyDescent="0.25">
      <c r="A73" s="657">
        <v>904</v>
      </c>
      <c r="B73" s="373" t="s">
        <v>744</v>
      </c>
      <c r="C73" s="360">
        <v>1080</v>
      </c>
      <c r="D73" s="54">
        <v>267</v>
      </c>
      <c r="E73" s="366">
        <f t="shared" si="1"/>
        <v>0.24722222222222223</v>
      </c>
      <c r="F73" s="527">
        <v>186</v>
      </c>
      <c r="G73" s="53"/>
      <c r="H73" s="527"/>
      <c r="I73" s="45"/>
      <c r="J73" s="77"/>
      <c r="K73" s="53"/>
      <c r="L73" s="527"/>
      <c r="M73" s="73"/>
    </row>
    <row r="74" spans="1:13" ht="13" x14ac:dyDescent="0.25">
      <c r="A74" s="657">
        <v>1001</v>
      </c>
      <c r="B74" s="373" t="s">
        <v>212</v>
      </c>
      <c r="C74" s="360">
        <v>1328</v>
      </c>
      <c r="D74" s="54">
        <v>619</v>
      </c>
      <c r="E74" s="366">
        <f t="shared" si="1"/>
        <v>0.46611445783132532</v>
      </c>
      <c r="F74" s="527">
        <v>355</v>
      </c>
      <c r="G74" s="53"/>
      <c r="H74" s="527"/>
      <c r="I74" s="45"/>
      <c r="J74" s="77"/>
      <c r="K74" s="53"/>
      <c r="L74" s="527"/>
      <c r="M74" s="73"/>
    </row>
    <row r="75" spans="1:13" ht="13" x14ac:dyDescent="0.25">
      <c r="A75" s="657">
        <v>1002</v>
      </c>
      <c r="B75" s="373" t="s">
        <v>213</v>
      </c>
      <c r="C75" s="360">
        <v>1485</v>
      </c>
      <c r="D75" s="54">
        <v>320</v>
      </c>
      <c r="E75" s="366">
        <f t="shared" si="1"/>
        <v>0.21548821548821548</v>
      </c>
      <c r="F75" s="527">
        <v>208</v>
      </c>
      <c r="G75" s="53"/>
      <c r="H75" s="527"/>
      <c r="I75" s="45"/>
      <c r="J75" s="77"/>
      <c r="K75" s="53"/>
      <c r="L75" s="527"/>
      <c r="M75" s="73"/>
    </row>
    <row r="76" spans="1:13" ht="13" x14ac:dyDescent="0.25">
      <c r="A76" s="657">
        <v>1003</v>
      </c>
      <c r="B76" s="373" t="s">
        <v>745</v>
      </c>
      <c r="C76" s="360">
        <v>1365</v>
      </c>
      <c r="D76" s="54">
        <v>459</v>
      </c>
      <c r="E76" s="366">
        <f t="shared" si="1"/>
        <v>0.33626373626373629</v>
      </c>
      <c r="F76" s="527">
        <v>305</v>
      </c>
      <c r="G76" s="53"/>
      <c r="H76" s="527"/>
      <c r="I76" s="45"/>
      <c r="J76" s="77"/>
      <c r="K76" s="53"/>
      <c r="L76" s="527"/>
      <c r="M76" s="73"/>
    </row>
    <row r="77" spans="1:13" ht="13" x14ac:dyDescent="0.25">
      <c r="A77" s="657">
        <v>1101</v>
      </c>
      <c r="B77" s="373" t="s">
        <v>214</v>
      </c>
      <c r="C77" s="360">
        <v>1227</v>
      </c>
      <c r="D77" s="54">
        <v>461</v>
      </c>
      <c r="E77" s="366">
        <f t="shared" si="1"/>
        <v>0.37571312143439284</v>
      </c>
      <c r="F77" s="527">
        <v>283</v>
      </c>
      <c r="G77" s="53"/>
      <c r="H77" s="527"/>
      <c r="I77" s="45"/>
      <c r="J77" s="77"/>
      <c r="K77" s="53"/>
      <c r="L77" s="527"/>
      <c r="M77" s="73"/>
    </row>
    <row r="78" spans="1:13" ht="13" x14ac:dyDescent="0.25">
      <c r="A78" s="657">
        <v>1102</v>
      </c>
      <c r="B78" s="373" t="s">
        <v>215</v>
      </c>
      <c r="C78" s="360">
        <v>1429</v>
      </c>
      <c r="D78" s="54">
        <v>315</v>
      </c>
      <c r="E78" s="366">
        <f t="shared" si="1"/>
        <v>0.22043386983904828</v>
      </c>
      <c r="F78" s="527">
        <v>212</v>
      </c>
      <c r="G78" s="53"/>
      <c r="H78" s="527"/>
      <c r="I78" s="45"/>
      <c r="J78" s="77"/>
      <c r="K78" s="53"/>
      <c r="L78" s="527"/>
      <c r="M78" s="73"/>
    </row>
    <row r="79" spans="1:13" ht="13" x14ac:dyDescent="0.25">
      <c r="A79" s="657">
        <v>1103</v>
      </c>
      <c r="B79" s="373" t="s">
        <v>216</v>
      </c>
      <c r="C79" s="360">
        <v>964</v>
      </c>
      <c r="D79" s="54">
        <v>216</v>
      </c>
      <c r="E79" s="366">
        <f t="shared" si="1"/>
        <v>0.22406639004149378</v>
      </c>
      <c r="F79" s="527">
        <v>148</v>
      </c>
      <c r="G79" s="53"/>
      <c r="H79" s="527"/>
      <c r="I79" s="45"/>
      <c r="J79" s="77"/>
      <c r="K79" s="53"/>
      <c r="L79" s="527"/>
      <c r="M79" s="73"/>
    </row>
    <row r="80" spans="1:13" ht="13" x14ac:dyDescent="0.25">
      <c r="A80" s="657">
        <v>1104</v>
      </c>
      <c r="B80" s="373" t="s">
        <v>772</v>
      </c>
      <c r="C80" s="360">
        <v>1121</v>
      </c>
      <c r="D80" s="54">
        <v>333</v>
      </c>
      <c r="E80" s="366">
        <f t="shared" si="1"/>
        <v>0.29705619982158787</v>
      </c>
      <c r="F80" s="527">
        <v>222</v>
      </c>
      <c r="G80" s="53"/>
      <c r="H80" s="527"/>
      <c r="I80" s="45"/>
      <c r="J80" s="77"/>
      <c r="K80" s="53"/>
      <c r="L80" s="527"/>
      <c r="M80" s="73"/>
    </row>
    <row r="81" spans="1:13" ht="13" x14ac:dyDescent="0.25">
      <c r="A81" s="657">
        <v>1201</v>
      </c>
      <c r="B81" s="373" t="s">
        <v>217</v>
      </c>
      <c r="C81" s="360">
        <v>868</v>
      </c>
      <c r="D81" s="54">
        <v>191</v>
      </c>
      <c r="E81" s="366">
        <f t="shared" si="1"/>
        <v>0.22004608294930875</v>
      </c>
      <c r="F81" s="527">
        <v>126</v>
      </c>
      <c r="G81" s="53"/>
      <c r="H81" s="527"/>
      <c r="I81" s="45"/>
      <c r="J81" s="77"/>
      <c r="K81" s="53"/>
      <c r="L81" s="527"/>
      <c r="M81" s="73"/>
    </row>
    <row r="82" spans="1:13" ht="13" x14ac:dyDescent="0.25">
      <c r="A82" s="657">
        <v>1202</v>
      </c>
      <c r="B82" s="373" t="s">
        <v>218</v>
      </c>
      <c r="C82" s="360">
        <v>550</v>
      </c>
      <c r="D82" s="54">
        <v>44</v>
      </c>
      <c r="E82" s="366">
        <f t="shared" si="1"/>
        <v>0.08</v>
      </c>
      <c r="F82" s="527">
        <v>28</v>
      </c>
      <c r="G82" s="53"/>
      <c r="H82" s="527"/>
      <c r="I82" s="45"/>
      <c r="J82" s="77"/>
      <c r="K82" s="53"/>
      <c r="L82" s="527"/>
      <c r="M82" s="73"/>
    </row>
    <row r="83" spans="1:13" ht="13" x14ac:dyDescent="0.25">
      <c r="A83" s="657">
        <v>1203</v>
      </c>
      <c r="B83" s="373" t="s">
        <v>219</v>
      </c>
      <c r="C83" s="360">
        <v>1263</v>
      </c>
      <c r="D83" s="54">
        <v>309</v>
      </c>
      <c r="E83" s="366">
        <f t="shared" si="1"/>
        <v>0.24465558194774348</v>
      </c>
      <c r="F83" s="527">
        <v>207</v>
      </c>
      <c r="G83" s="53"/>
      <c r="H83" s="527"/>
      <c r="I83" s="45"/>
      <c r="J83" s="77"/>
      <c r="K83" s="53"/>
      <c r="L83" s="527"/>
      <c r="M83" s="73"/>
    </row>
    <row r="84" spans="1:13" ht="13" x14ac:dyDescent="0.25">
      <c r="A84" s="657">
        <v>1204</v>
      </c>
      <c r="B84" s="373" t="s">
        <v>739</v>
      </c>
      <c r="C84" s="360">
        <v>1521</v>
      </c>
      <c r="D84" s="54">
        <v>386</v>
      </c>
      <c r="E84" s="366">
        <f t="shared" si="1"/>
        <v>0.25378040762656146</v>
      </c>
      <c r="F84" s="527">
        <v>246</v>
      </c>
      <c r="G84" s="53"/>
      <c r="H84" s="527"/>
      <c r="I84" s="45"/>
      <c r="J84" s="77"/>
      <c r="K84" s="53"/>
      <c r="L84" s="527"/>
      <c r="M84" s="73"/>
    </row>
    <row r="85" spans="1:13" ht="13" x14ac:dyDescent="0.25">
      <c r="A85" s="657">
        <v>1205</v>
      </c>
      <c r="B85" s="373" t="s">
        <v>740</v>
      </c>
      <c r="C85" s="360">
        <v>1250</v>
      </c>
      <c r="D85" s="54">
        <v>265</v>
      </c>
      <c r="E85" s="366">
        <f t="shared" si="1"/>
        <v>0.21199999999999999</v>
      </c>
      <c r="F85" s="527">
        <v>175</v>
      </c>
      <c r="G85" s="53"/>
      <c r="H85" s="527"/>
      <c r="I85" s="45"/>
      <c r="J85" s="77"/>
      <c r="K85" s="53"/>
      <c r="L85" s="527"/>
      <c r="M85" s="73"/>
    </row>
    <row r="86" spans="1:13" ht="13" x14ac:dyDescent="0.25">
      <c r="A86" s="657">
        <v>1301</v>
      </c>
      <c r="B86" s="373" t="s">
        <v>220</v>
      </c>
      <c r="C86" s="360">
        <v>1237</v>
      </c>
      <c r="D86" s="54">
        <v>229</v>
      </c>
      <c r="E86" s="366">
        <f t="shared" si="1"/>
        <v>0.18512530315278899</v>
      </c>
      <c r="F86" s="527">
        <v>166</v>
      </c>
      <c r="G86" s="53"/>
      <c r="H86" s="527"/>
      <c r="I86" s="45"/>
      <c r="J86" s="77"/>
      <c r="K86" s="53"/>
      <c r="L86" s="527"/>
      <c r="M86" s="73"/>
    </row>
    <row r="87" spans="1:13" ht="13" x14ac:dyDescent="0.25">
      <c r="A87" s="657">
        <v>1302</v>
      </c>
      <c r="B87" s="373" t="s">
        <v>221</v>
      </c>
      <c r="C87" s="360">
        <v>858</v>
      </c>
      <c r="D87" s="54">
        <v>407</v>
      </c>
      <c r="E87" s="366">
        <f t="shared" si="1"/>
        <v>0.47435897435897434</v>
      </c>
      <c r="F87" s="526"/>
      <c r="G87" s="518">
        <v>266</v>
      </c>
      <c r="H87" s="526"/>
      <c r="I87" s="59"/>
      <c r="J87" s="77"/>
      <c r="K87" s="518"/>
      <c r="L87" s="526"/>
      <c r="M87" s="77"/>
    </row>
    <row r="88" spans="1:13" ht="13" x14ac:dyDescent="0.25">
      <c r="A88" s="657">
        <v>1303</v>
      </c>
      <c r="B88" s="373" t="s">
        <v>222</v>
      </c>
      <c r="C88" s="360">
        <v>1298</v>
      </c>
      <c r="D88" s="54">
        <v>244</v>
      </c>
      <c r="E88" s="366">
        <f t="shared" si="1"/>
        <v>0.18798151001540833</v>
      </c>
      <c r="F88" s="527">
        <v>173</v>
      </c>
      <c r="G88" s="53"/>
      <c r="H88" s="527"/>
      <c r="I88" s="45"/>
      <c r="J88" s="77"/>
      <c r="K88" s="53"/>
      <c r="L88" s="527"/>
      <c r="M88" s="73"/>
    </row>
    <row r="89" spans="1:13" ht="13" x14ac:dyDescent="0.25">
      <c r="A89" s="657">
        <v>1304</v>
      </c>
      <c r="B89" s="373" t="s">
        <v>223</v>
      </c>
      <c r="C89" s="360">
        <v>1230</v>
      </c>
      <c r="D89" s="54">
        <v>353</v>
      </c>
      <c r="E89" s="366">
        <f t="shared" si="1"/>
        <v>0.28699186991869918</v>
      </c>
      <c r="F89" s="527">
        <v>236</v>
      </c>
      <c r="G89" s="53"/>
      <c r="H89" s="527"/>
      <c r="I89" s="45"/>
      <c r="J89" s="77"/>
      <c r="K89" s="53"/>
      <c r="L89" s="527"/>
      <c r="M89" s="73"/>
    </row>
    <row r="90" spans="1:13" ht="13" x14ac:dyDescent="0.25">
      <c r="A90" s="657">
        <v>1305</v>
      </c>
      <c r="B90" s="373" t="s">
        <v>224</v>
      </c>
      <c r="C90" s="360">
        <v>1344</v>
      </c>
      <c r="D90" s="54">
        <v>735</v>
      </c>
      <c r="E90" s="366">
        <f t="shared" si="1"/>
        <v>0.546875</v>
      </c>
      <c r="F90" s="526"/>
      <c r="G90" s="518">
        <v>490</v>
      </c>
      <c r="H90" s="526"/>
      <c r="I90" s="59"/>
      <c r="J90" s="77"/>
      <c r="K90" s="518"/>
      <c r="L90" s="526"/>
      <c r="M90" s="77"/>
    </row>
    <row r="91" spans="1:13" ht="13" x14ac:dyDescent="0.25">
      <c r="A91" s="657">
        <v>1306</v>
      </c>
      <c r="B91" s="373" t="s">
        <v>225</v>
      </c>
      <c r="C91" s="360">
        <v>966</v>
      </c>
      <c r="D91" s="54">
        <v>519</v>
      </c>
      <c r="E91" s="366">
        <f t="shared" si="1"/>
        <v>0.53726708074534157</v>
      </c>
      <c r="F91" s="526"/>
      <c r="G91" s="518">
        <v>383</v>
      </c>
      <c r="H91" s="526"/>
      <c r="I91" s="59"/>
      <c r="J91" s="77"/>
      <c r="K91" s="518"/>
      <c r="L91" s="526"/>
      <c r="M91" s="77"/>
    </row>
    <row r="92" spans="1:13" ht="13" x14ac:dyDescent="0.25">
      <c r="A92" s="657">
        <v>1307</v>
      </c>
      <c r="B92" s="373" t="s">
        <v>741</v>
      </c>
      <c r="C92" s="360">
        <v>1550</v>
      </c>
      <c r="D92" s="54">
        <v>301</v>
      </c>
      <c r="E92" s="366">
        <f t="shared" si="1"/>
        <v>0.19419354838709676</v>
      </c>
      <c r="F92" s="527">
        <v>227</v>
      </c>
      <c r="G92" s="53"/>
      <c r="H92" s="527"/>
      <c r="I92" s="45"/>
      <c r="J92" s="77"/>
      <c r="K92" s="53"/>
      <c r="L92" s="527"/>
      <c r="M92" s="73"/>
    </row>
    <row r="93" spans="1:13" ht="13" x14ac:dyDescent="0.25">
      <c r="A93" s="657">
        <v>1308</v>
      </c>
      <c r="B93" s="373" t="s">
        <v>742</v>
      </c>
      <c r="C93" s="360">
        <v>891</v>
      </c>
      <c r="D93" s="54">
        <v>64</v>
      </c>
      <c r="E93" s="366">
        <f t="shared" si="1"/>
        <v>7.1829405162738502E-2</v>
      </c>
      <c r="F93" s="526"/>
      <c r="G93" s="518">
        <v>42</v>
      </c>
      <c r="H93" s="526"/>
      <c r="I93" s="59"/>
      <c r="J93" s="77"/>
      <c r="K93" s="518"/>
      <c r="L93" s="526"/>
      <c r="M93" s="77"/>
    </row>
    <row r="94" spans="1:13" ht="13" x14ac:dyDescent="0.25">
      <c r="A94" s="657">
        <v>1401</v>
      </c>
      <c r="B94" s="373" t="s">
        <v>226</v>
      </c>
      <c r="C94" s="360">
        <v>1284</v>
      </c>
      <c r="D94" s="54">
        <v>765</v>
      </c>
      <c r="E94" s="366">
        <f t="shared" si="1"/>
        <v>0.59579439252336452</v>
      </c>
      <c r="F94" s="526"/>
      <c r="G94" s="518">
        <v>516</v>
      </c>
      <c r="H94" s="526"/>
      <c r="I94" s="59"/>
      <c r="J94" s="77"/>
      <c r="K94" s="518"/>
      <c r="L94" s="526"/>
      <c r="M94" s="77"/>
    </row>
    <row r="95" spans="1:13" ht="13" x14ac:dyDescent="0.25">
      <c r="A95" s="657">
        <v>1402</v>
      </c>
      <c r="B95" s="373" t="s">
        <v>227</v>
      </c>
      <c r="C95" s="360">
        <v>1222</v>
      </c>
      <c r="D95" s="54">
        <v>558</v>
      </c>
      <c r="E95" s="366">
        <f t="shared" si="1"/>
        <v>0.45662847790507366</v>
      </c>
      <c r="F95" s="526"/>
      <c r="G95" s="518">
        <v>416</v>
      </c>
      <c r="H95" s="526"/>
      <c r="I95" s="59"/>
      <c r="J95" s="77"/>
      <c r="K95" s="518"/>
      <c r="L95" s="526"/>
      <c r="M95" s="77"/>
    </row>
    <row r="96" spans="1:13" ht="13" x14ac:dyDescent="0.25">
      <c r="A96" s="657">
        <v>1403</v>
      </c>
      <c r="B96" s="373" t="s">
        <v>228</v>
      </c>
      <c r="C96" s="360">
        <v>487</v>
      </c>
      <c r="D96" s="54">
        <v>351</v>
      </c>
      <c r="E96" s="366">
        <f t="shared" si="1"/>
        <v>0.72073921971252564</v>
      </c>
      <c r="F96" s="526"/>
      <c r="G96" s="518">
        <v>191</v>
      </c>
      <c r="H96" s="526"/>
      <c r="I96" s="59"/>
      <c r="J96" s="77"/>
      <c r="K96" s="518"/>
      <c r="L96" s="526"/>
      <c r="M96" s="77"/>
    </row>
    <row r="97" spans="1:13" ht="13" x14ac:dyDescent="0.25">
      <c r="A97" s="657">
        <v>1404</v>
      </c>
      <c r="B97" s="373" t="s">
        <v>229</v>
      </c>
      <c r="C97" s="360">
        <v>1471</v>
      </c>
      <c r="D97" s="54">
        <v>843</v>
      </c>
      <c r="E97" s="366">
        <f t="shared" si="1"/>
        <v>0.57307953772943576</v>
      </c>
      <c r="F97" s="526"/>
      <c r="G97" s="518">
        <v>557</v>
      </c>
      <c r="H97" s="526"/>
      <c r="I97" s="59"/>
      <c r="J97" s="77"/>
      <c r="K97" s="518"/>
      <c r="L97" s="526"/>
      <c r="M97" s="77"/>
    </row>
    <row r="98" spans="1:13" ht="13" x14ac:dyDescent="0.25">
      <c r="A98" s="657">
        <v>1405</v>
      </c>
      <c r="B98" s="373" t="s">
        <v>230</v>
      </c>
      <c r="C98" s="360">
        <v>1257</v>
      </c>
      <c r="D98" s="54">
        <v>683</v>
      </c>
      <c r="E98" s="366">
        <f t="shared" si="1"/>
        <v>0.54335719968178198</v>
      </c>
      <c r="F98" s="526"/>
      <c r="G98" s="518">
        <v>453</v>
      </c>
      <c r="H98" s="526"/>
      <c r="I98" s="59"/>
      <c r="J98" s="77"/>
      <c r="K98" s="518"/>
      <c r="L98" s="526"/>
      <c r="M98" s="77"/>
    </row>
    <row r="99" spans="1:13" ht="13" x14ac:dyDescent="0.25">
      <c r="A99" s="657">
        <v>1406</v>
      </c>
      <c r="B99" s="373" t="s">
        <v>231</v>
      </c>
      <c r="C99" s="360">
        <v>990</v>
      </c>
      <c r="D99" s="54">
        <v>648</v>
      </c>
      <c r="E99" s="366">
        <f t="shared" si="1"/>
        <v>0.65454545454545454</v>
      </c>
      <c r="F99" s="526"/>
      <c r="G99" s="518">
        <v>455</v>
      </c>
      <c r="H99" s="526"/>
      <c r="I99" s="59"/>
      <c r="J99" s="77"/>
      <c r="K99" s="518"/>
      <c r="L99" s="526"/>
      <c r="M99" s="77"/>
    </row>
    <row r="100" spans="1:13" ht="13" x14ac:dyDescent="0.25">
      <c r="A100" s="657">
        <v>1407</v>
      </c>
      <c r="B100" s="373" t="s">
        <v>232</v>
      </c>
      <c r="C100" s="360">
        <v>1042</v>
      </c>
      <c r="D100" s="54">
        <v>701</v>
      </c>
      <c r="E100" s="366">
        <f t="shared" si="1"/>
        <v>0.67274472168905952</v>
      </c>
      <c r="F100" s="526"/>
      <c r="G100" s="518">
        <v>448</v>
      </c>
      <c r="H100" s="526"/>
      <c r="I100" s="59"/>
      <c r="J100" s="77"/>
      <c r="K100" s="518"/>
      <c r="L100" s="526"/>
      <c r="M100" s="77"/>
    </row>
    <row r="101" spans="1:13" ht="13" x14ac:dyDescent="0.25">
      <c r="A101" s="657">
        <v>1408</v>
      </c>
      <c r="B101" s="373" t="s">
        <v>233</v>
      </c>
      <c r="C101" s="360">
        <v>1296</v>
      </c>
      <c r="D101" s="54">
        <v>699</v>
      </c>
      <c r="E101" s="366">
        <f t="shared" si="1"/>
        <v>0.53935185185185186</v>
      </c>
      <c r="F101" s="526"/>
      <c r="G101" s="518">
        <v>474</v>
      </c>
      <c r="H101" s="526"/>
      <c r="I101" s="59"/>
      <c r="J101" s="77"/>
      <c r="K101" s="518"/>
      <c r="L101" s="526"/>
      <c r="M101" s="77"/>
    </row>
    <row r="102" spans="1:13" ht="13" x14ac:dyDescent="0.25">
      <c r="A102" s="657">
        <v>1409</v>
      </c>
      <c r="B102" s="373" t="s">
        <v>234</v>
      </c>
      <c r="C102" s="360">
        <v>1410</v>
      </c>
      <c r="D102" s="54">
        <v>664</v>
      </c>
      <c r="E102" s="366">
        <f t="shared" si="1"/>
        <v>0.47092198581560285</v>
      </c>
      <c r="F102" s="526"/>
      <c r="G102" s="518">
        <v>454</v>
      </c>
      <c r="H102" s="526"/>
      <c r="I102" s="59"/>
      <c r="J102" s="77"/>
      <c r="K102" s="518"/>
      <c r="L102" s="526"/>
      <c r="M102" s="77"/>
    </row>
    <row r="103" spans="1:13" ht="13" x14ac:dyDescent="0.25">
      <c r="A103" s="657">
        <v>1501</v>
      </c>
      <c r="B103" s="373" t="s">
        <v>235</v>
      </c>
      <c r="C103" s="360">
        <v>1221</v>
      </c>
      <c r="D103" s="54">
        <v>708</v>
      </c>
      <c r="E103" s="366">
        <f t="shared" si="1"/>
        <v>0.57985257985257987</v>
      </c>
      <c r="F103" s="526"/>
      <c r="G103" s="518">
        <v>459</v>
      </c>
      <c r="H103" s="526"/>
      <c r="I103" s="59"/>
      <c r="J103" s="77"/>
      <c r="K103" s="518"/>
      <c r="L103" s="526"/>
      <c r="M103" s="77"/>
    </row>
    <row r="104" spans="1:13" ht="13" x14ac:dyDescent="0.25">
      <c r="A104" s="657">
        <v>1502</v>
      </c>
      <c r="B104" s="373" t="s">
        <v>236</v>
      </c>
      <c r="C104" s="360">
        <v>1488</v>
      </c>
      <c r="D104" s="54">
        <v>734</v>
      </c>
      <c r="E104" s="366">
        <f t="shared" si="1"/>
        <v>0.49327956989247312</v>
      </c>
      <c r="F104" s="526"/>
      <c r="G104" s="518">
        <v>485</v>
      </c>
      <c r="H104" s="526"/>
      <c r="I104" s="59"/>
      <c r="J104" s="77"/>
      <c r="K104" s="518"/>
      <c r="L104" s="526"/>
      <c r="M104" s="77"/>
    </row>
    <row r="105" spans="1:13" ht="13" x14ac:dyDescent="0.25">
      <c r="A105" s="657">
        <v>1503</v>
      </c>
      <c r="B105" s="373" t="s">
        <v>237</v>
      </c>
      <c r="C105" s="360">
        <v>1018</v>
      </c>
      <c r="D105" s="54">
        <v>244</v>
      </c>
      <c r="E105" s="366">
        <f t="shared" si="1"/>
        <v>0.23968565815324164</v>
      </c>
      <c r="F105" s="527">
        <v>178</v>
      </c>
      <c r="G105" s="53"/>
      <c r="H105" s="527"/>
      <c r="I105" s="45"/>
      <c r="J105" s="77"/>
      <c r="K105" s="53"/>
      <c r="L105" s="527"/>
      <c r="M105" s="73"/>
    </row>
    <row r="106" spans="1:13" ht="13" x14ac:dyDescent="0.25">
      <c r="A106" s="657">
        <v>1504</v>
      </c>
      <c r="B106" s="373" t="s">
        <v>238</v>
      </c>
      <c r="C106" s="360">
        <v>821</v>
      </c>
      <c r="D106" s="54">
        <v>321</v>
      </c>
      <c r="E106" s="366">
        <f t="shared" si="1"/>
        <v>0.39098660170523752</v>
      </c>
      <c r="F106" s="527">
        <v>238</v>
      </c>
      <c r="G106" s="53"/>
      <c r="H106" s="527"/>
      <c r="I106" s="45"/>
      <c r="J106" s="77"/>
      <c r="K106" s="53"/>
      <c r="L106" s="527"/>
      <c r="M106" s="73"/>
    </row>
    <row r="107" spans="1:13" ht="13" x14ac:dyDescent="0.25">
      <c r="A107" s="657">
        <v>1505</v>
      </c>
      <c r="B107" s="373" t="s">
        <v>239</v>
      </c>
      <c r="C107" s="360">
        <v>1429</v>
      </c>
      <c r="D107" s="54">
        <v>731</v>
      </c>
      <c r="E107" s="366">
        <f t="shared" si="1"/>
        <v>0.5115465360391882</v>
      </c>
      <c r="F107" s="526"/>
      <c r="G107" s="518">
        <v>479</v>
      </c>
      <c r="H107" s="526"/>
      <c r="I107" s="59"/>
      <c r="J107" s="77"/>
      <c r="K107" s="518"/>
      <c r="L107" s="526"/>
      <c r="M107" s="77"/>
    </row>
    <row r="108" spans="1:13" ht="13" x14ac:dyDescent="0.25">
      <c r="A108" s="657">
        <v>1506</v>
      </c>
      <c r="B108" s="373" t="s">
        <v>240</v>
      </c>
      <c r="C108" s="360">
        <v>1165</v>
      </c>
      <c r="D108" s="54">
        <v>519</v>
      </c>
      <c r="E108" s="366">
        <f t="shared" si="1"/>
        <v>0.44549356223175968</v>
      </c>
      <c r="F108" s="526"/>
      <c r="G108" s="518">
        <v>344</v>
      </c>
      <c r="H108" s="526"/>
      <c r="I108" s="59"/>
      <c r="J108" s="77"/>
      <c r="K108" s="518"/>
      <c r="L108" s="526"/>
      <c r="M108" s="77"/>
    </row>
    <row r="109" spans="1:13" ht="13" x14ac:dyDescent="0.25">
      <c r="A109" s="657">
        <v>1507</v>
      </c>
      <c r="B109" s="373" t="s">
        <v>241</v>
      </c>
      <c r="C109" s="360">
        <v>705</v>
      </c>
      <c r="D109" s="54">
        <v>340</v>
      </c>
      <c r="E109" s="366">
        <f t="shared" si="1"/>
        <v>0.48226950354609927</v>
      </c>
      <c r="F109" s="526"/>
      <c r="G109" s="518">
        <v>216</v>
      </c>
      <c r="H109" s="526"/>
      <c r="I109" s="59"/>
      <c r="J109" s="77"/>
      <c r="K109" s="518"/>
      <c r="L109" s="526"/>
      <c r="M109" s="77"/>
    </row>
    <row r="110" spans="1:13" ht="13" x14ac:dyDescent="0.25">
      <c r="A110" s="657">
        <v>1508</v>
      </c>
      <c r="B110" s="373" t="s">
        <v>242</v>
      </c>
      <c r="C110" s="360">
        <v>1183</v>
      </c>
      <c r="D110" s="54">
        <v>799</v>
      </c>
      <c r="E110" s="366">
        <f t="shared" si="1"/>
        <v>0.6754015215553677</v>
      </c>
      <c r="F110" s="526"/>
      <c r="G110" s="518">
        <v>492</v>
      </c>
      <c r="H110" s="526"/>
      <c r="I110" s="59"/>
      <c r="J110" s="77"/>
      <c r="K110" s="518"/>
      <c r="L110" s="526"/>
      <c r="M110" s="77"/>
    </row>
    <row r="111" spans="1:13" ht="13" x14ac:dyDescent="0.25">
      <c r="A111" s="657">
        <v>1509</v>
      </c>
      <c r="B111" s="373" t="s">
        <v>243</v>
      </c>
      <c r="C111" s="360">
        <v>1050</v>
      </c>
      <c r="D111" s="54">
        <v>470</v>
      </c>
      <c r="E111" s="366">
        <f t="shared" si="1"/>
        <v>0.44761904761904764</v>
      </c>
      <c r="F111" s="526"/>
      <c r="G111" s="518">
        <v>317</v>
      </c>
      <c r="H111" s="526"/>
      <c r="I111" s="59"/>
      <c r="J111" s="77"/>
      <c r="K111" s="518"/>
      <c r="L111" s="526"/>
      <c r="M111" s="77"/>
    </row>
    <row r="112" spans="1:13" ht="13" x14ac:dyDescent="0.25">
      <c r="A112" s="657">
        <v>1510</v>
      </c>
      <c r="B112" s="373" t="s">
        <v>244</v>
      </c>
      <c r="C112" s="360">
        <v>808</v>
      </c>
      <c r="D112" s="54">
        <v>210</v>
      </c>
      <c r="E112" s="366">
        <f t="shared" si="1"/>
        <v>0.25990099009900991</v>
      </c>
      <c r="F112" s="527">
        <v>154</v>
      </c>
      <c r="G112" s="53"/>
      <c r="H112" s="527"/>
      <c r="I112" s="45"/>
      <c r="J112" s="77"/>
      <c r="K112" s="53"/>
      <c r="L112" s="527"/>
      <c r="M112" s="73"/>
    </row>
    <row r="113" spans="1:13" ht="13" x14ac:dyDescent="0.25">
      <c r="A113" s="657">
        <v>1601</v>
      </c>
      <c r="B113" s="373" t="s">
        <v>245</v>
      </c>
      <c r="C113" s="360">
        <v>1451</v>
      </c>
      <c r="D113" s="54">
        <v>280</v>
      </c>
      <c r="E113" s="366">
        <f t="shared" si="1"/>
        <v>0.19297036526533426</v>
      </c>
      <c r="F113" s="527">
        <v>168</v>
      </c>
      <c r="G113" s="53"/>
      <c r="H113" s="527"/>
      <c r="I113" s="45"/>
      <c r="J113" s="77"/>
      <c r="K113" s="53"/>
      <c r="L113" s="527"/>
      <c r="M113" s="73"/>
    </row>
    <row r="114" spans="1:13" ht="13" x14ac:dyDescent="0.25">
      <c r="A114" s="657">
        <v>1701</v>
      </c>
      <c r="B114" s="373" t="s">
        <v>246</v>
      </c>
      <c r="C114" s="360">
        <v>1596</v>
      </c>
      <c r="D114" s="54">
        <v>385</v>
      </c>
      <c r="E114" s="366">
        <f t="shared" si="1"/>
        <v>0.2412280701754386</v>
      </c>
      <c r="F114" s="527">
        <v>267</v>
      </c>
      <c r="G114" s="53"/>
      <c r="H114" s="527"/>
      <c r="I114" s="45"/>
      <c r="J114" s="77"/>
      <c r="K114" s="53"/>
      <c r="L114" s="527"/>
      <c r="M114" s="73"/>
    </row>
    <row r="115" spans="1:13" ht="13" x14ac:dyDescent="0.25">
      <c r="A115" s="657">
        <v>1702</v>
      </c>
      <c r="B115" s="373" t="s">
        <v>247</v>
      </c>
      <c r="C115" s="360">
        <v>1674</v>
      </c>
      <c r="D115" s="54">
        <v>494</v>
      </c>
      <c r="E115" s="366">
        <f t="shared" si="1"/>
        <v>0.29510155316606929</v>
      </c>
      <c r="F115" s="527">
        <v>311</v>
      </c>
      <c r="G115" s="53"/>
      <c r="H115" s="527"/>
      <c r="I115" s="45"/>
      <c r="J115" s="77"/>
      <c r="K115" s="53"/>
      <c r="L115" s="527"/>
      <c r="M115" s="73"/>
    </row>
    <row r="116" spans="1:13" ht="13" x14ac:dyDescent="0.25">
      <c r="A116" s="657">
        <v>1703</v>
      </c>
      <c r="B116" s="373" t="s">
        <v>248</v>
      </c>
      <c r="C116" s="360">
        <v>1155</v>
      </c>
      <c r="D116" s="54">
        <v>337</v>
      </c>
      <c r="E116" s="366">
        <f t="shared" si="1"/>
        <v>0.2917748917748918</v>
      </c>
      <c r="F116" s="527">
        <v>221</v>
      </c>
      <c r="G116" s="53"/>
      <c r="H116" s="527"/>
      <c r="I116" s="45"/>
      <c r="J116" s="77"/>
      <c r="K116" s="53"/>
      <c r="L116" s="527"/>
      <c r="M116" s="73"/>
    </row>
    <row r="117" spans="1:13" ht="13" x14ac:dyDescent="0.25">
      <c r="A117" s="657">
        <v>1801</v>
      </c>
      <c r="B117" s="373" t="s">
        <v>249</v>
      </c>
      <c r="C117" s="360">
        <v>1066</v>
      </c>
      <c r="D117" s="54">
        <v>256</v>
      </c>
      <c r="E117" s="366">
        <f t="shared" si="1"/>
        <v>0.24015009380863039</v>
      </c>
      <c r="F117" s="527">
        <v>167</v>
      </c>
      <c r="G117" s="53"/>
      <c r="H117" s="527"/>
      <c r="I117" s="45"/>
      <c r="J117" s="77"/>
      <c r="K117" s="53"/>
      <c r="L117" s="527"/>
      <c r="M117" s="73"/>
    </row>
    <row r="118" spans="1:13" ht="13" x14ac:dyDescent="0.25">
      <c r="A118" s="657">
        <v>1802</v>
      </c>
      <c r="B118" s="373" t="s">
        <v>250</v>
      </c>
      <c r="C118" s="360">
        <v>794</v>
      </c>
      <c r="D118" s="54">
        <v>123</v>
      </c>
      <c r="E118" s="366">
        <f t="shared" si="1"/>
        <v>0.15491183879093198</v>
      </c>
      <c r="F118" s="527">
        <v>94</v>
      </c>
      <c r="G118" s="53"/>
      <c r="H118" s="527"/>
      <c r="I118" s="45"/>
      <c r="J118" s="77"/>
      <c r="K118" s="53"/>
      <c r="L118" s="527"/>
      <c r="M118" s="73"/>
    </row>
    <row r="119" spans="1:13" ht="13" x14ac:dyDescent="0.25">
      <c r="A119" s="657">
        <v>1901</v>
      </c>
      <c r="B119" s="373" t="s">
        <v>251</v>
      </c>
      <c r="C119" s="360">
        <v>973</v>
      </c>
      <c r="D119" s="54">
        <v>405</v>
      </c>
      <c r="E119" s="366">
        <f t="shared" si="1"/>
        <v>0.41623843782117165</v>
      </c>
      <c r="F119" s="526"/>
      <c r="G119" s="518"/>
      <c r="H119" s="526"/>
      <c r="I119" s="59"/>
      <c r="J119" s="73"/>
      <c r="K119" s="518"/>
      <c r="L119" s="526"/>
      <c r="M119" s="77">
        <v>215</v>
      </c>
    </row>
    <row r="120" spans="1:13" ht="13" x14ac:dyDescent="0.25">
      <c r="A120" s="657">
        <v>1902</v>
      </c>
      <c r="B120" s="373" t="s">
        <v>252</v>
      </c>
      <c r="C120" s="360">
        <v>1311</v>
      </c>
      <c r="D120" s="54">
        <v>680</v>
      </c>
      <c r="E120" s="366">
        <f t="shared" si="1"/>
        <v>0.5186880244088482</v>
      </c>
      <c r="F120" s="526"/>
      <c r="G120" s="518"/>
      <c r="H120" s="526"/>
      <c r="I120" s="59"/>
      <c r="J120" s="73"/>
      <c r="K120" s="518"/>
      <c r="L120" s="526"/>
      <c r="M120" s="77">
        <v>375</v>
      </c>
    </row>
    <row r="121" spans="1:13" ht="13" x14ac:dyDescent="0.25">
      <c r="A121" s="657">
        <v>1903</v>
      </c>
      <c r="B121" s="373" t="s">
        <v>253</v>
      </c>
      <c r="C121" s="360">
        <v>1281</v>
      </c>
      <c r="D121" s="54">
        <v>410</v>
      </c>
      <c r="E121" s="366">
        <f t="shared" si="1"/>
        <v>0.32006245120999222</v>
      </c>
      <c r="F121" s="526"/>
      <c r="G121" s="518"/>
      <c r="H121" s="526"/>
      <c r="I121" s="59"/>
      <c r="J121" s="73"/>
      <c r="K121" s="518"/>
      <c r="L121" s="526"/>
      <c r="M121" s="77">
        <v>229</v>
      </c>
    </row>
    <row r="122" spans="1:13" ht="13" x14ac:dyDescent="0.25">
      <c r="A122" s="657">
        <v>1904</v>
      </c>
      <c r="B122" s="373" t="s">
        <v>254</v>
      </c>
      <c r="C122" s="360">
        <v>454</v>
      </c>
      <c r="D122" s="54">
        <v>47</v>
      </c>
      <c r="E122" s="366">
        <f t="shared" si="1"/>
        <v>0.10352422907488987</v>
      </c>
      <c r="F122" s="527">
        <v>22</v>
      </c>
      <c r="G122" s="53"/>
      <c r="H122" s="527"/>
      <c r="I122" s="45"/>
      <c r="J122" s="77"/>
      <c r="K122" s="53"/>
      <c r="L122" s="527"/>
      <c r="M122" s="73"/>
    </row>
    <row r="123" spans="1:13" ht="13" x14ac:dyDescent="0.25">
      <c r="A123" s="657">
        <v>2001</v>
      </c>
      <c r="B123" s="373" t="s">
        <v>255</v>
      </c>
      <c r="C123" s="360">
        <v>1278</v>
      </c>
      <c r="D123" s="54">
        <v>278</v>
      </c>
      <c r="E123" s="366">
        <f t="shared" si="1"/>
        <v>0.21752738654147105</v>
      </c>
      <c r="F123" s="526"/>
      <c r="G123" s="518"/>
      <c r="H123" s="526"/>
      <c r="I123" s="59"/>
      <c r="J123" s="73"/>
      <c r="K123" s="518"/>
      <c r="L123" s="526"/>
      <c r="M123" s="77">
        <v>138</v>
      </c>
    </row>
    <row r="124" spans="1:13" ht="13" x14ac:dyDescent="0.25">
      <c r="A124" s="657">
        <v>2002</v>
      </c>
      <c r="B124" s="373" t="s">
        <v>256</v>
      </c>
      <c r="C124" s="360">
        <v>1041</v>
      </c>
      <c r="D124" s="54">
        <v>254</v>
      </c>
      <c r="E124" s="366">
        <f t="shared" si="1"/>
        <v>0.24399615754082613</v>
      </c>
      <c r="F124" s="526"/>
      <c r="G124" s="518"/>
      <c r="H124" s="526"/>
      <c r="I124" s="59"/>
      <c r="J124" s="73"/>
      <c r="K124" s="518"/>
      <c r="L124" s="526"/>
      <c r="M124" s="77">
        <v>110</v>
      </c>
    </row>
    <row r="125" spans="1:13" ht="13" x14ac:dyDescent="0.25">
      <c r="A125" s="657">
        <v>2003</v>
      </c>
      <c r="B125" s="373" t="s">
        <v>257</v>
      </c>
      <c r="C125" s="360">
        <v>1532</v>
      </c>
      <c r="D125" s="54">
        <v>540</v>
      </c>
      <c r="E125" s="366">
        <f t="shared" si="1"/>
        <v>0.35248041775456918</v>
      </c>
      <c r="F125" s="526"/>
      <c r="G125" s="518"/>
      <c r="H125" s="526"/>
      <c r="I125" s="59"/>
      <c r="J125" s="73"/>
      <c r="K125" s="518"/>
      <c r="L125" s="526"/>
      <c r="M125" s="77">
        <v>262</v>
      </c>
    </row>
    <row r="126" spans="1:13" ht="13" x14ac:dyDescent="0.25">
      <c r="A126" s="657">
        <v>2004</v>
      </c>
      <c r="B126" s="373" t="s">
        <v>258</v>
      </c>
      <c r="C126" s="360">
        <v>1462</v>
      </c>
      <c r="D126" s="54">
        <v>473</v>
      </c>
      <c r="E126" s="366">
        <f t="shared" si="1"/>
        <v>0.3235294117647059</v>
      </c>
      <c r="F126" s="526"/>
      <c r="G126" s="518"/>
      <c r="H126" s="526"/>
      <c r="I126" s="59"/>
      <c r="J126" s="73"/>
      <c r="K126" s="518"/>
      <c r="L126" s="526"/>
      <c r="M126" s="77">
        <v>231</v>
      </c>
    </row>
    <row r="127" spans="1:13" ht="13" x14ac:dyDescent="0.25">
      <c r="A127" s="657">
        <v>2005</v>
      </c>
      <c r="B127" s="373" t="s">
        <v>746</v>
      </c>
      <c r="C127" s="360">
        <v>1108</v>
      </c>
      <c r="D127" s="54">
        <v>180</v>
      </c>
      <c r="E127" s="366">
        <f t="shared" si="1"/>
        <v>0.16245487364620939</v>
      </c>
      <c r="F127" s="526"/>
      <c r="G127" s="518"/>
      <c r="H127" s="526"/>
      <c r="I127" s="59"/>
      <c r="J127" s="73"/>
      <c r="K127" s="518"/>
      <c r="L127" s="526"/>
      <c r="M127" s="77">
        <v>102</v>
      </c>
    </row>
    <row r="128" spans="1:13" ht="13" x14ac:dyDescent="0.25">
      <c r="A128" s="657">
        <v>2101</v>
      </c>
      <c r="B128" s="373" t="s">
        <v>259</v>
      </c>
      <c r="C128" s="360">
        <v>610</v>
      </c>
      <c r="D128" s="54">
        <v>153</v>
      </c>
      <c r="E128" s="366">
        <f t="shared" si="1"/>
        <v>0.25081967213114753</v>
      </c>
      <c r="F128" s="526"/>
      <c r="G128" s="518"/>
      <c r="H128" s="526"/>
      <c r="I128" s="59"/>
      <c r="J128" s="73"/>
      <c r="K128" s="518"/>
      <c r="L128" s="526"/>
      <c r="M128" s="77">
        <v>82</v>
      </c>
    </row>
    <row r="129" spans="1:13" ht="13" x14ac:dyDescent="0.25">
      <c r="A129" s="657">
        <v>2102</v>
      </c>
      <c r="B129" s="373" t="s">
        <v>260</v>
      </c>
      <c r="C129" s="360">
        <v>863</v>
      </c>
      <c r="D129" s="54">
        <v>125</v>
      </c>
      <c r="E129" s="366">
        <f t="shared" si="1"/>
        <v>0.14484356894553882</v>
      </c>
      <c r="F129" s="527">
        <v>86</v>
      </c>
      <c r="G129" s="53"/>
      <c r="H129" s="527"/>
      <c r="I129" s="45"/>
      <c r="J129" s="77"/>
      <c r="K129" s="53"/>
      <c r="L129" s="527"/>
      <c r="M129" s="73"/>
    </row>
    <row r="130" spans="1:13" ht="13" x14ac:dyDescent="0.25">
      <c r="A130" s="657">
        <v>2103</v>
      </c>
      <c r="B130" s="373" t="s">
        <v>261</v>
      </c>
      <c r="C130" s="360">
        <v>1128</v>
      </c>
      <c r="D130" s="54">
        <v>202</v>
      </c>
      <c r="E130" s="366">
        <f t="shared" si="1"/>
        <v>0.17907801418439717</v>
      </c>
      <c r="F130" s="526"/>
      <c r="G130" s="518"/>
      <c r="H130" s="526"/>
      <c r="I130" s="59"/>
      <c r="J130" s="73"/>
      <c r="K130" s="518"/>
      <c r="L130" s="526"/>
      <c r="M130" s="77">
        <v>102</v>
      </c>
    </row>
    <row r="131" spans="1:13" ht="13" x14ac:dyDescent="0.25">
      <c r="A131" s="657">
        <v>2104</v>
      </c>
      <c r="B131" s="373" t="s">
        <v>262</v>
      </c>
      <c r="C131" s="360">
        <v>936</v>
      </c>
      <c r="D131" s="54">
        <v>178</v>
      </c>
      <c r="E131" s="366">
        <f t="shared" si="1"/>
        <v>0.19017094017094016</v>
      </c>
      <c r="F131" s="526"/>
      <c r="G131" s="518"/>
      <c r="H131" s="526"/>
      <c r="I131" s="59"/>
      <c r="J131" s="73"/>
      <c r="K131" s="518"/>
      <c r="L131" s="526"/>
      <c r="M131" s="77">
        <v>79</v>
      </c>
    </row>
    <row r="132" spans="1:13" ht="13" x14ac:dyDescent="0.25">
      <c r="A132" s="657">
        <v>2105</v>
      </c>
      <c r="B132" s="373" t="s">
        <v>747</v>
      </c>
      <c r="C132" s="360">
        <v>829</v>
      </c>
      <c r="D132" s="54">
        <v>127</v>
      </c>
      <c r="E132" s="366">
        <f t="shared" si="1"/>
        <v>0.15319662243667068</v>
      </c>
      <c r="F132" s="527">
        <v>94</v>
      </c>
      <c r="G132" s="53"/>
      <c r="H132" s="527"/>
      <c r="I132" s="45"/>
      <c r="J132" s="77"/>
      <c r="K132" s="53"/>
      <c r="L132" s="527"/>
      <c r="M132" s="73"/>
    </row>
    <row r="133" spans="1:13" ht="13" x14ac:dyDescent="0.25">
      <c r="A133" s="657">
        <v>2201</v>
      </c>
      <c r="B133" s="373" t="s">
        <v>263</v>
      </c>
      <c r="C133" s="360">
        <v>1515</v>
      </c>
      <c r="D133" s="54">
        <v>717</v>
      </c>
      <c r="E133" s="366">
        <f t="shared" ref="E133:E196" si="2">SUM(D133/C133)</f>
        <v>0.47326732673267324</v>
      </c>
      <c r="F133" s="526"/>
      <c r="G133" s="518">
        <v>468</v>
      </c>
      <c r="H133" s="526"/>
      <c r="I133" s="59"/>
      <c r="J133" s="77"/>
      <c r="K133" s="518"/>
      <c r="L133" s="526"/>
      <c r="M133" s="77"/>
    </row>
    <row r="134" spans="1:13" ht="13" x14ac:dyDescent="0.25">
      <c r="A134" s="657">
        <v>2202</v>
      </c>
      <c r="B134" s="373" t="s">
        <v>264</v>
      </c>
      <c r="C134" s="360">
        <v>1150</v>
      </c>
      <c r="D134" s="54">
        <v>295</v>
      </c>
      <c r="E134" s="366">
        <f t="shared" si="2"/>
        <v>0.2565217391304348</v>
      </c>
      <c r="F134" s="527">
        <v>199</v>
      </c>
      <c r="G134" s="53"/>
      <c r="H134" s="527"/>
      <c r="I134" s="45"/>
      <c r="J134" s="77"/>
      <c r="K134" s="53"/>
      <c r="L134" s="527"/>
      <c r="M134" s="73"/>
    </row>
    <row r="135" spans="1:13" ht="13" x14ac:dyDescent="0.25">
      <c r="A135" s="657">
        <v>2203</v>
      </c>
      <c r="B135" s="373" t="s">
        <v>265</v>
      </c>
      <c r="C135" s="360">
        <v>1484</v>
      </c>
      <c r="D135" s="54">
        <v>191</v>
      </c>
      <c r="E135" s="366">
        <f t="shared" si="2"/>
        <v>0.12870619946091644</v>
      </c>
      <c r="F135" s="527">
        <v>141</v>
      </c>
      <c r="G135" s="53"/>
      <c r="H135" s="527"/>
      <c r="I135" s="45"/>
      <c r="J135" s="77"/>
      <c r="K135" s="53"/>
      <c r="L135" s="527"/>
      <c r="M135" s="73"/>
    </row>
    <row r="136" spans="1:13" ht="13" x14ac:dyDescent="0.25">
      <c r="A136" s="657">
        <v>2301</v>
      </c>
      <c r="B136" s="373" t="s">
        <v>266</v>
      </c>
      <c r="C136" s="360">
        <v>1509</v>
      </c>
      <c r="D136" s="54">
        <v>709</v>
      </c>
      <c r="E136" s="366">
        <f t="shared" si="2"/>
        <v>0.46984758117958914</v>
      </c>
      <c r="F136" s="526"/>
      <c r="G136" s="518">
        <v>456</v>
      </c>
      <c r="H136" s="526"/>
      <c r="I136" s="59"/>
      <c r="J136" s="77"/>
      <c r="K136" s="518"/>
      <c r="L136" s="526"/>
      <c r="M136" s="77"/>
    </row>
    <row r="137" spans="1:13" ht="13" x14ac:dyDescent="0.25">
      <c r="A137" s="657">
        <v>2302</v>
      </c>
      <c r="B137" s="373" t="s">
        <v>267</v>
      </c>
      <c r="C137" s="360">
        <v>1548</v>
      </c>
      <c r="D137" s="54">
        <v>239</v>
      </c>
      <c r="E137" s="366">
        <f t="shared" si="2"/>
        <v>0.15439276485788114</v>
      </c>
      <c r="F137" s="526"/>
      <c r="G137" s="518">
        <v>170</v>
      </c>
      <c r="H137" s="526"/>
      <c r="I137" s="59"/>
      <c r="J137" s="77"/>
      <c r="K137" s="518"/>
      <c r="L137" s="526"/>
      <c r="M137" s="77"/>
    </row>
    <row r="138" spans="1:13" ht="13" x14ac:dyDescent="0.25">
      <c r="A138" s="657">
        <v>2303</v>
      </c>
      <c r="B138" s="373" t="s">
        <v>268</v>
      </c>
      <c r="C138" s="360">
        <v>882</v>
      </c>
      <c r="D138" s="54">
        <v>572</v>
      </c>
      <c r="E138" s="366">
        <f t="shared" si="2"/>
        <v>0.64852607709750565</v>
      </c>
      <c r="F138" s="526"/>
      <c r="G138" s="518">
        <v>369</v>
      </c>
      <c r="H138" s="526"/>
      <c r="I138" s="59"/>
      <c r="J138" s="77"/>
      <c r="K138" s="518"/>
      <c r="L138" s="526"/>
      <c r="M138" s="77"/>
    </row>
    <row r="139" spans="1:13" ht="13" x14ac:dyDescent="0.25">
      <c r="A139" s="657">
        <v>2304</v>
      </c>
      <c r="B139" s="373" t="s">
        <v>269</v>
      </c>
      <c r="C139" s="360">
        <v>1170</v>
      </c>
      <c r="D139" s="54">
        <v>730</v>
      </c>
      <c r="E139" s="366">
        <f t="shared" si="2"/>
        <v>0.62393162393162394</v>
      </c>
      <c r="F139" s="526"/>
      <c r="G139" s="518">
        <v>471</v>
      </c>
      <c r="H139" s="526"/>
      <c r="I139" s="59"/>
      <c r="J139" s="77"/>
      <c r="K139" s="518"/>
      <c r="L139" s="526"/>
      <c r="M139" s="77"/>
    </row>
    <row r="140" spans="1:13" ht="13" x14ac:dyDescent="0.25">
      <c r="A140" s="657">
        <v>2305</v>
      </c>
      <c r="B140" s="373" t="s">
        <v>270</v>
      </c>
      <c r="C140" s="360">
        <v>1036</v>
      </c>
      <c r="D140" s="54">
        <v>351</v>
      </c>
      <c r="E140" s="366">
        <f t="shared" si="2"/>
        <v>0.33880308880308879</v>
      </c>
      <c r="F140" s="526"/>
      <c r="G140" s="518">
        <v>264</v>
      </c>
      <c r="H140" s="526"/>
      <c r="I140" s="59"/>
      <c r="J140" s="77"/>
      <c r="K140" s="518"/>
      <c r="L140" s="526"/>
      <c r="M140" s="77"/>
    </row>
    <row r="141" spans="1:13" ht="13" x14ac:dyDescent="0.25">
      <c r="A141" s="657">
        <v>2306</v>
      </c>
      <c r="B141" s="373" t="s">
        <v>271</v>
      </c>
      <c r="C141" s="360">
        <v>1287</v>
      </c>
      <c r="D141" s="54">
        <v>593</v>
      </c>
      <c r="E141" s="366">
        <f t="shared" si="2"/>
        <v>0.46076146076146074</v>
      </c>
      <c r="F141" s="526"/>
      <c r="G141" s="518">
        <v>400</v>
      </c>
      <c r="H141" s="526"/>
      <c r="I141" s="59"/>
      <c r="J141" s="77"/>
      <c r="K141" s="518"/>
      <c r="L141" s="526"/>
      <c r="M141" s="77"/>
    </row>
    <row r="142" spans="1:13" ht="13" x14ac:dyDescent="0.25">
      <c r="A142" s="657">
        <v>2307</v>
      </c>
      <c r="B142" s="373" t="s">
        <v>272</v>
      </c>
      <c r="C142" s="360">
        <v>575</v>
      </c>
      <c r="D142" s="54">
        <v>220</v>
      </c>
      <c r="E142" s="366">
        <f t="shared" si="2"/>
        <v>0.38260869565217392</v>
      </c>
      <c r="F142" s="526"/>
      <c r="G142" s="518"/>
      <c r="H142" s="526">
        <v>164</v>
      </c>
      <c r="I142" s="59"/>
      <c r="J142" s="77"/>
      <c r="K142" s="518"/>
      <c r="L142" s="526"/>
      <c r="M142" s="77"/>
    </row>
    <row r="143" spans="1:13" ht="13" x14ac:dyDescent="0.25">
      <c r="A143" s="657">
        <v>2308</v>
      </c>
      <c r="B143" s="373" t="s">
        <v>273</v>
      </c>
      <c r="C143" s="360">
        <v>1030</v>
      </c>
      <c r="D143" s="54">
        <v>659</v>
      </c>
      <c r="E143" s="366">
        <f t="shared" si="2"/>
        <v>0.63980582524271845</v>
      </c>
      <c r="F143" s="526"/>
      <c r="G143" s="518"/>
      <c r="H143" s="526">
        <v>402</v>
      </c>
      <c r="I143" s="59"/>
      <c r="J143" s="77"/>
      <c r="K143" s="518"/>
      <c r="L143" s="526"/>
      <c r="M143" s="77"/>
    </row>
    <row r="144" spans="1:13" ht="13" x14ac:dyDescent="0.25">
      <c r="A144" s="657">
        <v>2309</v>
      </c>
      <c r="B144" s="373" t="s">
        <v>274</v>
      </c>
      <c r="C144" s="360">
        <v>994</v>
      </c>
      <c r="D144" s="54">
        <v>548</v>
      </c>
      <c r="E144" s="366">
        <f t="shared" si="2"/>
        <v>0.55130784708249492</v>
      </c>
      <c r="F144" s="526"/>
      <c r="G144" s="518">
        <v>375</v>
      </c>
      <c r="H144" s="526"/>
      <c r="I144" s="59"/>
      <c r="J144" s="77"/>
      <c r="K144" s="518"/>
      <c r="L144" s="526"/>
      <c r="M144" s="77"/>
    </row>
    <row r="145" spans="1:13" ht="13" x14ac:dyDescent="0.25">
      <c r="A145" s="657">
        <v>2310</v>
      </c>
      <c r="B145" s="373" t="s">
        <v>275</v>
      </c>
      <c r="C145" s="360">
        <v>1296</v>
      </c>
      <c r="D145" s="54">
        <v>554</v>
      </c>
      <c r="E145" s="366">
        <f t="shared" si="2"/>
        <v>0.42746913580246915</v>
      </c>
      <c r="F145" s="526"/>
      <c r="G145" s="518">
        <v>378</v>
      </c>
      <c r="H145" s="526"/>
      <c r="I145" s="59"/>
      <c r="J145" s="77"/>
      <c r="K145" s="518"/>
      <c r="L145" s="526"/>
      <c r="M145" s="77"/>
    </row>
    <row r="146" spans="1:13" ht="13" x14ac:dyDescent="0.25">
      <c r="A146" s="657">
        <v>2311</v>
      </c>
      <c r="B146" s="373" t="s">
        <v>276</v>
      </c>
      <c r="C146" s="360">
        <v>1210</v>
      </c>
      <c r="D146" s="54">
        <v>653</v>
      </c>
      <c r="E146" s="366">
        <f t="shared" si="2"/>
        <v>0.53966942148760333</v>
      </c>
      <c r="F146" s="526"/>
      <c r="G146" s="518">
        <v>423</v>
      </c>
      <c r="H146" s="526"/>
      <c r="I146" s="59"/>
      <c r="J146" s="77"/>
      <c r="K146" s="518"/>
      <c r="L146" s="526"/>
      <c r="M146" s="77"/>
    </row>
    <row r="147" spans="1:13" ht="13" x14ac:dyDescent="0.25">
      <c r="A147" s="657">
        <v>2312</v>
      </c>
      <c r="B147" s="373" t="s">
        <v>277</v>
      </c>
      <c r="C147" s="360">
        <v>612</v>
      </c>
      <c r="D147" s="54">
        <v>221</v>
      </c>
      <c r="E147" s="366">
        <f t="shared" si="2"/>
        <v>0.3611111111111111</v>
      </c>
      <c r="F147" s="526"/>
      <c r="G147" s="518">
        <v>165</v>
      </c>
      <c r="H147" s="526"/>
      <c r="I147" s="59"/>
      <c r="J147" s="77"/>
      <c r="K147" s="518"/>
      <c r="L147" s="526"/>
      <c r="M147" s="77"/>
    </row>
    <row r="148" spans="1:13" ht="13" x14ac:dyDescent="0.25">
      <c r="A148" s="657">
        <v>2313</v>
      </c>
      <c r="B148" s="373" t="s">
        <v>278</v>
      </c>
      <c r="C148" s="360">
        <v>1065</v>
      </c>
      <c r="D148" s="54">
        <v>439</v>
      </c>
      <c r="E148" s="366">
        <f t="shared" si="2"/>
        <v>0.41220657276995304</v>
      </c>
      <c r="F148" s="526"/>
      <c r="G148" s="518">
        <v>299</v>
      </c>
      <c r="H148" s="526"/>
      <c r="I148" s="59"/>
      <c r="J148" s="77"/>
      <c r="K148" s="518"/>
      <c r="L148" s="526"/>
      <c r="M148" s="77"/>
    </row>
    <row r="149" spans="1:13" ht="13" x14ac:dyDescent="0.25">
      <c r="A149" s="657">
        <v>2314</v>
      </c>
      <c r="B149" s="373" t="s">
        <v>279</v>
      </c>
      <c r="C149" s="360">
        <v>1191</v>
      </c>
      <c r="D149" s="54">
        <v>600</v>
      </c>
      <c r="E149" s="366">
        <f t="shared" si="2"/>
        <v>0.50377833753148615</v>
      </c>
      <c r="F149" s="526"/>
      <c r="G149" s="518">
        <v>394</v>
      </c>
      <c r="H149" s="526"/>
      <c r="I149" s="59"/>
      <c r="J149" s="77"/>
      <c r="K149" s="518"/>
      <c r="L149" s="526"/>
      <c r="M149" s="77"/>
    </row>
    <row r="150" spans="1:13" ht="13" x14ac:dyDescent="0.25">
      <c r="A150" s="657">
        <v>2315</v>
      </c>
      <c r="B150" s="373" t="s">
        <v>280</v>
      </c>
      <c r="C150" s="360">
        <v>1057</v>
      </c>
      <c r="D150" s="54">
        <v>618</v>
      </c>
      <c r="E150" s="366">
        <f t="shared" si="2"/>
        <v>0.58467360454115425</v>
      </c>
      <c r="F150" s="526"/>
      <c r="G150" s="518"/>
      <c r="H150" s="526">
        <v>448</v>
      </c>
      <c r="I150" s="59"/>
      <c r="J150" s="77"/>
      <c r="K150" s="518"/>
      <c r="L150" s="526"/>
      <c r="M150" s="77"/>
    </row>
    <row r="151" spans="1:13" ht="13" x14ac:dyDescent="0.25">
      <c r="A151" s="657">
        <v>2316</v>
      </c>
      <c r="B151" s="373" t="s">
        <v>281</v>
      </c>
      <c r="C151" s="360">
        <v>1475</v>
      </c>
      <c r="D151" s="54">
        <v>547</v>
      </c>
      <c r="E151" s="366">
        <f t="shared" si="2"/>
        <v>0.37084745762711863</v>
      </c>
      <c r="F151" s="526"/>
      <c r="G151" s="518">
        <v>373</v>
      </c>
      <c r="H151" s="526"/>
      <c r="I151" s="59"/>
      <c r="J151" s="77"/>
      <c r="K151" s="518"/>
      <c r="L151" s="526"/>
      <c r="M151" s="77"/>
    </row>
    <row r="152" spans="1:13" ht="13" x14ac:dyDescent="0.25">
      <c r="A152" s="657">
        <v>2317</v>
      </c>
      <c r="B152" s="373" t="s">
        <v>282</v>
      </c>
      <c r="C152" s="360">
        <v>813</v>
      </c>
      <c r="D152" s="54">
        <v>331</v>
      </c>
      <c r="E152" s="366">
        <f t="shared" si="2"/>
        <v>0.40713407134071339</v>
      </c>
      <c r="F152" s="526"/>
      <c r="G152" s="518">
        <v>203</v>
      </c>
      <c r="H152" s="526"/>
      <c r="I152" s="59"/>
      <c r="J152" s="77"/>
      <c r="K152" s="518"/>
      <c r="L152" s="526"/>
      <c r="M152" s="77"/>
    </row>
    <row r="153" spans="1:13" ht="13" x14ac:dyDescent="0.25">
      <c r="A153" s="657">
        <v>2318</v>
      </c>
      <c r="B153" s="373" t="s">
        <v>283</v>
      </c>
      <c r="C153" s="360">
        <v>673</v>
      </c>
      <c r="D153" s="54">
        <v>271</v>
      </c>
      <c r="E153" s="366">
        <f t="shared" si="2"/>
        <v>0.40267459138187223</v>
      </c>
      <c r="F153" s="526"/>
      <c r="G153" s="518">
        <v>180</v>
      </c>
      <c r="H153" s="526"/>
      <c r="I153" s="59"/>
      <c r="J153" s="77"/>
      <c r="K153" s="518"/>
      <c r="L153" s="526"/>
      <c r="M153" s="77"/>
    </row>
    <row r="154" spans="1:13" ht="13" x14ac:dyDescent="0.25">
      <c r="A154" s="657">
        <v>2401</v>
      </c>
      <c r="B154" s="373" t="s">
        <v>284</v>
      </c>
      <c r="C154" s="360">
        <v>1353</v>
      </c>
      <c r="D154" s="54">
        <v>590</v>
      </c>
      <c r="E154" s="366">
        <f t="shared" si="2"/>
        <v>0.43606799704360683</v>
      </c>
      <c r="F154" s="526"/>
      <c r="G154" s="518">
        <v>416</v>
      </c>
      <c r="H154" s="526"/>
      <c r="I154" s="59"/>
      <c r="J154" s="77"/>
      <c r="K154" s="518"/>
      <c r="L154" s="526"/>
      <c r="M154" s="77"/>
    </row>
    <row r="155" spans="1:13" ht="13" x14ac:dyDescent="0.25">
      <c r="A155" s="657">
        <v>2402</v>
      </c>
      <c r="B155" s="373" t="s">
        <v>285</v>
      </c>
      <c r="C155" s="360">
        <v>1440</v>
      </c>
      <c r="D155" s="54">
        <v>598</v>
      </c>
      <c r="E155" s="366">
        <f t="shared" si="2"/>
        <v>0.4152777777777778</v>
      </c>
      <c r="F155" s="526"/>
      <c r="G155" s="518">
        <v>403</v>
      </c>
      <c r="H155" s="526"/>
      <c r="I155" s="59"/>
      <c r="J155" s="77"/>
      <c r="K155" s="518"/>
      <c r="L155" s="526"/>
      <c r="M155" s="77"/>
    </row>
    <row r="156" spans="1:13" ht="13" x14ac:dyDescent="0.25">
      <c r="A156" s="657">
        <v>2403</v>
      </c>
      <c r="B156" s="373" t="s">
        <v>286</v>
      </c>
      <c r="C156" s="360">
        <v>1386</v>
      </c>
      <c r="D156" s="54">
        <v>338</v>
      </c>
      <c r="E156" s="366">
        <f t="shared" si="2"/>
        <v>0.24386724386724387</v>
      </c>
      <c r="F156" s="526"/>
      <c r="G156" s="518"/>
      <c r="H156" s="526">
        <v>234</v>
      </c>
      <c r="I156" s="59"/>
      <c r="J156" s="77"/>
      <c r="K156" s="518"/>
      <c r="L156" s="526"/>
      <c r="M156" s="77"/>
    </row>
    <row r="157" spans="1:13" ht="13" x14ac:dyDescent="0.25">
      <c r="A157" s="657">
        <v>2404</v>
      </c>
      <c r="B157" s="373" t="s">
        <v>287</v>
      </c>
      <c r="C157" s="360">
        <v>1434</v>
      </c>
      <c r="D157" s="54">
        <v>505</v>
      </c>
      <c r="E157" s="366">
        <f t="shared" si="2"/>
        <v>0.35216178521617852</v>
      </c>
      <c r="F157" s="526"/>
      <c r="G157" s="518"/>
      <c r="H157" s="526">
        <v>356</v>
      </c>
      <c r="I157" s="59"/>
      <c r="J157" s="77"/>
      <c r="K157" s="518"/>
      <c r="L157" s="526"/>
      <c r="M157" s="77"/>
    </row>
    <row r="158" spans="1:13" ht="13" x14ac:dyDescent="0.25">
      <c r="A158" s="657">
        <v>2405</v>
      </c>
      <c r="B158" s="373" t="s">
        <v>288</v>
      </c>
      <c r="C158" s="360">
        <v>920</v>
      </c>
      <c r="D158" s="54">
        <v>99</v>
      </c>
      <c r="E158" s="366">
        <f t="shared" si="2"/>
        <v>0.10760869565217392</v>
      </c>
      <c r="F158" s="526"/>
      <c r="G158" s="518">
        <v>75</v>
      </c>
      <c r="H158" s="526"/>
      <c r="I158" s="59"/>
      <c r="J158" s="77"/>
      <c r="K158" s="518"/>
      <c r="L158" s="526"/>
      <c r="M158" s="77"/>
    </row>
    <row r="159" spans="1:13" ht="13" x14ac:dyDescent="0.25">
      <c r="A159" s="657">
        <v>2406</v>
      </c>
      <c r="B159" s="373" t="s">
        <v>289</v>
      </c>
      <c r="C159" s="360">
        <v>889</v>
      </c>
      <c r="D159" s="54">
        <v>329</v>
      </c>
      <c r="E159" s="366">
        <f t="shared" si="2"/>
        <v>0.37007874015748032</v>
      </c>
      <c r="F159" s="526"/>
      <c r="G159" s="518">
        <v>224</v>
      </c>
      <c r="H159" s="526"/>
      <c r="I159" s="59"/>
      <c r="J159" s="77"/>
      <c r="K159" s="518"/>
      <c r="L159" s="526"/>
      <c r="M159" s="77"/>
    </row>
    <row r="160" spans="1:13" ht="13" x14ac:dyDescent="0.25">
      <c r="A160" s="657">
        <v>2407</v>
      </c>
      <c r="B160" s="373" t="s">
        <v>290</v>
      </c>
      <c r="C160" s="360">
        <v>1354</v>
      </c>
      <c r="D160" s="54">
        <v>563</v>
      </c>
      <c r="E160" s="366">
        <f t="shared" si="2"/>
        <v>0.41580502215657311</v>
      </c>
      <c r="F160" s="526"/>
      <c r="G160" s="518"/>
      <c r="H160" s="526">
        <v>345</v>
      </c>
      <c r="I160" s="59"/>
      <c r="J160" s="77"/>
      <c r="K160" s="518"/>
      <c r="L160" s="526"/>
      <c r="M160" s="77"/>
    </row>
    <row r="161" spans="1:13" ht="13" x14ac:dyDescent="0.25">
      <c r="A161" s="657">
        <v>2408</v>
      </c>
      <c r="B161" s="373" t="s">
        <v>291</v>
      </c>
      <c r="C161" s="360">
        <v>540</v>
      </c>
      <c r="D161" s="54">
        <v>29</v>
      </c>
      <c r="E161" s="366">
        <f t="shared" si="2"/>
        <v>5.3703703703703705E-2</v>
      </c>
      <c r="F161" s="526"/>
      <c r="G161" s="518">
        <v>23</v>
      </c>
      <c r="H161" s="526"/>
      <c r="I161" s="59"/>
      <c r="J161" s="77"/>
      <c r="K161" s="518"/>
      <c r="L161" s="526"/>
      <c r="M161" s="77"/>
    </row>
    <row r="162" spans="1:13" ht="13" x14ac:dyDescent="0.25">
      <c r="A162" s="657">
        <v>2409</v>
      </c>
      <c r="B162" s="373" t="s">
        <v>292</v>
      </c>
      <c r="C162" s="360">
        <v>630</v>
      </c>
      <c r="D162" s="54">
        <v>52</v>
      </c>
      <c r="E162" s="366">
        <f t="shared" si="2"/>
        <v>8.2539682539682538E-2</v>
      </c>
      <c r="F162" s="526"/>
      <c r="G162" s="518">
        <v>39</v>
      </c>
      <c r="H162" s="526"/>
      <c r="I162" s="59"/>
      <c r="J162" s="77"/>
      <c r="K162" s="518"/>
      <c r="L162" s="526"/>
      <c r="M162" s="77"/>
    </row>
    <row r="163" spans="1:13" ht="13" x14ac:dyDescent="0.25">
      <c r="A163" s="657">
        <v>2501</v>
      </c>
      <c r="B163" s="373" t="s">
        <v>293</v>
      </c>
      <c r="C163" s="360">
        <v>1143</v>
      </c>
      <c r="D163" s="54">
        <v>277</v>
      </c>
      <c r="E163" s="366">
        <f t="shared" si="2"/>
        <v>0.24234470691163604</v>
      </c>
      <c r="F163" s="526"/>
      <c r="G163" s="518"/>
      <c r="H163" s="526"/>
      <c r="I163" s="59"/>
      <c r="J163" s="73"/>
      <c r="K163" s="518"/>
      <c r="L163" s="526"/>
      <c r="M163" s="77">
        <v>156</v>
      </c>
    </row>
    <row r="164" spans="1:13" ht="13" x14ac:dyDescent="0.25">
      <c r="A164" s="657">
        <v>2502</v>
      </c>
      <c r="B164" s="373" t="s">
        <v>294</v>
      </c>
      <c r="C164" s="360">
        <v>1183</v>
      </c>
      <c r="D164" s="54">
        <v>224</v>
      </c>
      <c r="E164" s="366">
        <f t="shared" si="2"/>
        <v>0.1893491124260355</v>
      </c>
      <c r="F164" s="526"/>
      <c r="G164" s="518"/>
      <c r="H164" s="526"/>
      <c r="I164" s="59"/>
      <c r="J164" s="73"/>
      <c r="K164" s="518"/>
      <c r="L164" s="526"/>
      <c r="M164" s="77">
        <v>121</v>
      </c>
    </row>
    <row r="165" spans="1:13" ht="13" x14ac:dyDescent="0.25">
      <c r="A165" s="657">
        <v>2503</v>
      </c>
      <c r="B165" s="373" t="s">
        <v>295</v>
      </c>
      <c r="C165" s="360">
        <v>1113</v>
      </c>
      <c r="D165" s="54">
        <v>622</v>
      </c>
      <c r="E165" s="366">
        <f t="shared" si="2"/>
        <v>0.55884995507637014</v>
      </c>
      <c r="F165" s="526"/>
      <c r="G165" s="518"/>
      <c r="H165" s="526"/>
      <c r="I165" s="59"/>
      <c r="J165" s="73"/>
      <c r="K165" s="518"/>
      <c r="L165" s="526"/>
      <c r="M165" s="77">
        <v>326</v>
      </c>
    </row>
    <row r="166" spans="1:13" ht="13" x14ac:dyDescent="0.25">
      <c r="A166" s="657">
        <v>2504</v>
      </c>
      <c r="B166" s="373" t="s">
        <v>296</v>
      </c>
      <c r="C166" s="360">
        <v>1130</v>
      </c>
      <c r="D166" s="54">
        <v>383</v>
      </c>
      <c r="E166" s="366">
        <f t="shared" si="2"/>
        <v>0.33893805309734515</v>
      </c>
      <c r="F166" s="526"/>
      <c r="G166" s="518"/>
      <c r="H166" s="526"/>
      <c r="I166" s="59"/>
      <c r="J166" s="73"/>
      <c r="K166" s="518"/>
      <c r="L166" s="526"/>
      <c r="M166" s="77">
        <v>198</v>
      </c>
    </row>
    <row r="167" spans="1:13" ht="13" x14ac:dyDescent="0.25">
      <c r="A167" s="657">
        <v>2505</v>
      </c>
      <c r="B167" s="373" t="s">
        <v>297</v>
      </c>
      <c r="C167" s="360">
        <v>1235</v>
      </c>
      <c r="D167" s="54">
        <v>560</v>
      </c>
      <c r="E167" s="366">
        <f t="shared" si="2"/>
        <v>0.45344129554655871</v>
      </c>
      <c r="F167" s="526"/>
      <c r="G167" s="518"/>
      <c r="H167" s="526"/>
      <c r="I167" s="59"/>
      <c r="J167" s="73"/>
      <c r="K167" s="518"/>
      <c r="L167" s="526"/>
      <c r="M167" s="77">
        <v>330</v>
      </c>
    </row>
    <row r="168" spans="1:13" ht="13" x14ac:dyDescent="0.25">
      <c r="A168" s="657">
        <v>2506</v>
      </c>
      <c r="B168" s="373" t="s">
        <v>298</v>
      </c>
      <c r="C168" s="360">
        <v>1255</v>
      </c>
      <c r="D168" s="54">
        <v>443</v>
      </c>
      <c r="E168" s="366">
        <f t="shared" si="2"/>
        <v>0.35298804780876492</v>
      </c>
      <c r="F168" s="526"/>
      <c r="G168" s="518"/>
      <c r="H168" s="526"/>
      <c r="I168" s="59"/>
      <c r="J168" s="73"/>
      <c r="K168" s="518"/>
      <c r="L168" s="526"/>
      <c r="M168" s="77">
        <v>226</v>
      </c>
    </row>
    <row r="169" spans="1:13" ht="13" x14ac:dyDescent="0.25">
      <c r="A169" s="657">
        <v>2507</v>
      </c>
      <c r="B169" s="373" t="s">
        <v>299</v>
      </c>
      <c r="C169" s="360">
        <v>621</v>
      </c>
      <c r="D169" s="54">
        <v>223</v>
      </c>
      <c r="E169" s="366">
        <f t="shared" si="2"/>
        <v>0.35909822866344604</v>
      </c>
      <c r="F169" s="526"/>
      <c r="G169" s="518"/>
      <c r="H169" s="526"/>
      <c r="I169" s="59"/>
      <c r="J169" s="73"/>
      <c r="K169" s="518"/>
      <c r="L169" s="526"/>
      <c r="M169" s="77">
        <v>119</v>
      </c>
    </row>
    <row r="170" spans="1:13" ht="13" x14ac:dyDescent="0.25">
      <c r="A170" s="657">
        <v>2508</v>
      </c>
      <c r="B170" s="373" t="s">
        <v>300</v>
      </c>
      <c r="C170" s="360">
        <v>1379</v>
      </c>
      <c r="D170" s="54">
        <v>528</v>
      </c>
      <c r="E170" s="366">
        <f t="shared" si="2"/>
        <v>0.38288614938361132</v>
      </c>
      <c r="F170" s="526"/>
      <c r="G170" s="518"/>
      <c r="H170" s="526"/>
      <c r="I170" s="59"/>
      <c r="J170" s="73"/>
      <c r="K170" s="518"/>
      <c r="L170" s="526"/>
      <c r="M170" s="77">
        <v>275</v>
      </c>
    </row>
    <row r="171" spans="1:13" ht="13" x14ac:dyDescent="0.25">
      <c r="A171" s="657">
        <v>2509</v>
      </c>
      <c r="B171" s="373" t="s">
        <v>301</v>
      </c>
      <c r="C171" s="360">
        <v>1227</v>
      </c>
      <c r="D171" s="54">
        <v>463</v>
      </c>
      <c r="E171" s="366">
        <f t="shared" si="2"/>
        <v>0.3773431132844336</v>
      </c>
      <c r="F171" s="526"/>
      <c r="G171" s="518"/>
      <c r="H171" s="526"/>
      <c r="I171" s="59"/>
      <c r="J171" s="73"/>
      <c r="K171" s="518"/>
      <c r="L171" s="526"/>
      <c r="M171" s="77">
        <v>252</v>
      </c>
    </row>
    <row r="172" spans="1:13" ht="13" x14ac:dyDescent="0.25">
      <c r="A172" s="657">
        <v>2510</v>
      </c>
      <c r="B172" s="373" t="s">
        <v>302</v>
      </c>
      <c r="C172" s="360">
        <v>1213</v>
      </c>
      <c r="D172" s="54">
        <v>341</v>
      </c>
      <c r="E172" s="366">
        <f t="shared" si="2"/>
        <v>0.28112118713932399</v>
      </c>
      <c r="F172" s="526"/>
      <c r="G172" s="518"/>
      <c r="H172" s="526"/>
      <c r="I172" s="59"/>
      <c r="J172" s="73"/>
      <c r="K172" s="518"/>
      <c r="L172" s="526"/>
      <c r="M172" s="77">
        <v>177</v>
      </c>
    </row>
    <row r="173" spans="1:13" ht="13" x14ac:dyDescent="0.25">
      <c r="A173" s="657">
        <v>2511</v>
      </c>
      <c r="B173" s="373" t="s">
        <v>303</v>
      </c>
      <c r="C173" s="360">
        <v>1530</v>
      </c>
      <c r="D173" s="54">
        <v>392</v>
      </c>
      <c r="E173" s="366">
        <f t="shared" si="2"/>
        <v>0.25620915032679736</v>
      </c>
      <c r="F173" s="526"/>
      <c r="G173" s="518"/>
      <c r="H173" s="526"/>
      <c r="I173" s="59"/>
      <c r="J173" s="73"/>
      <c r="K173" s="518"/>
      <c r="L173" s="526"/>
      <c r="M173" s="77">
        <v>202</v>
      </c>
    </row>
    <row r="174" spans="1:13" ht="13" x14ac:dyDescent="0.25">
      <c r="A174" s="657">
        <v>2512</v>
      </c>
      <c r="B174" s="373" t="s">
        <v>748</v>
      </c>
      <c r="C174" s="360">
        <v>914</v>
      </c>
      <c r="D174" s="54">
        <v>144</v>
      </c>
      <c r="E174" s="366">
        <f t="shared" si="2"/>
        <v>0.1575492341356674</v>
      </c>
      <c r="F174" s="526"/>
      <c r="G174" s="518"/>
      <c r="H174" s="526"/>
      <c r="I174" s="59"/>
      <c r="J174" s="73"/>
      <c r="K174" s="518"/>
      <c r="L174" s="526"/>
      <c r="M174" s="77">
        <v>88</v>
      </c>
    </row>
    <row r="175" spans="1:13" ht="13" x14ac:dyDescent="0.25">
      <c r="A175" s="657">
        <v>2601</v>
      </c>
      <c r="B175" s="373" t="s">
        <v>304</v>
      </c>
      <c r="C175" s="360">
        <v>1272</v>
      </c>
      <c r="D175" s="54">
        <v>670</v>
      </c>
      <c r="E175" s="366">
        <f t="shared" si="2"/>
        <v>0.52672955974842772</v>
      </c>
      <c r="F175" s="526"/>
      <c r="G175" s="518">
        <v>345</v>
      </c>
      <c r="H175" s="526"/>
      <c r="I175" s="59"/>
      <c r="J175" s="77"/>
      <c r="K175" s="518"/>
      <c r="L175" s="526"/>
      <c r="M175" s="77"/>
    </row>
    <row r="176" spans="1:13" ht="13" x14ac:dyDescent="0.25">
      <c r="A176" s="657">
        <v>2602</v>
      </c>
      <c r="B176" s="373" t="s">
        <v>305</v>
      </c>
      <c r="C176" s="360">
        <v>1077</v>
      </c>
      <c r="D176" s="54">
        <v>397</v>
      </c>
      <c r="E176" s="366">
        <f t="shared" si="2"/>
        <v>0.36861652739090067</v>
      </c>
      <c r="F176" s="527">
        <v>265</v>
      </c>
      <c r="G176" s="53"/>
      <c r="H176" s="527"/>
      <c r="I176" s="45"/>
      <c r="J176" s="77"/>
      <c r="K176" s="53"/>
      <c r="L176" s="527"/>
      <c r="M176" s="73"/>
    </row>
    <row r="177" spans="1:13" ht="13" x14ac:dyDescent="0.25">
      <c r="A177" s="657">
        <v>2603</v>
      </c>
      <c r="B177" s="373" t="s">
        <v>306</v>
      </c>
      <c r="C177" s="360">
        <v>677</v>
      </c>
      <c r="D177" s="54">
        <v>269</v>
      </c>
      <c r="E177" s="366">
        <f t="shared" si="2"/>
        <v>0.39734121122599703</v>
      </c>
      <c r="F177" s="526"/>
      <c r="G177" s="518">
        <v>168</v>
      </c>
      <c r="H177" s="526"/>
      <c r="I177" s="59"/>
      <c r="J177" s="77"/>
      <c r="K177" s="518"/>
      <c r="L177" s="526"/>
      <c r="M177" s="77"/>
    </row>
    <row r="178" spans="1:13" ht="13" x14ac:dyDescent="0.25">
      <c r="A178" s="657">
        <v>2604</v>
      </c>
      <c r="B178" s="373" t="s">
        <v>307</v>
      </c>
      <c r="C178" s="360">
        <v>1070</v>
      </c>
      <c r="D178" s="54">
        <v>226</v>
      </c>
      <c r="E178" s="366">
        <f t="shared" si="2"/>
        <v>0.21121495327102804</v>
      </c>
      <c r="F178" s="527">
        <v>154</v>
      </c>
      <c r="G178" s="53"/>
      <c r="H178" s="527"/>
      <c r="I178" s="45"/>
      <c r="J178" s="77"/>
      <c r="K178" s="53"/>
      <c r="L178" s="527"/>
      <c r="M178" s="73"/>
    </row>
    <row r="179" spans="1:13" ht="13" x14ac:dyDescent="0.25">
      <c r="A179" s="657">
        <v>2605</v>
      </c>
      <c r="B179" s="373" t="s">
        <v>308</v>
      </c>
      <c r="C179" s="360">
        <v>1276</v>
      </c>
      <c r="D179" s="54">
        <v>297</v>
      </c>
      <c r="E179" s="366">
        <f t="shared" si="2"/>
        <v>0.23275862068965517</v>
      </c>
      <c r="F179" s="527">
        <v>203</v>
      </c>
      <c r="G179" s="53"/>
      <c r="H179" s="527"/>
      <c r="I179" s="45"/>
      <c r="J179" s="77"/>
      <c r="K179" s="53"/>
      <c r="L179" s="527"/>
      <c r="M179" s="73"/>
    </row>
    <row r="180" spans="1:13" ht="13" x14ac:dyDescent="0.25">
      <c r="A180" s="657">
        <v>2606</v>
      </c>
      <c r="B180" s="373" t="s">
        <v>309</v>
      </c>
      <c r="C180" s="360">
        <v>897</v>
      </c>
      <c r="D180" s="54">
        <v>226</v>
      </c>
      <c r="E180" s="366">
        <f t="shared" si="2"/>
        <v>0.25195094760312153</v>
      </c>
      <c r="F180" s="526"/>
      <c r="G180" s="518">
        <v>149</v>
      </c>
      <c r="H180" s="526"/>
      <c r="I180" s="59"/>
      <c r="J180" s="77"/>
      <c r="K180" s="518"/>
      <c r="L180" s="526"/>
      <c r="M180" s="77"/>
    </row>
    <row r="181" spans="1:13" ht="13" x14ac:dyDescent="0.25">
      <c r="A181" s="657">
        <v>2607</v>
      </c>
      <c r="B181" s="373" t="s">
        <v>310</v>
      </c>
      <c r="C181" s="360">
        <v>1023</v>
      </c>
      <c r="D181" s="54">
        <v>323</v>
      </c>
      <c r="E181" s="366">
        <f t="shared" si="2"/>
        <v>0.31573802541544477</v>
      </c>
      <c r="F181" s="526"/>
      <c r="G181" s="518">
        <v>186</v>
      </c>
      <c r="H181" s="526"/>
      <c r="I181" s="59"/>
      <c r="J181" s="77"/>
      <c r="K181" s="518"/>
      <c r="L181" s="526"/>
      <c r="M181" s="77"/>
    </row>
    <row r="182" spans="1:13" ht="13" x14ac:dyDescent="0.25">
      <c r="A182" s="657">
        <v>2608</v>
      </c>
      <c r="B182" s="373" t="s">
        <v>311</v>
      </c>
      <c r="C182" s="360">
        <v>921</v>
      </c>
      <c r="D182" s="54">
        <v>92</v>
      </c>
      <c r="E182" s="366">
        <f t="shared" si="2"/>
        <v>9.9891422366992402E-2</v>
      </c>
      <c r="F182" s="527">
        <v>62</v>
      </c>
      <c r="G182" s="53"/>
      <c r="H182" s="527"/>
      <c r="I182" s="45"/>
      <c r="J182" s="77"/>
      <c r="K182" s="53"/>
      <c r="L182" s="527"/>
      <c r="M182" s="73"/>
    </row>
    <row r="183" spans="1:13" ht="13" x14ac:dyDescent="0.25">
      <c r="A183" s="657">
        <v>2609</v>
      </c>
      <c r="B183" s="373" t="s">
        <v>312</v>
      </c>
      <c r="C183" s="360">
        <v>1113</v>
      </c>
      <c r="D183" s="54">
        <v>494</v>
      </c>
      <c r="E183" s="366">
        <f t="shared" si="2"/>
        <v>0.44384546271338726</v>
      </c>
      <c r="F183" s="526"/>
      <c r="G183" s="518">
        <v>270</v>
      </c>
      <c r="H183" s="526"/>
      <c r="I183" s="59"/>
      <c r="J183" s="77"/>
      <c r="K183" s="518"/>
      <c r="L183" s="526"/>
      <c r="M183" s="77"/>
    </row>
    <row r="184" spans="1:13" ht="13" x14ac:dyDescent="0.25">
      <c r="A184" s="657">
        <v>2610</v>
      </c>
      <c r="B184" s="373" t="s">
        <v>313</v>
      </c>
      <c r="C184" s="360">
        <v>1302</v>
      </c>
      <c r="D184" s="54">
        <v>416</v>
      </c>
      <c r="E184" s="366">
        <f t="shared" si="2"/>
        <v>0.31950844854070659</v>
      </c>
      <c r="F184" s="526"/>
      <c r="G184" s="518">
        <v>297</v>
      </c>
      <c r="H184" s="526"/>
      <c r="I184" s="59"/>
      <c r="J184" s="77"/>
      <c r="K184" s="518"/>
      <c r="L184" s="526"/>
      <c r="M184" s="77"/>
    </row>
    <row r="185" spans="1:13" ht="13" x14ac:dyDescent="0.25">
      <c r="A185" s="657">
        <v>2611</v>
      </c>
      <c r="B185" s="373" t="s">
        <v>314</v>
      </c>
      <c r="C185" s="360">
        <v>1309</v>
      </c>
      <c r="D185" s="54">
        <v>570</v>
      </c>
      <c r="E185" s="366">
        <f t="shared" si="2"/>
        <v>0.43544690603514136</v>
      </c>
      <c r="F185" s="526"/>
      <c r="G185" s="518">
        <v>335</v>
      </c>
      <c r="H185" s="526"/>
      <c r="I185" s="59"/>
      <c r="J185" s="77"/>
      <c r="K185" s="518"/>
      <c r="L185" s="526"/>
      <c r="M185" s="77"/>
    </row>
    <row r="186" spans="1:13" ht="13" x14ac:dyDescent="0.25">
      <c r="A186" s="657">
        <v>2612</v>
      </c>
      <c r="B186" s="373" t="s">
        <v>315</v>
      </c>
      <c r="C186" s="360">
        <v>882</v>
      </c>
      <c r="D186" s="54">
        <v>269</v>
      </c>
      <c r="E186" s="366">
        <f t="shared" si="2"/>
        <v>0.30498866213151926</v>
      </c>
      <c r="F186" s="526"/>
      <c r="G186" s="518"/>
      <c r="H186" s="526"/>
      <c r="I186" s="59"/>
      <c r="J186" s="73"/>
      <c r="K186" s="518"/>
      <c r="L186" s="526"/>
      <c r="M186" s="77">
        <v>126</v>
      </c>
    </row>
    <row r="187" spans="1:13" ht="13" x14ac:dyDescent="0.25">
      <c r="A187" s="657">
        <v>2613</v>
      </c>
      <c r="B187" s="373" t="s">
        <v>316</v>
      </c>
      <c r="C187" s="360">
        <v>674</v>
      </c>
      <c r="D187" s="54">
        <v>163</v>
      </c>
      <c r="E187" s="366">
        <f t="shared" si="2"/>
        <v>0.24183976261127596</v>
      </c>
      <c r="F187" s="527">
        <v>99</v>
      </c>
      <c r="G187" s="53"/>
      <c r="H187" s="527"/>
      <c r="I187" s="45"/>
      <c r="J187" s="77"/>
      <c r="K187" s="53"/>
      <c r="L187" s="527"/>
      <c r="M187" s="73"/>
    </row>
    <row r="188" spans="1:13" ht="13" x14ac:dyDescent="0.25">
      <c r="A188" s="657">
        <v>2614</v>
      </c>
      <c r="B188" s="373" t="s">
        <v>317</v>
      </c>
      <c r="C188" s="360">
        <v>1219</v>
      </c>
      <c r="D188" s="54">
        <v>366</v>
      </c>
      <c r="E188" s="366">
        <f t="shared" si="2"/>
        <v>0.30024610336341262</v>
      </c>
      <c r="F188" s="527">
        <v>218</v>
      </c>
      <c r="G188" s="53"/>
      <c r="H188" s="527"/>
      <c r="I188" s="45"/>
      <c r="J188" s="77"/>
      <c r="K188" s="53"/>
      <c r="L188" s="527"/>
      <c r="M188" s="73"/>
    </row>
    <row r="189" spans="1:13" ht="13" x14ac:dyDescent="0.25">
      <c r="A189" s="657">
        <v>2615</v>
      </c>
      <c r="B189" s="373" t="s">
        <v>318</v>
      </c>
      <c r="C189" s="360">
        <v>1162</v>
      </c>
      <c r="D189" s="54">
        <v>597</v>
      </c>
      <c r="E189" s="366">
        <f t="shared" si="2"/>
        <v>0.51376936316695354</v>
      </c>
      <c r="F189" s="526"/>
      <c r="G189" s="518">
        <v>362</v>
      </c>
      <c r="H189" s="526"/>
      <c r="I189" s="59"/>
      <c r="J189" s="77"/>
      <c r="K189" s="518"/>
      <c r="L189" s="526"/>
      <c r="M189" s="77"/>
    </row>
    <row r="190" spans="1:13" ht="13" x14ac:dyDescent="0.25">
      <c r="A190" s="657">
        <v>2616</v>
      </c>
      <c r="B190" s="373" t="s">
        <v>319</v>
      </c>
      <c r="C190" s="360">
        <v>1287</v>
      </c>
      <c r="D190" s="54">
        <v>442</v>
      </c>
      <c r="E190" s="366">
        <f t="shared" si="2"/>
        <v>0.34343434343434343</v>
      </c>
      <c r="F190" s="526"/>
      <c r="G190" s="518"/>
      <c r="H190" s="526"/>
      <c r="I190" s="59"/>
      <c r="J190" s="73"/>
      <c r="K190" s="518"/>
      <c r="L190" s="526"/>
      <c r="M190" s="77">
        <v>197</v>
      </c>
    </row>
    <row r="191" spans="1:13" ht="13" x14ac:dyDescent="0.25">
      <c r="A191" s="657">
        <v>2617</v>
      </c>
      <c r="B191" s="373" t="s">
        <v>749</v>
      </c>
      <c r="C191" s="360">
        <v>1259</v>
      </c>
      <c r="D191" s="54">
        <v>196</v>
      </c>
      <c r="E191" s="366">
        <f t="shared" si="2"/>
        <v>0.15567911040508339</v>
      </c>
      <c r="F191" s="527">
        <v>134</v>
      </c>
      <c r="G191" s="53"/>
      <c r="H191" s="527"/>
      <c r="I191" s="45"/>
      <c r="J191" s="77"/>
      <c r="K191" s="53"/>
      <c r="L191" s="527"/>
      <c r="M191" s="73"/>
    </row>
    <row r="192" spans="1:13" ht="13" x14ac:dyDescent="0.25">
      <c r="A192" s="657">
        <v>2618</v>
      </c>
      <c r="B192" s="373" t="s">
        <v>750</v>
      </c>
      <c r="C192" s="360">
        <v>778</v>
      </c>
      <c r="D192" s="54">
        <v>172</v>
      </c>
      <c r="E192" s="366">
        <f t="shared" si="2"/>
        <v>0.2210796915167095</v>
      </c>
      <c r="F192" s="527">
        <v>125</v>
      </c>
      <c r="G192" s="53"/>
      <c r="H192" s="527"/>
      <c r="I192" s="45"/>
      <c r="J192" s="77"/>
      <c r="K192" s="53"/>
      <c r="L192" s="527"/>
      <c r="M192" s="73"/>
    </row>
    <row r="193" spans="1:13" ht="13" x14ac:dyDescent="0.25">
      <c r="A193" s="657">
        <v>2619</v>
      </c>
      <c r="B193" s="373" t="s">
        <v>751</v>
      </c>
      <c r="C193" s="360">
        <v>989</v>
      </c>
      <c r="D193" s="54">
        <v>333</v>
      </c>
      <c r="E193" s="366">
        <f t="shared" si="2"/>
        <v>0.33670374115267948</v>
      </c>
      <c r="F193" s="526"/>
      <c r="G193" s="518"/>
      <c r="H193" s="526"/>
      <c r="I193" s="59"/>
      <c r="J193" s="73"/>
      <c r="K193" s="518"/>
      <c r="L193" s="526"/>
      <c r="M193" s="77">
        <v>164</v>
      </c>
    </row>
    <row r="194" spans="1:13" ht="13" x14ac:dyDescent="0.25">
      <c r="A194" s="657">
        <v>2811</v>
      </c>
      <c r="B194" s="373" t="s">
        <v>320</v>
      </c>
      <c r="C194" s="360">
        <v>862</v>
      </c>
      <c r="D194" s="54">
        <v>557</v>
      </c>
      <c r="E194" s="366">
        <f t="shared" si="2"/>
        <v>0.64617169373549888</v>
      </c>
      <c r="F194" s="526"/>
      <c r="G194" s="518"/>
      <c r="H194" s="526"/>
      <c r="I194" s="59"/>
      <c r="J194" s="77"/>
      <c r="K194" s="518">
        <v>372</v>
      </c>
      <c r="L194" s="526"/>
      <c r="M194" s="77"/>
    </row>
    <row r="195" spans="1:13" ht="13" x14ac:dyDescent="0.25">
      <c r="A195" s="657">
        <v>2812</v>
      </c>
      <c r="B195" s="373" t="s">
        <v>321</v>
      </c>
      <c r="C195" s="360">
        <v>1043</v>
      </c>
      <c r="D195" s="54">
        <v>490</v>
      </c>
      <c r="E195" s="366">
        <f t="shared" si="2"/>
        <v>0.46979865771812079</v>
      </c>
      <c r="F195" s="526"/>
      <c r="G195" s="518"/>
      <c r="H195" s="526"/>
      <c r="I195" s="59"/>
      <c r="J195" s="77"/>
      <c r="K195" s="518">
        <v>320</v>
      </c>
      <c r="L195" s="526"/>
      <c r="M195" s="77"/>
    </row>
    <row r="196" spans="1:13" ht="13" x14ac:dyDescent="0.25">
      <c r="A196" s="657">
        <v>2821</v>
      </c>
      <c r="B196" s="373" t="s">
        <v>322</v>
      </c>
      <c r="C196" s="360">
        <v>715</v>
      </c>
      <c r="D196" s="54">
        <v>439</v>
      </c>
      <c r="E196" s="366">
        <f t="shared" si="2"/>
        <v>0.61398601398601393</v>
      </c>
      <c r="F196" s="526"/>
      <c r="G196" s="518"/>
      <c r="H196" s="526"/>
      <c r="I196" s="59"/>
      <c r="J196" s="77"/>
      <c r="K196" s="518">
        <v>289</v>
      </c>
      <c r="L196" s="526"/>
      <c r="M196" s="77"/>
    </row>
    <row r="197" spans="1:13" ht="13" x14ac:dyDescent="0.25">
      <c r="A197" s="657">
        <v>2822</v>
      </c>
      <c r="B197" s="373" t="s">
        <v>323</v>
      </c>
      <c r="C197" s="360">
        <v>679</v>
      </c>
      <c r="D197" s="54">
        <v>409</v>
      </c>
      <c r="E197" s="366">
        <f t="shared" ref="E197:E260" si="3">SUM(D197/C197)</f>
        <v>0.60235640648011779</v>
      </c>
      <c r="F197" s="526"/>
      <c r="G197" s="518"/>
      <c r="H197" s="526"/>
      <c r="I197" s="59"/>
      <c r="J197" s="77"/>
      <c r="K197" s="518">
        <v>265</v>
      </c>
      <c r="L197" s="526"/>
      <c r="M197" s="77"/>
    </row>
    <row r="198" spans="1:13" ht="13" x14ac:dyDescent="0.25">
      <c r="A198" s="657">
        <v>2823</v>
      </c>
      <c r="B198" s="373" t="s">
        <v>324</v>
      </c>
      <c r="C198" s="360">
        <v>1337</v>
      </c>
      <c r="D198" s="54">
        <v>707</v>
      </c>
      <c r="E198" s="366">
        <f t="shared" si="3"/>
        <v>0.52879581151832455</v>
      </c>
      <c r="F198" s="526"/>
      <c r="G198" s="518"/>
      <c r="H198" s="526"/>
      <c r="I198" s="59"/>
      <c r="J198" s="77"/>
      <c r="K198" s="518">
        <v>468</v>
      </c>
      <c r="L198" s="526"/>
      <c r="M198" s="77"/>
    </row>
    <row r="199" spans="1:13" ht="13" x14ac:dyDescent="0.25">
      <c r="A199" s="657">
        <v>2831</v>
      </c>
      <c r="B199" s="373" t="s">
        <v>325</v>
      </c>
      <c r="C199" s="360">
        <v>1033</v>
      </c>
      <c r="D199" s="54">
        <v>588</v>
      </c>
      <c r="E199" s="366">
        <f t="shared" si="3"/>
        <v>0.56921587608906099</v>
      </c>
      <c r="F199" s="526"/>
      <c r="G199" s="518"/>
      <c r="H199" s="526"/>
      <c r="I199" s="59"/>
      <c r="J199" s="77"/>
      <c r="K199" s="518">
        <v>392</v>
      </c>
      <c r="L199" s="526"/>
      <c r="M199" s="77"/>
    </row>
    <row r="200" spans="1:13" ht="13" x14ac:dyDescent="0.25">
      <c r="A200" s="657">
        <v>2832</v>
      </c>
      <c r="B200" s="373" t="s">
        <v>326</v>
      </c>
      <c r="C200" s="360">
        <v>812</v>
      </c>
      <c r="D200" s="54">
        <v>545</v>
      </c>
      <c r="E200" s="366">
        <f t="shared" si="3"/>
        <v>0.6711822660098522</v>
      </c>
      <c r="F200" s="526"/>
      <c r="G200" s="518"/>
      <c r="H200" s="526"/>
      <c r="I200" s="59"/>
      <c r="J200" s="77"/>
      <c r="K200" s="518">
        <v>357</v>
      </c>
      <c r="L200" s="526"/>
      <c r="M200" s="77"/>
    </row>
    <row r="201" spans="1:13" ht="13" x14ac:dyDescent="0.25">
      <c r="A201" s="657">
        <v>2841</v>
      </c>
      <c r="B201" s="373" t="s">
        <v>327</v>
      </c>
      <c r="C201" s="360">
        <v>1038</v>
      </c>
      <c r="D201" s="54">
        <v>500</v>
      </c>
      <c r="E201" s="366">
        <f t="shared" si="3"/>
        <v>0.48169556840077071</v>
      </c>
      <c r="F201" s="526"/>
      <c r="G201" s="518"/>
      <c r="H201" s="526"/>
      <c r="I201" s="59"/>
      <c r="J201" s="77"/>
      <c r="K201" s="518">
        <v>336</v>
      </c>
      <c r="L201" s="526"/>
      <c r="M201" s="77"/>
    </row>
    <row r="202" spans="1:13" ht="13" x14ac:dyDescent="0.25">
      <c r="A202" s="657">
        <v>2842</v>
      </c>
      <c r="B202" s="373" t="s">
        <v>782</v>
      </c>
      <c r="C202" s="360">
        <v>1000</v>
      </c>
      <c r="D202" s="54">
        <v>635</v>
      </c>
      <c r="E202" s="366">
        <f t="shared" si="3"/>
        <v>0.63500000000000001</v>
      </c>
      <c r="F202" s="526"/>
      <c r="G202" s="518"/>
      <c r="H202" s="526"/>
      <c r="I202" s="59"/>
      <c r="J202" s="77"/>
      <c r="K202" s="518">
        <v>410</v>
      </c>
      <c r="L202" s="526"/>
      <c r="M202" s="77"/>
    </row>
    <row r="203" spans="1:13" ht="13" x14ac:dyDescent="0.25">
      <c r="A203" s="657">
        <v>2851</v>
      </c>
      <c r="B203" s="373" t="s">
        <v>328</v>
      </c>
      <c r="C203" s="360">
        <v>1059</v>
      </c>
      <c r="D203" s="54">
        <v>739</v>
      </c>
      <c r="E203" s="366">
        <f t="shared" si="3"/>
        <v>0.69782813975448532</v>
      </c>
      <c r="F203" s="526"/>
      <c r="G203" s="518"/>
      <c r="H203" s="526"/>
      <c r="I203" s="59"/>
      <c r="J203" s="77"/>
      <c r="K203" s="518">
        <v>507</v>
      </c>
      <c r="L203" s="526"/>
      <c r="M203" s="77"/>
    </row>
    <row r="204" spans="1:13" ht="13" x14ac:dyDescent="0.25">
      <c r="A204" s="657">
        <v>2852</v>
      </c>
      <c r="B204" s="373" t="s">
        <v>329</v>
      </c>
      <c r="C204" s="360">
        <v>926</v>
      </c>
      <c r="D204" s="54">
        <v>513</v>
      </c>
      <c r="E204" s="366">
        <f t="shared" si="3"/>
        <v>0.55399568034557234</v>
      </c>
      <c r="F204" s="526"/>
      <c r="G204" s="518"/>
      <c r="H204" s="526"/>
      <c r="I204" s="59"/>
      <c r="J204" s="77"/>
      <c r="K204" s="518">
        <v>344</v>
      </c>
      <c r="L204" s="526"/>
      <c r="M204" s="77"/>
    </row>
    <row r="205" spans="1:13" ht="13" x14ac:dyDescent="0.25">
      <c r="A205" s="657">
        <v>2911</v>
      </c>
      <c r="B205" s="373" t="s">
        <v>330</v>
      </c>
      <c r="C205" s="360">
        <v>1545</v>
      </c>
      <c r="D205" s="54">
        <v>654</v>
      </c>
      <c r="E205" s="366">
        <f t="shared" si="3"/>
        <v>0.42330097087378643</v>
      </c>
      <c r="F205" s="526"/>
      <c r="G205" s="518"/>
      <c r="H205" s="526"/>
      <c r="I205" s="59"/>
      <c r="J205" s="77"/>
      <c r="K205" s="518"/>
      <c r="L205" s="526">
        <v>449</v>
      </c>
      <c r="M205" s="77"/>
    </row>
    <row r="206" spans="1:13" ht="13" x14ac:dyDescent="0.25">
      <c r="A206" s="657">
        <v>2921</v>
      </c>
      <c r="B206" s="373" t="s">
        <v>331</v>
      </c>
      <c r="C206" s="360">
        <v>1476</v>
      </c>
      <c r="D206" s="54">
        <v>660</v>
      </c>
      <c r="E206" s="366">
        <f t="shared" si="3"/>
        <v>0.44715447154471544</v>
      </c>
      <c r="F206" s="526"/>
      <c r="G206" s="518"/>
      <c r="H206" s="526"/>
      <c r="I206" s="59"/>
      <c r="J206" s="77"/>
      <c r="K206" s="518"/>
      <c r="L206" s="526">
        <v>454</v>
      </c>
      <c r="M206" s="77"/>
    </row>
    <row r="207" spans="1:13" ht="13" x14ac:dyDescent="0.25">
      <c r="A207" s="657">
        <v>2931</v>
      </c>
      <c r="B207" s="373" t="s">
        <v>332</v>
      </c>
      <c r="C207" s="360">
        <v>1456</v>
      </c>
      <c r="D207" s="54">
        <v>543</v>
      </c>
      <c r="E207" s="366">
        <f t="shared" si="3"/>
        <v>0.37293956043956045</v>
      </c>
      <c r="F207" s="526"/>
      <c r="G207" s="518"/>
      <c r="H207" s="526"/>
      <c r="I207" s="59"/>
      <c r="J207" s="77"/>
      <c r="K207" s="518"/>
      <c r="L207" s="526">
        <v>362</v>
      </c>
      <c r="M207" s="77"/>
    </row>
    <row r="208" spans="1:13" ht="13" x14ac:dyDescent="0.25">
      <c r="A208" s="657">
        <v>2941</v>
      </c>
      <c r="B208" s="373" t="s">
        <v>333</v>
      </c>
      <c r="C208" s="360">
        <v>1444</v>
      </c>
      <c r="D208" s="54">
        <v>716</v>
      </c>
      <c r="E208" s="366">
        <f t="shared" si="3"/>
        <v>0.49584487534626037</v>
      </c>
      <c r="F208" s="526"/>
      <c r="G208" s="518"/>
      <c r="H208" s="526"/>
      <c r="I208" s="59"/>
      <c r="J208" s="77"/>
      <c r="K208" s="518"/>
      <c r="L208" s="526">
        <v>459</v>
      </c>
      <c r="M208" s="77"/>
    </row>
    <row r="209" spans="1:13" ht="13" x14ac:dyDescent="0.25">
      <c r="A209" s="657">
        <v>3111</v>
      </c>
      <c r="B209" s="373" t="s">
        <v>334</v>
      </c>
      <c r="C209" s="360">
        <v>980</v>
      </c>
      <c r="D209" s="54">
        <v>532</v>
      </c>
      <c r="E209" s="366">
        <f t="shared" si="3"/>
        <v>0.54285714285714282</v>
      </c>
      <c r="F209" s="526"/>
      <c r="G209" s="518"/>
      <c r="H209" s="526"/>
      <c r="I209" s="59"/>
      <c r="J209" s="77"/>
      <c r="K209" s="518">
        <v>360</v>
      </c>
      <c r="L209" s="526"/>
      <c r="M209" s="77"/>
    </row>
    <row r="210" spans="1:13" ht="13" x14ac:dyDescent="0.25">
      <c r="A210" s="657">
        <v>3121</v>
      </c>
      <c r="B210" s="373" t="s">
        <v>335</v>
      </c>
      <c r="C210" s="360">
        <v>965</v>
      </c>
      <c r="D210" s="54">
        <v>599</v>
      </c>
      <c r="E210" s="366">
        <f t="shared" si="3"/>
        <v>0.62072538860103632</v>
      </c>
      <c r="F210" s="526"/>
      <c r="G210" s="518"/>
      <c r="H210" s="526"/>
      <c r="I210" s="59"/>
      <c r="J210" s="77"/>
      <c r="K210" s="518">
        <v>390</v>
      </c>
      <c r="L210" s="526"/>
      <c r="M210" s="77"/>
    </row>
    <row r="211" spans="1:13" ht="13" x14ac:dyDescent="0.25">
      <c r="A211" s="657">
        <v>3131</v>
      </c>
      <c r="B211" s="373" t="s">
        <v>336</v>
      </c>
      <c r="C211" s="360">
        <v>950</v>
      </c>
      <c r="D211" s="54">
        <v>550</v>
      </c>
      <c r="E211" s="366">
        <f t="shared" si="3"/>
        <v>0.57894736842105265</v>
      </c>
      <c r="F211" s="526"/>
      <c r="G211" s="518"/>
      <c r="H211" s="526"/>
      <c r="I211" s="59"/>
      <c r="J211" s="77"/>
      <c r="K211" s="518">
        <v>331</v>
      </c>
      <c r="L211" s="526"/>
      <c r="M211" s="77"/>
    </row>
    <row r="212" spans="1:13" ht="13" x14ac:dyDescent="0.25">
      <c r="A212" s="657">
        <v>3141</v>
      </c>
      <c r="B212" s="373" t="s">
        <v>337</v>
      </c>
      <c r="C212" s="360">
        <v>1098</v>
      </c>
      <c r="D212" s="54">
        <v>576</v>
      </c>
      <c r="E212" s="366">
        <f t="shared" si="3"/>
        <v>0.52459016393442626</v>
      </c>
      <c r="F212" s="526"/>
      <c r="G212" s="518"/>
      <c r="H212" s="526"/>
      <c r="I212" s="59"/>
      <c r="J212" s="77"/>
      <c r="K212" s="518">
        <v>386</v>
      </c>
      <c r="L212" s="526"/>
      <c r="M212" s="77"/>
    </row>
    <row r="213" spans="1:13" ht="13" x14ac:dyDescent="0.25">
      <c r="A213" s="657">
        <v>3201</v>
      </c>
      <c r="B213" s="373" t="s">
        <v>338</v>
      </c>
      <c r="C213" s="360">
        <v>998</v>
      </c>
      <c r="D213" s="54">
        <v>352</v>
      </c>
      <c r="E213" s="366">
        <f t="shared" si="3"/>
        <v>0.35270541082164331</v>
      </c>
      <c r="F213" s="526"/>
      <c r="G213" s="518"/>
      <c r="H213" s="526">
        <v>271</v>
      </c>
      <c r="I213" s="59"/>
      <c r="J213" s="77"/>
      <c r="K213" s="518"/>
      <c r="L213" s="526"/>
      <c r="M213" s="77"/>
    </row>
    <row r="214" spans="1:13" ht="13" x14ac:dyDescent="0.25">
      <c r="A214" s="657">
        <v>3202</v>
      </c>
      <c r="B214" s="373" t="s">
        <v>339</v>
      </c>
      <c r="C214" s="360">
        <v>989</v>
      </c>
      <c r="D214" s="54">
        <v>449</v>
      </c>
      <c r="E214" s="366">
        <f t="shared" si="3"/>
        <v>0.45399393326592519</v>
      </c>
      <c r="F214" s="526"/>
      <c r="G214" s="518"/>
      <c r="H214" s="526">
        <v>337</v>
      </c>
      <c r="I214" s="59"/>
      <c r="J214" s="77"/>
      <c r="K214" s="518"/>
      <c r="L214" s="526"/>
      <c r="M214" s="77"/>
    </row>
    <row r="215" spans="1:13" ht="13" x14ac:dyDescent="0.25">
      <c r="A215" s="657">
        <v>3203</v>
      </c>
      <c r="B215" s="373" t="s">
        <v>340</v>
      </c>
      <c r="C215" s="360">
        <v>987</v>
      </c>
      <c r="D215" s="54">
        <v>365</v>
      </c>
      <c r="E215" s="366">
        <f t="shared" si="3"/>
        <v>0.36980749746707192</v>
      </c>
      <c r="F215" s="526"/>
      <c r="G215" s="518"/>
      <c r="H215" s="526">
        <v>311</v>
      </c>
      <c r="I215" s="59"/>
      <c r="J215" s="77"/>
      <c r="K215" s="518"/>
      <c r="L215" s="526"/>
      <c r="M215" s="77"/>
    </row>
    <row r="216" spans="1:13" ht="13" x14ac:dyDescent="0.25">
      <c r="A216" s="657">
        <v>3204</v>
      </c>
      <c r="B216" s="373" t="s">
        <v>341</v>
      </c>
      <c r="C216" s="360">
        <v>995</v>
      </c>
      <c r="D216" s="54">
        <v>353</v>
      </c>
      <c r="E216" s="366">
        <f t="shared" si="3"/>
        <v>0.35477386934673366</v>
      </c>
      <c r="F216" s="526"/>
      <c r="G216" s="518"/>
      <c r="H216" s="526">
        <v>276</v>
      </c>
      <c r="I216" s="59"/>
      <c r="J216" s="77"/>
      <c r="K216" s="518"/>
      <c r="L216" s="526"/>
      <c r="M216" s="77"/>
    </row>
    <row r="217" spans="1:13" ht="13" x14ac:dyDescent="0.25">
      <c r="A217" s="657">
        <v>3205</v>
      </c>
      <c r="B217" s="373" t="s">
        <v>342</v>
      </c>
      <c r="C217" s="360">
        <v>941</v>
      </c>
      <c r="D217" s="54">
        <v>331</v>
      </c>
      <c r="E217" s="366">
        <f t="shared" si="3"/>
        <v>0.35175345377258238</v>
      </c>
      <c r="F217" s="526"/>
      <c r="G217" s="518"/>
      <c r="H217" s="526">
        <v>263</v>
      </c>
      <c r="I217" s="59"/>
      <c r="J217" s="77"/>
      <c r="K217" s="518"/>
      <c r="L217" s="526"/>
      <c r="M217" s="77"/>
    </row>
    <row r="218" spans="1:13" ht="13" x14ac:dyDescent="0.25">
      <c r="A218" s="657">
        <v>3206</v>
      </c>
      <c r="B218" s="373" t="s">
        <v>343</v>
      </c>
      <c r="C218" s="360">
        <v>563</v>
      </c>
      <c r="D218" s="54">
        <v>216</v>
      </c>
      <c r="E218" s="366">
        <f t="shared" si="3"/>
        <v>0.38365896980461811</v>
      </c>
      <c r="F218" s="526"/>
      <c r="G218" s="518"/>
      <c r="H218" s="526">
        <v>177</v>
      </c>
      <c r="I218" s="59"/>
      <c r="J218" s="77"/>
      <c r="K218" s="518"/>
      <c r="L218" s="526"/>
      <c r="M218" s="77"/>
    </row>
    <row r="219" spans="1:13" ht="13" x14ac:dyDescent="0.25">
      <c r="A219" s="657">
        <v>3207</v>
      </c>
      <c r="B219" s="373" t="s">
        <v>344</v>
      </c>
      <c r="C219" s="360">
        <v>896</v>
      </c>
      <c r="D219" s="54">
        <v>316</v>
      </c>
      <c r="E219" s="366">
        <f t="shared" si="3"/>
        <v>0.35267857142857145</v>
      </c>
      <c r="F219" s="526"/>
      <c r="G219" s="518"/>
      <c r="H219" s="526">
        <v>258</v>
      </c>
      <c r="I219" s="59"/>
      <c r="J219" s="77"/>
      <c r="K219" s="518"/>
      <c r="L219" s="526"/>
      <c r="M219" s="77"/>
    </row>
    <row r="220" spans="1:13" ht="13" x14ac:dyDescent="0.25">
      <c r="A220" s="657">
        <v>3208</v>
      </c>
      <c r="B220" s="373" t="s">
        <v>345</v>
      </c>
      <c r="C220" s="360">
        <v>762</v>
      </c>
      <c r="D220" s="54">
        <v>302</v>
      </c>
      <c r="E220" s="366">
        <f t="shared" si="3"/>
        <v>0.39632545931758528</v>
      </c>
      <c r="F220" s="526"/>
      <c r="G220" s="518"/>
      <c r="H220" s="526">
        <v>236</v>
      </c>
      <c r="I220" s="59"/>
      <c r="J220" s="77"/>
      <c r="K220" s="518"/>
      <c r="L220" s="526"/>
      <c r="M220" s="77"/>
    </row>
    <row r="221" spans="1:13" ht="13" x14ac:dyDescent="0.25">
      <c r="A221" s="657">
        <v>3209</v>
      </c>
      <c r="B221" s="373" t="s">
        <v>346</v>
      </c>
      <c r="C221" s="360">
        <v>988</v>
      </c>
      <c r="D221" s="54">
        <v>462</v>
      </c>
      <c r="E221" s="366">
        <f t="shared" si="3"/>
        <v>0.46761133603238869</v>
      </c>
      <c r="F221" s="526"/>
      <c r="G221" s="518"/>
      <c r="H221" s="526">
        <v>376</v>
      </c>
      <c r="I221" s="59"/>
      <c r="J221" s="77"/>
      <c r="K221" s="518"/>
      <c r="L221" s="526"/>
      <c r="M221" s="77"/>
    </row>
    <row r="222" spans="1:13" ht="13" x14ac:dyDescent="0.25">
      <c r="A222" s="657">
        <v>3210</v>
      </c>
      <c r="B222" s="373" t="s">
        <v>347</v>
      </c>
      <c r="C222" s="360">
        <v>869</v>
      </c>
      <c r="D222" s="54">
        <v>366</v>
      </c>
      <c r="E222" s="366">
        <f t="shared" si="3"/>
        <v>0.42117376294591485</v>
      </c>
      <c r="F222" s="526"/>
      <c r="G222" s="518"/>
      <c r="H222" s="526">
        <v>312</v>
      </c>
      <c r="I222" s="59"/>
      <c r="J222" s="77"/>
      <c r="K222" s="518"/>
      <c r="L222" s="526"/>
      <c r="M222" s="77"/>
    </row>
    <row r="223" spans="1:13" ht="13" x14ac:dyDescent="0.25">
      <c r="A223" s="657">
        <v>3211</v>
      </c>
      <c r="B223" s="373" t="s">
        <v>348</v>
      </c>
      <c r="C223" s="360">
        <v>1145</v>
      </c>
      <c r="D223" s="54">
        <v>294</v>
      </c>
      <c r="E223" s="366">
        <f t="shared" si="3"/>
        <v>0.25676855895196504</v>
      </c>
      <c r="F223" s="526"/>
      <c r="G223" s="518"/>
      <c r="H223" s="526">
        <v>217</v>
      </c>
      <c r="I223" s="59"/>
      <c r="J223" s="77"/>
      <c r="K223" s="518"/>
      <c r="L223" s="526"/>
      <c r="M223" s="77"/>
    </row>
    <row r="224" spans="1:13" ht="13" x14ac:dyDescent="0.25">
      <c r="A224" s="657">
        <v>3212</v>
      </c>
      <c r="B224" s="373" t="s">
        <v>349</v>
      </c>
      <c r="C224" s="360">
        <v>1060</v>
      </c>
      <c r="D224" s="54">
        <v>411</v>
      </c>
      <c r="E224" s="366">
        <f t="shared" si="3"/>
        <v>0.3877358490566038</v>
      </c>
      <c r="F224" s="526"/>
      <c r="G224" s="518"/>
      <c r="H224" s="526">
        <v>337</v>
      </c>
      <c r="I224" s="59"/>
      <c r="J224" s="77"/>
      <c r="K224" s="518"/>
      <c r="L224" s="526"/>
      <c r="M224" s="77"/>
    </row>
    <row r="225" spans="1:13" ht="13" x14ac:dyDescent="0.25">
      <c r="A225" s="657">
        <v>3213</v>
      </c>
      <c r="B225" s="373" t="s">
        <v>350</v>
      </c>
      <c r="C225" s="360">
        <v>1118</v>
      </c>
      <c r="D225" s="54">
        <v>398</v>
      </c>
      <c r="E225" s="366">
        <f t="shared" si="3"/>
        <v>0.35599284436493739</v>
      </c>
      <c r="F225" s="526"/>
      <c r="G225" s="518"/>
      <c r="H225" s="526">
        <v>327</v>
      </c>
      <c r="I225" s="59"/>
      <c r="J225" s="77"/>
      <c r="K225" s="518"/>
      <c r="L225" s="526"/>
      <c r="M225" s="77"/>
    </row>
    <row r="226" spans="1:13" ht="13" x14ac:dyDescent="0.25">
      <c r="A226" s="657">
        <v>3401</v>
      </c>
      <c r="B226" s="373" t="s">
        <v>351</v>
      </c>
      <c r="C226" s="360">
        <v>1454</v>
      </c>
      <c r="D226" s="54">
        <v>564</v>
      </c>
      <c r="E226" s="366">
        <f t="shared" si="3"/>
        <v>0.38789546079779919</v>
      </c>
      <c r="F226" s="526"/>
      <c r="G226" s="518"/>
      <c r="H226" s="526"/>
      <c r="I226" s="59"/>
      <c r="J226" s="73"/>
      <c r="K226" s="518"/>
      <c r="L226" s="526"/>
      <c r="M226" s="77">
        <v>340</v>
      </c>
    </row>
    <row r="227" spans="1:13" ht="13" x14ac:dyDescent="0.25">
      <c r="A227" s="657">
        <v>3402</v>
      </c>
      <c r="B227" s="373" t="s">
        <v>352</v>
      </c>
      <c r="C227" s="360">
        <v>1466</v>
      </c>
      <c r="D227" s="54">
        <v>530</v>
      </c>
      <c r="E227" s="366">
        <f t="shared" si="3"/>
        <v>0.36152796725784447</v>
      </c>
      <c r="F227" s="526"/>
      <c r="G227" s="518"/>
      <c r="H227" s="526"/>
      <c r="I227" s="59"/>
      <c r="J227" s="73"/>
      <c r="K227" s="518"/>
      <c r="L227" s="526"/>
      <c r="M227" s="77">
        <v>351</v>
      </c>
    </row>
    <row r="228" spans="1:13" ht="13" x14ac:dyDescent="0.25">
      <c r="A228" s="657">
        <v>3403</v>
      </c>
      <c r="B228" s="373" t="s">
        <v>353</v>
      </c>
      <c r="C228" s="360">
        <v>1661</v>
      </c>
      <c r="D228" s="54">
        <v>712</v>
      </c>
      <c r="E228" s="366">
        <f t="shared" si="3"/>
        <v>0.42865743527995182</v>
      </c>
      <c r="F228" s="526"/>
      <c r="G228" s="518"/>
      <c r="H228" s="526"/>
      <c r="I228" s="59"/>
      <c r="J228" s="73"/>
      <c r="K228" s="518"/>
      <c r="L228" s="526"/>
      <c r="M228" s="77">
        <v>449</v>
      </c>
    </row>
    <row r="229" spans="1:13" ht="13" x14ac:dyDescent="0.25">
      <c r="A229" s="657">
        <v>3404</v>
      </c>
      <c r="B229" s="373" t="s">
        <v>354</v>
      </c>
      <c r="C229" s="360">
        <v>1359</v>
      </c>
      <c r="D229" s="54">
        <v>721</v>
      </c>
      <c r="E229" s="366">
        <f t="shared" si="3"/>
        <v>0.53053715967623249</v>
      </c>
      <c r="F229" s="526"/>
      <c r="G229" s="518"/>
      <c r="H229" s="526"/>
      <c r="I229" s="59"/>
      <c r="J229" s="73"/>
      <c r="K229" s="518"/>
      <c r="L229" s="526"/>
      <c r="M229" s="77">
        <v>474</v>
      </c>
    </row>
    <row r="230" spans="1:13" ht="13" x14ac:dyDescent="0.25">
      <c r="A230" s="657">
        <v>3405</v>
      </c>
      <c r="B230" s="373" t="s">
        <v>355</v>
      </c>
      <c r="C230" s="360">
        <v>1441</v>
      </c>
      <c r="D230" s="54">
        <v>740</v>
      </c>
      <c r="E230" s="366">
        <f t="shared" si="3"/>
        <v>0.51353226925746009</v>
      </c>
      <c r="F230" s="526"/>
      <c r="G230" s="518"/>
      <c r="H230" s="526"/>
      <c r="I230" s="59"/>
      <c r="J230" s="73"/>
      <c r="K230" s="518"/>
      <c r="L230" s="526"/>
      <c r="M230" s="77">
        <v>472</v>
      </c>
    </row>
    <row r="231" spans="1:13" ht="13" x14ac:dyDescent="0.25">
      <c r="A231" s="657">
        <v>3406</v>
      </c>
      <c r="B231" s="373" t="s">
        <v>752</v>
      </c>
      <c r="C231" s="360">
        <v>1455</v>
      </c>
      <c r="D231" s="54">
        <v>806</v>
      </c>
      <c r="E231" s="366">
        <f t="shared" si="3"/>
        <v>0.55395189003436429</v>
      </c>
      <c r="F231" s="526"/>
      <c r="G231" s="518"/>
      <c r="H231" s="526"/>
      <c r="I231" s="59"/>
      <c r="J231" s="73"/>
      <c r="K231" s="518"/>
      <c r="L231" s="526"/>
      <c r="M231" s="77">
        <v>540</v>
      </c>
    </row>
    <row r="232" spans="1:13" ht="13" x14ac:dyDescent="0.25">
      <c r="A232" s="657">
        <v>3407</v>
      </c>
      <c r="B232" s="373" t="s">
        <v>803</v>
      </c>
      <c r="C232" s="360">
        <v>591</v>
      </c>
      <c r="D232" s="54">
        <v>307</v>
      </c>
      <c r="E232" s="366">
        <f t="shared" si="3"/>
        <v>0.51945854483925546</v>
      </c>
      <c r="F232" s="526"/>
      <c r="G232" s="518"/>
      <c r="H232" s="526"/>
      <c r="I232" s="59"/>
      <c r="J232" s="73"/>
      <c r="K232" s="518"/>
      <c r="L232" s="526"/>
      <c r="M232" s="77">
        <v>212</v>
      </c>
    </row>
    <row r="233" spans="1:13" ht="13" x14ac:dyDescent="0.25">
      <c r="A233" s="657">
        <v>3501</v>
      </c>
      <c r="B233" s="373" t="s">
        <v>356</v>
      </c>
      <c r="C233" s="360">
        <v>703</v>
      </c>
      <c r="D233" s="54">
        <v>430</v>
      </c>
      <c r="E233" s="366">
        <f t="shared" si="3"/>
        <v>0.61166429587482218</v>
      </c>
      <c r="F233" s="526"/>
      <c r="G233" s="518"/>
      <c r="H233" s="526"/>
      <c r="I233" s="59"/>
      <c r="J233" s="77"/>
      <c r="K233" s="518">
        <v>258</v>
      </c>
      <c r="L233" s="526"/>
      <c r="M233" s="77"/>
    </row>
    <row r="234" spans="1:13" ht="13" x14ac:dyDescent="0.25">
      <c r="A234" s="657">
        <v>3502</v>
      </c>
      <c r="B234" s="373" t="s">
        <v>357</v>
      </c>
      <c r="C234" s="360">
        <v>1179</v>
      </c>
      <c r="D234" s="54">
        <v>695</v>
      </c>
      <c r="E234" s="366">
        <f t="shared" si="3"/>
        <v>0.58948261238337574</v>
      </c>
      <c r="F234" s="526"/>
      <c r="G234" s="518"/>
      <c r="H234" s="526"/>
      <c r="I234" s="59"/>
      <c r="J234" s="77"/>
      <c r="K234" s="518">
        <v>423</v>
      </c>
      <c r="L234" s="526"/>
      <c r="M234" s="77"/>
    </row>
    <row r="235" spans="1:13" ht="13" x14ac:dyDescent="0.25">
      <c r="A235" s="657">
        <v>3503</v>
      </c>
      <c r="B235" s="373" t="s">
        <v>358</v>
      </c>
      <c r="C235" s="360">
        <v>874</v>
      </c>
      <c r="D235" s="54">
        <v>521</v>
      </c>
      <c r="E235" s="366">
        <f t="shared" si="3"/>
        <v>0.59610983981693366</v>
      </c>
      <c r="F235" s="526"/>
      <c r="G235" s="518"/>
      <c r="H235" s="526"/>
      <c r="I235" s="59"/>
      <c r="J235" s="77"/>
      <c r="K235" s="518">
        <v>303</v>
      </c>
      <c r="L235" s="526"/>
      <c r="M235" s="77"/>
    </row>
    <row r="236" spans="1:13" ht="13" x14ac:dyDescent="0.25">
      <c r="A236" s="657">
        <v>3504</v>
      </c>
      <c r="B236" s="373" t="s">
        <v>359</v>
      </c>
      <c r="C236" s="360">
        <v>721</v>
      </c>
      <c r="D236" s="54">
        <v>429</v>
      </c>
      <c r="E236" s="366">
        <f t="shared" si="3"/>
        <v>0.59500693481276001</v>
      </c>
      <c r="F236" s="526"/>
      <c r="G236" s="518"/>
      <c r="H236" s="526"/>
      <c r="I236" s="59"/>
      <c r="J236" s="77"/>
      <c r="K236" s="518">
        <v>256</v>
      </c>
      <c r="L236" s="526"/>
      <c r="M236" s="77"/>
    </row>
    <row r="237" spans="1:13" ht="13" x14ac:dyDescent="0.25">
      <c r="A237" s="657">
        <v>3505</v>
      </c>
      <c r="B237" s="373" t="s">
        <v>360</v>
      </c>
      <c r="C237" s="360">
        <v>1073</v>
      </c>
      <c r="D237" s="54">
        <v>565</v>
      </c>
      <c r="E237" s="366">
        <f t="shared" si="3"/>
        <v>0.52656104380242308</v>
      </c>
      <c r="F237" s="526"/>
      <c r="G237" s="518"/>
      <c r="H237" s="526"/>
      <c r="I237" s="59"/>
      <c r="J237" s="77"/>
      <c r="K237" s="518">
        <v>344</v>
      </c>
      <c r="L237" s="526"/>
      <c r="M237" s="77"/>
    </row>
    <row r="238" spans="1:13" ht="13" x14ac:dyDescent="0.25">
      <c r="A238" s="657">
        <v>3506</v>
      </c>
      <c r="B238" s="373" t="s">
        <v>361</v>
      </c>
      <c r="C238" s="360">
        <v>712</v>
      </c>
      <c r="D238" s="54">
        <v>439</v>
      </c>
      <c r="E238" s="366">
        <f t="shared" si="3"/>
        <v>0.6165730337078652</v>
      </c>
      <c r="F238" s="526"/>
      <c r="G238" s="518"/>
      <c r="H238" s="526"/>
      <c r="I238" s="59"/>
      <c r="J238" s="77"/>
      <c r="K238" s="518">
        <v>281</v>
      </c>
      <c r="L238" s="526"/>
      <c r="M238" s="77"/>
    </row>
    <row r="239" spans="1:13" ht="13" x14ac:dyDescent="0.25">
      <c r="A239" s="657">
        <v>3701</v>
      </c>
      <c r="B239" s="373" t="s">
        <v>362</v>
      </c>
      <c r="C239" s="360">
        <v>742</v>
      </c>
      <c r="D239" s="54">
        <v>503</v>
      </c>
      <c r="E239" s="366">
        <f t="shared" si="3"/>
        <v>0.67789757412398921</v>
      </c>
      <c r="F239" s="526"/>
      <c r="G239" s="518"/>
      <c r="H239" s="526"/>
      <c r="I239" s="59"/>
      <c r="J239" s="77"/>
      <c r="K239" s="518">
        <v>316</v>
      </c>
      <c r="L239" s="526"/>
      <c r="M239" s="77"/>
    </row>
    <row r="240" spans="1:13" ht="13" x14ac:dyDescent="0.25">
      <c r="A240" s="657">
        <v>3702</v>
      </c>
      <c r="B240" s="373" t="s">
        <v>363</v>
      </c>
      <c r="C240" s="360">
        <v>1507</v>
      </c>
      <c r="D240" s="54">
        <v>714</v>
      </c>
      <c r="E240" s="366">
        <f t="shared" si="3"/>
        <v>0.47378898473788983</v>
      </c>
      <c r="F240" s="526"/>
      <c r="G240" s="518"/>
      <c r="H240" s="526"/>
      <c r="I240" s="59"/>
      <c r="J240" s="77"/>
      <c r="K240" s="518">
        <v>472</v>
      </c>
      <c r="L240" s="526"/>
      <c r="M240" s="77"/>
    </row>
    <row r="241" spans="1:13" ht="13" x14ac:dyDescent="0.25">
      <c r="A241" s="657">
        <v>3703</v>
      </c>
      <c r="B241" s="373" t="s">
        <v>364</v>
      </c>
      <c r="C241" s="360">
        <v>1089</v>
      </c>
      <c r="D241" s="54">
        <v>594</v>
      </c>
      <c r="E241" s="366">
        <f t="shared" si="3"/>
        <v>0.54545454545454541</v>
      </c>
      <c r="F241" s="526"/>
      <c r="G241" s="518"/>
      <c r="H241" s="526"/>
      <c r="I241" s="59"/>
      <c r="J241" s="77"/>
      <c r="K241" s="518">
        <v>373</v>
      </c>
      <c r="L241" s="526"/>
      <c r="M241" s="77"/>
    </row>
    <row r="242" spans="1:13" ht="13" x14ac:dyDescent="0.25">
      <c r="A242" s="657">
        <v>3704</v>
      </c>
      <c r="B242" s="373" t="s">
        <v>365</v>
      </c>
      <c r="C242" s="360">
        <v>1008</v>
      </c>
      <c r="D242" s="54">
        <v>441</v>
      </c>
      <c r="E242" s="366">
        <f t="shared" si="3"/>
        <v>0.4375</v>
      </c>
      <c r="F242" s="526"/>
      <c r="G242" s="518"/>
      <c r="H242" s="526"/>
      <c r="I242" s="59"/>
      <c r="J242" s="77"/>
      <c r="K242" s="518">
        <v>297</v>
      </c>
      <c r="L242" s="526"/>
      <c r="M242" s="77"/>
    </row>
    <row r="243" spans="1:13" ht="13" x14ac:dyDescent="0.25">
      <c r="A243" s="657">
        <v>3705</v>
      </c>
      <c r="B243" s="373" t="s">
        <v>366</v>
      </c>
      <c r="C243" s="360">
        <v>1008</v>
      </c>
      <c r="D243" s="54">
        <v>625</v>
      </c>
      <c r="E243" s="366">
        <f t="shared" si="3"/>
        <v>0.62003968253968256</v>
      </c>
      <c r="F243" s="526"/>
      <c r="G243" s="518"/>
      <c r="H243" s="526"/>
      <c r="I243" s="59"/>
      <c r="J243" s="77"/>
      <c r="K243" s="518">
        <v>386</v>
      </c>
      <c r="L243" s="526"/>
      <c r="M243" s="77"/>
    </row>
    <row r="244" spans="1:13" ht="13" x14ac:dyDescent="0.25">
      <c r="A244" s="657">
        <v>3706</v>
      </c>
      <c r="B244" s="373" t="s">
        <v>367</v>
      </c>
      <c r="C244" s="360">
        <v>782</v>
      </c>
      <c r="D244" s="54">
        <v>454</v>
      </c>
      <c r="E244" s="366">
        <f t="shared" si="3"/>
        <v>0.58056265984654731</v>
      </c>
      <c r="F244" s="526"/>
      <c r="G244" s="518"/>
      <c r="H244" s="526"/>
      <c r="I244" s="59"/>
      <c r="J244" s="77"/>
      <c r="K244" s="518">
        <v>272</v>
      </c>
      <c r="L244" s="526"/>
      <c r="M244" s="77"/>
    </row>
    <row r="245" spans="1:13" ht="13" x14ac:dyDescent="0.25">
      <c r="A245" s="657">
        <v>3707</v>
      </c>
      <c r="B245" s="373" t="s">
        <v>368</v>
      </c>
      <c r="C245" s="360">
        <v>626</v>
      </c>
      <c r="D245" s="54">
        <v>434</v>
      </c>
      <c r="E245" s="366">
        <f t="shared" si="3"/>
        <v>0.69329073482428116</v>
      </c>
      <c r="F245" s="526"/>
      <c r="G245" s="518"/>
      <c r="H245" s="526"/>
      <c r="I245" s="59"/>
      <c r="J245" s="77"/>
      <c r="K245" s="518">
        <v>267</v>
      </c>
      <c r="L245" s="526"/>
      <c r="M245" s="77"/>
    </row>
    <row r="246" spans="1:13" ht="13" x14ac:dyDescent="0.25">
      <c r="A246" s="657">
        <v>3801</v>
      </c>
      <c r="B246" s="373" t="s">
        <v>369</v>
      </c>
      <c r="C246" s="360">
        <v>1130</v>
      </c>
      <c r="D246" s="54">
        <v>790</v>
      </c>
      <c r="E246" s="366">
        <f t="shared" si="3"/>
        <v>0.69911504424778759</v>
      </c>
      <c r="F246" s="526"/>
      <c r="G246" s="518"/>
      <c r="H246" s="526"/>
      <c r="I246" s="59"/>
      <c r="J246" s="77"/>
      <c r="K246" s="518">
        <v>465</v>
      </c>
      <c r="L246" s="526"/>
      <c r="M246" s="77"/>
    </row>
    <row r="247" spans="1:13" ht="13" x14ac:dyDescent="0.25">
      <c r="A247" s="657">
        <v>3802</v>
      </c>
      <c r="B247" s="373" t="s">
        <v>370</v>
      </c>
      <c r="C247" s="360">
        <v>840</v>
      </c>
      <c r="D247" s="54">
        <v>531</v>
      </c>
      <c r="E247" s="366">
        <f t="shared" si="3"/>
        <v>0.63214285714285712</v>
      </c>
      <c r="F247" s="526"/>
      <c r="G247" s="518"/>
      <c r="H247" s="526"/>
      <c r="I247" s="59"/>
      <c r="J247" s="77"/>
      <c r="K247" s="518">
        <v>320</v>
      </c>
      <c r="L247" s="526"/>
      <c r="M247" s="77"/>
    </row>
    <row r="248" spans="1:13" ht="13" x14ac:dyDescent="0.25">
      <c r="A248" s="657">
        <v>3803</v>
      </c>
      <c r="B248" s="373" t="s">
        <v>371</v>
      </c>
      <c r="C248" s="360">
        <v>823</v>
      </c>
      <c r="D248" s="54">
        <v>607</v>
      </c>
      <c r="E248" s="366">
        <f t="shared" si="3"/>
        <v>0.73754556500607538</v>
      </c>
      <c r="F248" s="526"/>
      <c r="G248" s="518"/>
      <c r="H248" s="526"/>
      <c r="I248" s="59"/>
      <c r="J248" s="77"/>
      <c r="K248" s="518">
        <v>348</v>
      </c>
      <c r="L248" s="526"/>
      <c r="M248" s="77"/>
    </row>
    <row r="249" spans="1:13" ht="13" x14ac:dyDescent="0.25">
      <c r="A249" s="657">
        <v>3804</v>
      </c>
      <c r="B249" s="373" t="s">
        <v>372</v>
      </c>
      <c r="C249" s="360">
        <v>1215</v>
      </c>
      <c r="D249" s="54">
        <v>899</v>
      </c>
      <c r="E249" s="366">
        <f t="shared" si="3"/>
        <v>0.73991769547325104</v>
      </c>
      <c r="F249" s="526"/>
      <c r="G249" s="518"/>
      <c r="H249" s="526"/>
      <c r="I249" s="59"/>
      <c r="J249" s="77"/>
      <c r="K249" s="518">
        <v>569</v>
      </c>
      <c r="L249" s="526"/>
      <c r="M249" s="77"/>
    </row>
    <row r="250" spans="1:13" ht="13" x14ac:dyDescent="0.25">
      <c r="A250" s="657">
        <v>3805</v>
      </c>
      <c r="B250" s="373" t="s">
        <v>373</v>
      </c>
      <c r="C250" s="360">
        <v>643</v>
      </c>
      <c r="D250" s="54">
        <v>420</v>
      </c>
      <c r="E250" s="366">
        <f t="shared" si="3"/>
        <v>0.65318818040435456</v>
      </c>
      <c r="F250" s="526"/>
      <c r="G250" s="518"/>
      <c r="H250" s="526"/>
      <c r="I250" s="59"/>
      <c r="J250" s="77"/>
      <c r="K250" s="518">
        <v>274</v>
      </c>
      <c r="L250" s="526"/>
      <c r="M250" s="77"/>
    </row>
    <row r="251" spans="1:13" ht="13" x14ac:dyDescent="0.25">
      <c r="A251" s="657">
        <v>3806</v>
      </c>
      <c r="B251" s="373" t="s">
        <v>374</v>
      </c>
      <c r="C251" s="360">
        <v>1167</v>
      </c>
      <c r="D251" s="54">
        <v>793</v>
      </c>
      <c r="E251" s="366">
        <f t="shared" si="3"/>
        <v>0.67952013710368464</v>
      </c>
      <c r="F251" s="526"/>
      <c r="G251" s="518"/>
      <c r="H251" s="526"/>
      <c r="I251" s="59"/>
      <c r="J251" s="77"/>
      <c r="K251" s="518">
        <v>503</v>
      </c>
      <c r="L251" s="526"/>
      <c r="M251" s="77"/>
    </row>
    <row r="252" spans="1:13" ht="13" x14ac:dyDescent="0.25">
      <c r="A252" s="657">
        <v>3807</v>
      </c>
      <c r="B252" s="373" t="s">
        <v>375</v>
      </c>
      <c r="C252" s="360">
        <v>684</v>
      </c>
      <c r="D252" s="54">
        <v>483</v>
      </c>
      <c r="E252" s="366">
        <f t="shared" si="3"/>
        <v>0.70614035087719296</v>
      </c>
      <c r="F252" s="526"/>
      <c r="G252" s="518"/>
      <c r="H252" s="526"/>
      <c r="I252" s="59"/>
      <c r="J252" s="77"/>
      <c r="K252" s="518">
        <v>295</v>
      </c>
      <c r="L252" s="526"/>
      <c r="M252" s="77"/>
    </row>
    <row r="253" spans="1:13" ht="13" x14ac:dyDescent="0.25">
      <c r="A253" s="657">
        <v>3808</v>
      </c>
      <c r="B253" s="373" t="s">
        <v>376</v>
      </c>
      <c r="C253" s="360">
        <v>815</v>
      </c>
      <c r="D253" s="54">
        <v>574</v>
      </c>
      <c r="E253" s="366">
        <f t="shared" si="3"/>
        <v>0.7042944785276074</v>
      </c>
      <c r="F253" s="526"/>
      <c r="G253" s="518"/>
      <c r="H253" s="526"/>
      <c r="I253" s="59"/>
      <c r="J253" s="77"/>
      <c r="K253" s="518">
        <v>373</v>
      </c>
      <c r="L253" s="526"/>
      <c r="M253" s="77"/>
    </row>
    <row r="254" spans="1:13" ht="13" x14ac:dyDescent="0.25">
      <c r="A254" s="657">
        <v>3901</v>
      </c>
      <c r="B254" s="373" t="s">
        <v>831</v>
      </c>
      <c r="C254" s="360">
        <v>19</v>
      </c>
      <c r="D254" s="54">
        <v>12</v>
      </c>
      <c r="E254" s="366">
        <f t="shared" si="3"/>
        <v>0.63157894736842102</v>
      </c>
      <c r="F254" s="526"/>
      <c r="G254" s="518"/>
      <c r="H254" s="526"/>
      <c r="I254" s="59"/>
      <c r="J254" s="77"/>
      <c r="K254" s="518">
        <v>10</v>
      </c>
      <c r="L254" s="526"/>
      <c r="M254" s="77"/>
    </row>
    <row r="255" spans="1:13" ht="13" x14ac:dyDescent="0.25">
      <c r="A255" s="657">
        <v>4001</v>
      </c>
      <c r="B255" s="373" t="s">
        <v>377</v>
      </c>
      <c r="C255" s="360">
        <v>1275</v>
      </c>
      <c r="D255" s="54">
        <v>854</v>
      </c>
      <c r="E255" s="366">
        <f t="shared" si="3"/>
        <v>0.66980392156862745</v>
      </c>
      <c r="F255" s="526"/>
      <c r="G255" s="518"/>
      <c r="H255" s="526"/>
      <c r="I255" s="59"/>
      <c r="J255" s="77"/>
      <c r="K255" s="518">
        <v>546</v>
      </c>
      <c r="L255" s="526"/>
      <c r="M255" s="77"/>
    </row>
    <row r="256" spans="1:13" ht="13" x14ac:dyDescent="0.25">
      <c r="A256" s="657">
        <v>4002</v>
      </c>
      <c r="B256" s="373" t="s">
        <v>378</v>
      </c>
      <c r="C256" s="360">
        <v>1170</v>
      </c>
      <c r="D256" s="54">
        <v>794</v>
      </c>
      <c r="E256" s="366">
        <f t="shared" si="3"/>
        <v>0.67863247863247866</v>
      </c>
      <c r="F256" s="526"/>
      <c r="G256" s="518"/>
      <c r="H256" s="526"/>
      <c r="I256" s="59"/>
      <c r="J256" s="77"/>
      <c r="K256" s="518">
        <v>480</v>
      </c>
      <c r="L256" s="526"/>
      <c r="M256" s="77"/>
    </row>
    <row r="257" spans="1:13" ht="13" x14ac:dyDescent="0.25">
      <c r="A257" s="657">
        <v>4003</v>
      </c>
      <c r="B257" s="373" t="s">
        <v>379</v>
      </c>
      <c r="C257" s="360">
        <v>1315</v>
      </c>
      <c r="D257" s="54">
        <v>866</v>
      </c>
      <c r="E257" s="366">
        <f t="shared" si="3"/>
        <v>0.65855513307984792</v>
      </c>
      <c r="F257" s="526"/>
      <c r="G257" s="518"/>
      <c r="H257" s="526"/>
      <c r="I257" s="59"/>
      <c r="J257" s="77"/>
      <c r="K257" s="518">
        <v>505</v>
      </c>
      <c r="L257" s="526"/>
      <c r="M257" s="77"/>
    </row>
    <row r="258" spans="1:13" ht="13" x14ac:dyDescent="0.25">
      <c r="A258" s="657">
        <v>4004</v>
      </c>
      <c r="B258" s="373" t="s">
        <v>380</v>
      </c>
      <c r="C258" s="360">
        <v>641</v>
      </c>
      <c r="D258" s="54">
        <v>420</v>
      </c>
      <c r="E258" s="366">
        <f t="shared" si="3"/>
        <v>0.65522620904836193</v>
      </c>
      <c r="F258" s="526"/>
      <c r="G258" s="518"/>
      <c r="H258" s="526"/>
      <c r="I258" s="59"/>
      <c r="J258" s="77"/>
      <c r="K258" s="518">
        <v>250</v>
      </c>
      <c r="L258" s="526"/>
      <c r="M258" s="77"/>
    </row>
    <row r="259" spans="1:13" ht="13" x14ac:dyDescent="0.25">
      <c r="A259" s="657">
        <v>4005</v>
      </c>
      <c r="B259" s="373" t="s">
        <v>381</v>
      </c>
      <c r="C259" s="360">
        <v>683</v>
      </c>
      <c r="D259" s="54">
        <v>422</v>
      </c>
      <c r="E259" s="366">
        <f t="shared" si="3"/>
        <v>0.61786237188872617</v>
      </c>
      <c r="F259" s="526"/>
      <c r="G259" s="518"/>
      <c r="H259" s="526"/>
      <c r="I259" s="59"/>
      <c r="J259" s="77"/>
      <c r="K259" s="518">
        <v>241</v>
      </c>
      <c r="L259" s="526"/>
      <c r="M259" s="77"/>
    </row>
    <row r="260" spans="1:13" ht="13" x14ac:dyDescent="0.25">
      <c r="A260" s="657">
        <v>4006</v>
      </c>
      <c r="B260" s="373" t="s">
        <v>382</v>
      </c>
      <c r="C260" s="360">
        <v>1044</v>
      </c>
      <c r="D260" s="54">
        <v>683</v>
      </c>
      <c r="E260" s="366">
        <f t="shared" si="3"/>
        <v>0.65421455938697315</v>
      </c>
      <c r="F260" s="526"/>
      <c r="G260" s="518"/>
      <c r="H260" s="526"/>
      <c r="I260" s="59"/>
      <c r="J260" s="77"/>
      <c r="K260" s="518">
        <v>440</v>
      </c>
      <c r="L260" s="526"/>
      <c r="M260" s="77"/>
    </row>
    <row r="261" spans="1:13" ht="13" x14ac:dyDescent="0.25">
      <c r="A261" s="657">
        <v>4007</v>
      </c>
      <c r="B261" s="373" t="s">
        <v>383</v>
      </c>
      <c r="C261" s="360">
        <v>630</v>
      </c>
      <c r="D261" s="54">
        <v>442</v>
      </c>
      <c r="E261" s="366">
        <f t="shared" ref="E261:E324" si="4">SUM(D261/C261)</f>
        <v>0.70158730158730154</v>
      </c>
      <c r="F261" s="526"/>
      <c r="G261" s="518"/>
      <c r="H261" s="526"/>
      <c r="I261" s="59"/>
      <c r="J261" s="77"/>
      <c r="K261" s="518">
        <v>251</v>
      </c>
      <c r="L261" s="526"/>
      <c r="M261" s="77"/>
    </row>
    <row r="262" spans="1:13" ht="13" x14ac:dyDescent="0.25">
      <c r="A262" s="657">
        <v>4008</v>
      </c>
      <c r="B262" s="373" t="s">
        <v>384</v>
      </c>
      <c r="C262" s="360">
        <v>1079</v>
      </c>
      <c r="D262" s="54">
        <v>682</v>
      </c>
      <c r="E262" s="366">
        <f t="shared" si="4"/>
        <v>0.63206672845227063</v>
      </c>
      <c r="F262" s="526"/>
      <c r="G262" s="518"/>
      <c r="H262" s="526"/>
      <c r="I262" s="59"/>
      <c r="J262" s="77"/>
      <c r="K262" s="518">
        <v>433</v>
      </c>
      <c r="L262" s="526"/>
      <c r="M262" s="77"/>
    </row>
    <row r="263" spans="1:13" ht="13" x14ac:dyDescent="0.25">
      <c r="A263" s="657">
        <v>4009</v>
      </c>
      <c r="B263" s="373" t="s">
        <v>385</v>
      </c>
      <c r="C263" s="360">
        <v>1102</v>
      </c>
      <c r="D263" s="54">
        <v>694</v>
      </c>
      <c r="E263" s="366">
        <f t="shared" si="4"/>
        <v>0.62976406533575313</v>
      </c>
      <c r="F263" s="526"/>
      <c r="G263" s="518"/>
      <c r="H263" s="526"/>
      <c r="I263" s="59"/>
      <c r="J263" s="77"/>
      <c r="K263" s="518">
        <v>428</v>
      </c>
      <c r="L263" s="526"/>
      <c r="M263" s="77"/>
    </row>
    <row r="264" spans="1:13" ht="13" x14ac:dyDescent="0.25">
      <c r="A264" s="657">
        <v>4111</v>
      </c>
      <c r="B264" s="373" t="s">
        <v>386</v>
      </c>
      <c r="C264" s="360">
        <v>1482</v>
      </c>
      <c r="D264" s="54">
        <v>499</v>
      </c>
      <c r="E264" s="366">
        <f t="shared" si="4"/>
        <v>0.33670715249662619</v>
      </c>
      <c r="F264" s="526"/>
      <c r="G264" s="518"/>
      <c r="H264" s="526">
        <v>353</v>
      </c>
      <c r="I264" s="59"/>
      <c r="J264" s="77"/>
      <c r="K264" s="518"/>
      <c r="L264" s="526"/>
      <c r="M264" s="77"/>
    </row>
    <row r="265" spans="1:13" ht="13" x14ac:dyDescent="0.25">
      <c r="A265" s="657">
        <v>4121</v>
      </c>
      <c r="B265" s="373" t="s">
        <v>387</v>
      </c>
      <c r="C265" s="360">
        <v>1023</v>
      </c>
      <c r="D265" s="54">
        <v>477</v>
      </c>
      <c r="E265" s="366">
        <f t="shared" si="4"/>
        <v>0.4662756598240469</v>
      </c>
      <c r="F265" s="526"/>
      <c r="G265" s="518"/>
      <c r="H265" s="526">
        <v>332</v>
      </c>
      <c r="I265" s="59"/>
      <c r="J265" s="77"/>
      <c r="K265" s="518"/>
      <c r="L265" s="526"/>
      <c r="M265" s="77"/>
    </row>
    <row r="266" spans="1:13" ht="13" x14ac:dyDescent="0.25">
      <c r="A266" s="657">
        <v>4131</v>
      </c>
      <c r="B266" s="373" t="s">
        <v>388</v>
      </c>
      <c r="C266" s="360">
        <v>1086</v>
      </c>
      <c r="D266" s="54">
        <v>421</v>
      </c>
      <c r="E266" s="366">
        <f t="shared" si="4"/>
        <v>0.38766114180478822</v>
      </c>
      <c r="F266" s="526"/>
      <c r="G266" s="518"/>
      <c r="H266" s="526">
        <v>301</v>
      </c>
      <c r="I266" s="59"/>
      <c r="J266" s="77"/>
      <c r="K266" s="518"/>
      <c r="L266" s="526"/>
      <c r="M266" s="77"/>
    </row>
    <row r="267" spans="1:13" ht="13" x14ac:dyDescent="0.25">
      <c r="A267" s="657">
        <v>4141</v>
      </c>
      <c r="B267" s="373" t="s">
        <v>389</v>
      </c>
      <c r="C267" s="360">
        <v>922</v>
      </c>
      <c r="D267" s="54">
        <v>364</v>
      </c>
      <c r="E267" s="366">
        <f t="shared" si="4"/>
        <v>0.39479392624728848</v>
      </c>
      <c r="F267" s="526"/>
      <c r="G267" s="518"/>
      <c r="H267" s="526">
        <v>272</v>
      </c>
      <c r="I267" s="59"/>
      <c r="J267" s="77"/>
      <c r="K267" s="518"/>
      <c r="L267" s="526"/>
      <c r="M267" s="77"/>
    </row>
    <row r="268" spans="1:13" ht="13" x14ac:dyDescent="0.25">
      <c r="A268" s="657">
        <v>4311</v>
      </c>
      <c r="B268" s="373" t="s">
        <v>390</v>
      </c>
      <c r="C268" s="360">
        <v>581</v>
      </c>
      <c r="D268" s="54">
        <v>254</v>
      </c>
      <c r="E268" s="366">
        <f t="shared" si="4"/>
        <v>0.43717728055077454</v>
      </c>
      <c r="F268" s="526"/>
      <c r="G268" s="518"/>
      <c r="H268" s="526">
        <v>174</v>
      </c>
      <c r="I268" s="59"/>
      <c r="J268" s="77"/>
      <c r="K268" s="518"/>
      <c r="L268" s="526"/>
      <c r="M268" s="77"/>
    </row>
    <row r="269" spans="1:13" ht="13" x14ac:dyDescent="0.25">
      <c r="A269" s="657">
        <v>4312</v>
      </c>
      <c r="B269" s="373" t="s">
        <v>391</v>
      </c>
      <c r="C269" s="360">
        <v>1188</v>
      </c>
      <c r="D269" s="54">
        <v>473</v>
      </c>
      <c r="E269" s="366">
        <f t="shared" si="4"/>
        <v>0.39814814814814814</v>
      </c>
      <c r="F269" s="526"/>
      <c r="G269" s="518"/>
      <c r="H269" s="526">
        <v>345</v>
      </c>
      <c r="I269" s="59"/>
      <c r="J269" s="77"/>
      <c r="K269" s="518"/>
      <c r="L269" s="526"/>
      <c r="M269" s="77"/>
    </row>
    <row r="270" spans="1:13" ht="13" x14ac:dyDescent="0.25">
      <c r="A270" s="657">
        <v>4321</v>
      </c>
      <c r="B270" s="373" t="s">
        <v>392</v>
      </c>
      <c r="C270" s="360">
        <v>1069</v>
      </c>
      <c r="D270" s="54">
        <v>284</v>
      </c>
      <c r="E270" s="366">
        <f t="shared" si="4"/>
        <v>0.26566884939195512</v>
      </c>
      <c r="F270" s="526"/>
      <c r="G270" s="518"/>
      <c r="H270" s="526">
        <v>208</v>
      </c>
      <c r="I270" s="59"/>
      <c r="J270" s="77"/>
      <c r="K270" s="518"/>
      <c r="L270" s="526"/>
      <c r="M270" s="77"/>
    </row>
    <row r="271" spans="1:13" ht="13" x14ac:dyDescent="0.25">
      <c r="A271" s="657">
        <v>4331</v>
      </c>
      <c r="B271" s="373" t="s">
        <v>393</v>
      </c>
      <c r="C271" s="360">
        <v>1163</v>
      </c>
      <c r="D271" s="54">
        <v>435</v>
      </c>
      <c r="E271" s="366">
        <f t="shared" si="4"/>
        <v>0.37403267411865865</v>
      </c>
      <c r="F271" s="526"/>
      <c r="G271" s="518"/>
      <c r="H271" s="526">
        <v>317</v>
      </c>
      <c r="I271" s="59"/>
      <c r="J271" s="77"/>
      <c r="K271" s="518"/>
      <c r="L271" s="526"/>
      <c r="M271" s="77"/>
    </row>
    <row r="272" spans="1:13" ht="13" x14ac:dyDescent="0.25">
      <c r="A272" s="657">
        <v>4341</v>
      </c>
      <c r="B272" s="373" t="s">
        <v>394</v>
      </c>
      <c r="C272" s="360">
        <v>1140</v>
      </c>
      <c r="D272" s="54">
        <v>514</v>
      </c>
      <c r="E272" s="366">
        <f t="shared" si="4"/>
        <v>0.45087719298245615</v>
      </c>
      <c r="F272" s="526"/>
      <c r="G272" s="518"/>
      <c r="H272" s="526">
        <v>370</v>
      </c>
      <c r="I272" s="59"/>
      <c r="J272" s="77"/>
      <c r="K272" s="518"/>
      <c r="L272" s="526"/>
      <c r="M272" s="77"/>
    </row>
    <row r="273" spans="1:13" ht="13" x14ac:dyDescent="0.25">
      <c r="A273" s="657">
        <v>4342</v>
      </c>
      <c r="B273" s="373" t="s">
        <v>395</v>
      </c>
      <c r="C273" s="360">
        <v>547</v>
      </c>
      <c r="D273" s="54">
        <v>273</v>
      </c>
      <c r="E273" s="366">
        <f t="shared" si="4"/>
        <v>0.4990859232175503</v>
      </c>
      <c r="F273" s="526"/>
      <c r="G273" s="518"/>
      <c r="H273" s="526">
        <v>199</v>
      </c>
      <c r="I273" s="59"/>
      <c r="J273" s="77"/>
      <c r="K273" s="518"/>
      <c r="L273" s="526"/>
      <c r="M273" s="77"/>
    </row>
    <row r="274" spans="1:13" ht="13" x14ac:dyDescent="0.25">
      <c r="A274" s="657">
        <v>4343</v>
      </c>
      <c r="B274" s="373" t="s">
        <v>396</v>
      </c>
      <c r="C274" s="360">
        <v>802</v>
      </c>
      <c r="D274" s="54">
        <v>288</v>
      </c>
      <c r="E274" s="366">
        <f t="shared" si="4"/>
        <v>0.35910224438902744</v>
      </c>
      <c r="F274" s="526"/>
      <c r="G274" s="518"/>
      <c r="H274" s="526">
        <v>226</v>
      </c>
      <c r="I274" s="59"/>
      <c r="J274" s="77"/>
      <c r="K274" s="518"/>
      <c r="L274" s="526"/>
      <c r="M274" s="77"/>
    </row>
    <row r="275" spans="1:13" ht="13" x14ac:dyDescent="0.25">
      <c r="A275" s="657">
        <v>4411</v>
      </c>
      <c r="B275" s="373" t="s">
        <v>397</v>
      </c>
      <c r="C275" s="360">
        <v>872</v>
      </c>
      <c r="D275" s="54">
        <v>299</v>
      </c>
      <c r="E275" s="366">
        <f t="shared" si="4"/>
        <v>0.34288990825688076</v>
      </c>
      <c r="F275" s="526"/>
      <c r="G275" s="518"/>
      <c r="H275" s="526"/>
      <c r="I275" s="59">
        <v>69</v>
      </c>
      <c r="J275" s="77">
        <v>169</v>
      </c>
      <c r="K275" s="518"/>
      <c r="L275" s="526"/>
      <c r="M275" s="77"/>
    </row>
    <row r="276" spans="1:13" ht="13" x14ac:dyDescent="0.25">
      <c r="A276" s="657">
        <v>4412</v>
      </c>
      <c r="B276" s="373" t="s">
        <v>398</v>
      </c>
      <c r="C276" s="360">
        <v>1224</v>
      </c>
      <c r="D276" s="54">
        <v>433</v>
      </c>
      <c r="E276" s="366">
        <f t="shared" si="4"/>
        <v>0.35375816993464054</v>
      </c>
      <c r="F276" s="526"/>
      <c r="G276" s="518"/>
      <c r="H276" s="526"/>
      <c r="I276" s="59">
        <v>138</v>
      </c>
      <c r="J276" s="77">
        <v>208</v>
      </c>
      <c r="K276" s="518"/>
      <c r="L276" s="526"/>
      <c r="M276" s="77"/>
    </row>
    <row r="277" spans="1:13" ht="13" x14ac:dyDescent="0.25">
      <c r="A277" s="657">
        <v>4413</v>
      </c>
      <c r="B277" s="373" t="s">
        <v>773</v>
      </c>
      <c r="C277" s="360">
        <v>1132</v>
      </c>
      <c r="D277" s="54">
        <v>495</v>
      </c>
      <c r="E277" s="366">
        <f t="shared" si="4"/>
        <v>0.4372791519434629</v>
      </c>
      <c r="F277" s="526"/>
      <c r="G277" s="518"/>
      <c r="H277" s="526"/>
      <c r="I277" s="59">
        <v>127</v>
      </c>
      <c r="J277" s="77">
        <v>262</v>
      </c>
      <c r="K277" s="518"/>
      <c r="L277" s="526"/>
      <c r="M277" s="77"/>
    </row>
    <row r="278" spans="1:13" ht="13" x14ac:dyDescent="0.25">
      <c r="A278" s="657">
        <v>4421</v>
      </c>
      <c r="B278" s="373" t="s">
        <v>399</v>
      </c>
      <c r="C278" s="360">
        <v>1037</v>
      </c>
      <c r="D278" s="54">
        <v>555</v>
      </c>
      <c r="E278" s="366">
        <f t="shared" si="4"/>
        <v>0.53519768563162973</v>
      </c>
      <c r="F278" s="526"/>
      <c r="G278" s="518"/>
      <c r="H278" s="526"/>
      <c r="I278" s="59">
        <v>157</v>
      </c>
      <c r="J278" s="77">
        <v>296</v>
      </c>
      <c r="K278" s="518"/>
      <c r="L278" s="526"/>
      <c r="M278" s="77"/>
    </row>
    <row r="279" spans="1:13" ht="13" x14ac:dyDescent="0.25">
      <c r="A279" s="657">
        <v>4422</v>
      </c>
      <c r="B279" s="373" t="s">
        <v>400</v>
      </c>
      <c r="C279" s="360">
        <v>1242</v>
      </c>
      <c r="D279" s="54">
        <v>548</v>
      </c>
      <c r="E279" s="366">
        <f t="shared" si="4"/>
        <v>0.44122383252818037</v>
      </c>
      <c r="F279" s="526"/>
      <c r="G279" s="518"/>
      <c r="H279" s="526"/>
      <c r="I279" s="59">
        <v>164</v>
      </c>
      <c r="J279" s="77">
        <v>283</v>
      </c>
      <c r="K279" s="518"/>
      <c r="L279" s="526"/>
      <c r="M279" s="77"/>
    </row>
    <row r="280" spans="1:13" ht="13" x14ac:dyDescent="0.25">
      <c r="A280" s="657">
        <v>4423</v>
      </c>
      <c r="B280" s="373" t="s">
        <v>401</v>
      </c>
      <c r="C280" s="360">
        <v>1031</v>
      </c>
      <c r="D280" s="54">
        <v>545</v>
      </c>
      <c r="E280" s="366">
        <f t="shared" si="4"/>
        <v>0.52861299709020371</v>
      </c>
      <c r="F280" s="526"/>
      <c r="G280" s="518"/>
      <c r="H280" s="526"/>
      <c r="I280" s="59">
        <v>148</v>
      </c>
      <c r="J280" s="77">
        <v>282</v>
      </c>
      <c r="K280" s="518"/>
      <c r="L280" s="526"/>
      <c r="M280" s="77"/>
    </row>
    <row r="281" spans="1:13" ht="13" x14ac:dyDescent="0.25">
      <c r="A281" s="657">
        <v>4431</v>
      </c>
      <c r="B281" s="373" t="s">
        <v>402</v>
      </c>
      <c r="C281" s="360">
        <v>1079</v>
      </c>
      <c r="D281" s="54">
        <v>508</v>
      </c>
      <c r="E281" s="366">
        <f t="shared" si="4"/>
        <v>0.47080630213160335</v>
      </c>
      <c r="F281" s="526"/>
      <c r="G281" s="518"/>
      <c r="H281" s="526"/>
      <c r="I281" s="59">
        <v>131</v>
      </c>
      <c r="J281" s="77">
        <v>288</v>
      </c>
      <c r="K281" s="518"/>
      <c r="L281" s="526"/>
      <c r="M281" s="77"/>
    </row>
    <row r="282" spans="1:13" ht="13" x14ac:dyDescent="0.25">
      <c r="A282" s="657">
        <v>4432</v>
      </c>
      <c r="B282" s="373" t="s">
        <v>403</v>
      </c>
      <c r="C282" s="360">
        <v>846</v>
      </c>
      <c r="D282" s="54">
        <v>414</v>
      </c>
      <c r="E282" s="366">
        <f t="shared" si="4"/>
        <v>0.48936170212765956</v>
      </c>
      <c r="F282" s="526"/>
      <c r="G282" s="518"/>
      <c r="H282" s="526"/>
      <c r="I282" s="59">
        <v>120</v>
      </c>
      <c r="J282" s="77">
        <v>215</v>
      </c>
      <c r="K282" s="518"/>
      <c r="L282" s="526"/>
      <c r="M282" s="77"/>
    </row>
    <row r="283" spans="1:13" ht="13" x14ac:dyDescent="0.25">
      <c r="A283" s="657">
        <v>4433</v>
      </c>
      <c r="B283" s="373" t="s">
        <v>404</v>
      </c>
      <c r="C283" s="360">
        <v>1565</v>
      </c>
      <c r="D283" s="54">
        <v>756</v>
      </c>
      <c r="E283" s="366">
        <f t="shared" si="4"/>
        <v>0.48306709265175718</v>
      </c>
      <c r="F283" s="526"/>
      <c r="G283" s="518"/>
      <c r="H283" s="526"/>
      <c r="I283" s="59">
        <v>235</v>
      </c>
      <c r="J283" s="77">
        <v>347</v>
      </c>
      <c r="K283" s="518"/>
      <c r="L283" s="526"/>
      <c r="M283" s="77"/>
    </row>
    <row r="284" spans="1:13" ht="13" x14ac:dyDescent="0.25">
      <c r="A284" s="657">
        <v>4441</v>
      </c>
      <c r="B284" s="373" t="s">
        <v>405</v>
      </c>
      <c r="C284" s="360">
        <v>946</v>
      </c>
      <c r="D284" s="54">
        <v>350</v>
      </c>
      <c r="E284" s="366">
        <f t="shared" si="4"/>
        <v>0.3699788583509514</v>
      </c>
      <c r="F284" s="526"/>
      <c r="G284" s="518"/>
      <c r="H284" s="526"/>
      <c r="I284" s="59">
        <v>105</v>
      </c>
      <c r="J284" s="77">
        <v>169</v>
      </c>
      <c r="K284" s="518"/>
      <c r="L284" s="526"/>
      <c r="M284" s="77"/>
    </row>
    <row r="285" spans="1:13" ht="13" x14ac:dyDescent="0.25">
      <c r="A285" s="657">
        <v>4442</v>
      </c>
      <c r="B285" s="373" t="s">
        <v>406</v>
      </c>
      <c r="C285" s="360">
        <v>1137</v>
      </c>
      <c r="D285" s="54">
        <v>415</v>
      </c>
      <c r="E285" s="366">
        <f t="shared" si="4"/>
        <v>0.36499560246262092</v>
      </c>
      <c r="F285" s="526"/>
      <c r="G285" s="518"/>
      <c r="H285" s="526"/>
      <c r="I285" s="59">
        <v>99</v>
      </c>
      <c r="J285" s="77">
        <v>212</v>
      </c>
      <c r="K285" s="518"/>
      <c r="L285" s="526"/>
      <c r="M285" s="77"/>
    </row>
    <row r="286" spans="1:13" ht="13" x14ac:dyDescent="0.25">
      <c r="A286" s="657">
        <v>4443</v>
      </c>
      <c r="B286" s="373" t="s">
        <v>407</v>
      </c>
      <c r="C286" s="360">
        <v>1062</v>
      </c>
      <c r="D286" s="54">
        <v>553</v>
      </c>
      <c r="E286" s="366">
        <f t="shared" si="4"/>
        <v>0.5207156308851224</v>
      </c>
      <c r="F286" s="526"/>
      <c r="G286" s="518"/>
      <c r="H286" s="526"/>
      <c r="I286" s="59">
        <v>169</v>
      </c>
      <c r="J286" s="77">
        <v>260</v>
      </c>
      <c r="K286" s="518"/>
      <c r="L286" s="526"/>
      <c r="M286" s="77"/>
    </row>
    <row r="287" spans="1:13" ht="13" x14ac:dyDescent="0.25">
      <c r="A287" s="657">
        <v>4611</v>
      </c>
      <c r="B287" s="373" t="s">
        <v>408</v>
      </c>
      <c r="C287" s="360">
        <v>1288</v>
      </c>
      <c r="D287" s="54">
        <v>645</v>
      </c>
      <c r="E287" s="366">
        <f t="shared" si="4"/>
        <v>0.50077639751552794</v>
      </c>
      <c r="F287" s="526"/>
      <c r="G287" s="518"/>
      <c r="H287" s="526"/>
      <c r="I287" s="59"/>
      <c r="J287" s="77"/>
      <c r="K287" s="518">
        <v>398</v>
      </c>
      <c r="L287" s="526"/>
      <c r="M287" s="77"/>
    </row>
    <row r="288" spans="1:13" ht="13" x14ac:dyDescent="0.25">
      <c r="A288" s="657">
        <v>4612</v>
      </c>
      <c r="B288" s="373" t="s">
        <v>409</v>
      </c>
      <c r="C288" s="360">
        <v>577</v>
      </c>
      <c r="D288" s="54">
        <v>173</v>
      </c>
      <c r="E288" s="366">
        <f t="shared" si="4"/>
        <v>0.29982668977469673</v>
      </c>
      <c r="F288" s="526"/>
      <c r="G288" s="518"/>
      <c r="H288" s="526"/>
      <c r="I288" s="59"/>
      <c r="J288" s="77"/>
      <c r="K288" s="518">
        <v>107</v>
      </c>
      <c r="L288" s="526"/>
      <c r="M288" s="77"/>
    </row>
    <row r="289" spans="1:13" ht="13" x14ac:dyDescent="0.25">
      <c r="A289" s="657">
        <v>4621</v>
      </c>
      <c r="B289" s="373" t="s">
        <v>410</v>
      </c>
      <c r="C289" s="360">
        <v>982</v>
      </c>
      <c r="D289" s="54">
        <v>395</v>
      </c>
      <c r="E289" s="366">
        <f t="shared" si="4"/>
        <v>0.40224032586558045</v>
      </c>
      <c r="F289" s="526"/>
      <c r="G289" s="518"/>
      <c r="H289" s="526"/>
      <c r="I289" s="59"/>
      <c r="J289" s="77"/>
      <c r="K289" s="518">
        <v>237</v>
      </c>
      <c r="L289" s="526"/>
      <c r="M289" s="77"/>
    </row>
    <row r="290" spans="1:13" ht="13" x14ac:dyDescent="0.25">
      <c r="A290" s="657">
        <v>4622</v>
      </c>
      <c r="B290" s="373" t="s">
        <v>411</v>
      </c>
      <c r="C290" s="360">
        <v>580</v>
      </c>
      <c r="D290" s="54">
        <v>277</v>
      </c>
      <c r="E290" s="366">
        <f t="shared" si="4"/>
        <v>0.47758620689655173</v>
      </c>
      <c r="F290" s="526"/>
      <c r="G290" s="518"/>
      <c r="H290" s="526"/>
      <c r="I290" s="59"/>
      <c r="J290" s="77"/>
      <c r="K290" s="518">
        <v>146</v>
      </c>
      <c r="L290" s="526"/>
      <c r="M290" s="77"/>
    </row>
    <row r="291" spans="1:13" ht="13" x14ac:dyDescent="0.25">
      <c r="A291" s="657">
        <v>4631</v>
      </c>
      <c r="B291" s="373" t="s">
        <v>412</v>
      </c>
      <c r="C291" s="360">
        <v>1179</v>
      </c>
      <c r="D291" s="54">
        <v>551</v>
      </c>
      <c r="E291" s="366">
        <f t="shared" si="4"/>
        <v>0.46734520780322308</v>
      </c>
      <c r="F291" s="526"/>
      <c r="G291" s="518"/>
      <c r="H291" s="526"/>
      <c r="I291" s="59"/>
      <c r="J291" s="77"/>
      <c r="K291" s="518">
        <v>346</v>
      </c>
      <c r="L291" s="526"/>
      <c r="M291" s="77"/>
    </row>
    <row r="292" spans="1:13" ht="13" x14ac:dyDescent="0.25">
      <c r="A292" s="657">
        <v>4632</v>
      </c>
      <c r="B292" s="373" t="s">
        <v>413</v>
      </c>
      <c r="C292" s="360">
        <v>766</v>
      </c>
      <c r="D292" s="54">
        <v>425</v>
      </c>
      <c r="E292" s="366">
        <f t="shared" si="4"/>
        <v>0.55483028720626637</v>
      </c>
      <c r="F292" s="526"/>
      <c r="G292" s="518"/>
      <c r="H292" s="526"/>
      <c r="I292" s="59"/>
      <c r="J292" s="77"/>
      <c r="K292" s="518">
        <v>264</v>
      </c>
      <c r="L292" s="526"/>
      <c r="M292" s="77"/>
    </row>
    <row r="293" spans="1:13" ht="13" x14ac:dyDescent="0.25">
      <c r="A293" s="657">
        <v>4641</v>
      </c>
      <c r="B293" s="373" t="s">
        <v>414</v>
      </c>
      <c r="C293" s="360">
        <v>825</v>
      </c>
      <c r="D293" s="54">
        <v>486</v>
      </c>
      <c r="E293" s="366">
        <f t="shared" si="4"/>
        <v>0.58909090909090911</v>
      </c>
      <c r="F293" s="526"/>
      <c r="G293" s="518"/>
      <c r="H293" s="526"/>
      <c r="I293" s="59"/>
      <c r="J293" s="77"/>
      <c r="K293" s="518">
        <v>299</v>
      </c>
      <c r="L293" s="526"/>
      <c r="M293" s="77"/>
    </row>
    <row r="294" spans="1:13" ht="13" x14ac:dyDescent="0.25">
      <c r="A294" s="657">
        <v>4642</v>
      </c>
      <c r="B294" s="373" t="s">
        <v>415</v>
      </c>
      <c r="C294" s="360">
        <v>1074</v>
      </c>
      <c r="D294" s="54">
        <v>663</v>
      </c>
      <c r="E294" s="366">
        <f t="shared" si="4"/>
        <v>0.61731843575418999</v>
      </c>
      <c r="F294" s="526"/>
      <c r="G294" s="518"/>
      <c r="H294" s="526"/>
      <c r="I294" s="59"/>
      <c r="J294" s="77"/>
      <c r="K294" s="518">
        <v>450</v>
      </c>
      <c r="L294" s="526"/>
      <c r="M294" s="77"/>
    </row>
    <row r="295" spans="1:13" ht="13" x14ac:dyDescent="0.25">
      <c r="A295" s="657">
        <v>4911</v>
      </c>
      <c r="B295" s="373" t="s">
        <v>416</v>
      </c>
      <c r="C295" s="360">
        <v>1012</v>
      </c>
      <c r="D295" s="54">
        <v>362</v>
      </c>
      <c r="E295" s="366">
        <f t="shared" si="4"/>
        <v>0.35770750988142291</v>
      </c>
      <c r="F295" s="526"/>
      <c r="G295" s="518"/>
      <c r="H295" s="526"/>
      <c r="I295" s="59"/>
      <c r="J295" s="77"/>
      <c r="K295" s="518">
        <v>195</v>
      </c>
      <c r="L295" s="526"/>
      <c r="M295" s="77"/>
    </row>
    <row r="296" spans="1:13" ht="13" x14ac:dyDescent="0.25">
      <c r="A296" s="657">
        <v>4912</v>
      </c>
      <c r="B296" s="373" t="s">
        <v>417</v>
      </c>
      <c r="C296" s="360">
        <v>854</v>
      </c>
      <c r="D296" s="54">
        <v>338</v>
      </c>
      <c r="E296" s="366">
        <f t="shared" si="4"/>
        <v>0.39578454332552693</v>
      </c>
      <c r="F296" s="526"/>
      <c r="G296" s="518"/>
      <c r="H296" s="526"/>
      <c r="I296" s="59"/>
      <c r="J296" s="77"/>
      <c r="K296" s="518">
        <v>195</v>
      </c>
      <c r="L296" s="526"/>
      <c r="M296" s="77"/>
    </row>
    <row r="297" spans="1:13" ht="13" x14ac:dyDescent="0.25">
      <c r="A297" s="657">
        <v>4921</v>
      </c>
      <c r="B297" s="373" t="s">
        <v>418</v>
      </c>
      <c r="C297" s="360">
        <v>829</v>
      </c>
      <c r="D297" s="54">
        <v>537</v>
      </c>
      <c r="E297" s="366">
        <f t="shared" si="4"/>
        <v>0.64776839565741862</v>
      </c>
      <c r="F297" s="526"/>
      <c r="G297" s="518"/>
      <c r="H297" s="526"/>
      <c r="I297" s="59"/>
      <c r="J297" s="77"/>
      <c r="K297" s="518">
        <v>342</v>
      </c>
      <c r="L297" s="526"/>
      <c r="M297" s="77"/>
    </row>
    <row r="298" spans="1:13" ht="13" x14ac:dyDescent="0.25">
      <c r="A298" s="657">
        <v>4931</v>
      </c>
      <c r="B298" s="373" t="s">
        <v>419</v>
      </c>
      <c r="C298" s="360">
        <v>1589</v>
      </c>
      <c r="D298" s="54">
        <v>772</v>
      </c>
      <c r="E298" s="366">
        <f t="shared" si="4"/>
        <v>0.4858401510383889</v>
      </c>
      <c r="F298" s="526"/>
      <c r="G298" s="518"/>
      <c r="H298" s="526"/>
      <c r="I298" s="59"/>
      <c r="J298" s="77"/>
      <c r="K298" s="518">
        <v>487</v>
      </c>
      <c r="L298" s="526"/>
      <c r="M298" s="77"/>
    </row>
    <row r="299" spans="1:13" ht="13" x14ac:dyDescent="0.25">
      <c r="A299" s="657">
        <v>4932</v>
      </c>
      <c r="B299" s="373" t="s">
        <v>420</v>
      </c>
      <c r="C299" s="360">
        <v>780</v>
      </c>
      <c r="D299" s="54">
        <v>488</v>
      </c>
      <c r="E299" s="366">
        <f t="shared" si="4"/>
        <v>0.62564102564102564</v>
      </c>
      <c r="F299" s="526"/>
      <c r="G299" s="518"/>
      <c r="H299" s="526"/>
      <c r="I299" s="59"/>
      <c r="J299" s="77"/>
      <c r="K299" s="518">
        <v>320</v>
      </c>
      <c r="L299" s="526"/>
      <c r="M299" s="77"/>
    </row>
    <row r="300" spans="1:13" ht="13" x14ac:dyDescent="0.25">
      <c r="A300" s="657">
        <v>4941</v>
      </c>
      <c r="B300" s="373" t="s">
        <v>421</v>
      </c>
      <c r="C300" s="360">
        <v>1077</v>
      </c>
      <c r="D300" s="54">
        <v>662</v>
      </c>
      <c r="E300" s="366">
        <f t="shared" si="4"/>
        <v>0.61467038068709379</v>
      </c>
      <c r="F300" s="526"/>
      <c r="G300" s="518"/>
      <c r="H300" s="526"/>
      <c r="I300" s="59"/>
      <c r="J300" s="77"/>
      <c r="K300" s="518">
        <v>414</v>
      </c>
      <c r="L300" s="526"/>
      <c r="M300" s="77"/>
    </row>
    <row r="301" spans="1:13" ht="13" x14ac:dyDescent="0.25">
      <c r="A301" s="657">
        <v>4942</v>
      </c>
      <c r="B301" s="373" t="s">
        <v>422</v>
      </c>
      <c r="C301" s="360">
        <v>1581</v>
      </c>
      <c r="D301" s="54">
        <v>843</v>
      </c>
      <c r="E301" s="366">
        <f t="shared" si="4"/>
        <v>0.53320683111954459</v>
      </c>
      <c r="F301" s="526"/>
      <c r="G301" s="518"/>
      <c r="H301" s="526"/>
      <c r="I301" s="59"/>
      <c r="J301" s="77"/>
      <c r="K301" s="518">
        <v>501</v>
      </c>
      <c r="L301" s="526"/>
      <c r="M301" s="77"/>
    </row>
    <row r="302" spans="1:13" ht="13" x14ac:dyDescent="0.25">
      <c r="A302" s="657">
        <v>5201</v>
      </c>
      <c r="B302" s="373" t="s">
        <v>423</v>
      </c>
      <c r="C302" s="360">
        <v>719</v>
      </c>
      <c r="D302" s="54">
        <v>408</v>
      </c>
      <c r="E302" s="366">
        <f t="shared" si="4"/>
        <v>0.56745479833101531</v>
      </c>
      <c r="F302" s="526"/>
      <c r="G302" s="518"/>
      <c r="H302" s="526"/>
      <c r="I302" s="59"/>
      <c r="J302" s="77"/>
      <c r="K302" s="518">
        <v>253</v>
      </c>
      <c r="L302" s="526"/>
      <c r="M302" s="77"/>
    </row>
    <row r="303" spans="1:13" ht="13" x14ac:dyDescent="0.25">
      <c r="A303" s="657">
        <v>5202</v>
      </c>
      <c r="B303" s="373" t="s">
        <v>424</v>
      </c>
      <c r="C303" s="360">
        <v>950</v>
      </c>
      <c r="D303" s="54">
        <v>498</v>
      </c>
      <c r="E303" s="366">
        <f t="shared" si="4"/>
        <v>0.52421052631578946</v>
      </c>
      <c r="F303" s="526"/>
      <c r="G303" s="518"/>
      <c r="H303" s="526"/>
      <c r="I303" s="59"/>
      <c r="J303" s="77"/>
      <c r="K303" s="518">
        <v>325</v>
      </c>
      <c r="L303" s="526"/>
      <c r="M303" s="77"/>
    </row>
    <row r="304" spans="1:13" ht="13" x14ac:dyDescent="0.25">
      <c r="A304" s="657">
        <v>5203</v>
      </c>
      <c r="B304" s="373" t="s">
        <v>425</v>
      </c>
      <c r="C304" s="360">
        <v>1042</v>
      </c>
      <c r="D304" s="54">
        <v>475</v>
      </c>
      <c r="E304" s="366">
        <f t="shared" si="4"/>
        <v>0.45585412667946257</v>
      </c>
      <c r="F304" s="526"/>
      <c r="G304" s="518"/>
      <c r="H304" s="526"/>
      <c r="I304" s="59"/>
      <c r="J304" s="77"/>
      <c r="K304" s="518">
        <v>311</v>
      </c>
      <c r="L304" s="526"/>
      <c r="M304" s="77"/>
    </row>
    <row r="305" spans="1:13" ht="13" x14ac:dyDescent="0.25">
      <c r="A305" s="657">
        <v>5204</v>
      </c>
      <c r="B305" s="373" t="s">
        <v>426</v>
      </c>
      <c r="C305" s="360">
        <v>793</v>
      </c>
      <c r="D305" s="54">
        <v>384</v>
      </c>
      <c r="E305" s="366">
        <f t="shared" si="4"/>
        <v>0.48423707440100883</v>
      </c>
      <c r="F305" s="526"/>
      <c r="G305" s="518"/>
      <c r="H305" s="526"/>
      <c r="I305" s="59"/>
      <c r="J305" s="77"/>
      <c r="K305" s="518">
        <v>261</v>
      </c>
      <c r="L305" s="526"/>
      <c r="M305" s="77"/>
    </row>
    <row r="306" spans="1:13" ht="13" x14ac:dyDescent="0.25">
      <c r="A306" s="657">
        <v>5205</v>
      </c>
      <c r="B306" s="373" t="s">
        <v>427</v>
      </c>
      <c r="C306" s="360">
        <v>966</v>
      </c>
      <c r="D306" s="54">
        <v>339</v>
      </c>
      <c r="E306" s="366">
        <f t="shared" si="4"/>
        <v>0.35093167701863354</v>
      </c>
      <c r="F306" s="526"/>
      <c r="G306" s="518"/>
      <c r="H306" s="526"/>
      <c r="I306" s="59"/>
      <c r="J306" s="77"/>
      <c r="K306" s="518">
        <v>223</v>
      </c>
      <c r="L306" s="526"/>
      <c r="M306" s="77"/>
    </row>
    <row r="307" spans="1:13" ht="13" x14ac:dyDescent="0.25">
      <c r="A307" s="657">
        <v>5206</v>
      </c>
      <c r="B307" s="373" t="s">
        <v>428</v>
      </c>
      <c r="C307" s="360">
        <v>808</v>
      </c>
      <c r="D307" s="54">
        <v>402</v>
      </c>
      <c r="E307" s="366">
        <f t="shared" si="4"/>
        <v>0.49752475247524752</v>
      </c>
      <c r="F307" s="526"/>
      <c r="G307" s="518"/>
      <c r="H307" s="526"/>
      <c r="I307" s="59"/>
      <c r="J307" s="77"/>
      <c r="K307" s="518">
        <v>262</v>
      </c>
      <c r="L307" s="526"/>
      <c r="M307" s="77"/>
    </row>
    <row r="308" spans="1:13" ht="13" x14ac:dyDescent="0.25">
      <c r="A308" s="657">
        <v>5207</v>
      </c>
      <c r="B308" s="373" t="s">
        <v>429</v>
      </c>
      <c r="C308" s="360">
        <v>676</v>
      </c>
      <c r="D308" s="54">
        <v>266</v>
      </c>
      <c r="E308" s="366">
        <f t="shared" si="4"/>
        <v>0.39349112426035504</v>
      </c>
      <c r="F308" s="526"/>
      <c r="G308" s="518"/>
      <c r="H308" s="526"/>
      <c r="I308" s="59"/>
      <c r="J308" s="77"/>
      <c r="K308" s="518">
        <v>177</v>
      </c>
      <c r="L308" s="526"/>
      <c r="M308" s="77"/>
    </row>
    <row r="309" spans="1:13" ht="13" x14ac:dyDescent="0.25">
      <c r="A309" s="657">
        <v>5208</v>
      </c>
      <c r="B309" s="373" t="s">
        <v>430</v>
      </c>
      <c r="C309" s="360">
        <v>889</v>
      </c>
      <c r="D309" s="54">
        <v>522</v>
      </c>
      <c r="E309" s="366">
        <f t="shared" si="4"/>
        <v>0.58717660292463447</v>
      </c>
      <c r="F309" s="526"/>
      <c r="G309" s="518"/>
      <c r="H309" s="526"/>
      <c r="I309" s="59"/>
      <c r="J309" s="77"/>
      <c r="K309" s="518">
        <v>335</v>
      </c>
      <c r="L309" s="526"/>
      <c r="M309" s="77"/>
    </row>
    <row r="310" spans="1:13" ht="13" x14ac:dyDescent="0.25">
      <c r="A310" s="657">
        <v>5301</v>
      </c>
      <c r="B310" s="373" t="s">
        <v>431</v>
      </c>
      <c r="C310" s="360">
        <v>1458</v>
      </c>
      <c r="D310" s="54">
        <v>984</v>
      </c>
      <c r="E310" s="366">
        <f t="shared" si="4"/>
        <v>0.67489711934156382</v>
      </c>
      <c r="F310" s="526"/>
      <c r="G310" s="518"/>
      <c r="H310" s="526">
        <v>644</v>
      </c>
      <c r="I310" s="59"/>
      <c r="J310" s="77"/>
      <c r="K310" s="518"/>
      <c r="L310" s="526"/>
      <c r="M310" s="77"/>
    </row>
    <row r="311" spans="1:13" ht="13" x14ac:dyDescent="0.25">
      <c r="A311" s="657">
        <v>5302</v>
      </c>
      <c r="B311" s="373" t="s">
        <v>432</v>
      </c>
      <c r="C311" s="360">
        <v>1439</v>
      </c>
      <c r="D311" s="54">
        <v>971</v>
      </c>
      <c r="E311" s="366">
        <f t="shared" si="4"/>
        <v>0.67477414871438501</v>
      </c>
      <c r="F311" s="526"/>
      <c r="G311" s="518"/>
      <c r="H311" s="526">
        <v>593</v>
      </c>
      <c r="I311" s="59"/>
      <c r="J311" s="77"/>
      <c r="K311" s="518"/>
      <c r="L311" s="526"/>
      <c r="M311" s="77"/>
    </row>
    <row r="312" spans="1:13" ht="13" x14ac:dyDescent="0.25">
      <c r="A312" s="657">
        <v>5303</v>
      </c>
      <c r="B312" s="373" t="s">
        <v>433</v>
      </c>
      <c r="C312" s="360">
        <v>1458</v>
      </c>
      <c r="D312" s="54">
        <v>955</v>
      </c>
      <c r="E312" s="366">
        <f t="shared" si="4"/>
        <v>0.65500685871056241</v>
      </c>
      <c r="F312" s="526"/>
      <c r="G312" s="518"/>
      <c r="H312" s="526">
        <v>584</v>
      </c>
      <c r="I312" s="59"/>
      <c r="J312" s="77"/>
      <c r="K312" s="518"/>
      <c r="L312" s="526"/>
      <c r="M312" s="77"/>
    </row>
    <row r="313" spans="1:13" ht="13" x14ac:dyDescent="0.25">
      <c r="A313" s="657">
        <v>5304</v>
      </c>
      <c r="B313" s="373" t="s">
        <v>434</v>
      </c>
      <c r="C313" s="360">
        <v>1361</v>
      </c>
      <c r="D313" s="54">
        <v>803</v>
      </c>
      <c r="E313" s="366">
        <f t="shared" si="4"/>
        <v>0.59000734753857453</v>
      </c>
      <c r="F313" s="526"/>
      <c r="G313" s="518"/>
      <c r="H313" s="526">
        <v>543</v>
      </c>
      <c r="I313" s="59"/>
      <c r="J313" s="77"/>
      <c r="K313" s="518"/>
      <c r="L313" s="526"/>
      <c r="M313" s="77"/>
    </row>
    <row r="314" spans="1:13" ht="13" x14ac:dyDescent="0.25">
      <c r="A314" s="657">
        <v>5305</v>
      </c>
      <c r="B314" s="373" t="s">
        <v>435</v>
      </c>
      <c r="C314" s="360">
        <v>1350</v>
      </c>
      <c r="D314" s="54">
        <v>918</v>
      </c>
      <c r="E314" s="366">
        <f t="shared" si="4"/>
        <v>0.68</v>
      </c>
      <c r="F314" s="526"/>
      <c r="G314" s="518"/>
      <c r="H314" s="526">
        <v>565</v>
      </c>
      <c r="I314" s="59"/>
      <c r="J314" s="77"/>
      <c r="K314" s="518"/>
      <c r="L314" s="526"/>
      <c r="M314" s="77"/>
    </row>
    <row r="315" spans="1:13" ht="13" x14ac:dyDescent="0.25">
      <c r="A315" s="657">
        <v>5501</v>
      </c>
      <c r="B315" s="373" t="s">
        <v>438</v>
      </c>
      <c r="C315" s="360">
        <v>831</v>
      </c>
      <c r="D315" s="54">
        <v>526</v>
      </c>
      <c r="E315" s="366">
        <f t="shared" si="4"/>
        <v>0.63297232250300839</v>
      </c>
      <c r="F315" s="526"/>
      <c r="G315" s="518"/>
      <c r="H315" s="526">
        <v>317</v>
      </c>
      <c r="I315" s="59"/>
      <c r="J315" s="77"/>
      <c r="K315" s="518"/>
      <c r="L315" s="526"/>
      <c r="M315" s="77"/>
    </row>
    <row r="316" spans="1:13" ht="13" x14ac:dyDescent="0.25">
      <c r="A316" s="657">
        <v>5502</v>
      </c>
      <c r="B316" s="373" t="s">
        <v>439</v>
      </c>
      <c r="C316" s="360">
        <v>811</v>
      </c>
      <c r="D316" s="54">
        <v>507</v>
      </c>
      <c r="E316" s="366">
        <f t="shared" si="4"/>
        <v>0.62515413070283599</v>
      </c>
      <c r="F316" s="526"/>
      <c r="G316" s="518"/>
      <c r="H316" s="526">
        <v>330</v>
      </c>
      <c r="I316" s="59"/>
      <c r="J316" s="77"/>
      <c r="K316" s="518"/>
      <c r="L316" s="526"/>
      <c r="M316" s="77"/>
    </row>
    <row r="317" spans="1:13" ht="13" x14ac:dyDescent="0.25">
      <c r="A317" s="657">
        <v>5503</v>
      </c>
      <c r="B317" s="373" t="s">
        <v>440</v>
      </c>
      <c r="C317" s="360">
        <v>639</v>
      </c>
      <c r="D317" s="54">
        <v>451</v>
      </c>
      <c r="E317" s="366">
        <f t="shared" si="4"/>
        <v>0.70579029733959309</v>
      </c>
      <c r="F317" s="526"/>
      <c r="G317" s="518"/>
      <c r="H317" s="526">
        <v>283</v>
      </c>
      <c r="I317" s="59"/>
      <c r="J317" s="77"/>
      <c r="K317" s="518"/>
      <c r="L317" s="526"/>
      <c r="M317" s="77"/>
    </row>
    <row r="318" spans="1:13" ht="13" x14ac:dyDescent="0.25">
      <c r="A318" s="657">
        <v>5504</v>
      </c>
      <c r="B318" s="373" t="s">
        <v>441</v>
      </c>
      <c r="C318" s="360">
        <v>864</v>
      </c>
      <c r="D318" s="54">
        <v>594</v>
      </c>
      <c r="E318" s="366">
        <f t="shared" si="4"/>
        <v>0.6875</v>
      </c>
      <c r="F318" s="526"/>
      <c r="G318" s="518"/>
      <c r="H318" s="526">
        <v>384</v>
      </c>
      <c r="I318" s="59"/>
      <c r="J318" s="77"/>
      <c r="K318" s="518"/>
      <c r="L318" s="526"/>
      <c r="M318" s="77"/>
    </row>
    <row r="319" spans="1:13" ht="13" x14ac:dyDescent="0.25">
      <c r="A319" s="657">
        <v>5601</v>
      </c>
      <c r="B319" s="373" t="s">
        <v>442</v>
      </c>
      <c r="C319" s="360">
        <v>1053</v>
      </c>
      <c r="D319" s="54">
        <v>655</v>
      </c>
      <c r="E319" s="366">
        <f t="shared" si="4"/>
        <v>0.62203228869895533</v>
      </c>
      <c r="F319" s="526"/>
      <c r="G319" s="518"/>
      <c r="H319" s="526"/>
      <c r="I319" s="59">
        <v>297</v>
      </c>
      <c r="J319" s="77">
        <v>276</v>
      </c>
      <c r="K319" s="518"/>
      <c r="L319" s="526"/>
      <c r="M319" s="77"/>
    </row>
    <row r="320" spans="1:13" ht="13" x14ac:dyDescent="0.25">
      <c r="A320" s="657">
        <v>5602</v>
      </c>
      <c r="B320" s="373" t="s">
        <v>443</v>
      </c>
      <c r="C320" s="360">
        <v>1009</v>
      </c>
      <c r="D320" s="54">
        <v>600</v>
      </c>
      <c r="E320" s="366">
        <f t="shared" si="4"/>
        <v>0.59464816650148666</v>
      </c>
      <c r="F320" s="526"/>
      <c r="G320" s="518"/>
      <c r="H320" s="526"/>
      <c r="I320" s="59">
        <v>284</v>
      </c>
      <c r="J320" s="77">
        <v>221</v>
      </c>
      <c r="K320" s="518"/>
      <c r="L320" s="526"/>
      <c r="M320" s="77"/>
    </row>
    <row r="321" spans="1:13" ht="13" x14ac:dyDescent="0.25">
      <c r="A321" s="657">
        <v>5603</v>
      </c>
      <c r="B321" s="373" t="s">
        <v>444</v>
      </c>
      <c r="C321" s="360">
        <v>1381</v>
      </c>
      <c r="D321" s="54">
        <v>921</v>
      </c>
      <c r="E321" s="366">
        <f t="shared" si="4"/>
        <v>0.66690803765387396</v>
      </c>
      <c r="F321" s="526"/>
      <c r="G321" s="518"/>
      <c r="H321" s="526"/>
      <c r="I321" s="59">
        <v>386</v>
      </c>
      <c r="J321" s="77">
        <v>440</v>
      </c>
      <c r="K321" s="518"/>
      <c r="L321" s="526"/>
      <c r="M321" s="77"/>
    </row>
    <row r="322" spans="1:13" ht="13" x14ac:dyDescent="0.25">
      <c r="A322" s="657">
        <v>5604</v>
      </c>
      <c r="B322" s="373" t="s">
        <v>445</v>
      </c>
      <c r="C322" s="360">
        <v>1357</v>
      </c>
      <c r="D322" s="54">
        <v>884</v>
      </c>
      <c r="E322" s="366">
        <f t="shared" si="4"/>
        <v>0.65143699336772287</v>
      </c>
      <c r="F322" s="526"/>
      <c r="G322" s="518"/>
      <c r="H322" s="526"/>
      <c r="I322" s="59">
        <v>438</v>
      </c>
      <c r="J322" s="77">
        <v>317</v>
      </c>
      <c r="K322" s="518"/>
      <c r="L322" s="526"/>
      <c r="M322" s="77"/>
    </row>
    <row r="323" spans="1:13" ht="13" x14ac:dyDescent="0.25">
      <c r="A323" s="657">
        <v>5605</v>
      </c>
      <c r="B323" s="373" t="s">
        <v>446</v>
      </c>
      <c r="C323" s="360">
        <v>1257</v>
      </c>
      <c r="D323" s="54">
        <v>768</v>
      </c>
      <c r="E323" s="366">
        <f t="shared" si="4"/>
        <v>0.61097852028639621</v>
      </c>
      <c r="F323" s="526"/>
      <c r="G323" s="518"/>
      <c r="H323" s="526"/>
      <c r="I323" s="59">
        <v>371</v>
      </c>
      <c r="J323" s="77">
        <v>289</v>
      </c>
      <c r="K323" s="518"/>
      <c r="L323" s="526"/>
      <c r="M323" s="77"/>
    </row>
    <row r="324" spans="1:13" ht="13" x14ac:dyDescent="0.25">
      <c r="A324" s="657">
        <v>5606</v>
      </c>
      <c r="B324" s="373" t="s">
        <v>447</v>
      </c>
      <c r="C324" s="360">
        <v>1238</v>
      </c>
      <c r="D324" s="54">
        <v>863</v>
      </c>
      <c r="E324" s="366">
        <f t="shared" si="4"/>
        <v>0.69709208400646205</v>
      </c>
      <c r="F324" s="526"/>
      <c r="G324" s="518"/>
      <c r="H324" s="526"/>
      <c r="I324" s="59">
        <v>423</v>
      </c>
      <c r="J324" s="77">
        <v>322</v>
      </c>
      <c r="K324" s="518"/>
      <c r="L324" s="526"/>
      <c r="M324" s="77"/>
    </row>
    <row r="325" spans="1:13" ht="13" x14ac:dyDescent="0.25">
      <c r="A325" s="657">
        <v>5607</v>
      </c>
      <c r="B325" s="373" t="s">
        <v>448</v>
      </c>
      <c r="C325" s="360">
        <v>1389</v>
      </c>
      <c r="D325" s="54">
        <v>842</v>
      </c>
      <c r="E325" s="366">
        <f t="shared" ref="E325:E388" si="5">SUM(D325/C325)</f>
        <v>0.60619150467962568</v>
      </c>
      <c r="F325" s="526"/>
      <c r="G325" s="518"/>
      <c r="H325" s="526"/>
      <c r="I325" s="59">
        <v>401</v>
      </c>
      <c r="J325" s="77">
        <v>331</v>
      </c>
      <c r="K325" s="518"/>
      <c r="L325" s="526"/>
      <c r="M325" s="77"/>
    </row>
    <row r="326" spans="1:13" ht="13" x14ac:dyDescent="0.25">
      <c r="A326" s="657">
        <v>5608</v>
      </c>
      <c r="B326" s="373" t="s">
        <v>449</v>
      </c>
      <c r="C326" s="360">
        <v>1260</v>
      </c>
      <c r="D326" s="54">
        <v>825</v>
      </c>
      <c r="E326" s="366">
        <f t="shared" si="5"/>
        <v>0.65476190476190477</v>
      </c>
      <c r="F326" s="526"/>
      <c r="G326" s="518"/>
      <c r="H326" s="526"/>
      <c r="I326" s="59">
        <v>378</v>
      </c>
      <c r="J326" s="77">
        <v>324</v>
      </c>
      <c r="K326" s="518"/>
      <c r="L326" s="526"/>
      <c r="M326" s="77"/>
    </row>
    <row r="327" spans="1:13" ht="13" x14ac:dyDescent="0.25">
      <c r="A327" s="657">
        <v>5609</v>
      </c>
      <c r="B327" s="373" t="s">
        <v>450</v>
      </c>
      <c r="C327" s="360">
        <v>1354</v>
      </c>
      <c r="D327" s="54">
        <v>949</v>
      </c>
      <c r="E327" s="366">
        <f t="shared" si="5"/>
        <v>0.7008862629246676</v>
      </c>
      <c r="F327" s="526"/>
      <c r="G327" s="518"/>
      <c r="H327" s="526"/>
      <c r="I327" s="59">
        <v>441</v>
      </c>
      <c r="J327" s="77">
        <v>406</v>
      </c>
      <c r="K327" s="518"/>
      <c r="L327" s="526"/>
      <c r="M327" s="77"/>
    </row>
    <row r="328" spans="1:13" ht="13" x14ac:dyDescent="0.25">
      <c r="A328" s="657">
        <v>5610</v>
      </c>
      <c r="B328" s="373" t="s">
        <v>451</v>
      </c>
      <c r="C328" s="360">
        <v>974</v>
      </c>
      <c r="D328" s="54">
        <v>650</v>
      </c>
      <c r="E328" s="366">
        <f t="shared" si="5"/>
        <v>0.66735112936344965</v>
      </c>
      <c r="F328" s="526"/>
      <c r="G328" s="518"/>
      <c r="H328" s="526"/>
      <c r="I328" s="59">
        <v>358</v>
      </c>
      <c r="J328" s="77">
        <v>223</v>
      </c>
      <c r="K328" s="518"/>
      <c r="L328" s="526"/>
      <c r="M328" s="77"/>
    </row>
    <row r="329" spans="1:13" ht="13" x14ac:dyDescent="0.25">
      <c r="A329" s="657">
        <v>5611</v>
      </c>
      <c r="B329" s="373" t="s">
        <v>452</v>
      </c>
      <c r="C329" s="360">
        <v>1499</v>
      </c>
      <c r="D329" s="54">
        <v>830</v>
      </c>
      <c r="E329" s="366">
        <f t="shared" si="5"/>
        <v>0.55370246831220815</v>
      </c>
      <c r="F329" s="526"/>
      <c r="G329" s="518"/>
      <c r="H329" s="526"/>
      <c r="I329" s="59">
        <v>324</v>
      </c>
      <c r="J329" s="77">
        <v>386</v>
      </c>
      <c r="K329" s="518"/>
      <c r="L329" s="526"/>
      <c r="M329" s="77"/>
    </row>
    <row r="330" spans="1:13" ht="13" x14ac:dyDescent="0.25">
      <c r="A330" s="657">
        <v>5612</v>
      </c>
      <c r="B330" s="373" t="s">
        <v>453</v>
      </c>
      <c r="C330" s="360">
        <v>1467</v>
      </c>
      <c r="D330" s="54">
        <v>891</v>
      </c>
      <c r="E330" s="366">
        <f t="shared" si="5"/>
        <v>0.6073619631901841</v>
      </c>
      <c r="F330" s="526"/>
      <c r="G330" s="518"/>
      <c r="H330" s="526"/>
      <c r="I330" s="59">
        <v>398</v>
      </c>
      <c r="J330" s="77">
        <v>366</v>
      </c>
      <c r="K330" s="518"/>
      <c r="L330" s="526"/>
      <c r="M330" s="77"/>
    </row>
    <row r="331" spans="1:13" ht="13" x14ac:dyDescent="0.25">
      <c r="A331" s="657">
        <v>5613</v>
      </c>
      <c r="B331" s="373" t="s">
        <v>454</v>
      </c>
      <c r="C331" s="360">
        <v>777</v>
      </c>
      <c r="D331" s="54">
        <v>486</v>
      </c>
      <c r="E331" s="366">
        <f t="shared" si="5"/>
        <v>0.62548262548262545</v>
      </c>
      <c r="F331" s="526"/>
      <c r="G331" s="518"/>
      <c r="H331" s="526"/>
      <c r="I331" s="59">
        <v>218</v>
      </c>
      <c r="J331" s="77">
        <v>201</v>
      </c>
      <c r="K331" s="518"/>
      <c r="L331" s="526"/>
      <c r="M331" s="77"/>
    </row>
    <row r="332" spans="1:13" ht="13" x14ac:dyDescent="0.25">
      <c r="A332" s="657">
        <v>5614</v>
      </c>
      <c r="B332" s="373" t="s">
        <v>455</v>
      </c>
      <c r="C332" s="360">
        <v>1236</v>
      </c>
      <c r="D332" s="54">
        <v>847</v>
      </c>
      <c r="E332" s="366">
        <f t="shared" si="5"/>
        <v>0.68527508090614886</v>
      </c>
      <c r="F332" s="526"/>
      <c r="G332" s="518"/>
      <c r="H332" s="526"/>
      <c r="I332" s="59">
        <v>353</v>
      </c>
      <c r="J332" s="77">
        <v>416</v>
      </c>
      <c r="K332" s="518"/>
      <c r="L332" s="526"/>
      <c r="M332" s="77"/>
    </row>
    <row r="333" spans="1:13" ht="13" x14ac:dyDescent="0.25">
      <c r="A333" s="657">
        <v>5615</v>
      </c>
      <c r="B333" s="373" t="s">
        <v>456</v>
      </c>
      <c r="C333" s="360">
        <v>1334</v>
      </c>
      <c r="D333" s="54">
        <v>800</v>
      </c>
      <c r="E333" s="366">
        <f t="shared" si="5"/>
        <v>0.59970014992503751</v>
      </c>
      <c r="F333" s="526"/>
      <c r="G333" s="518"/>
      <c r="H333" s="526"/>
      <c r="I333" s="59">
        <v>353</v>
      </c>
      <c r="J333" s="77">
        <v>339</v>
      </c>
      <c r="K333" s="518"/>
      <c r="L333" s="526"/>
      <c r="M333" s="77"/>
    </row>
    <row r="334" spans="1:13" ht="13" x14ac:dyDescent="0.25">
      <c r="A334" s="657">
        <v>5616</v>
      </c>
      <c r="B334" s="373" t="s">
        <v>457</v>
      </c>
      <c r="C334" s="360">
        <v>544</v>
      </c>
      <c r="D334" s="54">
        <v>381</v>
      </c>
      <c r="E334" s="366">
        <f t="shared" si="5"/>
        <v>0.70036764705882348</v>
      </c>
      <c r="F334" s="526"/>
      <c r="G334" s="518"/>
      <c r="H334" s="526"/>
      <c r="I334" s="59">
        <v>195</v>
      </c>
      <c r="J334" s="77">
        <v>139</v>
      </c>
      <c r="K334" s="518"/>
      <c r="L334" s="526"/>
      <c r="M334" s="77"/>
    </row>
    <row r="335" spans="1:13" ht="13" x14ac:dyDescent="0.25">
      <c r="A335" s="657">
        <v>5617</v>
      </c>
      <c r="B335" s="373" t="s">
        <v>458</v>
      </c>
      <c r="C335" s="360">
        <v>1285</v>
      </c>
      <c r="D335" s="54">
        <v>866</v>
      </c>
      <c r="E335" s="366">
        <f t="shared" si="5"/>
        <v>0.67392996108949421</v>
      </c>
      <c r="F335" s="526"/>
      <c r="G335" s="518"/>
      <c r="H335" s="526"/>
      <c r="I335" s="59">
        <v>418</v>
      </c>
      <c r="J335" s="77">
        <v>327</v>
      </c>
      <c r="K335" s="518"/>
      <c r="L335" s="526"/>
      <c r="M335" s="77"/>
    </row>
    <row r="336" spans="1:13" ht="13" x14ac:dyDescent="0.25">
      <c r="A336" s="657">
        <v>5618</v>
      </c>
      <c r="B336" s="373" t="s">
        <v>459</v>
      </c>
      <c r="C336" s="360">
        <v>1186</v>
      </c>
      <c r="D336" s="54">
        <v>808</v>
      </c>
      <c r="E336" s="366">
        <f t="shared" si="5"/>
        <v>0.68128161888701522</v>
      </c>
      <c r="F336" s="526"/>
      <c r="G336" s="518"/>
      <c r="H336" s="526"/>
      <c r="I336" s="59">
        <v>357</v>
      </c>
      <c r="J336" s="77">
        <v>324</v>
      </c>
      <c r="K336" s="518"/>
      <c r="L336" s="526"/>
      <c r="M336" s="77"/>
    </row>
    <row r="337" spans="1:13" ht="13" x14ac:dyDescent="0.25">
      <c r="A337" s="657">
        <v>5619</v>
      </c>
      <c r="B337" s="373" t="s">
        <v>460</v>
      </c>
      <c r="C337" s="360">
        <v>783</v>
      </c>
      <c r="D337" s="54">
        <v>514</v>
      </c>
      <c r="E337" s="366">
        <f t="shared" si="5"/>
        <v>0.65644955300127716</v>
      </c>
      <c r="F337" s="526"/>
      <c r="G337" s="518"/>
      <c r="H337" s="526"/>
      <c r="I337" s="59">
        <v>231</v>
      </c>
      <c r="J337" s="77">
        <v>240</v>
      </c>
      <c r="K337" s="518"/>
      <c r="L337" s="526"/>
      <c r="M337" s="77"/>
    </row>
    <row r="338" spans="1:13" ht="13" x14ac:dyDescent="0.25">
      <c r="A338" s="657">
        <v>5620</v>
      </c>
      <c r="B338" s="373" t="s">
        <v>461</v>
      </c>
      <c r="C338" s="360">
        <v>739</v>
      </c>
      <c r="D338" s="54">
        <v>504</v>
      </c>
      <c r="E338" s="366">
        <f t="shared" si="5"/>
        <v>0.68200270635994586</v>
      </c>
      <c r="F338" s="526"/>
      <c r="G338" s="518"/>
      <c r="H338" s="526"/>
      <c r="I338" s="59">
        <v>226</v>
      </c>
      <c r="J338" s="77">
        <v>201</v>
      </c>
      <c r="K338" s="518"/>
      <c r="L338" s="526"/>
      <c r="M338" s="77"/>
    </row>
    <row r="339" spans="1:13" ht="13" x14ac:dyDescent="0.25">
      <c r="A339" s="657">
        <v>5621</v>
      </c>
      <c r="B339" s="373" t="s">
        <v>462</v>
      </c>
      <c r="C339" s="360">
        <v>1081</v>
      </c>
      <c r="D339" s="54">
        <v>735</v>
      </c>
      <c r="E339" s="366">
        <f t="shared" si="5"/>
        <v>0.67992599444958368</v>
      </c>
      <c r="F339" s="526"/>
      <c r="G339" s="518"/>
      <c r="H339" s="526"/>
      <c r="I339" s="59">
        <v>332</v>
      </c>
      <c r="J339" s="77">
        <v>316</v>
      </c>
      <c r="K339" s="518"/>
      <c r="L339" s="526"/>
      <c r="M339" s="77"/>
    </row>
    <row r="340" spans="1:13" ht="13" x14ac:dyDescent="0.25">
      <c r="A340" s="657">
        <v>5622</v>
      </c>
      <c r="B340" s="373" t="s">
        <v>463</v>
      </c>
      <c r="C340" s="360">
        <v>640</v>
      </c>
      <c r="D340" s="54">
        <v>414</v>
      </c>
      <c r="E340" s="366">
        <f t="shared" si="5"/>
        <v>0.64687499999999998</v>
      </c>
      <c r="F340" s="526"/>
      <c r="G340" s="518"/>
      <c r="H340" s="526"/>
      <c r="I340" s="59">
        <v>190</v>
      </c>
      <c r="J340" s="77">
        <v>176</v>
      </c>
      <c r="K340" s="518"/>
      <c r="L340" s="526"/>
      <c r="M340" s="77"/>
    </row>
    <row r="341" spans="1:13" ht="13" x14ac:dyDescent="0.25">
      <c r="A341" s="657">
        <v>5623</v>
      </c>
      <c r="B341" s="373" t="s">
        <v>464</v>
      </c>
      <c r="C341" s="360">
        <v>868</v>
      </c>
      <c r="D341" s="54">
        <v>547</v>
      </c>
      <c r="E341" s="366">
        <f t="shared" si="5"/>
        <v>0.63018433179723499</v>
      </c>
      <c r="F341" s="526"/>
      <c r="G341" s="518"/>
      <c r="H341" s="526"/>
      <c r="I341" s="59">
        <v>229</v>
      </c>
      <c r="J341" s="77">
        <v>245</v>
      </c>
      <c r="K341" s="518"/>
      <c r="L341" s="526"/>
      <c r="M341" s="77"/>
    </row>
    <row r="342" spans="1:13" ht="13" x14ac:dyDescent="0.25">
      <c r="A342" s="657">
        <v>5624</v>
      </c>
      <c r="B342" s="373" t="s">
        <v>465</v>
      </c>
      <c r="C342" s="360">
        <v>754</v>
      </c>
      <c r="D342" s="54">
        <v>479</v>
      </c>
      <c r="E342" s="366">
        <f t="shared" si="5"/>
        <v>0.63527851458885942</v>
      </c>
      <c r="F342" s="526"/>
      <c r="G342" s="518"/>
      <c r="H342" s="526"/>
      <c r="I342" s="59">
        <v>212</v>
      </c>
      <c r="J342" s="77">
        <v>212</v>
      </c>
      <c r="K342" s="518"/>
      <c r="L342" s="526"/>
      <c r="M342" s="77"/>
    </row>
    <row r="343" spans="1:13" ht="13" x14ac:dyDescent="0.25">
      <c r="A343" s="657">
        <v>5625</v>
      </c>
      <c r="B343" s="373" t="s">
        <v>466</v>
      </c>
      <c r="C343" s="360">
        <v>695</v>
      </c>
      <c r="D343" s="54">
        <v>372</v>
      </c>
      <c r="E343" s="366">
        <f t="shared" si="5"/>
        <v>0.53525179856115113</v>
      </c>
      <c r="F343" s="526"/>
      <c r="G343" s="518"/>
      <c r="H343" s="526"/>
      <c r="I343" s="59">
        <v>191</v>
      </c>
      <c r="J343" s="77">
        <v>130</v>
      </c>
      <c r="K343" s="518"/>
      <c r="L343" s="526"/>
      <c r="M343" s="77"/>
    </row>
    <row r="344" spans="1:13" ht="13" x14ac:dyDescent="0.25">
      <c r="A344" s="657">
        <v>5626</v>
      </c>
      <c r="B344" s="373" t="s">
        <v>467</v>
      </c>
      <c r="C344" s="360">
        <v>1074</v>
      </c>
      <c r="D344" s="54">
        <v>717</v>
      </c>
      <c r="E344" s="366">
        <f t="shared" si="5"/>
        <v>0.66759776536312854</v>
      </c>
      <c r="F344" s="526"/>
      <c r="G344" s="518"/>
      <c r="H344" s="526"/>
      <c r="I344" s="59">
        <v>340</v>
      </c>
      <c r="J344" s="77">
        <v>296</v>
      </c>
      <c r="K344" s="518"/>
      <c r="L344" s="526"/>
      <c r="M344" s="77"/>
    </row>
    <row r="345" spans="1:13" ht="13" x14ac:dyDescent="0.25">
      <c r="A345" s="657">
        <v>5627</v>
      </c>
      <c r="B345" s="373" t="s">
        <v>468</v>
      </c>
      <c r="C345" s="360">
        <v>1149</v>
      </c>
      <c r="D345" s="54">
        <v>812</v>
      </c>
      <c r="E345" s="366">
        <f t="shared" si="5"/>
        <v>0.70670147954743257</v>
      </c>
      <c r="F345" s="526"/>
      <c r="G345" s="518"/>
      <c r="H345" s="526"/>
      <c r="I345" s="59">
        <v>357</v>
      </c>
      <c r="J345" s="77">
        <v>364</v>
      </c>
      <c r="K345" s="518"/>
      <c r="L345" s="526"/>
      <c r="M345" s="77"/>
    </row>
    <row r="346" spans="1:13" ht="13" x14ac:dyDescent="0.25">
      <c r="A346" s="657">
        <v>5628</v>
      </c>
      <c r="B346" s="373" t="s">
        <v>469</v>
      </c>
      <c r="C346" s="360">
        <v>920</v>
      </c>
      <c r="D346" s="54">
        <v>592</v>
      </c>
      <c r="E346" s="366">
        <f t="shared" si="5"/>
        <v>0.64347826086956517</v>
      </c>
      <c r="F346" s="526"/>
      <c r="G346" s="518"/>
      <c r="H346" s="526"/>
      <c r="I346" s="59">
        <v>277</v>
      </c>
      <c r="J346" s="77">
        <v>255</v>
      </c>
      <c r="K346" s="518"/>
      <c r="L346" s="526"/>
      <c r="M346" s="77"/>
    </row>
    <row r="347" spans="1:13" ht="13" x14ac:dyDescent="0.25">
      <c r="A347" s="657">
        <v>5629</v>
      </c>
      <c r="B347" s="373" t="s">
        <v>470</v>
      </c>
      <c r="C347" s="360">
        <v>664</v>
      </c>
      <c r="D347" s="54">
        <v>456</v>
      </c>
      <c r="E347" s="366">
        <f t="shared" si="5"/>
        <v>0.68674698795180722</v>
      </c>
      <c r="F347" s="526"/>
      <c r="G347" s="518"/>
      <c r="H347" s="526"/>
      <c r="I347" s="59">
        <v>194</v>
      </c>
      <c r="J347" s="77">
        <v>211</v>
      </c>
      <c r="K347" s="518"/>
      <c r="L347" s="526"/>
      <c r="M347" s="77"/>
    </row>
    <row r="348" spans="1:13" ht="13" x14ac:dyDescent="0.25">
      <c r="A348" s="657">
        <v>5630</v>
      </c>
      <c r="B348" s="373" t="s">
        <v>471</v>
      </c>
      <c r="C348" s="360">
        <v>1236</v>
      </c>
      <c r="D348" s="54">
        <v>810</v>
      </c>
      <c r="E348" s="366">
        <f t="shared" si="5"/>
        <v>0.65533980582524276</v>
      </c>
      <c r="F348" s="526"/>
      <c r="G348" s="518"/>
      <c r="H348" s="526"/>
      <c r="I348" s="59">
        <v>373</v>
      </c>
      <c r="J348" s="77">
        <v>333</v>
      </c>
      <c r="K348" s="518"/>
      <c r="L348" s="526"/>
      <c r="M348" s="77"/>
    </row>
    <row r="349" spans="1:13" ht="13" x14ac:dyDescent="0.25">
      <c r="A349" s="657">
        <v>5631</v>
      </c>
      <c r="B349" s="373" t="s">
        <v>472</v>
      </c>
      <c r="C349" s="360">
        <v>786</v>
      </c>
      <c r="D349" s="54">
        <v>461</v>
      </c>
      <c r="E349" s="366">
        <f t="shared" si="5"/>
        <v>0.58651399491094147</v>
      </c>
      <c r="F349" s="526"/>
      <c r="G349" s="518"/>
      <c r="H349" s="526"/>
      <c r="I349" s="59">
        <v>194</v>
      </c>
      <c r="J349" s="77">
        <v>204</v>
      </c>
      <c r="K349" s="518"/>
      <c r="L349" s="526"/>
      <c r="M349" s="77"/>
    </row>
    <row r="350" spans="1:13" ht="13" x14ac:dyDescent="0.25">
      <c r="A350" s="657">
        <v>5632</v>
      </c>
      <c r="B350" s="373" t="s">
        <v>473</v>
      </c>
      <c r="C350" s="360">
        <v>1275</v>
      </c>
      <c r="D350" s="54">
        <v>747</v>
      </c>
      <c r="E350" s="366">
        <f t="shared" si="5"/>
        <v>0.58588235294117652</v>
      </c>
      <c r="F350" s="526"/>
      <c r="G350" s="518"/>
      <c r="H350" s="526"/>
      <c r="I350" s="59">
        <v>316</v>
      </c>
      <c r="J350" s="77">
        <v>318</v>
      </c>
      <c r="K350" s="518"/>
      <c r="L350" s="526"/>
      <c r="M350" s="77"/>
    </row>
    <row r="351" spans="1:13" ht="13" x14ac:dyDescent="0.25">
      <c r="A351" s="657">
        <v>5801</v>
      </c>
      <c r="B351" s="373" t="s">
        <v>474</v>
      </c>
      <c r="C351" s="360">
        <v>525</v>
      </c>
      <c r="D351" s="54">
        <v>211</v>
      </c>
      <c r="E351" s="366">
        <f t="shared" si="5"/>
        <v>0.40190476190476193</v>
      </c>
      <c r="F351" s="526"/>
      <c r="G351" s="518"/>
      <c r="H351" s="526">
        <v>146</v>
      </c>
      <c r="I351" s="59"/>
      <c r="J351" s="77"/>
      <c r="K351" s="518"/>
      <c r="L351" s="526"/>
      <c r="M351" s="77"/>
    </row>
    <row r="352" spans="1:13" ht="13" x14ac:dyDescent="0.25">
      <c r="A352" s="657">
        <v>5901</v>
      </c>
      <c r="B352" s="373" t="s">
        <v>475</v>
      </c>
      <c r="C352" s="360">
        <v>1169</v>
      </c>
      <c r="D352" s="54">
        <v>751</v>
      </c>
      <c r="E352" s="366">
        <f t="shared" si="5"/>
        <v>0.64242942686056459</v>
      </c>
      <c r="F352" s="526"/>
      <c r="G352" s="518"/>
      <c r="H352" s="526"/>
      <c r="I352" s="59"/>
      <c r="J352" s="77"/>
      <c r="K352" s="518"/>
      <c r="L352" s="526">
        <v>462</v>
      </c>
      <c r="M352" s="77"/>
    </row>
    <row r="353" spans="1:13" ht="13" x14ac:dyDescent="0.25">
      <c r="A353" s="657">
        <v>5902</v>
      </c>
      <c r="B353" s="373" t="s">
        <v>476</v>
      </c>
      <c r="C353" s="360">
        <v>1061</v>
      </c>
      <c r="D353" s="54">
        <v>479</v>
      </c>
      <c r="E353" s="366">
        <f t="shared" si="5"/>
        <v>0.45146088595664469</v>
      </c>
      <c r="F353" s="526"/>
      <c r="G353" s="518"/>
      <c r="H353" s="526"/>
      <c r="I353" s="59"/>
      <c r="J353" s="77"/>
      <c r="K353" s="518"/>
      <c r="L353" s="526">
        <v>296</v>
      </c>
      <c r="M353" s="77"/>
    </row>
    <row r="354" spans="1:13" ht="13" x14ac:dyDescent="0.25">
      <c r="A354" s="657">
        <v>5903</v>
      </c>
      <c r="B354" s="373" t="s">
        <v>477</v>
      </c>
      <c r="C354" s="360">
        <v>1198</v>
      </c>
      <c r="D354" s="54">
        <v>475</v>
      </c>
      <c r="E354" s="366">
        <f t="shared" si="5"/>
        <v>0.39649415692821371</v>
      </c>
      <c r="F354" s="526"/>
      <c r="G354" s="518"/>
      <c r="H354" s="526"/>
      <c r="I354" s="59"/>
      <c r="J354" s="77"/>
      <c r="K354" s="518"/>
      <c r="L354" s="526">
        <v>284</v>
      </c>
      <c r="M354" s="77"/>
    </row>
    <row r="355" spans="1:13" ht="13" x14ac:dyDescent="0.25">
      <c r="A355" s="657">
        <v>5904</v>
      </c>
      <c r="B355" s="373" t="s">
        <v>478</v>
      </c>
      <c r="C355" s="360">
        <v>1075</v>
      </c>
      <c r="D355" s="54">
        <v>381</v>
      </c>
      <c r="E355" s="366">
        <f t="shared" si="5"/>
        <v>0.35441860465116282</v>
      </c>
      <c r="F355" s="526"/>
      <c r="G355" s="518"/>
      <c r="H355" s="526"/>
      <c r="I355" s="59"/>
      <c r="J355" s="77"/>
      <c r="K355" s="518"/>
      <c r="L355" s="526">
        <v>263</v>
      </c>
      <c r="M355" s="77"/>
    </row>
    <row r="356" spans="1:13" ht="13" x14ac:dyDescent="0.25">
      <c r="A356" s="657">
        <v>5905</v>
      </c>
      <c r="B356" s="373" t="s">
        <v>479</v>
      </c>
      <c r="C356" s="360">
        <v>1317</v>
      </c>
      <c r="D356" s="54">
        <v>788</v>
      </c>
      <c r="E356" s="366">
        <f t="shared" si="5"/>
        <v>0.59832953682612</v>
      </c>
      <c r="F356" s="526"/>
      <c r="G356" s="518"/>
      <c r="H356" s="526"/>
      <c r="I356" s="59"/>
      <c r="J356" s="77"/>
      <c r="K356" s="518"/>
      <c r="L356" s="526">
        <v>533</v>
      </c>
      <c r="M356" s="77"/>
    </row>
    <row r="357" spans="1:13" ht="13" x14ac:dyDescent="0.25">
      <c r="A357" s="657">
        <v>5906</v>
      </c>
      <c r="B357" s="373" t="s">
        <v>480</v>
      </c>
      <c r="C357" s="360">
        <v>1329</v>
      </c>
      <c r="D357" s="54">
        <v>740</v>
      </c>
      <c r="E357" s="366">
        <f t="shared" si="5"/>
        <v>0.55680963130173067</v>
      </c>
      <c r="F357" s="526"/>
      <c r="G357" s="518"/>
      <c r="H357" s="526"/>
      <c r="I357" s="59"/>
      <c r="J357" s="77"/>
      <c r="K357" s="518"/>
      <c r="L357" s="526">
        <v>505</v>
      </c>
      <c r="M357" s="77"/>
    </row>
    <row r="358" spans="1:13" ht="13" x14ac:dyDescent="0.25">
      <c r="A358" s="657">
        <v>5907</v>
      </c>
      <c r="B358" s="373" t="s">
        <v>481</v>
      </c>
      <c r="C358" s="360">
        <v>1179</v>
      </c>
      <c r="D358" s="54">
        <v>694</v>
      </c>
      <c r="E358" s="366">
        <f t="shared" si="5"/>
        <v>0.58863443596268028</v>
      </c>
      <c r="F358" s="526"/>
      <c r="G358" s="518"/>
      <c r="H358" s="526"/>
      <c r="I358" s="59"/>
      <c r="J358" s="77"/>
      <c r="K358" s="518"/>
      <c r="L358" s="526">
        <v>451</v>
      </c>
      <c r="M358" s="77"/>
    </row>
    <row r="359" spans="1:13" ht="13" x14ac:dyDescent="0.25">
      <c r="A359" s="657">
        <v>5908</v>
      </c>
      <c r="B359" s="373" t="s">
        <v>482</v>
      </c>
      <c r="C359" s="360">
        <v>1447</v>
      </c>
      <c r="D359" s="54">
        <v>740</v>
      </c>
      <c r="E359" s="366">
        <f t="shared" si="5"/>
        <v>0.51140290255701448</v>
      </c>
      <c r="F359" s="526"/>
      <c r="G359" s="518"/>
      <c r="H359" s="526"/>
      <c r="I359" s="59"/>
      <c r="J359" s="77"/>
      <c r="K359" s="518"/>
      <c r="L359" s="526">
        <v>485</v>
      </c>
      <c r="M359" s="77"/>
    </row>
    <row r="360" spans="1:13" ht="13" x14ac:dyDescent="0.25">
      <c r="A360" s="657">
        <v>5909</v>
      </c>
      <c r="B360" s="373" t="s">
        <v>483</v>
      </c>
      <c r="C360" s="360">
        <v>826</v>
      </c>
      <c r="D360" s="54">
        <v>509</v>
      </c>
      <c r="E360" s="366">
        <f t="shared" si="5"/>
        <v>0.61622276029055689</v>
      </c>
      <c r="F360" s="526"/>
      <c r="G360" s="518"/>
      <c r="H360" s="526"/>
      <c r="I360" s="59"/>
      <c r="J360" s="77"/>
      <c r="K360" s="518"/>
      <c r="L360" s="526">
        <v>332</v>
      </c>
      <c r="M360" s="77"/>
    </row>
    <row r="361" spans="1:13" ht="13" x14ac:dyDescent="0.25">
      <c r="A361" s="657">
        <v>5910</v>
      </c>
      <c r="B361" s="373" t="s">
        <v>484</v>
      </c>
      <c r="C361" s="360">
        <v>1345</v>
      </c>
      <c r="D361" s="54">
        <v>564</v>
      </c>
      <c r="E361" s="366">
        <f t="shared" si="5"/>
        <v>0.41933085501858736</v>
      </c>
      <c r="F361" s="526"/>
      <c r="G361" s="518"/>
      <c r="H361" s="526"/>
      <c r="I361" s="59"/>
      <c r="J361" s="77"/>
      <c r="K361" s="518"/>
      <c r="L361" s="526">
        <v>373</v>
      </c>
      <c r="M361" s="77"/>
    </row>
    <row r="362" spans="1:13" ht="13" x14ac:dyDescent="0.25">
      <c r="A362" s="657">
        <v>5911</v>
      </c>
      <c r="B362" s="373" t="s">
        <v>485</v>
      </c>
      <c r="C362" s="360">
        <v>851</v>
      </c>
      <c r="D362" s="54">
        <v>433</v>
      </c>
      <c r="E362" s="366">
        <f t="shared" si="5"/>
        <v>0.50881316098707408</v>
      </c>
      <c r="F362" s="526"/>
      <c r="G362" s="518"/>
      <c r="H362" s="526"/>
      <c r="I362" s="59"/>
      <c r="J362" s="77"/>
      <c r="K362" s="518"/>
      <c r="L362" s="526">
        <v>298</v>
      </c>
      <c r="M362" s="77"/>
    </row>
    <row r="363" spans="1:13" ht="13" x14ac:dyDescent="0.25">
      <c r="A363" s="657">
        <v>5912</v>
      </c>
      <c r="B363" s="373" t="s">
        <v>486</v>
      </c>
      <c r="C363" s="360">
        <v>1183</v>
      </c>
      <c r="D363" s="54">
        <v>758</v>
      </c>
      <c r="E363" s="366">
        <f t="shared" si="5"/>
        <v>0.6407438715131023</v>
      </c>
      <c r="F363" s="526"/>
      <c r="G363" s="518"/>
      <c r="H363" s="526"/>
      <c r="I363" s="59"/>
      <c r="J363" s="77"/>
      <c r="K363" s="518"/>
      <c r="L363" s="526">
        <v>507</v>
      </c>
      <c r="M363" s="77"/>
    </row>
    <row r="364" spans="1:13" ht="13" x14ac:dyDescent="0.25">
      <c r="A364" s="657">
        <v>5913</v>
      </c>
      <c r="B364" s="373" t="s">
        <v>487</v>
      </c>
      <c r="C364" s="360">
        <v>1034</v>
      </c>
      <c r="D364" s="54">
        <v>409</v>
      </c>
      <c r="E364" s="366">
        <f t="shared" si="5"/>
        <v>0.39555125725338491</v>
      </c>
      <c r="F364" s="526"/>
      <c r="G364" s="518"/>
      <c r="H364" s="526"/>
      <c r="I364" s="59"/>
      <c r="J364" s="77"/>
      <c r="K364" s="518"/>
      <c r="L364" s="526">
        <v>234</v>
      </c>
      <c r="M364" s="77"/>
    </row>
    <row r="365" spans="1:13" ht="13" x14ac:dyDescent="0.25">
      <c r="A365" s="657">
        <v>5914</v>
      </c>
      <c r="B365" s="373" t="s">
        <v>488</v>
      </c>
      <c r="C365" s="360">
        <v>1359</v>
      </c>
      <c r="D365" s="54">
        <v>732</v>
      </c>
      <c r="E365" s="366">
        <f t="shared" si="5"/>
        <v>0.53863134657836642</v>
      </c>
      <c r="F365" s="526"/>
      <c r="G365" s="518"/>
      <c r="H365" s="526"/>
      <c r="I365" s="59"/>
      <c r="J365" s="77"/>
      <c r="K365" s="518"/>
      <c r="L365" s="526">
        <v>473</v>
      </c>
      <c r="M365" s="77"/>
    </row>
    <row r="366" spans="1:13" ht="13" x14ac:dyDescent="0.25">
      <c r="A366" s="657">
        <v>5915</v>
      </c>
      <c r="B366" s="373" t="s">
        <v>489</v>
      </c>
      <c r="C366" s="360">
        <v>566</v>
      </c>
      <c r="D366" s="54">
        <v>273</v>
      </c>
      <c r="E366" s="366">
        <f t="shared" si="5"/>
        <v>0.48233215547703179</v>
      </c>
      <c r="F366" s="526"/>
      <c r="G366" s="518"/>
      <c r="H366" s="526"/>
      <c r="I366" s="59"/>
      <c r="J366" s="77"/>
      <c r="K366" s="518"/>
      <c r="L366" s="526">
        <v>174</v>
      </c>
      <c r="M366" s="77"/>
    </row>
    <row r="367" spans="1:13" ht="13" x14ac:dyDescent="0.25">
      <c r="A367" s="657">
        <v>5916</v>
      </c>
      <c r="B367" s="373" t="s">
        <v>490</v>
      </c>
      <c r="C367" s="360">
        <v>521</v>
      </c>
      <c r="D367" s="54">
        <v>235</v>
      </c>
      <c r="E367" s="366">
        <f t="shared" si="5"/>
        <v>0.45105566218809978</v>
      </c>
      <c r="F367" s="526"/>
      <c r="G367" s="518"/>
      <c r="H367" s="526"/>
      <c r="I367" s="59"/>
      <c r="J367" s="77"/>
      <c r="K367" s="518"/>
      <c r="L367" s="526">
        <v>141</v>
      </c>
      <c r="M367" s="77"/>
    </row>
    <row r="368" spans="1:13" ht="13" x14ac:dyDescent="0.25">
      <c r="A368" s="657">
        <v>5917</v>
      </c>
      <c r="B368" s="373" t="s">
        <v>491</v>
      </c>
      <c r="C368" s="360">
        <v>1182</v>
      </c>
      <c r="D368" s="54">
        <v>748</v>
      </c>
      <c r="E368" s="366">
        <f t="shared" si="5"/>
        <v>0.63282571912013541</v>
      </c>
      <c r="F368" s="526"/>
      <c r="G368" s="518"/>
      <c r="H368" s="526"/>
      <c r="I368" s="59"/>
      <c r="J368" s="77"/>
      <c r="K368" s="518"/>
      <c r="L368" s="526">
        <v>471</v>
      </c>
      <c r="M368" s="77"/>
    </row>
    <row r="369" spans="1:13" ht="13" x14ac:dyDescent="0.25">
      <c r="A369" s="657">
        <v>5918</v>
      </c>
      <c r="B369" s="373" t="s">
        <v>492</v>
      </c>
      <c r="C369" s="360">
        <v>1238</v>
      </c>
      <c r="D369" s="54">
        <v>524</v>
      </c>
      <c r="E369" s="366">
        <f t="shared" si="5"/>
        <v>0.42326332794830374</v>
      </c>
      <c r="F369" s="526"/>
      <c r="G369" s="518"/>
      <c r="H369" s="526"/>
      <c r="I369" s="59"/>
      <c r="J369" s="77"/>
      <c r="K369" s="518"/>
      <c r="L369" s="526">
        <v>339</v>
      </c>
      <c r="M369" s="77"/>
    </row>
    <row r="370" spans="1:13" ht="13" x14ac:dyDescent="0.25">
      <c r="A370" s="657">
        <v>5919</v>
      </c>
      <c r="B370" s="373" t="s">
        <v>493</v>
      </c>
      <c r="C370" s="360">
        <v>1165</v>
      </c>
      <c r="D370" s="54">
        <v>633</v>
      </c>
      <c r="E370" s="366">
        <f t="shared" si="5"/>
        <v>0.54334763948497855</v>
      </c>
      <c r="F370" s="526"/>
      <c r="G370" s="518"/>
      <c r="H370" s="526"/>
      <c r="I370" s="59"/>
      <c r="J370" s="77"/>
      <c r="K370" s="518"/>
      <c r="L370" s="526">
        <v>438</v>
      </c>
      <c r="M370" s="77"/>
    </row>
    <row r="371" spans="1:13" ht="13" x14ac:dyDescent="0.25">
      <c r="A371" s="657">
        <v>5920</v>
      </c>
      <c r="B371" s="373" t="s">
        <v>494</v>
      </c>
      <c r="C371" s="360">
        <v>1193</v>
      </c>
      <c r="D371" s="54">
        <v>494</v>
      </c>
      <c r="E371" s="366">
        <f t="shared" si="5"/>
        <v>0.41408214585079633</v>
      </c>
      <c r="F371" s="526"/>
      <c r="G371" s="518"/>
      <c r="H371" s="526"/>
      <c r="I371" s="59"/>
      <c r="J371" s="77"/>
      <c r="K371" s="518"/>
      <c r="L371" s="526">
        <v>307</v>
      </c>
      <c r="M371" s="77"/>
    </row>
    <row r="372" spans="1:13" ht="13" x14ac:dyDescent="0.25">
      <c r="A372" s="657">
        <v>5921</v>
      </c>
      <c r="B372" s="373" t="s">
        <v>495</v>
      </c>
      <c r="C372" s="360">
        <v>957</v>
      </c>
      <c r="D372" s="54">
        <v>480</v>
      </c>
      <c r="E372" s="366">
        <f t="shared" si="5"/>
        <v>0.50156739811912221</v>
      </c>
      <c r="F372" s="526"/>
      <c r="G372" s="518"/>
      <c r="H372" s="526"/>
      <c r="I372" s="59"/>
      <c r="J372" s="77"/>
      <c r="K372" s="518"/>
      <c r="L372" s="526">
        <v>281</v>
      </c>
      <c r="M372" s="77"/>
    </row>
    <row r="373" spans="1:13" ht="13" x14ac:dyDescent="0.25">
      <c r="A373" s="657">
        <v>5922</v>
      </c>
      <c r="B373" s="373" t="s">
        <v>496</v>
      </c>
      <c r="C373" s="360">
        <v>1150</v>
      </c>
      <c r="D373" s="54">
        <v>495</v>
      </c>
      <c r="E373" s="366">
        <f t="shared" si="5"/>
        <v>0.43043478260869567</v>
      </c>
      <c r="F373" s="526"/>
      <c r="G373" s="518"/>
      <c r="H373" s="526"/>
      <c r="I373" s="59"/>
      <c r="J373" s="77"/>
      <c r="K373" s="518"/>
      <c r="L373" s="526">
        <v>307</v>
      </c>
      <c r="M373" s="77"/>
    </row>
    <row r="374" spans="1:13" ht="13" x14ac:dyDescent="0.25">
      <c r="A374" s="657">
        <v>5923</v>
      </c>
      <c r="B374" s="373" t="s">
        <v>497</v>
      </c>
      <c r="C374" s="360">
        <v>694</v>
      </c>
      <c r="D374" s="54">
        <v>224</v>
      </c>
      <c r="E374" s="366">
        <f t="shared" si="5"/>
        <v>0.32276657060518732</v>
      </c>
      <c r="F374" s="526"/>
      <c r="G374" s="518"/>
      <c r="H374" s="526"/>
      <c r="I374" s="59"/>
      <c r="J374" s="77"/>
      <c r="K374" s="518"/>
      <c r="L374" s="526">
        <v>161</v>
      </c>
      <c r="M374" s="77"/>
    </row>
    <row r="375" spans="1:13" ht="13" x14ac:dyDescent="0.25">
      <c r="A375" s="657">
        <v>5924</v>
      </c>
      <c r="B375" s="373" t="s">
        <v>498</v>
      </c>
      <c r="C375" s="360">
        <v>1126</v>
      </c>
      <c r="D375" s="54">
        <v>464</v>
      </c>
      <c r="E375" s="366">
        <f t="shared" si="5"/>
        <v>0.41207815275310833</v>
      </c>
      <c r="F375" s="526"/>
      <c r="G375" s="518"/>
      <c r="H375" s="526"/>
      <c r="I375" s="59"/>
      <c r="J375" s="77"/>
      <c r="K375" s="518"/>
      <c r="L375" s="526">
        <v>295</v>
      </c>
      <c r="M375" s="77"/>
    </row>
    <row r="376" spans="1:13" ht="13" x14ac:dyDescent="0.25">
      <c r="A376" s="657">
        <v>5925</v>
      </c>
      <c r="B376" s="373" t="s">
        <v>499</v>
      </c>
      <c r="C376" s="360">
        <v>1242</v>
      </c>
      <c r="D376" s="54">
        <v>489</v>
      </c>
      <c r="E376" s="366">
        <f t="shared" si="5"/>
        <v>0.39371980676328505</v>
      </c>
      <c r="F376" s="526"/>
      <c r="G376" s="518"/>
      <c r="H376" s="526"/>
      <c r="I376" s="59"/>
      <c r="J376" s="77"/>
      <c r="K376" s="518"/>
      <c r="L376" s="526">
        <v>306</v>
      </c>
      <c r="M376" s="77"/>
    </row>
    <row r="377" spans="1:13" ht="13" x14ac:dyDescent="0.25">
      <c r="A377" s="657">
        <v>5926</v>
      </c>
      <c r="B377" s="373" t="s">
        <v>500</v>
      </c>
      <c r="C377" s="360">
        <v>1325</v>
      </c>
      <c r="D377" s="54">
        <v>539</v>
      </c>
      <c r="E377" s="366">
        <f t="shared" si="5"/>
        <v>0.40679245283018867</v>
      </c>
      <c r="F377" s="526"/>
      <c r="G377" s="518"/>
      <c r="H377" s="526"/>
      <c r="I377" s="59"/>
      <c r="J377" s="77"/>
      <c r="K377" s="518"/>
      <c r="L377" s="526">
        <v>363</v>
      </c>
      <c r="M377" s="77"/>
    </row>
    <row r="378" spans="1:13" ht="13" x14ac:dyDescent="0.25">
      <c r="A378" s="657">
        <v>5927</v>
      </c>
      <c r="B378" s="373" t="s">
        <v>501</v>
      </c>
      <c r="C378" s="360">
        <v>1102</v>
      </c>
      <c r="D378" s="54">
        <v>743</v>
      </c>
      <c r="E378" s="366">
        <f t="shared" si="5"/>
        <v>0.67422867513611617</v>
      </c>
      <c r="F378" s="526"/>
      <c r="G378" s="518"/>
      <c r="H378" s="526"/>
      <c r="I378" s="59"/>
      <c r="J378" s="77"/>
      <c r="K378" s="518"/>
      <c r="L378" s="526">
        <v>492</v>
      </c>
      <c r="M378" s="77"/>
    </row>
    <row r="379" spans="1:13" ht="13" x14ac:dyDescent="0.25">
      <c r="A379" s="657">
        <v>5928</v>
      </c>
      <c r="B379" s="373" t="s">
        <v>502</v>
      </c>
      <c r="C379" s="360">
        <v>1306</v>
      </c>
      <c r="D379" s="54">
        <v>730</v>
      </c>
      <c r="E379" s="366">
        <f t="shared" si="5"/>
        <v>0.55895865237366005</v>
      </c>
      <c r="F379" s="526"/>
      <c r="G379" s="518"/>
      <c r="H379" s="526"/>
      <c r="I379" s="59"/>
      <c r="J379" s="77"/>
      <c r="K379" s="518"/>
      <c r="L379" s="526">
        <v>472</v>
      </c>
      <c r="M379" s="77"/>
    </row>
    <row r="380" spans="1:13" ht="13" x14ac:dyDescent="0.25">
      <c r="A380" s="657">
        <v>5929</v>
      </c>
      <c r="B380" s="373" t="s">
        <v>503</v>
      </c>
      <c r="C380" s="360">
        <v>1172</v>
      </c>
      <c r="D380" s="54">
        <v>338</v>
      </c>
      <c r="E380" s="366">
        <f t="shared" si="5"/>
        <v>0.28839590443686008</v>
      </c>
      <c r="F380" s="526"/>
      <c r="G380" s="518"/>
      <c r="H380" s="526"/>
      <c r="I380" s="59"/>
      <c r="J380" s="77"/>
      <c r="K380" s="518"/>
      <c r="L380" s="526">
        <v>235</v>
      </c>
      <c r="M380" s="77"/>
    </row>
    <row r="381" spans="1:13" ht="13" x14ac:dyDescent="0.25">
      <c r="A381" s="657">
        <v>5930</v>
      </c>
      <c r="B381" s="373" t="s">
        <v>504</v>
      </c>
      <c r="C381" s="360">
        <v>966</v>
      </c>
      <c r="D381" s="54">
        <v>352</v>
      </c>
      <c r="E381" s="366">
        <f t="shared" si="5"/>
        <v>0.36438923395445133</v>
      </c>
      <c r="F381" s="526"/>
      <c r="G381" s="518"/>
      <c r="H381" s="526"/>
      <c r="I381" s="59"/>
      <c r="J381" s="77"/>
      <c r="K381" s="518"/>
      <c r="L381" s="526">
        <v>210</v>
      </c>
      <c r="M381" s="77"/>
    </row>
    <row r="382" spans="1:13" ht="13" x14ac:dyDescent="0.25">
      <c r="A382" s="657">
        <v>5931</v>
      </c>
      <c r="B382" s="373" t="s">
        <v>505</v>
      </c>
      <c r="C382" s="360">
        <v>1175</v>
      </c>
      <c r="D382" s="54">
        <v>524</v>
      </c>
      <c r="E382" s="366">
        <f t="shared" si="5"/>
        <v>0.44595744680851063</v>
      </c>
      <c r="F382" s="526"/>
      <c r="G382" s="518"/>
      <c r="H382" s="526"/>
      <c r="I382" s="59"/>
      <c r="J382" s="77"/>
      <c r="K382" s="518"/>
      <c r="L382" s="526">
        <v>333</v>
      </c>
      <c r="M382" s="77"/>
    </row>
    <row r="383" spans="1:13" ht="13" x14ac:dyDescent="0.25">
      <c r="A383" s="657">
        <v>5932</v>
      </c>
      <c r="B383" s="373" t="s">
        <v>506</v>
      </c>
      <c r="C383" s="360">
        <v>480</v>
      </c>
      <c r="D383" s="54">
        <v>178</v>
      </c>
      <c r="E383" s="366">
        <f t="shared" si="5"/>
        <v>0.37083333333333335</v>
      </c>
      <c r="F383" s="526"/>
      <c r="G383" s="518"/>
      <c r="H383" s="526"/>
      <c r="I383" s="59"/>
      <c r="J383" s="77"/>
      <c r="K383" s="518"/>
      <c r="L383" s="526">
        <v>110</v>
      </c>
      <c r="M383" s="77"/>
    </row>
    <row r="384" spans="1:13" ht="13" x14ac:dyDescent="0.25">
      <c r="A384" s="657">
        <v>5933</v>
      </c>
      <c r="B384" s="373" t="s">
        <v>507</v>
      </c>
      <c r="C384" s="360">
        <v>1171</v>
      </c>
      <c r="D384" s="54">
        <v>508</v>
      </c>
      <c r="E384" s="366">
        <f t="shared" si="5"/>
        <v>0.43381725021349277</v>
      </c>
      <c r="F384" s="526"/>
      <c r="G384" s="518"/>
      <c r="H384" s="526"/>
      <c r="I384" s="59"/>
      <c r="J384" s="77"/>
      <c r="K384" s="518"/>
      <c r="L384" s="526">
        <v>330</v>
      </c>
      <c r="M384" s="77"/>
    </row>
    <row r="385" spans="1:13" ht="13" x14ac:dyDescent="0.25">
      <c r="A385" s="657">
        <v>5934</v>
      </c>
      <c r="B385" s="373" t="s">
        <v>508</v>
      </c>
      <c r="C385" s="360">
        <v>1030</v>
      </c>
      <c r="D385" s="54">
        <v>375</v>
      </c>
      <c r="E385" s="366">
        <f t="shared" si="5"/>
        <v>0.36407766990291263</v>
      </c>
      <c r="F385" s="526"/>
      <c r="G385" s="518"/>
      <c r="H385" s="526"/>
      <c r="I385" s="59"/>
      <c r="J385" s="77"/>
      <c r="K385" s="518"/>
      <c r="L385" s="526">
        <v>230</v>
      </c>
      <c r="M385" s="77"/>
    </row>
    <row r="386" spans="1:13" ht="13" x14ac:dyDescent="0.25">
      <c r="A386" s="657">
        <v>5935</v>
      </c>
      <c r="B386" s="373" t="s">
        <v>509</v>
      </c>
      <c r="C386" s="360">
        <v>475</v>
      </c>
      <c r="D386" s="54">
        <v>279</v>
      </c>
      <c r="E386" s="366">
        <f t="shared" si="5"/>
        <v>0.58736842105263154</v>
      </c>
      <c r="F386" s="526"/>
      <c r="G386" s="518"/>
      <c r="H386" s="526"/>
      <c r="I386" s="59"/>
      <c r="J386" s="77"/>
      <c r="K386" s="518"/>
      <c r="L386" s="526">
        <v>167</v>
      </c>
      <c r="M386" s="77"/>
    </row>
    <row r="387" spans="1:13" ht="13" x14ac:dyDescent="0.25">
      <c r="A387" s="657">
        <v>5936</v>
      </c>
      <c r="B387" s="373" t="s">
        <v>510</v>
      </c>
      <c r="C387" s="360">
        <v>1239</v>
      </c>
      <c r="D387" s="54">
        <v>572</v>
      </c>
      <c r="E387" s="366">
        <f t="shared" si="5"/>
        <v>0.46166263115415657</v>
      </c>
      <c r="F387" s="526"/>
      <c r="G387" s="518"/>
      <c r="H387" s="526"/>
      <c r="I387" s="59"/>
      <c r="J387" s="77"/>
      <c r="K387" s="518"/>
      <c r="L387" s="526">
        <v>366</v>
      </c>
      <c r="M387" s="77"/>
    </row>
    <row r="388" spans="1:13" ht="13" x14ac:dyDescent="0.25">
      <c r="A388" s="657">
        <v>5937</v>
      </c>
      <c r="B388" s="373" t="s">
        <v>511</v>
      </c>
      <c r="C388" s="360">
        <v>1334</v>
      </c>
      <c r="D388" s="54">
        <v>548</v>
      </c>
      <c r="E388" s="366">
        <f t="shared" si="5"/>
        <v>0.4107946026986507</v>
      </c>
      <c r="F388" s="526"/>
      <c r="G388" s="518"/>
      <c r="H388" s="526"/>
      <c r="I388" s="59"/>
      <c r="J388" s="77"/>
      <c r="K388" s="518"/>
      <c r="L388" s="526">
        <v>333</v>
      </c>
      <c r="M388" s="77"/>
    </row>
    <row r="389" spans="1:13" ht="13" x14ac:dyDescent="0.25">
      <c r="A389" s="657">
        <v>5938</v>
      </c>
      <c r="B389" s="373" t="s">
        <v>512</v>
      </c>
      <c r="C389" s="360">
        <v>685</v>
      </c>
      <c r="D389" s="54">
        <v>340</v>
      </c>
      <c r="E389" s="366">
        <f t="shared" ref="E389:E452" si="6">SUM(D389/C389)</f>
        <v>0.49635036496350365</v>
      </c>
      <c r="F389" s="526"/>
      <c r="G389" s="518"/>
      <c r="H389" s="526"/>
      <c r="I389" s="59"/>
      <c r="J389" s="77"/>
      <c r="K389" s="518"/>
      <c r="L389" s="526">
        <v>213</v>
      </c>
      <c r="M389" s="77"/>
    </row>
    <row r="390" spans="1:13" ht="13" x14ac:dyDescent="0.25">
      <c r="A390" s="657">
        <v>6201</v>
      </c>
      <c r="B390" s="373" t="s">
        <v>513</v>
      </c>
      <c r="C390" s="360">
        <v>165</v>
      </c>
      <c r="D390" s="54">
        <v>103</v>
      </c>
      <c r="E390" s="366">
        <f t="shared" si="6"/>
        <v>0.62424242424242427</v>
      </c>
      <c r="F390" s="526"/>
      <c r="G390" s="518"/>
      <c r="H390" s="526"/>
      <c r="I390" s="59"/>
      <c r="J390" s="77"/>
      <c r="K390" s="518">
        <v>65</v>
      </c>
      <c r="L390" s="526"/>
      <c r="M390" s="77"/>
    </row>
    <row r="391" spans="1:13" ht="13" x14ac:dyDescent="0.25">
      <c r="A391" s="657">
        <v>6202</v>
      </c>
      <c r="B391" s="373" t="s">
        <v>514</v>
      </c>
      <c r="C391" s="360">
        <v>378</v>
      </c>
      <c r="D391" s="54">
        <v>194</v>
      </c>
      <c r="E391" s="366">
        <f t="shared" si="6"/>
        <v>0.51322751322751325</v>
      </c>
      <c r="F391" s="526"/>
      <c r="G391" s="518">
        <v>131</v>
      </c>
      <c r="H391" s="526"/>
      <c r="I391" s="59"/>
      <c r="J391" s="77"/>
      <c r="K391" s="518"/>
      <c r="L391" s="526"/>
      <c r="M391" s="77"/>
    </row>
    <row r="392" spans="1:13" ht="13" x14ac:dyDescent="0.25">
      <c r="A392" s="657">
        <v>6203</v>
      </c>
      <c r="B392" s="373" t="s">
        <v>515</v>
      </c>
      <c r="C392" s="360">
        <v>430</v>
      </c>
      <c r="D392" s="54">
        <v>317</v>
      </c>
      <c r="E392" s="366">
        <f t="shared" si="6"/>
        <v>0.73720930232558135</v>
      </c>
      <c r="F392" s="526"/>
      <c r="G392" s="518">
        <v>211</v>
      </c>
      <c r="H392" s="526"/>
      <c r="I392" s="59"/>
      <c r="J392" s="77"/>
      <c r="K392" s="518"/>
      <c r="L392" s="526"/>
      <c r="M392" s="77"/>
    </row>
    <row r="393" spans="1:13" ht="13" x14ac:dyDescent="0.25">
      <c r="A393" s="657">
        <v>6204</v>
      </c>
      <c r="B393" s="373" t="s">
        <v>516</v>
      </c>
      <c r="C393" s="360">
        <v>582</v>
      </c>
      <c r="D393" s="54">
        <v>217</v>
      </c>
      <c r="E393" s="366">
        <f t="shared" si="6"/>
        <v>0.37285223367697595</v>
      </c>
      <c r="F393" s="526"/>
      <c r="G393" s="518">
        <v>156</v>
      </c>
      <c r="H393" s="526"/>
      <c r="I393" s="59"/>
      <c r="J393" s="77"/>
      <c r="K393" s="518"/>
      <c r="L393" s="526"/>
      <c r="M393" s="77"/>
    </row>
    <row r="394" spans="1:13" ht="13" x14ac:dyDescent="0.25">
      <c r="A394" s="657">
        <v>6205</v>
      </c>
      <c r="B394" s="373" t="s">
        <v>517</v>
      </c>
      <c r="C394" s="360">
        <v>349</v>
      </c>
      <c r="D394" s="54">
        <v>171</v>
      </c>
      <c r="E394" s="366">
        <f t="shared" si="6"/>
        <v>0.48997134670487108</v>
      </c>
      <c r="F394" s="526"/>
      <c r="G394" s="518">
        <v>121</v>
      </c>
      <c r="H394" s="526"/>
      <c r="I394" s="59"/>
      <c r="J394" s="77"/>
      <c r="K394" s="518"/>
      <c r="L394" s="526"/>
      <c r="M394" s="77"/>
    </row>
    <row r="395" spans="1:13" ht="13" x14ac:dyDescent="0.25">
      <c r="A395" s="657">
        <v>6206</v>
      </c>
      <c r="B395" s="373" t="s">
        <v>518</v>
      </c>
      <c r="C395" s="360">
        <v>619</v>
      </c>
      <c r="D395" s="54">
        <v>350</v>
      </c>
      <c r="E395" s="366">
        <f t="shared" si="6"/>
        <v>0.56542810985460423</v>
      </c>
      <c r="F395" s="526"/>
      <c r="G395" s="518">
        <v>221</v>
      </c>
      <c r="H395" s="526"/>
      <c r="I395" s="59"/>
      <c r="J395" s="77"/>
      <c r="K395" s="518"/>
      <c r="L395" s="526"/>
      <c r="M395" s="77"/>
    </row>
    <row r="396" spans="1:13" ht="13" x14ac:dyDescent="0.25">
      <c r="A396" s="657">
        <v>6207</v>
      </c>
      <c r="B396" s="373" t="s">
        <v>519</v>
      </c>
      <c r="C396" s="360">
        <v>811</v>
      </c>
      <c r="D396" s="54">
        <v>432</v>
      </c>
      <c r="E396" s="366">
        <f t="shared" si="6"/>
        <v>0.53267570900123307</v>
      </c>
      <c r="F396" s="526"/>
      <c r="G396" s="518"/>
      <c r="H396" s="526"/>
      <c r="I396" s="59">
        <v>117</v>
      </c>
      <c r="J396" s="77">
        <v>228</v>
      </c>
      <c r="K396" s="518"/>
      <c r="L396" s="526"/>
      <c r="M396" s="77"/>
    </row>
    <row r="397" spans="1:13" ht="13" x14ac:dyDescent="0.25">
      <c r="A397" s="657">
        <v>6208</v>
      </c>
      <c r="B397" s="373" t="s">
        <v>520</v>
      </c>
      <c r="C397" s="360">
        <v>1</v>
      </c>
      <c r="D397" s="54">
        <v>1</v>
      </c>
      <c r="E397" s="366">
        <f t="shared" si="6"/>
        <v>1</v>
      </c>
      <c r="F397" s="526"/>
      <c r="G397" s="518"/>
      <c r="H397" s="526"/>
      <c r="I397" s="59"/>
      <c r="J397" s="77"/>
      <c r="K397" s="518">
        <v>1</v>
      </c>
      <c r="L397" s="526"/>
      <c r="M397" s="77"/>
    </row>
    <row r="398" spans="1:13" ht="13" x14ac:dyDescent="0.25">
      <c r="A398" s="657">
        <v>6209</v>
      </c>
      <c r="B398" s="373" t="s">
        <v>521</v>
      </c>
      <c r="C398" s="360">
        <v>95</v>
      </c>
      <c r="D398" s="54">
        <v>42</v>
      </c>
      <c r="E398" s="366">
        <f t="shared" si="6"/>
        <v>0.44210526315789472</v>
      </c>
      <c r="F398" s="526"/>
      <c r="G398" s="518"/>
      <c r="H398" s="526"/>
      <c r="I398" s="59"/>
      <c r="J398" s="77"/>
      <c r="K398" s="518">
        <v>31</v>
      </c>
      <c r="L398" s="526"/>
      <c r="M398" s="77"/>
    </row>
    <row r="399" spans="1:13" ht="13" x14ac:dyDescent="0.25">
      <c r="A399" s="657">
        <v>6401</v>
      </c>
      <c r="B399" s="373" t="s">
        <v>522</v>
      </c>
      <c r="C399" s="360">
        <v>1467</v>
      </c>
      <c r="D399" s="54">
        <v>696</v>
      </c>
      <c r="E399" s="366">
        <f t="shared" si="6"/>
        <v>0.47443762781186094</v>
      </c>
      <c r="F399" s="526"/>
      <c r="G399" s="518"/>
      <c r="H399" s="526"/>
      <c r="I399" s="59"/>
      <c r="J399" s="77"/>
      <c r="K399" s="518"/>
      <c r="L399" s="526"/>
      <c r="M399" s="77">
        <v>469</v>
      </c>
    </row>
    <row r="400" spans="1:13" ht="13" x14ac:dyDescent="0.25">
      <c r="A400" s="657">
        <v>6402</v>
      </c>
      <c r="B400" s="373" t="s">
        <v>523</v>
      </c>
      <c r="C400" s="360">
        <v>1331</v>
      </c>
      <c r="D400" s="54">
        <v>733</v>
      </c>
      <c r="E400" s="366">
        <f t="shared" si="6"/>
        <v>0.55071374906085646</v>
      </c>
      <c r="F400" s="526"/>
      <c r="G400" s="518"/>
      <c r="H400" s="526"/>
      <c r="I400" s="59"/>
      <c r="J400" s="77"/>
      <c r="K400" s="518"/>
      <c r="L400" s="526"/>
      <c r="M400" s="77">
        <v>471</v>
      </c>
    </row>
    <row r="401" spans="1:13" ht="13" x14ac:dyDescent="0.25">
      <c r="A401" s="657">
        <v>6501</v>
      </c>
      <c r="B401" s="373" t="s">
        <v>524</v>
      </c>
      <c r="C401" s="360">
        <v>1297</v>
      </c>
      <c r="D401" s="54">
        <v>501</v>
      </c>
      <c r="E401" s="366">
        <f t="shared" si="6"/>
        <v>0.38627602158828067</v>
      </c>
      <c r="F401" s="526"/>
      <c r="G401" s="518"/>
      <c r="H401" s="526"/>
      <c r="I401" s="59"/>
      <c r="J401" s="73"/>
      <c r="K401" s="518"/>
      <c r="L401" s="526"/>
      <c r="M401" s="77">
        <v>352</v>
      </c>
    </row>
    <row r="402" spans="1:13" ht="13" x14ac:dyDescent="0.25">
      <c r="A402" s="657">
        <v>6502</v>
      </c>
      <c r="B402" s="373" t="s">
        <v>525</v>
      </c>
      <c r="C402" s="360">
        <v>1166</v>
      </c>
      <c r="D402" s="54">
        <v>476</v>
      </c>
      <c r="E402" s="366">
        <f t="shared" si="6"/>
        <v>0.40823327615780447</v>
      </c>
      <c r="F402" s="526"/>
      <c r="G402" s="518"/>
      <c r="H402" s="526"/>
      <c r="I402" s="59"/>
      <c r="J402" s="73"/>
      <c r="K402" s="518"/>
      <c r="L402" s="526"/>
      <c r="M402" s="77">
        <v>311</v>
      </c>
    </row>
    <row r="403" spans="1:13" ht="13" x14ac:dyDescent="0.25">
      <c r="A403" s="657">
        <v>6503</v>
      </c>
      <c r="B403" s="373" t="s">
        <v>526</v>
      </c>
      <c r="C403" s="360">
        <v>1128</v>
      </c>
      <c r="D403" s="54">
        <v>685</v>
      </c>
      <c r="E403" s="366">
        <f t="shared" si="6"/>
        <v>0.60726950354609932</v>
      </c>
      <c r="F403" s="526"/>
      <c r="G403" s="518"/>
      <c r="H403" s="526"/>
      <c r="I403" s="59"/>
      <c r="J403" s="73"/>
      <c r="K403" s="518"/>
      <c r="L403" s="526"/>
      <c r="M403" s="77">
        <v>437</v>
      </c>
    </row>
    <row r="404" spans="1:13" ht="13" x14ac:dyDescent="0.25">
      <c r="A404" s="657">
        <v>6504</v>
      </c>
      <c r="B404" s="373" t="s">
        <v>527</v>
      </c>
      <c r="C404" s="360">
        <v>948</v>
      </c>
      <c r="D404" s="54">
        <v>446</v>
      </c>
      <c r="E404" s="366">
        <f t="shared" si="6"/>
        <v>0.47046413502109707</v>
      </c>
      <c r="F404" s="526"/>
      <c r="G404" s="518"/>
      <c r="H404" s="526"/>
      <c r="I404" s="59"/>
      <c r="J404" s="73"/>
      <c r="K404" s="518"/>
      <c r="L404" s="526"/>
      <c r="M404" s="77">
        <v>297</v>
      </c>
    </row>
    <row r="405" spans="1:13" ht="13" x14ac:dyDescent="0.25">
      <c r="A405" s="657">
        <v>6505</v>
      </c>
      <c r="B405" s="373" t="s">
        <v>528</v>
      </c>
      <c r="C405" s="360">
        <v>984</v>
      </c>
      <c r="D405" s="54">
        <v>594</v>
      </c>
      <c r="E405" s="366">
        <f t="shared" si="6"/>
        <v>0.60365853658536583</v>
      </c>
      <c r="F405" s="526"/>
      <c r="G405" s="518"/>
      <c r="H405" s="526"/>
      <c r="I405" s="59"/>
      <c r="J405" s="73"/>
      <c r="K405" s="518"/>
      <c r="L405" s="526"/>
      <c r="M405" s="77">
        <v>390</v>
      </c>
    </row>
    <row r="406" spans="1:13" ht="13" x14ac:dyDescent="0.25">
      <c r="A406" s="657">
        <v>6506</v>
      </c>
      <c r="B406" s="373" t="s">
        <v>529</v>
      </c>
      <c r="C406" s="360">
        <v>1184</v>
      </c>
      <c r="D406" s="54">
        <v>590</v>
      </c>
      <c r="E406" s="366">
        <f t="shared" si="6"/>
        <v>0.4983108108108108</v>
      </c>
      <c r="F406" s="526"/>
      <c r="G406" s="518"/>
      <c r="H406" s="526"/>
      <c r="I406" s="59"/>
      <c r="J406" s="73"/>
      <c r="K406" s="518"/>
      <c r="L406" s="526"/>
      <c r="M406" s="77">
        <v>392</v>
      </c>
    </row>
    <row r="407" spans="1:13" ht="13" x14ac:dyDescent="0.25">
      <c r="A407" s="657">
        <v>6507</v>
      </c>
      <c r="B407" s="373" t="s">
        <v>530</v>
      </c>
      <c r="C407" s="360">
        <v>1175</v>
      </c>
      <c r="D407" s="54">
        <v>717</v>
      </c>
      <c r="E407" s="366">
        <f t="shared" si="6"/>
        <v>0.61021276595744678</v>
      </c>
      <c r="F407" s="526"/>
      <c r="G407" s="518"/>
      <c r="H407" s="526"/>
      <c r="I407" s="59"/>
      <c r="J407" s="73"/>
      <c r="K407" s="518"/>
      <c r="L407" s="526"/>
      <c r="M407" s="77">
        <v>433</v>
      </c>
    </row>
    <row r="408" spans="1:13" ht="13" x14ac:dyDescent="0.25">
      <c r="A408" s="657">
        <v>6508</v>
      </c>
      <c r="B408" s="373" t="s">
        <v>531</v>
      </c>
      <c r="C408" s="360">
        <v>1340</v>
      </c>
      <c r="D408" s="54">
        <v>777</v>
      </c>
      <c r="E408" s="366">
        <f t="shared" si="6"/>
        <v>0.57985074626865674</v>
      </c>
      <c r="F408" s="526"/>
      <c r="G408" s="518"/>
      <c r="H408" s="526"/>
      <c r="I408" s="59"/>
      <c r="J408" s="73"/>
      <c r="K408" s="518"/>
      <c r="L408" s="526"/>
      <c r="M408" s="77">
        <v>533</v>
      </c>
    </row>
    <row r="409" spans="1:13" ht="13" x14ac:dyDescent="0.25">
      <c r="A409" s="657">
        <v>6509</v>
      </c>
      <c r="B409" s="373" t="s">
        <v>532</v>
      </c>
      <c r="C409" s="360">
        <v>681</v>
      </c>
      <c r="D409" s="54">
        <v>356</v>
      </c>
      <c r="E409" s="366">
        <f t="shared" si="6"/>
        <v>0.52276064610866368</v>
      </c>
      <c r="F409" s="526"/>
      <c r="G409" s="518"/>
      <c r="H409" s="526"/>
      <c r="I409" s="59"/>
      <c r="J409" s="73"/>
      <c r="K409" s="518"/>
      <c r="L409" s="526"/>
      <c r="M409" s="77">
        <v>231</v>
      </c>
    </row>
    <row r="410" spans="1:13" ht="13" x14ac:dyDescent="0.25">
      <c r="A410" s="657">
        <v>6510</v>
      </c>
      <c r="B410" s="373" t="s">
        <v>533</v>
      </c>
      <c r="C410" s="360">
        <v>1372</v>
      </c>
      <c r="D410" s="54">
        <v>660</v>
      </c>
      <c r="E410" s="366">
        <f t="shared" si="6"/>
        <v>0.48104956268221577</v>
      </c>
      <c r="F410" s="526"/>
      <c r="G410" s="518"/>
      <c r="H410" s="526"/>
      <c r="I410" s="59"/>
      <c r="J410" s="73"/>
      <c r="K410" s="518"/>
      <c r="L410" s="526"/>
      <c r="M410" s="77">
        <v>431</v>
      </c>
    </row>
    <row r="411" spans="1:13" ht="13" x14ac:dyDescent="0.25">
      <c r="A411" s="657">
        <v>6511</v>
      </c>
      <c r="B411" s="373" t="s">
        <v>534</v>
      </c>
      <c r="C411" s="360">
        <v>824</v>
      </c>
      <c r="D411" s="54">
        <v>516</v>
      </c>
      <c r="E411" s="366">
        <f t="shared" si="6"/>
        <v>0.62621359223300976</v>
      </c>
      <c r="F411" s="526"/>
      <c r="G411" s="518"/>
      <c r="H411" s="526"/>
      <c r="I411" s="59"/>
      <c r="J411" s="73"/>
      <c r="K411" s="518"/>
      <c r="L411" s="526"/>
      <c r="M411" s="77">
        <v>377</v>
      </c>
    </row>
    <row r="412" spans="1:13" ht="13" x14ac:dyDescent="0.25">
      <c r="A412" s="657">
        <v>6512</v>
      </c>
      <c r="B412" s="373" t="s">
        <v>535</v>
      </c>
      <c r="C412" s="360">
        <v>1069</v>
      </c>
      <c r="D412" s="54">
        <v>659</v>
      </c>
      <c r="E412" s="366">
        <f t="shared" si="6"/>
        <v>0.61646398503274091</v>
      </c>
      <c r="F412" s="526"/>
      <c r="G412" s="518"/>
      <c r="H412" s="526"/>
      <c r="I412" s="59"/>
      <c r="J412" s="73"/>
      <c r="K412" s="518"/>
      <c r="L412" s="526"/>
      <c r="M412" s="77">
        <v>409</v>
      </c>
    </row>
    <row r="413" spans="1:13" ht="13" x14ac:dyDescent="0.25">
      <c r="A413" s="657">
        <v>6513</v>
      </c>
      <c r="B413" s="373" t="s">
        <v>536</v>
      </c>
      <c r="C413" s="360">
        <v>1055</v>
      </c>
      <c r="D413" s="54">
        <v>521</v>
      </c>
      <c r="E413" s="366">
        <f t="shared" si="6"/>
        <v>0.4938388625592417</v>
      </c>
      <c r="F413" s="526"/>
      <c r="G413" s="518"/>
      <c r="H413" s="526"/>
      <c r="I413" s="59"/>
      <c r="J413" s="73"/>
      <c r="K413" s="518"/>
      <c r="L413" s="526"/>
      <c r="M413" s="77">
        <v>344</v>
      </c>
    </row>
    <row r="414" spans="1:13" ht="13" x14ac:dyDescent="0.25">
      <c r="A414" s="657">
        <v>6514</v>
      </c>
      <c r="B414" s="373" t="s">
        <v>537</v>
      </c>
      <c r="C414" s="360">
        <v>621</v>
      </c>
      <c r="D414" s="54">
        <v>275</v>
      </c>
      <c r="E414" s="366">
        <f t="shared" si="6"/>
        <v>0.44283413848631242</v>
      </c>
      <c r="F414" s="526"/>
      <c r="G414" s="518"/>
      <c r="H414" s="526"/>
      <c r="I414" s="59"/>
      <c r="J414" s="73"/>
      <c r="K414" s="518"/>
      <c r="L414" s="526"/>
      <c r="M414" s="77">
        <v>179</v>
      </c>
    </row>
    <row r="415" spans="1:13" ht="13" x14ac:dyDescent="0.25">
      <c r="A415" s="657">
        <v>6515</v>
      </c>
      <c r="B415" s="373" t="s">
        <v>538</v>
      </c>
      <c r="C415" s="360">
        <v>1203</v>
      </c>
      <c r="D415" s="54">
        <v>703</v>
      </c>
      <c r="E415" s="366">
        <f t="shared" si="6"/>
        <v>0.58437240232751453</v>
      </c>
      <c r="F415" s="526"/>
      <c r="G415" s="518"/>
      <c r="H415" s="526"/>
      <c r="I415" s="59"/>
      <c r="J415" s="73"/>
      <c r="K415" s="518"/>
      <c r="L415" s="526"/>
      <c r="M415" s="77">
        <v>435</v>
      </c>
    </row>
    <row r="416" spans="1:13" ht="13" x14ac:dyDescent="0.25">
      <c r="A416" s="657">
        <v>6516</v>
      </c>
      <c r="B416" s="373" t="s">
        <v>539</v>
      </c>
      <c r="C416" s="360">
        <v>1009</v>
      </c>
      <c r="D416" s="54">
        <v>583</v>
      </c>
      <c r="E416" s="366">
        <f t="shared" si="6"/>
        <v>0.57779980178394452</v>
      </c>
      <c r="F416" s="526"/>
      <c r="G416" s="518"/>
      <c r="H416" s="526"/>
      <c r="I416" s="59"/>
      <c r="J416" s="73"/>
      <c r="K416" s="518"/>
      <c r="L416" s="526"/>
      <c r="M416" s="77">
        <v>358</v>
      </c>
    </row>
    <row r="417" spans="1:13" ht="13" x14ac:dyDescent="0.25">
      <c r="A417" s="657">
        <v>6517</v>
      </c>
      <c r="B417" s="373" t="s">
        <v>540</v>
      </c>
      <c r="C417" s="360">
        <v>1148</v>
      </c>
      <c r="D417" s="54">
        <v>743</v>
      </c>
      <c r="E417" s="366">
        <f t="shared" si="6"/>
        <v>0.64721254355400692</v>
      </c>
      <c r="F417" s="526"/>
      <c r="G417" s="518"/>
      <c r="H417" s="526"/>
      <c r="I417" s="59"/>
      <c r="J417" s="73"/>
      <c r="K417" s="518"/>
      <c r="L417" s="526"/>
      <c r="M417" s="77">
        <v>484</v>
      </c>
    </row>
    <row r="418" spans="1:13" ht="13" x14ac:dyDescent="0.25">
      <c r="A418" s="657">
        <v>6518</v>
      </c>
      <c r="B418" s="373" t="s">
        <v>541</v>
      </c>
      <c r="C418" s="360">
        <v>888</v>
      </c>
      <c r="D418" s="54">
        <v>452</v>
      </c>
      <c r="E418" s="366">
        <f t="shared" si="6"/>
        <v>0.50900900900900903</v>
      </c>
      <c r="F418" s="526"/>
      <c r="G418" s="518"/>
      <c r="H418" s="526"/>
      <c r="I418" s="59"/>
      <c r="J418" s="73"/>
      <c r="K418" s="518"/>
      <c r="L418" s="526"/>
      <c r="M418" s="77">
        <v>296</v>
      </c>
    </row>
    <row r="419" spans="1:13" ht="13" x14ac:dyDescent="0.25">
      <c r="A419" s="657">
        <v>6519</v>
      </c>
      <c r="B419" s="373" t="s">
        <v>542</v>
      </c>
      <c r="C419" s="360">
        <v>1094</v>
      </c>
      <c r="D419" s="54">
        <v>607</v>
      </c>
      <c r="E419" s="366">
        <f t="shared" si="6"/>
        <v>0.55484460694698357</v>
      </c>
      <c r="F419" s="526"/>
      <c r="G419" s="518"/>
      <c r="H419" s="526"/>
      <c r="I419" s="59"/>
      <c r="J419" s="73"/>
      <c r="K419" s="518"/>
      <c r="L419" s="526"/>
      <c r="M419" s="77">
        <v>392</v>
      </c>
    </row>
    <row r="420" spans="1:13" ht="13" x14ac:dyDescent="0.25">
      <c r="A420" s="657">
        <v>6701</v>
      </c>
      <c r="B420" s="373" t="s">
        <v>543</v>
      </c>
      <c r="C420" s="360">
        <v>1122</v>
      </c>
      <c r="D420" s="54">
        <v>275</v>
      </c>
      <c r="E420" s="366">
        <f t="shared" si="6"/>
        <v>0.24509803921568626</v>
      </c>
      <c r="F420" s="526"/>
      <c r="G420" s="518">
        <v>184</v>
      </c>
      <c r="H420" s="526"/>
      <c r="I420" s="59"/>
      <c r="J420" s="73"/>
      <c r="K420" s="518"/>
      <c r="L420" s="526"/>
      <c r="M420" s="77"/>
    </row>
    <row r="421" spans="1:13" ht="13" x14ac:dyDescent="0.25">
      <c r="A421" s="657">
        <v>6801</v>
      </c>
      <c r="B421" s="373" t="s">
        <v>544</v>
      </c>
      <c r="C421" s="360">
        <v>1127</v>
      </c>
      <c r="D421" s="54">
        <v>805</v>
      </c>
      <c r="E421" s="366">
        <f t="shared" si="6"/>
        <v>0.7142857142857143</v>
      </c>
      <c r="F421" s="526"/>
      <c r="G421" s="518"/>
      <c r="H421" s="526"/>
      <c r="I421" s="59"/>
      <c r="J421" s="73"/>
      <c r="K421" s="518">
        <v>509</v>
      </c>
      <c r="L421" s="526"/>
      <c r="M421" s="77"/>
    </row>
    <row r="422" spans="1:13" ht="13" x14ac:dyDescent="0.25">
      <c r="A422" s="657">
        <v>6802</v>
      </c>
      <c r="B422" s="373" t="s">
        <v>545</v>
      </c>
      <c r="C422" s="360">
        <v>926</v>
      </c>
      <c r="D422" s="54">
        <v>605</v>
      </c>
      <c r="E422" s="366">
        <f t="shared" si="6"/>
        <v>0.6533477321814255</v>
      </c>
      <c r="F422" s="526"/>
      <c r="G422" s="518"/>
      <c r="H422" s="526"/>
      <c r="I422" s="59"/>
      <c r="J422" s="77"/>
      <c r="K422" s="518">
        <v>359</v>
      </c>
      <c r="L422" s="526"/>
      <c r="M422" s="77"/>
    </row>
    <row r="423" spans="1:13" ht="13" x14ac:dyDescent="0.25">
      <c r="A423" s="657">
        <v>6803</v>
      </c>
      <c r="B423" s="373" t="s">
        <v>546</v>
      </c>
      <c r="C423" s="360">
        <v>236</v>
      </c>
      <c r="D423" s="54">
        <v>155</v>
      </c>
      <c r="E423" s="366">
        <f t="shared" si="6"/>
        <v>0.65677966101694918</v>
      </c>
      <c r="F423" s="526"/>
      <c r="G423" s="518"/>
      <c r="H423" s="526"/>
      <c r="I423" s="59"/>
      <c r="J423" s="77"/>
      <c r="K423" s="518">
        <v>103</v>
      </c>
      <c r="L423" s="526"/>
      <c r="M423" s="77"/>
    </row>
    <row r="424" spans="1:13" ht="13" x14ac:dyDescent="0.25">
      <c r="A424" s="657">
        <v>6901</v>
      </c>
      <c r="B424" s="373" t="s">
        <v>547</v>
      </c>
      <c r="C424" s="360">
        <v>1310</v>
      </c>
      <c r="D424" s="54">
        <v>742</v>
      </c>
      <c r="E424" s="366">
        <f t="shared" si="6"/>
        <v>0.56641221374045803</v>
      </c>
      <c r="F424" s="526"/>
      <c r="G424" s="518"/>
      <c r="H424" s="526"/>
      <c r="I424" s="59">
        <v>248</v>
      </c>
      <c r="J424" s="77">
        <v>373</v>
      </c>
      <c r="K424" s="518"/>
      <c r="L424" s="526"/>
      <c r="M424" s="77"/>
    </row>
    <row r="425" spans="1:13" ht="13" x14ac:dyDescent="0.25">
      <c r="A425" s="657">
        <v>7001</v>
      </c>
      <c r="B425" s="373" t="s">
        <v>548</v>
      </c>
      <c r="C425" s="360">
        <v>997</v>
      </c>
      <c r="D425" s="54">
        <v>654</v>
      </c>
      <c r="E425" s="366">
        <f t="shared" si="6"/>
        <v>0.65596790371113345</v>
      </c>
      <c r="F425" s="526"/>
      <c r="G425" s="518"/>
      <c r="H425" s="526"/>
      <c r="I425" s="59"/>
      <c r="J425" s="77"/>
      <c r="K425" s="518">
        <v>391</v>
      </c>
      <c r="L425" s="526"/>
      <c r="M425" s="77"/>
    </row>
    <row r="426" spans="1:13" ht="13" x14ac:dyDescent="0.25">
      <c r="A426" s="657">
        <v>7002</v>
      </c>
      <c r="B426" s="373" t="s">
        <v>549</v>
      </c>
      <c r="C426" s="360">
        <v>1084</v>
      </c>
      <c r="D426" s="54">
        <v>712</v>
      </c>
      <c r="E426" s="366">
        <f t="shared" si="6"/>
        <v>0.65682656826568264</v>
      </c>
      <c r="F426" s="526"/>
      <c r="G426" s="518"/>
      <c r="H426" s="526"/>
      <c r="I426" s="59"/>
      <c r="J426" s="77"/>
      <c r="K426" s="518">
        <v>442</v>
      </c>
      <c r="L426" s="526"/>
      <c r="M426" s="77"/>
    </row>
    <row r="427" spans="1:13" ht="13" x14ac:dyDescent="0.25">
      <c r="A427" s="657">
        <v>7101</v>
      </c>
      <c r="B427" s="373" t="s">
        <v>550</v>
      </c>
      <c r="C427" s="360">
        <v>1431</v>
      </c>
      <c r="D427" s="54">
        <v>634</v>
      </c>
      <c r="E427" s="366">
        <f t="shared" si="6"/>
        <v>0.44304682040531096</v>
      </c>
      <c r="F427" s="526"/>
      <c r="G427" s="518"/>
      <c r="H427" s="526">
        <v>452</v>
      </c>
      <c r="I427" s="59"/>
      <c r="J427" s="77"/>
      <c r="K427" s="518"/>
      <c r="L427" s="526"/>
      <c r="M427" s="77"/>
    </row>
    <row r="428" spans="1:13" ht="13" x14ac:dyDescent="0.25">
      <c r="A428" s="657">
        <v>7102</v>
      </c>
      <c r="B428" s="373" t="s">
        <v>551</v>
      </c>
      <c r="C428" s="360">
        <v>1246</v>
      </c>
      <c r="D428" s="54">
        <v>525</v>
      </c>
      <c r="E428" s="366">
        <f t="shared" si="6"/>
        <v>0.42134831460674155</v>
      </c>
      <c r="F428" s="526"/>
      <c r="G428" s="518"/>
      <c r="H428" s="526">
        <v>424</v>
      </c>
      <c r="I428" s="59"/>
      <c r="J428" s="77"/>
      <c r="K428" s="518"/>
      <c r="L428" s="526"/>
      <c r="M428" s="77"/>
    </row>
    <row r="429" spans="1:13" ht="13" x14ac:dyDescent="0.25">
      <c r="A429" s="657">
        <v>7301</v>
      </c>
      <c r="B429" s="373" t="s">
        <v>552</v>
      </c>
      <c r="C429" s="360">
        <v>1173</v>
      </c>
      <c r="D429" s="54">
        <v>639</v>
      </c>
      <c r="E429" s="366">
        <f t="shared" si="6"/>
        <v>0.54475703324808189</v>
      </c>
      <c r="F429" s="526"/>
      <c r="G429" s="518"/>
      <c r="H429" s="526"/>
      <c r="I429" s="59"/>
      <c r="J429" s="77"/>
      <c r="K429" s="518"/>
      <c r="L429" s="526">
        <v>418</v>
      </c>
      <c r="M429" s="77"/>
    </row>
    <row r="430" spans="1:13" ht="13" x14ac:dyDescent="0.25">
      <c r="A430" s="657">
        <v>7302</v>
      </c>
      <c r="B430" s="373" t="s">
        <v>553</v>
      </c>
      <c r="C430" s="360">
        <v>1206</v>
      </c>
      <c r="D430" s="54">
        <v>684</v>
      </c>
      <c r="E430" s="366">
        <f t="shared" si="6"/>
        <v>0.56716417910447758</v>
      </c>
      <c r="F430" s="526"/>
      <c r="G430" s="518"/>
      <c r="H430" s="526"/>
      <c r="I430" s="59"/>
      <c r="J430" s="77"/>
      <c r="K430" s="518"/>
      <c r="L430" s="526">
        <v>434</v>
      </c>
      <c r="M430" s="77"/>
    </row>
    <row r="431" spans="1:13" ht="13" x14ac:dyDescent="0.25">
      <c r="A431" s="657">
        <v>7303</v>
      </c>
      <c r="B431" s="373" t="s">
        <v>554</v>
      </c>
      <c r="C431" s="360">
        <v>945</v>
      </c>
      <c r="D431" s="54">
        <v>487</v>
      </c>
      <c r="E431" s="366">
        <f t="shared" si="6"/>
        <v>0.51534391534391533</v>
      </c>
      <c r="F431" s="526"/>
      <c r="G431" s="518"/>
      <c r="H431" s="526"/>
      <c r="I431" s="59"/>
      <c r="J431" s="77"/>
      <c r="K431" s="518"/>
      <c r="L431" s="526">
        <v>281</v>
      </c>
      <c r="M431" s="77"/>
    </row>
    <row r="432" spans="1:13" ht="13" x14ac:dyDescent="0.25">
      <c r="A432" s="657">
        <v>7304</v>
      </c>
      <c r="B432" s="373" t="s">
        <v>555</v>
      </c>
      <c r="C432" s="360">
        <v>1259</v>
      </c>
      <c r="D432" s="54">
        <v>693</v>
      </c>
      <c r="E432" s="366">
        <f t="shared" si="6"/>
        <v>0.5504368546465449</v>
      </c>
      <c r="F432" s="526"/>
      <c r="G432" s="518"/>
      <c r="H432" s="526"/>
      <c r="I432" s="59"/>
      <c r="J432" s="77"/>
      <c r="K432" s="518"/>
      <c r="L432" s="526">
        <v>494</v>
      </c>
      <c r="M432" s="77"/>
    </row>
    <row r="433" spans="1:13" ht="13" x14ac:dyDescent="0.25">
      <c r="A433" s="657">
        <v>7305</v>
      </c>
      <c r="B433" s="373" t="s">
        <v>556</v>
      </c>
      <c r="C433" s="360">
        <v>1262</v>
      </c>
      <c r="D433" s="54">
        <v>808</v>
      </c>
      <c r="E433" s="366">
        <f t="shared" si="6"/>
        <v>0.64025356576862125</v>
      </c>
      <c r="F433" s="526"/>
      <c r="G433" s="518"/>
      <c r="H433" s="526"/>
      <c r="I433" s="59"/>
      <c r="J433" s="77"/>
      <c r="K433" s="518"/>
      <c r="L433" s="526">
        <v>546</v>
      </c>
      <c r="M433" s="77"/>
    </row>
    <row r="434" spans="1:13" ht="13" x14ac:dyDescent="0.25">
      <c r="A434" s="657">
        <v>7306</v>
      </c>
      <c r="B434" s="373" t="s">
        <v>557</v>
      </c>
      <c r="C434" s="360">
        <v>1121</v>
      </c>
      <c r="D434" s="54">
        <v>587</v>
      </c>
      <c r="E434" s="366">
        <f t="shared" si="6"/>
        <v>0.52363960749330951</v>
      </c>
      <c r="F434" s="526"/>
      <c r="G434" s="518"/>
      <c r="H434" s="526"/>
      <c r="I434" s="59"/>
      <c r="J434" s="77"/>
      <c r="K434" s="518"/>
      <c r="L434" s="526">
        <v>404</v>
      </c>
      <c r="M434" s="77"/>
    </row>
    <row r="435" spans="1:13" ht="13" x14ac:dyDescent="0.25">
      <c r="A435" s="657">
        <v>7307</v>
      </c>
      <c r="B435" s="373" t="s">
        <v>558</v>
      </c>
      <c r="C435" s="360">
        <v>822</v>
      </c>
      <c r="D435" s="54">
        <v>534</v>
      </c>
      <c r="E435" s="366">
        <f t="shared" si="6"/>
        <v>0.64963503649635035</v>
      </c>
      <c r="F435" s="526"/>
      <c r="G435" s="518"/>
      <c r="H435" s="526"/>
      <c r="I435" s="59"/>
      <c r="J435" s="77"/>
      <c r="K435" s="518"/>
      <c r="L435" s="526">
        <v>364</v>
      </c>
      <c r="M435" s="77"/>
    </row>
    <row r="436" spans="1:13" ht="13" x14ac:dyDescent="0.25">
      <c r="A436" s="657">
        <v>7308</v>
      </c>
      <c r="B436" s="373" t="s">
        <v>559</v>
      </c>
      <c r="C436" s="360">
        <v>829</v>
      </c>
      <c r="D436" s="54">
        <v>429</v>
      </c>
      <c r="E436" s="366">
        <f t="shared" si="6"/>
        <v>0.51749095295536796</v>
      </c>
      <c r="F436" s="526"/>
      <c r="G436" s="518"/>
      <c r="H436" s="526"/>
      <c r="I436" s="59"/>
      <c r="J436" s="77"/>
      <c r="K436" s="518"/>
      <c r="L436" s="526">
        <v>279</v>
      </c>
      <c r="M436" s="77"/>
    </row>
    <row r="437" spans="1:13" ht="13" x14ac:dyDescent="0.25">
      <c r="A437" s="657">
        <v>7309</v>
      </c>
      <c r="B437" s="373" t="s">
        <v>560</v>
      </c>
      <c r="C437" s="360">
        <v>1157</v>
      </c>
      <c r="D437" s="54">
        <v>511</v>
      </c>
      <c r="E437" s="366">
        <f t="shared" si="6"/>
        <v>0.44165946413137425</v>
      </c>
      <c r="F437" s="526"/>
      <c r="G437" s="518"/>
      <c r="H437" s="526"/>
      <c r="I437" s="59"/>
      <c r="J437" s="77"/>
      <c r="K437" s="518"/>
      <c r="L437" s="526">
        <v>366</v>
      </c>
      <c r="M437" s="77"/>
    </row>
    <row r="438" spans="1:13" ht="13" x14ac:dyDescent="0.25">
      <c r="A438" s="657">
        <v>7310</v>
      </c>
      <c r="B438" s="373" t="s">
        <v>561</v>
      </c>
      <c r="C438" s="360">
        <v>901</v>
      </c>
      <c r="D438" s="54">
        <v>567</v>
      </c>
      <c r="E438" s="366">
        <f t="shared" si="6"/>
        <v>0.62930077691453945</v>
      </c>
      <c r="F438" s="526"/>
      <c r="G438" s="518"/>
      <c r="H438" s="526"/>
      <c r="I438" s="59"/>
      <c r="J438" s="77"/>
      <c r="K438" s="518"/>
      <c r="L438" s="526">
        <v>374</v>
      </c>
      <c r="M438" s="77"/>
    </row>
    <row r="439" spans="1:13" ht="13" x14ac:dyDescent="0.25">
      <c r="A439" s="657">
        <v>7311</v>
      </c>
      <c r="B439" s="373" t="s">
        <v>562</v>
      </c>
      <c r="C439" s="360">
        <v>1178</v>
      </c>
      <c r="D439" s="54">
        <v>765</v>
      </c>
      <c r="E439" s="366">
        <f t="shared" si="6"/>
        <v>0.64940577249575548</v>
      </c>
      <c r="F439" s="526"/>
      <c r="G439" s="518"/>
      <c r="H439" s="526"/>
      <c r="I439" s="59"/>
      <c r="J439" s="77"/>
      <c r="K439" s="518"/>
      <c r="L439" s="526">
        <v>503</v>
      </c>
      <c r="M439" s="77"/>
    </row>
    <row r="440" spans="1:13" ht="13" x14ac:dyDescent="0.25">
      <c r="A440" s="657">
        <v>7312</v>
      </c>
      <c r="B440" s="373" t="s">
        <v>563</v>
      </c>
      <c r="C440" s="360">
        <v>1344</v>
      </c>
      <c r="D440" s="54">
        <v>761</v>
      </c>
      <c r="E440" s="366">
        <f t="shared" si="6"/>
        <v>0.56622023809523814</v>
      </c>
      <c r="F440" s="526"/>
      <c r="G440" s="518"/>
      <c r="H440" s="526"/>
      <c r="I440" s="59"/>
      <c r="J440" s="77"/>
      <c r="K440" s="518"/>
      <c r="L440" s="526">
        <v>537</v>
      </c>
      <c r="M440" s="77"/>
    </row>
    <row r="441" spans="1:13" ht="13" x14ac:dyDescent="0.25">
      <c r="A441" s="657">
        <v>7313</v>
      </c>
      <c r="B441" s="373" t="s">
        <v>564</v>
      </c>
      <c r="C441" s="360">
        <v>711</v>
      </c>
      <c r="D441" s="54">
        <v>438</v>
      </c>
      <c r="E441" s="366">
        <f t="shared" si="6"/>
        <v>0.61603375527426163</v>
      </c>
      <c r="F441" s="526"/>
      <c r="G441" s="518"/>
      <c r="H441" s="526"/>
      <c r="I441" s="59"/>
      <c r="J441" s="77"/>
      <c r="K441" s="518"/>
      <c r="L441" s="526">
        <v>306</v>
      </c>
      <c r="M441" s="77"/>
    </row>
    <row r="442" spans="1:13" ht="13" x14ac:dyDescent="0.25">
      <c r="A442" s="657">
        <v>7314</v>
      </c>
      <c r="B442" s="373" t="s">
        <v>565</v>
      </c>
      <c r="C442" s="360">
        <v>1295</v>
      </c>
      <c r="D442" s="54">
        <v>613</v>
      </c>
      <c r="E442" s="366">
        <f t="shared" si="6"/>
        <v>0.47335907335907335</v>
      </c>
      <c r="F442" s="526"/>
      <c r="G442" s="518"/>
      <c r="H442" s="526"/>
      <c r="I442" s="59"/>
      <c r="J442" s="77"/>
      <c r="K442" s="518"/>
      <c r="L442" s="526">
        <v>417</v>
      </c>
      <c r="M442" s="77"/>
    </row>
    <row r="443" spans="1:13" ht="13" x14ac:dyDescent="0.25">
      <c r="A443" s="657">
        <v>7315</v>
      </c>
      <c r="B443" s="373" t="s">
        <v>566</v>
      </c>
      <c r="C443" s="360">
        <v>1318</v>
      </c>
      <c r="D443" s="54">
        <v>677</v>
      </c>
      <c r="E443" s="366">
        <f t="shared" si="6"/>
        <v>0.51365705614567525</v>
      </c>
      <c r="F443" s="526"/>
      <c r="G443" s="518"/>
      <c r="H443" s="526"/>
      <c r="I443" s="59"/>
      <c r="J443" s="77"/>
      <c r="K443" s="518"/>
      <c r="L443" s="526">
        <v>419</v>
      </c>
      <c r="M443" s="77"/>
    </row>
    <row r="444" spans="1:13" ht="13" x14ac:dyDescent="0.25">
      <c r="A444" s="657">
        <v>7316</v>
      </c>
      <c r="B444" s="373" t="s">
        <v>567</v>
      </c>
      <c r="C444" s="360">
        <v>1051</v>
      </c>
      <c r="D444" s="54">
        <v>627</v>
      </c>
      <c r="E444" s="366">
        <f t="shared" si="6"/>
        <v>0.59657469077069458</v>
      </c>
      <c r="F444" s="526"/>
      <c r="G444" s="518"/>
      <c r="H444" s="526"/>
      <c r="I444" s="59"/>
      <c r="J444" s="77"/>
      <c r="K444" s="518"/>
      <c r="L444" s="526">
        <v>385</v>
      </c>
      <c r="M444" s="77"/>
    </row>
    <row r="445" spans="1:13" ht="13" x14ac:dyDescent="0.25">
      <c r="A445" s="657">
        <v>7317</v>
      </c>
      <c r="B445" s="373" t="s">
        <v>568</v>
      </c>
      <c r="C445" s="360">
        <v>1182</v>
      </c>
      <c r="D445" s="54">
        <v>719</v>
      </c>
      <c r="E445" s="366">
        <f t="shared" si="6"/>
        <v>0.60829103214890012</v>
      </c>
      <c r="F445" s="526"/>
      <c r="G445" s="518"/>
      <c r="H445" s="526"/>
      <c r="I445" s="59"/>
      <c r="J445" s="77"/>
      <c r="K445" s="518"/>
      <c r="L445" s="526">
        <v>452</v>
      </c>
      <c r="M445" s="77"/>
    </row>
    <row r="446" spans="1:13" ht="13" x14ac:dyDescent="0.25">
      <c r="A446" s="657">
        <v>7318</v>
      </c>
      <c r="B446" s="373" t="s">
        <v>569</v>
      </c>
      <c r="C446" s="360">
        <v>725</v>
      </c>
      <c r="D446" s="54">
        <v>422</v>
      </c>
      <c r="E446" s="366">
        <f t="shared" si="6"/>
        <v>0.58206896551724141</v>
      </c>
      <c r="F446" s="526"/>
      <c r="G446" s="518"/>
      <c r="H446" s="526"/>
      <c r="I446" s="59"/>
      <c r="J446" s="77"/>
      <c r="K446" s="518"/>
      <c r="L446" s="526">
        <v>272</v>
      </c>
      <c r="M446" s="77"/>
    </row>
    <row r="447" spans="1:13" ht="13" x14ac:dyDescent="0.25">
      <c r="A447" s="657">
        <v>7319</v>
      </c>
      <c r="B447" s="373" t="s">
        <v>570</v>
      </c>
      <c r="C447" s="360">
        <v>1252</v>
      </c>
      <c r="D447" s="54">
        <v>569</v>
      </c>
      <c r="E447" s="366">
        <f t="shared" si="6"/>
        <v>0.45447284345047922</v>
      </c>
      <c r="F447" s="526"/>
      <c r="G447" s="518"/>
      <c r="H447" s="526"/>
      <c r="I447" s="59"/>
      <c r="J447" s="77"/>
      <c r="K447" s="518"/>
      <c r="L447" s="526">
        <v>369</v>
      </c>
      <c r="M447" s="77"/>
    </row>
    <row r="448" spans="1:13" ht="13" x14ac:dyDescent="0.25">
      <c r="A448" s="657">
        <v>7320</v>
      </c>
      <c r="B448" s="373" t="s">
        <v>571</v>
      </c>
      <c r="C448" s="360">
        <v>538</v>
      </c>
      <c r="D448" s="54">
        <v>265</v>
      </c>
      <c r="E448" s="366">
        <f t="shared" si="6"/>
        <v>0.49256505576208176</v>
      </c>
      <c r="F448" s="526"/>
      <c r="G448" s="518"/>
      <c r="H448" s="526"/>
      <c r="I448" s="59"/>
      <c r="J448" s="77"/>
      <c r="K448" s="518"/>
      <c r="L448" s="526">
        <v>173</v>
      </c>
      <c r="M448" s="77"/>
    </row>
    <row r="449" spans="1:13" ht="13" x14ac:dyDescent="0.25">
      <c r="A449" s="657">
        <v>7321</v>
      </c>
      <c r="B449" s="373" t="s">
        <v>572</v>
      </c>
      <c r="C449" s="360">
        <v>696</v>
      </c>
      <c r="D449" s="54">
        <v>403</v>
      </c>
      <c r="E449" s="366">
        <f t="shared" si="6"/>
        <v>0.57902298850574707</v>
      </c>
      <c r="F449" s="526"/>
      <c r="G449" s="518"/>
      <c r="H449" s="526"/>
      <c r="I449" s="59"/>
      <c r="J449" s="77"/>
      <c r="K449" s="518"/>
      <c r="L449" s="526">
        <v>253</v>
      </c>
      <c r="M449" s="77"/>
    </row>
    <row r="450" spans="1:13" ht="13" x14ac:dyDescent="0.25">
      <c r="A450" s="657">
        <v>7322</v>
      </c>
      <c r="B450" s="373" t="s">
        <v>573</v>
      </c>
      <c r="C450" s="360">
        <v>1084</v>
      </c>
      <c r="D450" s="54">
        <v>555</v>
      </c>
      <c r="E450" s="366">
        <f t="shared" si="6"/>
        <v>0.51199261992619927</v>
      </c>
      <c r="F450" s="526"/>
      <c r="G450" s="518"/>
      <c r="H450" s="526"/>
      <c r="I450" s="59"/>
      <c r="J450" s="77"/>
      <c r="K450" s="518"/>
      <c r="L450" s="526">
        <v>332</v>
      </c>
      <c r="M450" s="77"/>
    </row>
    <row r="451" spans="1:13" ht="13" x14ac:dyDescent="0.25">
      <c r="A451" s="657">
        <v>7323</v>
      </c>
      <c r="B451" s="373" t="s">
        <v>574</v>
      </c>
      <c r="C451" s="360">
        <v>1288</v>
      </c>
      <c r="D451" s="54">
        <v>866</v>
      </c>
      <c r="E451" s="366">
        <f t="shared" si="6"/>
        <v>0.67236024844720499</v>
      </c>
      <c r="F451" s="526"/>
      <c r="G451" s="518"/>
      <c r="H451" s="526"/>
      <c r="I451" s="59"/>
      <c r="J451" s="77"/>
      <c r="K451" s="518"/>
      <c r="L451" s="526">
        <v>631</v>
      </c>
      <c r="M451" s="77"/>
    </row>
    <row r="452" spans="1:13" ht="13" x14ac:dyDescent="0.25">
      <c r="A452" s="657">
        <v>7324</v>
      </c>
      <c r="B452" s="373" t="s">
        <v>575</v>
      </c>
      <c r="C452" s="360">
        <v>1310</v>
      </c>
      <c r="D452" s="54">
        <v>792</v>
      </c>
      <c r="E452" s="366">
        <f t="shared" si="6"/>
        <v>0.60458015267175569</v>
      </c>
      <c r="F452" s="526"/>
      <c r="G452" s="518"/>
      <c r="H452" s="526"/>
      <c r="I452" s="59"/>
      <c r="J452" s="77"/>
      <c r="K452" s="518"/>
      <c r="L452" s="526">
        <v>511</v>
      </c>
      <c r="M452" s="77"/>
    </row>
    <row r="453" spans="1:13" ht="13" x14ac:dyDescent="0.25">
      <c r="A453" s="657">
        <v>7325</v>
      </c>
      <c r="B453" s="373" t="s">
        <v>576</v>
      </c>
      <c r="C453" s="360">
        <v>913</v>
      </c>
      <c r="D453" s="54">
        <v>576</v>
      </c>
      <c r="E453" s="366">
        <f t="shared" ref="E453:E516" si="7">SUM(D453/C453)</f>
        <v>0.63088718510405262</v>
      </c>
      <c r="F453" s="526"/>
      <c r="G453" s="518"/>
      <c r="H453" s="526"/>
      <c r="I453" s="59"/>
      <c r="J453" s="77"/>
      <c r="K453" s="518"/>
      <c r="L453" s="526">
        <v>367</v>
      </c>
      <c r="M453" s="77"/>
    </row>
    <row r="454" spans="1:13" ht="13" x14ac:dyDescent="0.25">
      <c r="A454" s="657">
        <v>7326</v>
      </c>
      <c r="B454" s="373" t="s">
        <v>577</v>
      </c>
      <c r="C454" s="360">
        <v>1396</v>
      </c>
      <c r="D454" s="54">
        <v>761</v>
      </c>
      <c r="E454" s="366">
        <f t="shared" si="7"/>
        <v>0.54512893982808019</v>
      </c>
      <c r="F454" s="526"/>
      <c r="G454" s="518"/>
      <c r="H454" s="526"/>
      <c r="I454" s="59"/>
      <c r="J454" s="77"/>
      <c r="K454" s="518"/>
      <c r="L454" s="526">
        <v>498</v>
      </c>
      <c r="M454" s="77"/>
    </row>
    <row r="455" spans="1:13" ht="13" x14ac:dyDescent="0.25">
      <c r="A455" s="657">
        <v>7327</v>
      </c>
      <c r="B455" s="373" t="s">
        <v>578</v>
      </c>
      <c r="C455" s="360">
        <v>966</v>
      </c>
      <c r="D455" s="54">
        <v>610</v>
      </c>
      <c r="E455" s="366">
        <f t="shared" si="7"/>
        <v>0.6314699792960663</v>
      </c>
      <c r="F455" s="526"/>
      <c r="G455" s="518"/>
      <c r="H455" s="526"/>
      <c r="I455" s="59"/>
      <c r="J455" s="77"/>
      <c r="K455" s="518"/>
      <c r="L455" s="526">
        <v>371</v>
      </c>
      <c r="M455" s="77"/>
    </row>
    <row r="456" spans="1:13" ht="13" x14ac:dyDescent="0.25">
      <c r="A456" s="657">
        <v>7328</v>
      </c>
      <c r="B456" s="373" t="s">
        <v>579</v>
      </c>
      <c r="C456" s="360">
        <v>1059</v>
      </c>
      <c r="D456" s="54">
        <v>503</v>
      </c>
      <c r="E456" s="366">
        <f t="shared" si="7"/>
        <v>0.4749763928234183</v>
      </c>
      <c r="F456" s="526"/>
      <c r="G456" s="518"/>
      <c r="H456" s="526"/>
      <c r="I456" s="59"/>
      <c r="J456" s="77"/>
      <c r="K456" s="518"/>
      <c r="L456" s="526">
        <v>322</v>
      </c>
      <c r="M456" s="77"/>
    </row>
    <row r="457" spans="1:13" ht="13" x14ac:dyDescent="0.25">
      <c r="A457" s="657">
        <v>7329</v>
      </c>
      <c r="B457" s="373" t="s">
        <v>580</v>
      </c>
      <c r="C457" s="360">
        <v>1138</v>
      </c>
      <c r="D457" s="54">
        <v>507</v>
      </c>
      <c r="E457" s="366">
        <f t="shared" si="7"/>
        <v>0.44551845342706503</v>
      </c>
      <c r="F457" s="526"/>
      <c r="G457" s="518"/>
      <c r="H457" s="526"/>
      <c r="I457" s="59"/>
      <c r="J457" s="77"/>
      <c r="K457" s="518"/>
      <c r="L457" s="526">
        <v>345</v>
      </c>
      <c r="M457" s="77"/>
    </row>
    <row r="458" spans="1:13" ht="13" x14ac:dyDescent="0.25">
      <c r="A458" s="657">
        <v>7330</v>
      </c>
      <c r="B458" s="373" t="s">
        <v>581</v>
      </c>
      <c r="C458" s="360">
        <v>928</v>
      </c>
      <c r="D458" s="54">
        <v>521</v>
      </c>
      <c r="E458" s="366">
        <f t="shared" si="7"/>
        <v>0.56142241379310343</v>
      </c>
      <c r="F458" s="526"/>
      <c r="G458" s="518"/>
      <c r="H458" s="526"/>
      <c r="I458" s="59"/>
      <c r="J458" s="77"/>
      <c r="K458" s="518"/>
      <c r="L458" s="526">
        <v>356</v>
      </c>
      <c r="M458" s="77"/>
    </row>
    <row r="459" spans="1:13" ht="13" x14ac:dyDescent="0.25">
      <c r="A459" s="657">
        <v>7331</v>
      </c>
      <c r="B459" s="373" t="s">
        <v>582</v>
      </c>
      <c r="C459" s="360">
        <v>1042</v>
      </c>
      <c r="D459" s="54">
        <v>545</v>
      </c>
      <c r="E459" s="366">
        <f t="shared" si="7"/>
        <v>0.52303262955854124</v>
      </c>
      <c r="F459" s="526"/>
      <c r="G459" s="518"/>
      <c r="H459" s="526"/>
      <c r="I459" s="59"/>
      <c r="J459" s="77"/>
      <c r="K459" s="518"/>
      <c r="L459" s="526">
        <v>373</v>
      </c>
      <c r="M459" s="77"/>
    </row>
    <row r="460" spans="1:13" ht="13" x14ac:dyDescent="0.25">
      <c r="A460" s="657">
        <v>7332</v>
      </c>
      <c r="B460" s="373" t="s">
        <v>583</v>
      </c>
      <c r="C460" s="360">
        <v>1011</v>
      </c>
      <c r="D460" s="54">
        <v>549</v>
      </c>
      <c r="E460" s="366">
        <f t="shared" si="7"/>
        <v>0.54302670623145399</v>
      </c>
      <c r="F460" s="526"/>
      <c r="G460" s="518"/>
      <c r="H460" s="526"/>
      <c r="I460" s="59"/>
      <c r="J460" s="77"/>
      <c r="K460" s="518"/>
      <c r="L460" s="526">
        <v>342</v>
      </c>
      <c r="M460" s="77"/>
    </row>
    <row r="461" spans="1:13" ht="13" x14ac:dyDescent="0.25">
      <c r="A461" s="657">
        <v>7333</v>
      </c>
      <c r="B461" s="373" t="s">
        <v>584</v>
      </c>
      <c r="C461" s="360">
        <v>1232</v>
      </c>
      <c r="D461" s="54">
        <v>734</v>
      </c>
      <c r="E461" s="366">
        <f t="shared" si="7"/>
        <v>0.59577922077922074</v>
      </c>
      <c r="F461" s="526"/>
      <c r="G461" s="518"/>
      <c r="H461" s="526"/>
      <c r="I461" s="59"/>
      <c r="J461" s="77"/>
      <c r="K461" s="518"/>
      <c r="L461" s="526">
        <v>526</v>
      </c>
      <c r="M461" s="77"/>
    </row>
    <row r="462" spans="1:13" ht="13" x14ac:dyDescent="0.25">
      <c r="A462" s="657">
        <v>7334</v>
      </c>
      <c r="B462" s="373" t="s">
        <v>585</v>
      </c>
      <c r="C462" s="360">
        <v>1228</v>
      </c>
      <c r="D462" s="54">
        <v>622</v>
      </c>
      <c r="E462" s="366">
        <f t="shared" si="7"/>
        <v>0.50651465798045603</v>
      </c>
      <c r="F462" s="526"/>
      <c r="G462" s="518"/>
      <c r="H462" s="526"/>
      <c r="I462" s="59"/>
      <c r="J462" s="77"/>
      <c r="K462" s="518"/>
      <c r="L462" s="526">
        <v>376</v>
      </c>
      <c r="M462" s="77"/>
    </row>
    <row r="463" spans="1:13" ht="13" x14ac:dyDescent="0.25">
      <c r="A463" s="657">
        <v>7335</v>
      </c>
      <c r="B463" s="373" t="s">
        <v>586</v>
      </c>
      <c r="C463" s="360">
        <v>722</v>
      </c>
      <c r="D463" s="54">
        <v>315</v>
      </c>
      <c r="E463" s="366">
        <f t="shared" si="7"/>
        <v>0.43628808864265928</v>
      </c>
      <c r="F463" s="526"/>
      <c r="G463" s="518"/>
      <c r="H463" s="526"/>
      <c r="I463" s="59"/>
      <c r="J463" s="77"/>
      <c r="K463" s="518"/>
      <c r="L463" s="526">
        <v>207</v>
      </c>
      <c r="M463" s="77"/>
    </row>
    <row r="464" spans="1:13" ht="13" x14ac:dyDescent="0.25">
      <c r="A464" s="657">
        <v>7336</v>
      </c>
      <c r="B464" s="373" t="s">
        <v>587</v>
      </c>
      <c r="C464" s="360">
        <v>1175</v>
      </c>
      <c r="D464" s="54">
        <v>632</v>
      </c>
      <c r="E464" s="366">
        <f t="shared" si="7"/>
        <v>0.53787234042553189</v>
      </c>
      <c r="F464" s="526"/>
      <c r="G464" s="518"/>
      <c r="H464" s="526"/>
      <c r="I464" s="59"/>
      <c r="J464" s="77"/>
      <c r="K464" s="518"/>
      <c r="L464" s="526">
        <v>420</v>
      </c>
      <c r="M464" s="77"/>
    </row>
    <row r="465" spans="1:13" ht="13" x14ac:dyDescent="0.25">
      <c r="A465" s="657">
        <v>7337</v>
      </c>
      <c r="B465" s="373" t="s">
        <v>588</v>
      </c>
      <c r="C465" s="360">
        <v>1095</v>
      </c>
      <c r="D465" s="54">
        <v>649</v>
      </c>
      <c r="E465" s="366">
        <f t="shared" si="7"/>
        <v>0.59269406392694068</v>
      </c>
      <c r="F465" s="526"/>
      <c r="G465" s="518"/>
      <c r="H465" s="526"/>
      <c r="I465" s="59"/>
      <c r="J465" s="77"/>
      <c r="K465" s="518"/>
      <c r="L465" s="526">
        <v>426</v>
      </c>
      <c r="M465" s="77"/>
    </row>
    <row r="466" spans="1:13" ht="13" x14ac:dyDescent="0.25">
      <c r="A466" s="657">
        <v>7338</v>
      </c>
      <c r="B466" s="373" t="s">
        <v>589</v>
      </c>
      <c r="C466" s="360">
        <v>943</v>
      </c>
      <c r="D466" s="54">
        <v>591</v>
      </c>
      <c r="E466" s="366">
        <f t="shared" si="7"/>
        <v>0.62672322375397671</v>
      </c>
      <c r="F466" s="526"/>
      <c r="G466" s="518"/>
      <c r="H466" s="526"/>
      <c r="I466" s="59"/>
      <c r="J466" s="77"/>
      <c r="K466" s="518"/>
      <c r="L466" s="526">
        <v>391</v>
      </c>
      <c r="M466" s="77"/>
    </row>
    <row r="467" spans="1:13" ht="13" x14ac:dyDescent="0.25">
      <c r="A467" s="657">
        <v>7339</v>
      </c>
      <c r="B467" s="373" t="s">
        <v>590</v>
      </c>
      <c r="C467" s="360">
        <v>697</v>
      </c>
      <c r="D467" s="54">
        <v>458</v>
      </c>
      <c r="E467" s="366">
        <f t="shared" si="7"/>
        <v>0.65710186513629842</v>
      </c>
      <c r="F467" s="526"/>
      <c r="G467" s="518"/>
      <c r="H467" s="526"/>
      <c r="I467" s="59"/>
      <c r="J467" s="77"/>
      <c r="K467" s="518"/>
      <c r="L467" s="526">
        <v>300</v>
      </c>
      <c r="M467" s="77"/>
    </row>
    <row r="468" spans="1:13" ht="13" x14ac:dyDescent="0.25">
      <c r="A468" s="657">
        <v>7340</v>
      </c>
      <c r="B468" s="373" t="s">
        <v>591</v>
      </c>
      <c r="C468" s="360">
        <v>671</v>
      </c>
      <c r="D468" s="54">
        <v>385</v>
      </c>
      <c r="E468" s="366">
        <f t="shared" si="7"/>
        <v>0.57377049180327866</v>
      </c>
      <c r="F468" s="526"/>
      <c r="G468" s="518"/>
      <c r="H468" s="526"/>
      <c r="I468" s="59"/>
      <c r="J468" s="77"/>
      <c r="K468" s="518"/>
      <c r="L468" s="526">
        <v>242</v>
      </c>
      <c r="M468" s="77"/>
    </row>
    <row r="469" spans="1:13" ht="13" x14ac:dyDescent="0.25">
      <c r="A469" s="657">
        <v>7341</v>
      </c>
      <c r="B469" s="373" t="s">
        <v>592</v>
      </c>
      <c r="C469" s="360">
        <v>615</v>
      </c>
      <c r="D469" s="54">
        <v>346</v>
      </c>
      <c r="E469" s="366">
        <f t="shared" si="7"/>
        <v>0.56260162601626018</v>
      </c>
      <c r="F469" s="526"/>
      <c r="G469" s="518"/>
      <c r="H469" s="526"/>
      <c r="I469" s="59"/>
      <c r="J469" s="77"/>
      <c r="K469" s="518"/>
      <c r="L469" s="526">
        <v>237</v>
      </c>
      <c r="M469" s="77"/>
    </row>
    <row r="470" spans="1:13" ht="13" x14ac:dyDescent="0.25">
      <c r="A470" s="657">
        <v>7342</v>
      </c>
      <c r="B470" s="373" t="s">
        <v>593</v>
      </c>
      <c r="C470" s="360">
        <v>1320</v>
      </c>
      <c r="D470" s="54">
        <v>774</v>
      </c>
      <c r="E470" s="366">
        <f t="shared" si="7"/>
        <v>0.58636363636363631</v>
      </c>
      <c r="F470" s="526"/>
      <c r="G470" s="518"/>
      <c r="H470" s="526"/>
      <c r="I470" s="59"/>
      <c r="J470" s="77"/>
      <c r="K470" s="518"/>
      <c r="L470" s="526">
        <v>515</v>
      </c>
      <c r="M470" s="77"/>
    </row>
    <row r="471" spans="1:13" ht="13" x14ac:dyDescent="0.25">
      <c r="A471" s="657">
        <v>7343</v>
      </c>
      <c r="B471" s="373" t="s">
        <v>594</v>
      </c>
      <c r="C471" s="360">
        <v>1160</v>
      </c>
      <c r="D471" s="54">
        <v>761</v>
      </c>
      <c r="E471" s="366">
        <f t="shared" si="7"/>
        <v>0.65603448275862064</v>
      </c>
      <c r="F471" s="526"/>
      <c r="G471" s="518"/>
      <c r="H471" s="526"/>
      <c r="I471" s="59"/>
      <c r="J471" s="77"/>
      <c r="K471" s="518"/>
      <c r="L471" s="526">
        <v>525</v>
      </c>
      <c r="M471" s="77"/>
    </row>
    <row r="472" spans="1:13" ht="13" x14ac:dyDescent="0.25">
      <c r="A472" s="657">
        <v>7401</v>
      </c>
      <c r="B472" s="373" t="s">
        <v>595</v>
      </c>
      <c r="C472" s="360">
        <v>573</v>
      </c>
      <c r="D472" s="54">
        <v>275</v>
      </c>
      <c r="E472" s="366">
        <f t="shared" si="7"/>
        <v>0.47993019197207681</v>
      </c>
      <c r="F472" s="526"/>
      <c r="G472" s="518"/>
      <c r="H472" s="526">
        <v>181</v>
      </c>
      <c r="I472" s="59"/>
      <c r="J472" s="77"/>
      <c r="K472" s="518"/>
      <c r="L472" s="526"/>
      <c r="M472" s="77"/>
    </row>
    <row r="473" spans="1:13" ht="13" x14ac:dyDescent="0.25">
      <c r="A473" s="657">
        <v>7402</v>
      </c>
      <c r="B473" s="373" t="s">
        <v>596</v>
      </c>
      <c r="C473" s="360">
        <v>1023</v>
      </c>
      <c r="D473" s="54">
        <v>627</v>
      </c>
      <c r="E473" s="366">
        <f t="shared" si="7"/>
        <v>0.61290322580645162</v>
      </c>
      <c r="F473" s="526"/>
      <c r="G473" s="518"/>
      <c r="H473" s="526">
        <v>369</v>
      </c>
      <c r="I473" s="59"/>
      <c r="J473" s="77"/>
      <c r="K473" s="518"/>
      <c r="L473" s="526"/>
      <c r="M473" s="77"/>
    </row>
    <row r="474" spans="1:13" ht="13" x14ac:dyDescent="0.25">
      <c r="A474" s="657">
        <v>7403</v>
      </c>
      <c r="B474" s="373" t="s">
        <v>597</v>
      </c>
      <c r="C474" s="360">
        <v>1004</v>
      </c>
      <c r="D474" s="54">
        <v>521</v>
      </c>
      <c r="E474" s="366">
        <f t="shared" si="7"/>
        <v>0.5189243027888446</v>
      </c>
      <c r="F474" s="526"/>
      <c r="G474" s="518"/>
      <c r="H474" s="526">
        <v>314</v>
      </c>
      <c r="I474" s="59"/>
      <c r="J474" s="77"/>
      <c r="K474" s="518"/>
      <c r="L474" s="526"/>
      <c r="M474" s="77"/>
    </row>
    <row r="475" spans="1:13" ht="13" x14ac:dyDescent="0.25">
      <c r="A475" s="657">
        <v>7601</v>
      </c>
      <c r="B475" s="373" t="s">
        <v>598</v>
      </c>
      <c r="C475" s="360">
        <v>728</v>
      </c>
      <c r="D475" s="54">
        <v>443</v>
      </c>
      <c r="E475" s="366">
        <f t="shared" si="7"/>
        <v>0.60851648351648346</v>
      </c>
      <c r="F475" s="526"/>
      <c r="G475" s="518"/>
      <c r="H475" s="526"/>
      <c r="I475" s="59"/>
      <c r="J475" s="77"/>
      <c r="K475" s="518"/>
      <c r="L475" s="526"/>
      <c r="M475" s="77">
        <v>264</v>
      </c>
    </row>
    <row r="476" spans="1:13" ht="13" x14ac:dyDescent="0.25">
      <c r="A476" s="657">
        <v>7602</v>
      </c>
      <c r="B476" s="373" t="s">
        <v>599</v>
      </c>
      <c r="C476" s="360">
        <v>1295</v>
      </c>
      <c r="D476" s="54">
        <v>715</v>
      </c>
      <c r="E476" s="366">
        <f t="shared" si="7"/>
        <v>0.55212355212355213</v>
      </c>
      <c r="F476" s="526"/>
      <c r="G476" s="518"/>
      <c r="H476" s="526"/>
      <c r="I476" s="59"/>
      <c r="J476" s="77"/>
      <c r="K476" s="518"/>
      <c r="L476" s="526"/>
      <c r="M476" s="77">
        <v>395</v>
      </c>
    </row>
    <row r="477" spans="1:13" ht="13" x14ac:dyDescent="0.25">
      <c r="A477" s="657">
        <v>7603</v>
      </c>
      <c r="B477" s="373" t="s">
        <v>600</v>
      </c>
      <c r="C477" s="360">
        <v>908</v>
      </c>
      <c r="D477" s="54">
        <v>331</v>
      </c>
      <c r="E477" s="366">
        <f t="shared" si="7"/>
        <v>0.36453744493392071</v>
      </c>
      <c r="F477" s="526"/>
      <c r="G477" s="518"/>
      <c r="H477" s="526"/>
      <c r="I477" s="59"/>
      <c r="J477" s="73"/>
      <c r="K477" s="518"/>
      <c r="L477" s="526"/>
      <c r="M477" s="77">
        <v>219</v>
      </c>
    </row>
    <row r="478" spans="1:13" ht="13" x14ac:dyDescent="0.25">
      <c r="A478" s="657">
        <v>7701</v>
      </c>
      <c r="B478" s="373" t="s">
        <v>601</v>
      </c>
      <c r="C478" s="360">
        <v>1268</v>
      </c>
      <c r="D478" s="54">
        <v>441</v>
      </c>
      <c r="E478" s="366">
        <f t="shared" si="7"/>
        <v>0.34779179810725552</v>
      </c>
      <c r="F478" s="526"/>
      <c r="G478" s="518"/>
      <c r="H478" s="526">
        <v>363</v>
      </c>
      <c r="I478" s="59"/>
      <c r="J478" s="73"/>
      <c r="K478" s="518"/>
      <c r="L478" s="526"/>
      <c r="M478" s="77"/>
    </row>
    <row r="479" spans="1:13" ht="13" x14ac:dyDescent="0.25">
      <c r="A479" s="657">
        <v>7702</v>
      </c>
      <c r="B479" s="373" t="s">
        <v>602</v>
      </c>
      <c r="C479" s="360">
        <v>775</v>
      </c>
      <c r="D479" s="54">
        <v>207</v>
      </c>
      <c r="E479" s="366">
        <f t="shared" si="7"/>
        <v>0.26709677419354838</v>
      </c>
      <c r="F479" s="526"/>
      <c r="G479" s="518"/>
      <c r="H479" s="526">
        <v>177</v>
      </c>
      <c r="I479" s="59"/>
      <c r="J479" s="73"/>
      <c r="K479" s="518"/>
      <c r="L479" s="526"/>
      <c r="M479" s="77"/>
    </row>
    <row r="480" spans="1:13" ht="13" x14ac:dyDescent="0.25">
      <c r="A480" s="657">
        <v>7901</v>
      </c>
      <c r="B480" s="373" t="s">
        <v>603</v>
      </c>
      <c r="C480" s="360">
        <v>832</v>
      </c>
      <c r="D480" s="54">
        <v>281</v>
      </c>
      <c r="E480" s="366">
        <f t="shared" si="7"/>
        <v>0.33774038461538464</v>
      </c>
      <c r="F480" s="526"/>
      <c r="G480" s="518"/>
      <c r="H480" s="526">
        <v>184</v>
      </c>
      <c r="I480" s="59"/>
      <c r="J480" s="77"/>
      <c r="K480" s="518"/>
      <c r="L480" s="526"/>
      <c r="M480" s="77"/>
    </row>
    <row r="481" spans="1:13" ht="13" x14ac:dyDescent="0.25">
      <c r="A481" s="657">
        <v>7902</v>
      </c>
      <c r="B481" s="373" t="s">
        <v>604</v>
      </c>
      <c r="C481" s="360">
        <v>1325</v>
      </c>
      <c r="D481" s="54">
        <v>387</v>
      </c>
      <c r="E481" s="366">
        <f t="shared" si="7"/>
        <v>0.29207547169811321</v>
      </c>
      <c r="F481" s="526"/>
      <c r="G481" s="518"/>
      <c r="H481" s="526">
        <v>278</v>
      </c>
      <c r="I481" s="59"/>
      <c r="J481" s="77"/>
      <c r="K481" s="518"/>
      <c r="L481" s="526"/>
      <c r="M481" s="77"/>
    </row>
    <row r="482" spans="1:13" ht="13" x14ac:dyDescent="0.25">
      <c r="A482" s="657">
        <v>8001</v>
      </c>
      <c r="B482" s="373" t="s">
        <v>605</v>
      </c>
      <c r="C482" s="360">
        <v>1431</v>
      </c>
      <c r="D482" s="54">
        <v>879</v>
      </c>
      <c r="E482" s="366">
        <f t="shared" si="7"/>
        <v>0.61425576519916147</v>
      </c>
      <c r="F482" s="526"/>
      <c r="G482" s="518"/>
      <c r="H482" s="526"/>
      <c r="I482" s="59">
        <v>278</v>
      </c>
      <c r="J482" s="77">
        <v>454</v>
      </c>
      <c r="K482" s="518"/>
      <c r="L482" s="526"/>
      <c r="M482" s="77"/>
    </row>
    <row r="483" spans="1:13" ht="13" x14ac:dyDescent="0.25">
      <c r="A483" s="657">
        <v>8002</v>
      </c>
      <c r="B483" s="373" t="s">
        <v>606</v>
      </c>
      <c r="C483" s="360">
        <v>1343</v>
      </c>
      <c r="D483" s="54">
        <v>864</v>
      </c>
      <c r="E483" s="366">
        <f t="shared" si="7"/>
        <v>0.64333581533879369</v>
      </c>
      <c r="F483" s="526"/>
      <c r="G483" s="518"/>
      <c r="H483" s="526"/>
      <c r="I483" s="59">
        <v>286</v>
      </c>
      <c r="J483" s="77">
        <v>432</v>
      </c>
      <c r="K483" s="518"/>
      <c r="L483" s="526"/>
      <c r="M483" s="77"/>
    </row>
    <row r="484" spans="1:13" ht="13" x14ac:dyDescent="0.25">
      <c r="A484" s="657">
        <v>8211</v>
      </c>
      <c r="B484" s="373" t="s">
        <v>607</v>
      </c>
      <c r="C484" s="360">
        <v>581</v>
      </c>
      <c r="D484" s="54">
        <v>179</v>
      </c>
      <c r="E484" s="366">
        <f t="shared" si="7"/>
        <v>0.30808950086058517</v>
      </c>
      <c r="F484" s="526"/>
      <c r="G484" s="518"/>
      <c r="H484" s="526"/>
      <c r="I484" s="59"/>
      <c r="J484" s="77"/>
      <c r="K484" s="518"/>
      <c r="L484" s="526"/>
      <c r="M484" s="77">
        <v>103</v>
      </c>
    </row>
    <row r="485" spans="1:13" ht="13" x14ac:dyDescent="0.25">
      <c r="A485" s="657">
        <v>8221</v>
      </c>
      <c r="B485" s="373" t="s">
        <v>608</v>
      </c>
      <c r="C485" s="360">
        <v>913</v>
      </c>
      <c r="D485" s="54">
        <v>346</v>
      </c>
      <c r="E485" s="366">
        <f t="shared" si="7"/>
        <v>0.37897042716319823</v>
      </c>
      <c r="F485" s="526"/>
      <c r="G485" s="518"/>
      <c r="H485" s="526"/>
      <c r="I485" s="59"/>
      <c r="J485" s="77"/>
      <c r="K485" s="518"/>
      <c r="L485" s="526"/>
      <c r="M485" s="77">
        <v>237</v>
      </c>
    </row>
    <row r="486" spans="1:13" ht="13" x14ac:dyDescent="0.25">
      <c r="A486" s="657">
        <v>8222</v>
      </c>
      <c r="B486" s="373" t="s">
        <v>609</v>
      </c>
      <c r="C486" s="360">
        <v>1404</v>
      </c>
      <c r="D486" s="54">
        <v>820</v>
      </c>
      <c r="E486" s="366">
        <f t="shared" si="7"/>
        <v>0.58404558404558404</v>
      </c>
      <c r="F486" s="526"/>
      <c r="G486" s="518"/>
      <c r="H486" s="526"/>
      <c r="I486" s="59"/>
      <c r="J486" s="73"/>
      <c r="K486" s="518"/>
      <c r="L486" s="526"/>
      <c r="M486" s="77">
        <v>529</v>
      </c>
    </row>
    <row r="487" spans="1:13" ht="13" x14ac:dyDescent="0.25">
      <c r="A487" s="657">
        <v>8231</v>
      </c>
      <c r="B487" s="373" t="s">
        <v>610</v>
      </c>
      <c r="C487" s="360">
        <v>768</v>
      </c>
      <c r="D487" s="54">
        <v>483</v>
      </c>
      <c r="E487" s="366">
        <f t="shared" si="7"/>
        <v>0.62890625</v>
      </c>
      <c r="F487" s="526"/>
      <c r="G487" s="518"/>
      <c r="H487" s="526"/>
      <c r="I487" s="59"/>
      <c r="J487" s="73"/>
      <c r="K487" s="518"/>
      <c r="L487" s="526"/>
      <c r="M487" s="77">
        <v>349</v>
      </c>
    </row>
    <row r="488" spans="1:13" ht="13" x14ac:dyDescent="0.25">
      <c r="A488" s="657">
        <v>8301</v>
      </c>
      <c r="B488" s="373" t="s">
        <v>611</v>
      </c>
      <c r="C488" s="360">
        <v>1256</v>
      </c>
      <c r="D488" s="54">
        <v>772</v>
      </c>
      <c r="E488" s="366">
        <f t="shared" si="7"/>
        <v>0.61464968152866239</v>
      </c>
      <c r="F488" s="526"/>
      <c r="G488" s="518"/>
      <c r="H488" s="526"/>
      <c r="I488" s="59"/>
      <c r="J488" s="73"/>
      <c r="K488" s="518"/>
      <c r="L488" s="526"/>
      <c r="M488" s="77">
        <v>476</v>
      </c>
    </row>
    <row r="489" spans="1:13" ht="13" x14ac:dyDescent="0.25">
      <c r="A489" s="657">
        <v>8302</v>
      </c>
      <c r="B489" s="373" t="s">
        <v>612</v>
      </c>
      <c r="C489" s="360">
        <v>1475</v>
      </c>
      <c r="D489" s="54">
        <v>889</v>
      </c>
      <c r="E489" s="366">
        <f t="shared" si="7"/>
        <v>0.60271186440677971</v>
      </c>
      <c r="F489" s="526"/>
      <c r="G489" s="518"/>
      <c r="H489" s="526"/>
      <c r="I489" s="59"/>
      <c r="J489" s="73"/>
      <c r="K489" s="518"/>
      <c r="L489" s="526"/>
      <c r="M489" s="77">
        <v>620</v>
      </c>
    </row>
    <row r="490" spans="1:13" ht="13" x14ac:dyDescent="0.25">
      <c r="A490" s="657">
        <v>8303</v>
      </c>
      <c r="B490" s="373" t="s">
        <v>613</v>
      </c>
      <c r="C490" s="360">
        <v>1263</v>
      </c>
      <c r="D490" s="54">
        <v>619</v>
      </c>
      <c r="E490" s="366">
        <f t="shared" si="7"/>
        <v>0.49010292953285828</v>
      </c>
      <c r="F490" s="526"/>
      <c r="G490" s="518"/>
      <c r="H490" s="526"/>
      <c r="I490" s="59"/>
      <c r="J490" s="73"/>
      <c r="K490" s="518"/>
      <c r="L490" s="526"/>
      <c r="M490" s="77">
        <v>384</v>
      </c>
    </row>
    <row r="491" spans="1:13" ht="13" x14ac:dyDescent="0.25">
      <c r="A491" s="657">
        <v>8304</v>
      </c>
      <c r="B491" s="373" t="s">
        <v>614</v>
      </c>
      <c r="C491" s="360">
        <v>1250</v>
      </c>
      <c r="D491" s="54">
        <v>794</v>
      </c>
      <c r="E491" s="366">
        <f t="shared" si="7"/>
        <v>0.63519999999999999</v>
      </c>
      <c r="F491" s="526"/>
      <c r="G491" s="518"/>
      <c r="H491" s="526"/>
      <c r="I491" s="59"/>
      <c r="J491" s="73"/>
      <c r="K491" s="518"/>
      <c r="L491" s="526"/>
      <c r="M491" s="77">
        <v>548</v>
      </c>
    </row>
    <row r="492" spans="1:13" ht="13" x14ac:dyDescent="0.25">
      <c r="A492" s="657">
        <v>8305</v>
      </c>
      <c r="B492" s="373" t="s">
        <v>615</v>
      </c>
      <c r="C492" s="360">
        <v>1028</v>
      </c>
      <c r="D492" s="54">
        <v>680</v>
      </c>
      <c r="E492" s="366">
        <f t="shared" si="7"/>
        <v>0.66147859922178986</v>
      </c>
      <c r="F492" s="526"/>
      <c r="G492" s="518"/>
      <c r="H492" s="526"/>
      <c r="I492" s="59"/>
      <c r="J492" s="73"/>
      <c r="K492" s="518"/>
      <c r="L492" s="526"/>
      <c r="M492" s="77">
        <v>439</v>
      </c>
    </row>
    <row r="493" spans="1:13" ht="13" x14ac:dyDescent="0.25">
      <c r="A493" s="657">
        <v>8306</v>
      </c>
      <c r="B493" s="373" t="s">
        <v>616</v>
      </c>
      <c r="C493" s="360">
        <v>625</v>
      </c>
      <c r="D493" s="54">
        <v>354</v>
      </c>
      <c r="E493" s="366">
        <f t="shared" si="7"/>
        <v>0.56640000000000001</v>
      </c>
      <c r="F493" s="526"/>
      <c r="G493" s="518"/>
      <c r="H493" s="526"/>
      <c r="I493" s="59"/>
      <c r="J493" s="73"/>
      <c r="K493" s="518"/>
      <c r="L493" s="526"/>
      <c r="M493" s="77">
        <v>243</v>
      </c>
    </row>
    <row r="494" spans="1:13" ht="13" x14ac:dyDescent="0.25">
      <c r="A494" s="657">
        <v>8307</v>
      </c>
      <c r="B494" s="373" t="s">
        <v>617</v>
      </c>
      <c r="C494" s="360">
        <v>1279</v>
      </c>
      <c r="D494" s="54">
        <v>770</v>
      </c>
      <c r="E494" s="366">
        <f t="shared" si="7"/>
        <v>0.60203283815480846</v>
      </c>
      <c r="F494" s="526"/>
      <c r="G494" s="518"/>
      <c r="H494" s="526"/>
      <c r="I494" s="59"/>
      <c r="J494" s="73"/>
      <c r="K494" s="518"/>
      <c r="L494" s="526"/>
      <c r="M494" s="77">
        <v>495</v>
      </c>
    </row>
    <row r="495" spans="1:13" ht="13" x14ac:dyDescent="0.25">
      <c r="A495" s="657">
        <v>8308</v>
      </c>
      <c r="B495" s="373" t="s">
        <v>618</v>
      </c>
      <c r="C495" s="360">
        <v>457</v>
      </c>
      <c r="D495" s="54">
        <v>282</v>
      </c>
      <c r="E495" s="366">
        <f t="shared" si="7"/>
        <v>0.61706783369803064</v>
      </c>
      <c r="F495" s="526"/>
      <c r="G495" s="518"/>
      <c r="H495" s="526"/>
      <c r="I495" s="59"/>
      <c r="J495" s="73"/>
      <c r="K495" s="518"/>
      <c r="L495" s="526"/>
      <c r="M495" s="77">
        <v>187</v>
      </c>
    </row>
    <row r="496" spans="1:13" ht="13" x14ac:dyDescent="0.25">
      <c r="A496" s="657">
        <v>8401</v>
      </c>
      <c r="B496" s="373" t="s">
        <v>619</v>
      </c>
      <c r="C496" s="360">
        <v>843</v>
      </c>
      <c r="D496" s="54">
        <v>488</v>
      </c>
      <c r="E496" s="366">
        <f t="shared" si="7"/>
        <v>0.5788849347568209</v>
      </c>
      <c r="F496" s="526"/>
      <c r="G496" s="518"/>
      <c r="H496" s="526"/>
      <c r="I496" s="59">
        <v>195</v>
      </c>
      <c r="J496" s="73">
        <v>218</v>
      </c>
      <c r="K496" s="518"/>
      <c r="L496" s="526"/>
      <c r="M496" s="77"/>
    </row>
    <row r="497" spans="1:13" ht="13" x14ac:dyDescent="0.25">
      <c r="A497" s="657">
        <v>8402</v>
      </c>
      <c r="B497" s="373" t="s">
        <v>620</v>
      </c>
      <c r="C497" s="360">
        <v>1211</v>
      </c>
      <c r="D497" s="54">
        <v>639</v>
      </c>
      <c r="E497" s="366">
        <f t="shared" si="7"/>
        <v>0.52766308835672993</v>
      </c>
      <c r="F497" s="526"/>
      <c r="G497" s="518"/>
      <c r="H497" s="526"/>
      <c r="I497" s="59">
        <v>343</v>
      </c>
      <c r="J497" s="73">
        <v>213</v>
      </c>
      <c r="K497" s="518"/>
      <c r="L497" s="526"/>
      <c r="M497" s="77"/>
    </row>
    <row r="498" spans="1:13" ht="13" x14ac:dyDescent="0.25">
      <c r="A498" s="657">
        <v>8511</v>
      </c>
      <c r="B498" s="373" t="s">
        <v>621</v>
      </c>
      <c r="C498" s="360">
        <v>791</v>
      </c>
      <c r="D498" s="54">
        <v>392</v>
      </c>
      <c r="E498" s="366">
        <f t="shared" si="7"/>
        <v>0.49557522123893805</v>
      </c>
      <c r="F498" s="526"/>
      <c r="G498" s="518">
        <v>220</v>
      </c>
      <c r="H498" s="526"/>
      <c r="I498" s="59"/>
      <c r="J498" s="77"/>
      <c r="K498" s="518"/>
      <c r="L498" s="526"/>
      <c r="M498" s="77"/>
    </row>
    <row r="499" spans="1:13" ht="13" x14ac:dyDescent="0.25">
      <c r="A499" s="657">
        <v>8521</v>
      </c>
      <c r="B499" s="373" t="s">
        <v>622</v>
      </c>
      <c r="C499" s="360">
        <v>772</v>
      </c>
      <c r="D499" s="54">
        <v>380</v>
      </c>
      <c r="E499" s="366">
        <f t="shared" si="7"/>
        <v>0.49222797927461137</v>
      </c>
      <c r="F499" s="526"/>
      <c r="G499" s="518">
        <v>207</v>
      </c>
      <c r="H499" s="526"/>
      <c r="I499" s="59"/>
      <c r="J499" s="77"/>
      <c r="K499" s="518"/>
      <c r="L499" s="526"/>
      <c r="M499" s="77"/>
    </row>
    <row r="500" spans="1:13" ht="13" x14ac:dyDescent="0.25">
      <c r="A500" s="657">
        <v>8531</v>
      </c>
      <c r="B500" s="373" t="s">
        <v>623</v>
      </c>
      <c r="C500" s="360">
        <v>742</v>
      </c>
      <c r="D500" s="54">
        <v>422</v>
      </c>
      <c r="E500" s="366">
        <f t="shared" si="7"/>
        <v>0.56873315363881405</v>
      </c>
      <c r="F500" s="526"/>
      <c r="G500" s="518">
        <v>255</v>
      </c>
      <c r="H500" s="526"/>
      <c r="I500" s="59"/>
      <c r="J500" s="77"/>
      <c r="K500" s="518"/>
      <c r="L500" s="526"/>
      <c r="M500" s="77"/>
    </row>
    <row r="501" spans="1:13" ht="13" x14ac:dyDescent="0.25">
      <c r="A501" s="657">
        <v>8541</v>
      </c>
      <c r="B501" s="373" t="s">
        <v>624</v>
      </c>
      <c r="C501" s="360">
        <v>720</v>
      </c>
      <c r="D501" s="54">
        <v>376</v>
      </c>
      <c r="E501" s="366">
        <f t="shared" si="7"/>
        <v>0.52222222222222225</v>
      </c>
      <c r="F501" s="526"/>
      <c r="G501" s="518">
        <v>212</v>
      </c>
      <c r="H501" s="526"/>
      <c r="I501" s="59"/>
      <c r="J501" s="77"/>
      <c r="K501" s="518"/>
      <c r="L501" s="526"/>
      <c r="M501" s="77"/>
    </row>
    <row r="502" spans="1:13" ht="13" x14ac:dyDescent="0.25">
      <c r="A502" s="657">
        <v>8601</v>
      </c>
      <c r="B502" s="373" t="s">
        <v>625</v>
      </c>
      <c r="C502" s="360">
        <v>1132</v>
      </c>
      <c r="D502" s="54">
        <v>607</v>
      </c>
      <c r="E502" s="366">
        <f t="shared" si="7"/>
        <v>0.53621908127208484</v>
      </c>
      <c r="F502" s="526"/>
      <c r="G502" s="518"/>
      <c r="H502" s="526">
        <v>410</v>
      </c>
      <c r="I502" s="59"/>
      <c r="J502" s="77"/>
      <c r="K502" s="518"/>
      <c r="L502" s="526"/>
      <c r="M502" s="77"/>
    </row>
    <row r="503" spans="1:13" ht="13" x14ac:dyDescent="0.25">
      <c r="A503" s="657">
        <v>8602</v>
      </c>
      <c r="B503" s="373" t="s">
        <v>626</v>
      </c>
      <c r="C503" s="360">
        <v>1380</v>
      </c>
      <c r="D503" s="54">
        <v>681</v>
      </c>
      <c r="E503" s="366">
        <f t="shared" si="7"/>
        <v>0.4934782608695652</v>
      </c>
      <c r="F503" s="526"/>
      <c r="G503" s="518"/>
      <c r="H503" s="526">
        <v>498</v>
      </c>
      <c r="I503" s="59"/>
      <c r="J503" s="77"/>
      <c r="K503" s="518"/>
      <c r="L503" s="526"/>
      <c r="M503" s="77"/>
    </row>
    <row r="504" spans="1:13" ht="13" x14ac:dyDescent="0.25">
      <c r="A504" s="657">
        <v>8603</v>
      </c>
      <c r="B504" s="373" t="s">
        <v>627</v>
      </c>
      <c r="C504" s="360">
        <v>1269</v>
      </c>
      <c r="D504" s="54">
        <v>587</v>
      </c>
      <c r="E504" s="366">
        <f t="shared" si="7"/>
        <v>0.46256895193065406</v>
      </c>
      <c r="F504" s="526"/>
      <c r="G504" s="518"/>
      <c r="H504" s="526">
        <v>406</v>
      </c>
      <c r="I504" s="59"/>
      <c r="J504" s="77"/>
      <c r="K504" s="518"/>
      <c r="L504" s="526"/>
      <c r="M504" s="77"/>
    </row>
    <row r="505" spans="1:13" ht="13" x14ac:dyDescent="0.25">
      <c r="A505" s="657">
        <v>8701</v>
      </c>
      <c r="B505" s="373" t="s">
        <v>628</v>
      </c>
      <c r="C505" s="360">
        <v>811</v>
      </c>
      <c r="D505" s="54">
        <v>249</v>
      </c>
      <c r="E505" s="366">
        <f t="shared" si="7"/>
        <v>0.30702836004932182</v>
      </c>
      <c r="F505" s="526"/>
      <c r="G505" s="518"/>
      <c r="H505" s="526">
        <v>216</v>
      </c>
      <c r="I505" s="59"/>
      <c r="J505" s="77"/>
      <c r="K505" s="518"/>
      <c r="L505" s="526"/>
      <c r="M505" s="77"/>
    </row>
    <row r="506" spans="1:13" ht="13" x14ac:dyDescent="0.25">
      <c r="A506" s="657">
        <v>8702</v>
      </c>
      <c r="B506" s="373" t="s">
        <v>629</v>
      </c>
      <c r="C506" s="360">
        <v>691</v>
      </c>
      <c r="D506" s="54">
        <v>332</v>
      </c>
      <c r="E506" s="366">
        <f t="shared" si="7"/>
        <v>0.48046309696092621</v>
      </c>
      <c r="F506" s="526"/>
      <c r="G506" s="518"/>
      <c r="H506" s="526">
        <v>258</v>
      </c>
      <c r="I506" s="59"/>
      <c r="J506" s="77"/>
      <c r="K506" s="518"/>
      <c r="L506" s="526"/>
      <c r="M506" s="77"/>
    </row>
    <row r="507" spans="1:13" ht="13" x14ac:dyDescent="0.25">
      <c r="A507" s="657">
        <v>8703</v>
      </c>
      <c r="B507" s="373" t="s">
        <v>630</v>
      </c>
      <c r="C507" s="360">
        <v>1279</v>
      </c>
      <c r="D507" s="54">
        <v>617</v>
      </c>
      <c r="E507" s="366">
        <f t="shared" si="7"/>
        <v>0.48240813135261923</v>
      </c>
      <c r="F507" s="526"/>
      <c r="G507" s="518"/>
      <c r="H507" s="526">
        <v>475</v>
      </c>
      <c r="I507" s="59"/>
      <c r="J507" s="77"/>
      <c r="K507" s="518"/>
      <c r="L507" s="526"/>
      <c r="M507" s="77"/>
    </row>
    <row r="508" spans="1:13" ht="13" x14ac:dyDescent="0.25">
      <c r="A508" s="657">
        <v>8704</v>
      </c>
      <c r="B508" s="373" t="s">
        <v>631</v>
      </c>
      <c r="C508" s="360">
        <v>869</v>
      </c>
      <c r="D508" s="54">
        <v>453</v>
      </c>
      <c r="E508" s="366">
        <f t="shared" si="7"/>
        <v>0.52128883774453394</v>
      </c>
      <c r="F508" s="526"/>
      <c r="G508" s="518"/>
      <c r="H508" s="526"/>
      <c r="I508" s="59"/>
      <c r="J508" s="77"/>
      <c r="K508" s="518"/>
      <c r="L508" s="526">
        <v>266</v>
      </c>
      <c r="M508" s="77"/>
    </row>
    <row r="509" spans="1:13" ht="13" x14ac:dyDescent="0.25">
      <c r="A509" s="657">
        <v>8705</v>
      </c>
      <c r="B509" s="373" t="s">
        <v>632</v>
      </c>
      <c r="C509" s="360">
        <v>547</v>
      </c>
      <c r="D509" s="54">
        <v>289</v>
      </c>
      <c r="E509" s="366">
        <f t="shared" si="7"/>
        <v>0.52833638025594154</v>
      </c>
      <c r="F509" s="526"/>
      <c r="G509" s="518"/>
      <c r="H509" s="526">
        <v>215</v>
      </c>
      <c r="I509" s="59"/>
      <c r="J509" s="77"/>
      <c r="K509" s="518"/>
      <c r="L509" s="526"/>
      <c r="M509" s="77"/>
    </row>
    <row r="510" spans="1:13" ht="13" x14ac:dyDescent="0.25">
      <c r="A510" s="657">
        <v>8706</v>
      </c>
      <c r="B510" s="373" t="s">
        <v>633</v>
      </c>
      <c r="C510" s="360">
        <v>696</v>
      </c>
      <c r="D510" s="54">
        <v>461</v>
      </c>
      <c r="E510" s="366">
        <f t="shared" si="7"/>
        <v>0.66235632183908044</v>
      </c>
      <c r="F510" s="526"/>
      <c r="G510" s="518"/>
      <c r="H510" s="526">
        <v>313</v>
      </c>
      <c r="I510" s="59"/>
      <c r="J510" s="77"/>
      <c r="K510" s="518"/>
      <c r="L510" s="526"/>
      <c r="M510" s="77"/>
    </row>
    <row r="511" spans="1:13" ht="13" x14ac:dyDescent="0.25">
      <c r="A511" s="657">
        <v>8707</v>
      </c>
      <c r="B511" s="373" t="s">
        <v>634</v>
      </c>
      <c r="C511" s="360">
        <v>1164</v>
      </c>
      <c r="D511" s="54">
        <v>633</v>
      </c>
      <c r="E511" s="366">
        <f t="shared" si="7"/>
        <v>0.54381443298969068</v>
      </c>
      <c r="F511" s="526"/>
      <c r="G511" s="518"/>
      <c r="H511" s="526">
        <v>477</v>
      </c>
      <c r="I511" s="59"/>
      <c r="J511" s="77"/>
      <c r="K511" s="518"/>
      <c r="L511" s="526"/>
      <c r="M511" s="77"/>
    </row>
    <row r="512" spans="1:13" ht="13" x14ac:dyDescent="0.25">
      <c r="A512" s="657">
        <v>8708</v>
      </c>
      <c r="B512" s="373" t="s">
        <v>635</v>
      </c>
      <c r="C512" s="360">
        <v>1077</v>
      </c>
      <c r="D512" s="54">
        <v>640</v>
      </c>
      <c r="E512" s="366">
        <f t="shared" si="7"/>
        <v>0.59424326833797581</v>
      </c>
      <c r="F512" s="526"/>
      <c r="G512" s="518"/>
      <c r="H512" s="526">
        <v>442</v>
      </c>
      <c r="I512" s="59"/>
      <c r="J512" s="77"/>
      <c r="K512" s="518"/>
      <c r="L512" s="526"/>
      <c r="M512" s="77"/>
    </row>
    <row r="513" spans="1:13" ht="13" x14ac:dyDescent="0.25">
      <c r="A513" s="657">
        <v>8709</v>
      </c>
      <c r="B513" s="373" t="s">
        <v>636</v>
      </c>
      <c r="C513" s="360">
        <v>504</v>
      </c>
      <c r="D513" s="54">
        <v>216</v>
      </c>
      <c r="E513" s="366">
        <f t="shared" si="7"/>
        <v>0.42857142857142855</v>
      </c>
      <c r="F513" s="526"/>
      <c r="G513" s="518"/>
      <c r="H513" s="526">
        <v>170</v>
      </c>
      <c r="I513" s="59"/>
      <c r="J513" s="77"/>
      <c r="K513" s="518"/>
      <c r="L513" s="526"/>
      <c r="M513" s="77"/>
    </row>
    <row r="514" spans="1:13" ht="13" x14ac:dyDescent="0.25">
      <c r="A514" s="657">
        <v>8710</v>
      </c>
      <c r="B514" s="373" t="s">
        <v>637</v>
      </c>
      <c r="C514" s="360">
        <v>930</v>
      </c>
      <c r="D514" s="54">
        <v>450</v>
      </c>
      <c r="E514" s="366">
        <f t="shared" si="7"/>
        <v>0.4838709677419355</v>
      </c>
      <c r="F514" s="526"/>
      <c r="G514" s="518"/>
      <c r="H514" s="526">
        <v>366</v>
      </c>
      <c r="I514" s="59"/>
      <c r="J514" s="77"/>
      <c r="K514" s="518"/>
      <c r="L514" s="526"/>
      <c r="M514" s="77"/>
    </row>
    <row r="515" spans="1:13" ht="13" x14ac:dyDescent="0.25">
      <c r="A515" s="657">
        <v>8711</v>
      </c>
      <c r="B515" s="373" t="s">
        <v>638</v>
      </c>
      <c r="C515" s="360">
        <v>873</v>
      </c>
      <c r="D515" s="54">
        <v>304</v>
      </c>
      <c r="E515" s="366">
        <f t="shared" si="7"/>
        <v>0.34822451317296677</v>
      </c>
      <c r="F515" s="526"/>
      <c r="G515" s="518"/>
      <c r="H515" s="526">
        <v>249</v>
      </c>
      <c r="I515" s="59"/>
      <c r="J515" s="77"/>
      <c r="K515" s="518"/>
      <c r="L515" s="526"/>
      <c r="M515" s="77"/>
    </row>
    <row r="516" spans="1:13" ht="13" x14ac:dyDescent="0.25">
      <c r="A516" s="657">
        <v>8712</v>
      </c>
      <c r="B516" s="373" t="s">
        <v>639</v>
      </c>
      <c r="C516" s="360">
        <v>294</v>
      </c>
      <c r="D516" s="54">
        <v>114</v>
      </c>
      <c r="E516" s="366">
        <f t="shared" si="7"/>
        <v>0.38775510204081631</v>
      </c>
      <c r="F516" s="526"/>
      <c r="G516" s="518"/>
      <c r="H516" s="526">
        <v>91</v>
      </c>
      <c r="I516" s="59"/>
      <c r="J516" s="77"/>
      <c r="K516" s="518"/>
      <c r="L516" s="526"/>
      <c r="M516" s="77"/>
    </row>
    <row r="517" spans="1:13" ht="13" x14ac:dyDescent="0.25">
      <c r="A517" s="657">
        <v>8713</v>
      </c>
      <c r="B517" s="373" t="s">
        <v>640</v>
      </c>
      <c r="C517" s="360">
        <v>1166</v>
      </c>
      <c r="D517" s="54">
        <v>532</v>
      </c>
      <c r="E517" s="366">
        <f t="shared" ref="E517:E566" si="8">SUM(D517/C517)</f>
        <v>0.45626072041166382</v>
      </c>
      <c r="F517" s="526"/>
      <c r="G517" s="518"/>
      <c r="H517" s="526">
        <v>385</v>
      </c>
      <c r="I517" s="59"/>
      <c r="J517" s="77"/>
      <c r="K517" s="518"/>
      <c r="L517" s="526"/>
      <c r="M517" s="77"/>
    </row>
    <row r="518" spans="1:13" ht="13" x14ac:dyDescent="0.25">
      <c r="A518" s="657">
        <v>8714</v>
      </c>
      <c r="B518" s="373" t="s">
        <v>641</v>
      </c>
      <c r="C518" s="360">
        <v>1096</v>
      </c>
      <c r="D518" s="54">
        <v>634</v>
      </c>
      <c r="E518" s="366">
        <f t="shared" si="8"/>
        <v>0.57846715328467158</v>
      </c>
      <c r="F518" s="526"/>
      <c r="G518" s="518"/>
      <c r="H518" s="526">
        <v>440</v>
      </c>
      <c r="I518" s="59"/>
      <c r="J518" s="77"/>
      <c r="K518" s="518"/>
      <c r="L518" s="526"/>
      <c r="M518" s="77"/>
    </row>
    <row r="519" spans="1:13" ht="13" x14ac:dyDescent="0.25">
      <c r="A519" s="657">
        <v>8715</v>
      </c>
      <c r="B519" s="373" t="s">
        <v>642</v>
      </c>
      <c r="C519" s="360">
        <v>1062</v>
      </c>
      <c r="D519" s="54">
        <v>385</v>
      </c>
      <c r="E519" s="366">
        <f t="shared" si="8"/>
        <v>0.36252354048964219</v>
      </c>
      <c r="F519" s="526"/>
      <c r="G519" s="518"/>
      <c r="H519" s="526">
        <v>324</v>
      </c>
      <c r="I519" s="59"/>
      <c r="J519" s="77"/>
      <c r="K519" s="518"/>
      <c r="L519" s="526"/>
      <c r="M519" s="77"/>
    </row>
    <row r="520" spans="1:13" ht="13" x14ac:dyDescent="0.25">
      <c r="A520" s="657">
        <v>8716</v>
      </c>
      <c r="B520" s="373" t="s">
        <v>643</v>
      </c>
      <c r="C520" s="360">
        <v>859</v>
      </c>
      <c r="D520" s="54">
        <v>370</v>
      </c>
      <c r="E520" s="366">
        <f t="shared" si="8"/>
        <v>0.43073341094295692</v>
      </c>
      <c r="F520" s="526"/>
      <c r="G520" s="518"/>
      <c r="H520" s="526">
        <v>295</v>
      </c>
      <c r="I520" s="59"/>
      <c r="J520" s="77"/>
      <c r="K520" s="518"/>
      <c r="L520" s="526"/>
      <c r="M520" s="77"/>
    </row>
    <row r="521" spans="1:13" ht="13" x14ac:dyDescent="0.25">
      <c r="A521" s="657">
        <v>8717</v>
      </c>
      <c r="B521" s="373" t="s">
        <v>644</v>
      </c>
      <c r="C521" s="360">
        <v>1311</v>
      </c>
      <c r="D521" s="54">
        <v>497</v>
      </c>
      <c r="E521" s="366">
        <f t="shared" si="8"/>
        <v>0.37909992372234935</v>
      </c>
      <c r="F521" s="526"/>
      <c r="G521" s="518"/>
      <c r="H521" s="526">
        <v>394</v>
      </c>
      <c r="I521" s="59"/>
      <c r="J521" s="77"/>
      <c r="K521" s="518"/>
      <c r="L521" s="526"/>
      <c r="M521" s="77"/>
    </row>
    <row r="522" spans="1:13" ht="13" x14ac:dyDescent="0.25">
      <c r="A522" s="657">
        <v>8718</v>
      </c>
      <c r="B522" s="373" t="s">
        <v>645</v>
      </c>
      <c r="C522" s="360">
        <v>1143</v>
      </c>
      <c r="D522" s="54">
        <v>530</v>
      </c>
      <c r="E522" s="366">
        <f t="shared" si="8"/>
        <v>0.46369203849518809</v>
      </c>
      <c r="F522" s="526"/>
      <c r="G522" s="518"/>
      <c r="H522" s="526">
        <v>370</v>
      </c>
      <c r="I522" s="59"/>
      <c r="J522" s="77"/>
      <c r="K522" s="518"/>
      <c r="L522" s="526"/>
      <c r="M522" s="77"/>
    </row>
    <row r="523" spans="1:13" ht="13" x14ac:dyDescent="0.25">
      <c r="A523" s="657">
        <v>8719</v>
      </c>
      <c r="B523" s="373" t="s">
        <v>646</v>
      </c>
      <c r="C523" s="360">
        <v>1151</v>
      </c>
      <c r="D523" s="54">
        <v>689</v>
      </c>
      <c r="E523" s="366">
        <f t="shared" si="8"/>
        <v>0.59860990443092965</v>
      </c>
      <c r="F523" s="526"/>
      <c r="G523" s="518"/>
      <c r="H523" s="526">
        <v>503</v>
      </c>
      <c r="I523" s="59"/>
      <c r="J523" s="77"/>
      <c r="K523" s="518"/>
      <c r="L523" s="526"/>
      <c r="M523" s="77"/>
    </row>
    <row r="524" spans="1:13" ht="13" x14ac:dyDescent="0.25">
      <c r="A524" s="657">
        <v>8720</v>
      </c>
      <c r="B524" s="373" t="s">
        <v>647</v>
      </c>
      <c r="C524" s="360">
        <v>1392</v>
      </c>
      <c r="D524" s="54">
        <v>663</v>
      </c>
      <c r="E524" s="366">
        <f t="shared" si="8"/>
        <v>0.47629310344827586</v>
      </c>
      <c r="F524" s="526"/>
      <c r="G524" s="518"/>
      <c r="H524" s="526"/>
      <c r="I524" s="59"/>
      <c r="J524" s="77"/>
      <c r="K524" s="518"/>
      <c r="L524" s="526">
        <v>410</v>
      </c>
      <c r="M524" s="77"/>
    </row>
    <row r="525" spans="1:13" ht="13" x14ac:dyDescent="0.25">
      <c r="A525" s="657">
        <v>8721</v>
      </c>
      <c r="B525" s="373" t="s">
        <v>648</v>
      </c>
      <c r="C525" s="360">
        <v>1306</v>
      </c>
      <c r="D525" s="54">
        <v>815</v>
      </c>
      <c r="E525" s="366">
        <f t="shared" si="8"/>
        <v>0.62404287901990807</v>
      </c>
      <c r="F525" s="526"/>
      <c r="G525" s="518"/>
      <c r="H525" s="526">
        <v>549</v>
      </c>
      <c r="I525" s="59"/>
      <c r="J525" s="77"/>
      <c r="K525" s="518"/>
      <c r="L525" s="526"/>
      <c r="M525" s="77"/>
    </row>
    <row r="526" spans="1:13" ht="13" x14ac:dyDescent="0.25">
      <c r="A526" s="657">
        <v>8722</v>
      </c>
      <c r="B526" s="373" t="s">
        <v>649</v>
      </c>
      <c r="C526" s="360">
        <v>1040</v>
      </c>
      <c r="D526" s="54">
        <v>685</v>
      </c>
      <c r="E526" s="366">
        <f t="shared" si="8"/>
        <v>0.65865384615384615</v>
      </c>
      <c r="F526" s="526"/>
      <c r="G526" s="518"/>
      <c r="H526" s="526">
        <v>480</v>
      </c>
      <c r="I526" s="59"/>
      <c r="J526" s="77"/>
      <c r="K526" s="518"/>
      <c r="L526" s="526"/>
      <c r="M526" s="77"/>
    </row>
    <row r="527" spans="1:13" ht="13" x14ac:dyDescent="0.25">
      <c r="A527" s="657">
        <v>8723</v>
      </c>
      <c r="B527" s="373" t="s">
        <v>650</v>
      </c>
      <c r="C527" s="360">
        <v>1301</v>
      </c>
      <c r="D527" s="54">
        <v>711</v>
      </c>
      <c r="E527" s="366">
        <f t="shared" si="8"/>
        <v>0.54650269023827824</v>
      </c>
      <c r="F527" s="526"/>
      <c r="G527" s="518"/>
      <c r="H527" s="526">
        <v>500</v>
      </c>
      <c r="I527" s="59"/>
      <c r="J527" s="77"/>
      <c r="K527" s="518"/>
      <c r="L527" s="526"/>
      <c r="M527" s="77"/>
    </row>
    <row r="528" spans="1:13" ht="13" x14ac:dyDescent="0.25">
      <c r="A528" s="657">
        <v>8724</v>
      </c>
      <c r="B528" s="373" t="s">
        <v>651</v>
      </c>
      <c r="C528" s="360">
        <v>699</v>
      </c>
      <c r="D528" s="54">
        <v>354</v>
      </c>
      <c r="E528" s="366">
        <f t="shared" si="8"/>
        <v>0.50643776824034337</v>
      </c>
      <c r="F528" s="526"/>
      <c r="G528" s="518"/>
      <c r="H528" s="526">
        <v>278</v>
      </c>
      <c r="I528" s="59"/>
      <c r="J528" s="77"/>
      <c r="K528" s="518"/>
      <c r="L528" s="526"/>
      <c r="M528" s="77"/>
    </row>
    <row r="529" spans="1:13" ht="13" x14ac:dyDescent="0.25">
      <c r="A529" s="657">
        <v>8725</v>
      </c>
      <c r="B529" s="373" t="s">
        <v>652</v>
      </c>
      <c r="C529" s="360">
        <v>949</v>
      </c>
      <c r="D529" s="54">
        <v>384</v>
      </c>
      <c r="E529" s="366">
        <f t="shared" si="8"/>
        <v>0.40463645943097998</v>
      </c>
      <c r="F529" s="526"/>
      <c r="G529" s="518"/>
      <c r="H529" s="526">
        <v>312</v>
      </c>
      <c r="I529" s="59"/>
      <c r="J529" s="77"/>
      <c r="K529" s="518"/>
      <c r="L529" s="526"/>
      <c r="M529" s="77"/>
    </row>
    <row r="530" spans="1:13" ht="13" x14ac:dyDescent="0.25">
      <c r="A530" s="657">
        <v>8726</v>
      </c>
      <c r="B530" s="373" t="s">
        <v>653</v>
      </c>
      <c r="C530" s="360">
        <v>669</v>
      </c>
      <c r="D530" s="54">
        <v>350</v>
      </c>
      <c r="E530" s="366">
        <f t="shared" si="8"/>
        <v>0.52316890881913303</v>
      </c>
      <c r="F530" s="526"/>
      <c r="G530" s="518"/>
      <c r="H530" s="526">
        <v>246</v>
      </c>
      <c r="I530" s="59"/>
      <c r="J530" s="77"/>
      <c r="K530" s="518"/>
      <c r="L530" s="526"/>
      <c r="M530" s="77"/>
    </row>
    <row r="531" spans="1:13" ht="13" x14ac:dyDescent="0.25">
      <c r="A531" s="657">
        <v>8727</v>
      </c>
      <c r="B531" s="373" t="s">
        <v>654</v>
      </c>
      <c r="C531" s="360">
        <v>1112</v>
      </c>
      <c r="D531" s="54">
        <v>512</v>
      </c>
      <c r="E531" s="366">
        <f t="shared" si="8"/>
        <v>0.46043165467625902</v>
      </c>
      <c r="F531" s="526"/>
      <c r="G531" s="518"/>
      <c r="H531" s="526">
        <v>374</v>
      </c>
      <c r="I531" s="59"/>
      <c r="J531" s="77"/>
      <c r="K531" s="518"/>
      <c r="L531" s="526"/>
      <c r="M531" s="77"/>
    </row>
    <row r="532" spans="1:13" ht="13" x14ac:dyDescent="0.25">
      <c r="A532" s="657">
        <v>8728</v>
      </c>
      <c r="B532" s="373" t="s">
        <v>655</v>
      </c>
      <c r="C532" s="360">
        <v>653</v>
      </c>
      <c r="D532" s="54">
        <v>412</v>
      </c>
      <c r="E532" s="366">
        <f t="shared" si="8"/>
        <v>0.63093415007656972</v>
      </c>
      <c r="F532" s="526"/>
      <c r="G532" s="518"/>
      <c r="H532" s="526">
        <v>282</v>
      </c>
      <c r="I532" s="59"/>
      <c r="J532" s="77"/>
      <c r="K532" s="518"/>
      <c r="L532" s="526"/>
      <c r="M532" s="77"/>
    </row>
    <row r="533" spans="1:13" ht="13" x14ac:dyDescent="0.25">
      <c r="A533" s="657">
        <v>8901</v>
      </c>
      <c r="B533" s="373" t="s">
        <v>656</v>
      </c>
      <c r="C533" s="360">
        <v>123</v>
      </c>
      <c r="D533" s="54">
        <v>56</v>
      </c>
      <c r="E533" s="366">
        <f t="shared" si="8"/>
        <v>0.45528455284552843</v>
      </c>
      <c r="F533" s="526"/>
      <c r="G533" s="518"/>
      <c r="H533" s="526"/>
      <c r="I533" s="59"/>
      <c r="J533" s="77"/>
      <c r="K533" s="518">
        <v>39</v>
      </c>
      <c r="L533" s="526"/>
      <c r="M533" s="77"/>
    </row>
    <row r="534" spans="1:13" ht="13" x14ac:dyDescent="0.25">
      <c r="A534" s="657">
        <v>8902</v>
      </c>
      <c r="B534" s="373" t="s">
        <v>657</v>
      </c>
      <c r="C534" s="360">
        <v>1256</v>
      </c>
      <c r="D534" s="54">
        <v>629</v>
      </c>
      <c r="E534" s="366">
        <f t="shared" si="8"/>
        <v>0.50079617834394907</v>
      </c>
      <c r="F534" s="526"/>
      <c r="G534" s="518"/>
      <c r="H534" s="526"/>
      <c r="I534" s="59"/>
      <c r="J534" s="77"/>
      <c r="K534" s="518">
        <v>418</v>
      </c>
      <c r="L534" s="526"/>
      <c r="M534" s="77"/>
    </row>
    <row r="535" spans="1:13" ht="13" x14ac:dyDescent="0.25">
      <c r="A535" s="657">
        <v>8903</v>
      </c>
      <c r="B535" s="373" t="s">
        <v>658</v>
      </c>
      <c r="C535" s="360">
        <v>1393</v>
      </c>
      <c r="D535" s="54">
        <v>627</v>
      </c>
      <c r="E535" s="366">
        <f t="shared" si="8"/>
        <v>0.45010768126346018</v>
      </c>
      <c r="F535" s="526"/>
      <c r="G535" s="518"/>
      <c r="H535" s="526"/>
      <c r="I535" s="59"/>
      <c r="J535" s="77"/>
      <c r="K535" s="518">
        <v>449</v>
      </c>
      <c r="L535" s="526"/>
      <c r="M535" s="77"/>
    </row>
    <row r="536" spans="1:13" ht="13" x14ac:dyDescent="0.25">
      <c r="A536" s="657">
        <v>8904</v>
      </c>
      <c r="B536" s="373" t="s">
        <v>659</v>
      </c>
      <c r="C536" s="360">
        <v>741</v>
      </c>
      <c r="D536" s="54">
        <v>490</v>
      </c>
      <c r="E536" s="366">
        <f t="shared" si="8"/>
        <v>0.66126855600539813</v>
      </c>
      <c r="F536" s="526"/>
      <c r="G536" s="518"/>
      <c r="H536" s="526"/>
      <c r="I536" s="59"/>
      <c r="J536" s="77"/>
      <c r="K536" s="518">
        <v>358</v>
      </c>
      <c r="L536" s="526"/>
      <c r="M536" s="77"/>
    </row>
    <row r="537" spans="1:13" ht="13" x14ac:dyDescent="0.25">
      <c r="A537" s="657">
        <v>8905</v>
      </c>
      <c r="B537" s="373" t="s">
        <v>660</v>
      </c>
      <c r="C537" s="360">
        <v>1311</v>
      </c>
      <c r="D537" s="54">
        <v>820</v>
      </c>
      <c r="E537" s="366">
        <f t="shared" si="8"/>
        <v>0.62547673531655223</v>
      </c>
      <c r="F537" s="526"/>
      <c r="G537" s="518"/>
      <c r="H537" s="526"/>
      <c r="I537" s="59"/>
      <c r="J537" s="77"/>
      <c r="K537" s="518">
        <v>526</v>
      </c>
      <c r="L537" s="526"/>
      <c r="M537" s="77"/>
    </row>
    <row r="538" spans="1:13" ht="13" x14ac:dyDescent="0.25">
      <c r="A538" s="657">
        <v>8906</v>
      </c>
      <c r="B538" s="373" t="s">
        <v>661</v>
      </c>
      <c r="C538" s="360">
        <v>865</v>
      </c>
      <c r="D538" s="54">
        <v>541</v>
      </c>
      <c r="E538" s="366">
        <f t="shared" si="8"/>
        <v>0.62543352601156066</v>
      </c>
      <c r="F538" s="526"/>
      <c r="G538" s="518"/>
      <c r="H538" s="526"/>
      <c r="I538" s="59"/>
      <c r="J538" s="77"/>
      <c r="K538" s="518">
        <v>362</v>
      </c>
      <c r="L538" s="526"/>
      <c r="M538" s="77"/>
    </row>
    <row r="539" spans="1:13" ht="13" x14ac:dyDescent="0.25">
      <c r="A539" s="657">
        <v>8907</v>
      </c>
      <c r="B539" s="373" t="s">
        <v>662</v>
      </c>
      <c r="C539" s="360">
        <v>1133</v>
      </c>
      <c r="D539" s="54">
        <v>686</v>
      </c>
      <c r="E539" s="366">
        <f t="shared" si="8"/>
        <v>0.60547219770520744</v>
      </c>
      <c r="F539" s="526"/>
      <c r="G539" s="518"/>
      <c r="H539" s="526"/>
      <c r="I539" s="59"/>
      <c r="J539" s="77"/>
      <c r="K539" s="518">
        <v>445</v>
      </c>
      <c r="L539" s="526"/>
      <c r="M539" s="77"/>
    </row>
    <row r="540" spans="1:13" ht="13" x14ac:dyDescent="0.25">
      <c r="A540" s="657">
        <v>8908</v>
      </c>
      <c r="B540" s="373" t="s">
        <v>663</v>
      </c>
      <c r="C540" s="360">
        <v>893</v>
      </c>
      <c r="D540" s="54">
        <v>470</v>
      </c>
      <c r="E540" s="366">
        <f t="shared" si="8"/>
        <v>0.52631578947368418</v>
      </c>
      <c r="F540" s="526"/>
      <c r="G540" s="518"/>
      <c r="H540" s="526"/>
      <c r="I540" s="59"/>
      <c r="J540" s="77"/>
      <c r="K540" s="518">
        <v>271</v>
      </c>
      <c r="L540" s="526"/>
      <c r="M540" s="77"/>
    </row>
    <row r="541" spans="1:13" ht="13" x14ac:dyDescent="0.25">
      <c r="A541" s="657">
        <v>8909</v>
      </c>
      <c r="B541" s="373" t="s">
        <v>664</v>
      </c>
      <c r="C541" s="360">
        <v>1178</v>
      </c>
      <c r="D541" s="54">
        <v>710</v>
      </c>
      <c r="E541" s="366">
        <f t="shared" si="8"/>
        <v>0.60271646859083194</v>
      </c>
      <c r="F541" s="526"/>
      <c r="G541" s="518"/>
      <c r="H541" s="526"/>
      <c r="I541" s="59"/>
      <c r="J541" s="77"/>
      <c r="K541" s="518">
        <v>490</v>
      </c>
      <c r="L541" s="526"/>
      <c r="M541" s="77"/>
    </row>
    <row r="542" spans="1:13" ht="13" x14ac:dyDescent="0.25">
      <c r="A542" s="657">
        <v>8910</v>
      </c>
      <c r="B542" s="373" t="s">
        <v>665</v>
      </c>
      <c r="C542" s="360">
        <v>921</v>
      </c>
      <c r="D542" s="54">
        <v>411</v>
      </c>
      <c r="E542" s="366">
        <f t="shared" si="8"/>
        <v>0.44625407166123776</v>
      </c>
      <c r="F542" s="526"/>
      <c r="G542" s="518"/>
      <c r="H542" s="526"/>
      <c r="I542" s="59"/>
      <c r="J542" s="77"/>
      <c r="K542" s="518">
        <v>263</v>
      </c>
      <c r="L542" s="526"/>
      <c r="M542" s="77"/>
    </row>
    <row r="543" spans="1:13" ht="13" x14ac:dyDescent="0.25">
      <c r="A543" s="657">
        <v>8911</v>
      </c>
      <c r="B543" s="373" t="s">
        <v>666</v>
      </c>
      <c r="C543" s="360">
        <v>1264</v>
      </c>
      <c r="D543" s="54">
        <v>640</v>
      </c>
      <c r="E543" s="366">
        <f t="shared" si="8"/>
        <v>0.50632911392405067</v>
      </c>
      <c r="F543" s="526"/>
      <c r="G543" s="518"/>
      <c r="H543" s="526"/>
      <c r="I543" s="59"/>
      <c r="J543" s="77"/>
      <c r="K543" s="518">
        <v>414</v>
      </c>
      <c r="L543" s="526"/>
      <c r="M543" s="77"/>
    </row>
    <row r="544" spans="1:13" ht="13" x14ac:dyDescent="0.25">
      <c r="A544" s="657">
        <v>8912</v>
      </c>
      <c r="B544" s="373" t="s">
        <v>667</v>
      </c>
      <c r="C544" s="360">
        <v>1299</v>
      </c>
      <c r="D544" s="54">
        <v>714</v>
      </c>
      <c r="E544" s="366">
        <f t="shared" si="8"/>
        <v>0.54965357967667439</v>
      </c>
      <c r="F544" s="526"/>
      <c r="G544" s="518"/>
      <c r="H544" s="526"/>
      <c r="I544" s="59"/>
      <c r="J544" s="77"/>
      <c r="K544" s="518">
        <v>499</v>
      </c>
      <c r="L544" s="526"/>
      <c r="M544" s="77"/>
    </row>
    <row r="545" spans="1:13" ht="13" x14ac:dyDescent="0.25">
      <c r="A545" s="657">
        <v>8913</v>
      </c>
      <c r="B545" s="373" t="s">
        <v>668</v>
      </c>
      <c r="C545" s="360">
        <v>705</v>
      </c>
      <c r="D545" s="54">
        <v>385</v>
      </c>
      <c r="E545" s="366">
        <f t="shared" si="8"/>
        <v>0.54609929078014185</v>
      </c>
      <c r="F545" s="526"/>
      <c r="G545" s="518"/>
      <c r="H545" s="526"/>
      <c r="I545" s="59"/>
      <c r="J545" s="77"/>
      <c r="K545" s="518">
        <v>251</v>
      </c>
      <c r="L545" s="526"/>
      <c r="M545" s="77"/>
    </row>
    <row r="546" spans="1:13" ht="13" x14ac:dyDescent="0.25">
      <c r="A546" s="657">
        <v>8914</v>
      </c>
      <c r="B546" s="373" t="s">
        <v>669</v>
      </c>
      <c r="C546" s="360">
        <v>1218</v>
      </c>
      <c r="D546" s="54">
        <v>735</v>
      </c>
      <c r="E546" s="366">
        <f t="shared" si="8"/>
        <v>0.60344827586206895</v>
      </c>
      <c r="F546" s="526"/>
      <c r="G546" s="518"/>
      <c r="H546" s="526"/>
      <c r="I546" s="59"/>
      <c r="J546" s="77"/>
      <c r="K546" s="518">
        <v>498</v>
      </c>
      <c r="L546" s="526"/>
      <c r="M546" s="77"/>
    </row>
    <row r="547" spans="1:13" ht="13" x14ac:dyDescent="0.25">
      <c r="A547" s="657">
        <v>9101</v>
      </c>
      <c r="B547" s="373" t="s">
        <v>670</v>
      </c>
      <c r="C547" s="360">
        <v>315</v>
      </c>
      <c r="D547" s="54">
        <v>202</v>
      </c>
      <c r="E547" s="366">
        <f t="shared" si="8"/>
        <v>0.64126984126984132</v>
      </c>
      <c r="F547" s="526"/>
      <c r="G547" s="518"/>
      <c r="H547" s="526"/>
      <c r="I547" s="59"/>
      <c r="J547" s="77"/>
      <c r="K547" s="518">
        <v>119</v>
      </c>
      <c r="L547" s="526"/>
      <c r="M547" s="77"/>
    </row>
    <row r="548" spans="1:13" ht="13" x14ac:dyDescent="0.25">
      <c r="A548" s="657">
        <v>9102</v>
      </c>
      <c r="B548" s="373" t="s">
        <v>671</v>
      </c>
      <c r="C548" s="360">
        <v>1080</v>
      </c>
      <c r="D548" s="54">
        <v>687</v>
      </c>
      <c r="E548" s="366">
        <f t="shared" si="8"/>
        <v>0.63611111111111107</v>
      </c>
      <c r="F548" s="526"/>
      <c r="G548" s="518"/>
      <c r="H548" s="526"/>
      <c r="I548" s="59"/>
      <c r="J548" s="77"/>
      <c r="K548" s="518">
        <v>446</v>
      </c>
      <c r="L548" s="526"/>
      <c r="M548" s="77"/>
    </row>
    <row r="549" spans="1:13" ht="13" x14ac:dyDescent="0.25">
      <c r="A549" s="657">
        <v>9103</v>
      </c>
      <c r="B549" s="373" t="s">
        <v>672</v>
      </c>
      <c r="C549" s="360">
        <v>1338</v>
      </c>
      <c r="D549" s="54">
        <v>860</v>
      </c>
      <c r="E549" s="366">
        <f t="shared" si="8"/>
        <v>0.64275037369207777</v>
      </c>
      <c r="F549" s="526"/>
      <c r="G549" s="518"/>
      <c r="H549" s="526"/>
      <c r="I549" s="59"/>
      <c r="J549" s="77"/>
      <c r="K549" s="518">
        <v>577</v>
      </c>
      <c r="L549" s="526"/>
      <c r="M549" s="77"/>
    </row>
    <row r="550" spans="1:13" ht="13" x14ac:dyDescent="0.25">
      <c r="A550" s="657">
        <v>9104</v>
      </c>
      <c r="B550" s="373" t="s">
        <v>673</v>
      </c>
      <c r="C550" s="360">
        <v>1081</v>
      </c>
      <c r="D550" s="54">
        <v>593</v>
      </c>
      <c r="E550" s="366">
        <f t="shared" si="8"/>
        <v>0.54856614246068458</v>
      </c>
      <c r="F550" s="526"/>
      <c r="G550" s="518"/>
      <c r="H550" s="526"/>
      <c r="I550" s="59"/>
      <c r="J550" s="77"/>
      <c r="K550" s="518">
        <v>424</v>
      </c>
      <c r="L550" s="526"/>
      <c r="M550" s="77"/>
    </row>
    <row r="551" spans="1:13" ht="13" x14ac:dyDescent="0.25">
      <c r="A551" s="657">
        <v>9105</v>
      </c>
      <c r="B551" s="373" t="s">
        <v>674</v>
      </c>
      <c r="C551" s="360">
        <v>1073</v>
      </c>
      <c r="D551" s="54">
        <v>716</v>
      </c>
      <c r="E551" s="366">
        <f t="shared" si="8"/>
        <v>0.66728797763280523</v>
      </c>
      <c r="F551" s="526"/>
      <c r="G551" s="518"/>
      <c r="H551" s="526"/>
      <c r="I551" s="59"/>
      <c r="J551" s="77"/>
      <c r="K551" s="518">
        <v>456</v>
      </c>
      <c r="L551" s="526"/>
      <c r="M551" s="77"/>
    </row>
    <row r="552" spans="1:13" ht="13" x14ac:dyDescent="0.25">
      <c r="A552" s="657">
        <v>9106</v>
      </c>
      <c r="B552" s="373" t="s">
        <v>675</v>
      </c>
      <c r="C552" s="360">
        <v>1432</v>
      </c>
      <c r="D552" s="54">
        <v>728</v>
      </c>
      <c r="E552" s="366">
        <f t="shared" si="8"/>
        <v>0.50837988826815639</v>
      </c>
      <c r="F552" s="526"/>
      <c r="G552" s="518"/>
      <c r="H552" s="526"/>
      <c r="I552" s="59"/>
      <c r="J552" s="77"/>
      <c r="K552" s="518">
        <v>512</v>
      </c>
      <c r="L552" s="526"/>
      <c r="M552" s="77"/>
    </row>
    <row r="553" spans="1:13" ht="13" x14ac:dyDescent="0.25">
      <c r="A553" s="657">
        <v>9107</v>
      </c>
      <c r="B553" s="373" t="s">
        <v>676</v>
      </c>
      <c r="C553" s="360">
        <v>682</v>
      </c>
      <c r="D553" s="54">
        <v>423</v>
      </c>
      <c r="E553" s="366">
        <f t="shared" si="8"/>
        <v>0.62023460410557185</v>
      </c>
      <c r="F553" s="526"/>
      <c r="G553" s="518"/>
      <c r="H553" s="526"/>
      <c r="I553" s="59"/>
      <c r="J553" s="77"/>
      <c r="K553" s="518">
        <v>290</v>
      </c>
      <c r="L553" s="526"/>
      <c r="M553" s="77"/>
    </row>
    <row r="554" spans="1:13" ht="13" x14ac:dyDescent="0.25">
      <c r="A554" s="657">
        <v>9108</v>
      </c>
      <c r="B554" s="373" t="s">
        <v>677</v>
      </c>
      <c r="C554" s="360">
        <v>479</v>
      </c>
      <c r="D554" s="54">
        <v>323</v>
      </c>
      <c r="E554" s="366">
        <f t="shared" si="8"/>
        <v>0.67432150313152406</v>
      </c>
      <c r="F554" s="526"/>
      <c r="G554" s="518"/>
      <c r="H554" s="526"/>
      <c r="I554" s="59"/>
      <c r="J554" s="77"/>
      <c r="K554" s="518">
        <v>205</v>
      </c>
      <c r="L554" s="526"/>
      <c r="M554" s="77"/>
    </row>
    <row r="555" spans="1:13" ht="13" x14ac:dyDescent="0.25">
      <c r="A555" s="657">
        <v>9109</v>
      </c>
      <c r="B555" s="373" t="s">
        <v>678</v>
      </c>
      <c r="C555" s="360">
        <v>976</v>
      </c>
      <c r="D555" s="54">
        <v>442</v>
      </c>
      <c r="E555" s="366">
        <f t="shared" si="8"/>
        <v>0.45286885245901637</v>
      </c>
      <c r="F555" s="526"/>
      <c r="G555" s="518"/>
      <c r="H555" s="526"/>
      <c r="I555" s="59"/>
      <c r="J555" s="77"/>
      <c r="K555" s="518">
        <v>317</v>
      </c>
      <c r="L555" s="526"/>
      <c r="M555" s="77"/>
    </row>
    <row r="556" spans="1:13" ht="13" x14ac:dyDescent="0.25">
      <c r="A556" s="657">
        <v>9110</v>
      </c>
      <c r="B556" s="373" t="s">
        <v>679</v>
      </c>
      <c r="C556" s="360">
        <v>1231</v>
      </c>
      <c r="D556" s="54">
        <v>656</v>
      </c>
      <c r="E556" s="366">
        <f t="shared" si="8"/>
        <v>0.53290008123476851</v>
      </c>
      <c r="F556" s="526"/>
      <c r="G556" s="518"/>
      <c r="H556" s="526"/>
      <c r="I556" s="59"/>
      <c r="J556" s="77"/>
      <c r="K556" s="518">
        <v>441</v>
      </c>
      <c r="L556" s="526"/>
      <c r="M556" s="77"/>
    </row>
    <row r="557" spans="1:13" ht="13" x14ac:dyDescent="0.25">
      <c r="A557" s="657">
        <v>9111</v>
      </c>
      <c r="B557" s="373" t="s">
        <v>680</v>
      </c>
      <c r="C557" s="360">
        <v>432</v>
      </c>
      <c r="D557" s="54">
        <v>253</v>
      </c>
      <c r="E557" s="366">
        <f t="shared" si="8"/>
        <v>0.58564814814814814</v>
      </c>
      <c r="F557" s="526"/>
      <c r="G557" s="518"/>
      <c r="H557" s="526"/>
      <c r="I557" s="59"/>
      <c r="J557" s="77"/>
      <c r="K557" s="518">
        <v>175</v>
      </c>
      <c r="L557" s="526"/>
      <c r="M557" s="77"/>
    </row>
    <row r="558" spans="1:13" ht="13" x14ac:dyDescent="0.25">
      <c r="A558" s="657">
        <v>9112</v>
      </c>
      <c r="B558" s="373" t="s">
        <v>681</v>
      </c>
      <c r="C558" s="360">
        <v>1132</v>
      </c>
      <c r="D558" s="54">
        <v>715</v>
      </c>
      <c r="E558" s="366">
        <f t="shared" si="8"/>
        <v>0.63162544169611312</v>
      </c>
      <c r="F558" s="526"/>
      <c r="G558" s="518"/>
      <c r="H558" s="526"/>
      <c r="I558" s="59"/>
      <c r="J558" s="77"/>
      <c r="K558" s="518">
        <v>469</v>
      </c>
      <c r="L558" s="526"/>
      <c r="M558" s="77"/>
    </row>
    <row r="559" spans="1:13" ht="13" x14ac:dyDescent="0.25">
      <c r="A559" s="657">
        <v>9301</v>
      </c>
      <c r="B559" s="373" t="s">
        <v>682</v>
      </c>
      <c r="C559" s="360">
        <v>1233</v>
      </c>
      <c r="D559" s="54">
        <v>779</v>
      </c>
      <c r="E559" s="366">
        <f t="shared" si="8"/>
        <v>0.63179237631792373</v>
      </c>
      <c r="F559" s="526"/>
      <c r="G559" s="518"/>
      <c r="H559" s="526"/>
      <c r="I559" s="59"/>
      <c r="J559" s="77"/>
      <c r="K559" s="518">
        <v>539</v>
      </c>
      <c r="L559" s="526"/>
      <c r="M559" s="77"/>
    </row>
    <row r="560" spans="1:13" ht="13" x14ac:dyDescent="0.25">
      <c r="A560" s="657">
        <v>9302</v>
      </c>
      <c r="B560" s="373" t="s">
        <v>683</v>
      </c>
      <c r="C560" s="360">
        <v>689</v>
      </c>
      <c r="D560" s="54">
        <v>409</v>
      </c>
      <c r="E560" s="366">
        <f t="shared" si="8"/>
        <v>0.59361393323657474</v>
      </c>
      <c r="F560" s="526"/>
      <c r="G560" s="518"/>
      <c r="H560" s="526"/>
      <c r="I560" s="59"/>
      <c r="J560" s="77"/>
      <c r="K560" s="518">
        <v>272</v>
      </c>
      <c r="L560" s="526"/>
      <c r="M560" s="77"/>
    </row>
    <row r="561" spans="1:13" ht="13" x14ac:dyDescent="0.25">
      <c r="A561" s="657">
        <v>9501</v>
      </c>
      <c r="B561" s="373" t="s">
        <v>684</v>
      </c>
      <c r="C561" s="360">
        <v>1334</v>
      </c>
      <c r="D561" s="54">
        <v>504</v>
      </c>
      <c r="E561" s="366">
        <f t="shared" si="8"/>
        <v>0.37781109445277361</v>
      </c>
      <c r="F561" s="526"/>
      <c r="G561" s="518"/>
      <c r="H561" s="526"/>
      <c r="I561" s="59"/>
      <c r="J561" s="77"/>
      <c r="K561" s="518"/>
      <c r="L561" s="526"/>
      <c r="M561" s="77">
        <v>321</v>
      </c>
    </row>
    <row r="562" spans="1:13" ht="13" x14ac:dyDescent="0.25">
      <c r="A562" s="657">
        <v>9502</v>
      </c>
      <c r="B562" s="373" t="s">
        <v>685</v>
      </c>
      <c r="C562" s="360">
        <v>1491</v>
      </c>
      <c r="D562" s="54">
        <v>663</v>
      </c>
      <c r="E562" s="366">
        <f t="shared" si="8"/>
        <v>0.44466800804828976</v>
      </c>
      <c r="F562" s="526"/>
      <c r="G562" s="518"/>
      <c r="H562" s="526"/>
      <c r="I562" s="59"/>
      <c r="J562" s="77"/>
      <c r="K562" s="518"/>
      <c r="L562" s="526"/>
      <c r="M562" s="77">
        <v>404</v>
      </c>
    </row>
    <row r="563" spans="1:13" ht="13" x14ac:dyDescent="0.25">
      <c r="A563" s="657">
        <v>9503</v>
      </c>
      <c r="B563" s="373" t="s">
        <v>686</v>
      </c>
      <c r="C563" s="360">
        <v>1226</v>
      </c>
      <c r="D563" s="54">
        <v>339</v>
      </c>
      <c r="E563" s="366">
        <f t="shared" si="8"/>
        <v>0.27650897226753668</v>
      </c>
      <c r="F563" s="526"/>
      <c r="G563" s="518"/>
      <c r="H563" s="526"/>
      <c r="I563" s="59"/>
      <c r="J563" s="73"/>
      <c r="K563" s="518"/>
      <c r="L563" s="526"/>
      <c r="M563" s="77">
        <v>223</v>
      </c>
    </row>
    <row r="564" spans="1:13" ht="13" x14ac:dyDescent="0.25">
      <c r="A564" s="657">
        <v>9701</v>
      </c>
      <c r="B564" s="373" t="s">
        <v>687</v>
      </c>
      <c r="C564" s="360">
        <v>1099</v>
      </c>
      <c r="D564" s="54">
        <v>520</v>
      </c>
      <c r="E564" s="366">
        <f t="shared" si="8"/>
        <v>0.47315741583257509</v>
      </c>
      <c r="F564" s="526"/>
      <c r="G564" s="518"/>
      <c r="H564" s="526">
        <v>435</v>
      </c>
      <c r="I564" s="59"/>
      <c r="J564" s="73"/>
      <c r="K564" s="518"/>
      <c r="L564" s="526"/>
      <c r="M564" s="77"/>
    </row>
    <row r="565" spans="1:13" ht="13.5" thickBot="1" x14ac:dyDescent="0.3">
      <c r="A565" s="656">
        <v>9702</v>
      </c>
      <c r="B565" s="374" t="s">
        <v>688</v>
      </c>
      <c r="C565" s="375">
        <v>1563</v>
      </c>
      <c r="D565" s="363">
        <v>566</v>
      </c>
      <c r="E565" s="654">
        <f t="shared" si="8"/>
        <v>0.36212412028150992</v>
      </c>
      <c r="F565" s="528"/>
      <c r="G565" s="519"/>
      <c r="H565" s="528">
        <v>448</v>
      </c>
      <c r="I565" s="364"/>
      <c r="J565" s="365"/>
      <c r="K565" s="519"/>
      <c r="L565" s="528"/>
      <c r="M565" s="516"/>
    </row>
    <row r="566" spans="1:13" ht="13.5" thickTop="1" x14ac:dyDescent="0.25">
      <c r="A566" s="658"/>
      <c r="B566" s="376" t="s">
        <v>4</v>
      </c>
      <c r="C566" s="377">
        <f>SUM(C4:C565)</f>
        <v>597466</v>
      </c>
      <c r="D566" s="384">
        <f>SUM(D4:D565)</f>
        <v>288751</v>
      </c>
      <c r="E566" s="666">
        <f t="shared" si="8"/>
        <v>0.4832927731452501</v>
      </c>
      <c r="F566" s="646">
        <v>12218</v>
      </c>
      <c r="G566" s="647">
        <v>23054</v>
      </c>
      <c r="H566" s="646">
        <v>28024</v>
      </c>
      <c r="I566" s="648">
        <v>20133</v>
      </c>
      <c r="J566" s="649">
        <v>27260</v>
      </c>
      <c r="K566" s="647">
        <v>35780</v>
      </c>
      <c r="L566" s="646">
        <v>31631</v>
      </c>
      <c r="M566" s="649">
        <v>22178</v>
      </c>
    </row>
    <row r="567" spans="1:13" ht="13" x14ac:dyDescent="0.25">
      <c r="A567" s="657"/>
      <c r="B567" s="15" t="s">
        <v>5</v>
      </c>
      <c r="C567" s="226"/>
      <c r="D567" s="326">
        <f>SUM(D566-D568)</f>
        <v>227468</v>
      </c>
      <c r="E567" s="480">
        <f>SUM(D567/C566)</f>
        <v>0.38072124606253743</v>
      </c>
      <c r="F567" s="650">
        <f>SUM(F566-F568)</f>
        <v>8805</v>
      </c>
      <c r="G567" s="651">
        <f t="shared" ref="G567:M567" si="9">SUM(G566-G568)</f>
        <v>15807</v>
      </c>
      <c r="H567" s="650">
        <f t="shared" si="9"/>
        <v>21909</v>
      </c>
      <c r="I567" s="652">
        <f t="shared" si="9"/>
        <v>16306</v>
      </c>
      <c r="J567" s="653">
        <f t="shared" si="9"/>
        <v>18818</v>
      </c>
      <c r="K567" s="651">
        <f t="shared" si="9"/>
        <v>28535</v>
      </c>
      <c r="L567" s="650">
        <f t="shared" si="9"/>
        <v>27141</v>
      </c>
      <c r="M567" s="653">
        <f t="shared" si="9"/>
        <v>19395</v>
      </c>
    </row>
    <row r="568" spans="1:13" ht="13.5" thickBot="1" x14ac:dyDescent="0.3">
      <c r="A568" s="656"/>
      <c r="B568" s="425" t="s">
        <v>6</v>
      </c>
      <c r="C568" s="426"/>
      <c r="D568" s="427">
        <v>61283</v>
      </c>
      <c r="E568" s="636">
        <f>SUM(D568/C566)</f>
        <v>0.10257152708271265</v>
      </c>
      <c r="F568" s="671">
        <v>3413</v>
      </c>
      <c r="G568" s="672">
        <v>7247</v>
      </c>
      <c r="H568" s="671">
        <v>6115</v>
      </c>
      <c r="I568" s="673">
        <v>3827</v>
      </c>
      <c r="J568" s="674">
        <v>8442</v>
      </c>
      <c r="K568" s="672">
        <v>7245</v>
      </c>
      <c r="L568" s="671">
        <v>4490</v>
      </c>
      <c r="M568" s="674">
        <v>2783</v>
      </c>
    </row>
    <row r="569" spans="1:13" ht="13.5" thickTop="1" x14ac:dyDescent="0.25">
      <c r="A569" s="655"/>
      <c r="B569" s="373"/>
      <c r="C569" s="360"/>
      <c r="D569" s="54"/>
      <c r="E569" s="367"/>
      <c r="F569" s="525"/>
      <c r="G569" s="517"/>
      <c r="H569" s="525"/>
      <c r="I569" s="75"/>
      <c r="J569" s="76"/>
      <c r="K569" s="517"/>
      <c r="L569" s="525"/>
      <c r="M569" s="76"/>
    </row>
    <row r="570" spans="1:13" ht="13" x14ac:dyDescent="0.25">
      <c r="A570" s="378"/>
      <c r="B570" s="378" t="s">
        <v>774</v>
      </c>
      <c r="C570" s="236">
        <f>SUM(C4:C193)</f>
        <v>219787</v>
      </c>
      <c r="D570" s="236">
        <f>SUM(D4:D193)</f>
        <v>87868</v>
      </c>
      <c r="E570" s="367">
        <v>0.41992945566465567</v>
      </c>
      <c r="F570" s="529">
        <f t="shared" ref="F570:M570" si="10">SUM(F4:F193)</f>
        <v>12218</v>
      </c>
      <c r="G570" s="275">
        <f t="shared" si="10"/>
        <v>21136</v>
      </c>
      <c r="H570" s="529">
        <f t="shared" si="10"/>
        <v>2897</v>
      </c>
      <c r="I570" s="70">
        <f t="shared" si="10"/>
        <v>6849</v>
      </c>
      <c r="J570" s="87">
        <f t="shared" si="10"/>
        <v>13203</v>
      </c>
      <c r="K570" s="275">
        <f t="shared" si="10"/>
        <v>0</v>
      </c>
      <c r="L570" s="529">
        <f t="shared" si="10"/>
        <v>0</v>
      </c>
      <c r="M570" s="87">
        <f t="shared" si="10"/>
        <v>4882</v>
      </c>
    </row>
    <row r="571" spans="1:13" ht="13" x14ac:dyDescent="0.25">
      <c r="A571" s="378"/>
      <c r="B571" s="378" t="s">
        <v>689</v>
      </c>
      <c r="C571" s="236">
        <f>SUM(C4:C16)</f>
        <v>13154</v>
      </c>
      <c r="D571" s="282">
        <f>SUM(D4:D16)</f>
        <v>7182</v>
      </c>
      <c r="E571" s="367">
        <v>0.5572745979727155</v>
      </c>
      <c r="F571" s="529">
        <f t="shared" ref="F571:M571" si="11">SUM(F4:F16)</f>
        <v>0</v>
      </c>
      <c r="G571" s="275">
        <f t="shared" si="11"/>
        <v>0</v>
      </c>
      <c r="H571" s="529">
        <f t="shared" si="11"/>
        <v>0</v>
      </c>
      <c r="I571" s="70">
        <f t="shared" si="11"/>
        <v>2307</v>
      </c>
      <c r="J571" s="87">
        <f t="shared" si="11"/>
        <v>3798</v>
      </c>
      <c r="K571" s="275">
        <f t="shared" si="11"/>
        <v>0</v>
      </c>
      <c r="L571" s="529">
        <f t="shared" si="11"/>
        <v>0</v>
      </c>
      <c r="M571" s="87">
        <f t="shared" si="11"/>
        <v>0</v>
      </c>
    </row>
    <row r="572" spans="1:13" ht="13" x14ac:dyDescent="0.25">
      <c r="A572" s="378"/>
      <c r="B572" s="378" t="s">
        <v>690</v>
      </c>
      <c r="C572" s="236">
        <f>SUM(C17:C27)</f>
        <v>14746</v>
      </c>
      <c r="D572" s="282">
        <f>SUM(D17:D27)</f>
        <v>7135</v>
      </c>
      <c r="E572" s="367">
        <v>0.49514762165117548</v>
      </c>
      <c r="F572" s="529">
        <f t="shared" ref="F572:M572" si="12">SUM(F17:F27)</f>
        <v>0</v>
      </c>
      <c r="G572" s="275">
        <f t="shared" si="12"/>
        <v>2438</v>
      </c>
      <c r="H572" s="529">
        <f t="shared" si="12"/>
        <v>0</v>
      </c>
      <c r="I572" s="70">
        <f t="shared" si="12"/>
        <v>867</v>
      </c>
      <c r="J572" s="87">
        <f t="shared" si="12"/>
        <v>1917</v>
      </c>
      <c r="K572" s="275">
        <f t="shared" si="12"/>
        <v>0</v>
      </c>
      <c r="L572" s="529">
        <f t="shared" si="12"/>
        <v>0</v>
      </c>
      <c r="M572" s="87">
        <f t="shared" si="12"/>
        <v>0</v>
      </c>
    </row>
    <row r="573" spans="1:13" ht="13" x14ac:dyDescent="0.25">
      <c r="A573" s="379"/>
      <c r="B573" s="380" t="s">
        <v>691</v>
      </c>
      <c r="C573" s="179">
        <f>SUM(C28:C32)</f>
        <v>6367</v>
      </c>
      <c r="D573" s="179">
        <f>SUM(D28:D32)</f>
        <v>2563</v>
      </c>
      <c r="E573" s="367">
        <v>0.43094528923028685</v>
      </c>
      <c r="F573" s="530">
        <f t="shared" ref="F573:M573" si="13">SUM(F28:F32)</f>
        <v>1716</v>
      </c>
      <c r="G573" s="181">
        <f t="shared" si="13"/>
        <v>0</v>
      </c>
      <c r="H573" s="530">
        <f t="shared" si="13"/>
        <v>0</v>
      </c>
      <c r="I573" s="55">
        <f t="shared" si="13"/>
        <v>0</v>
      </c>
      <c r="J573" s="79">
        <f t="shared" si="13"/>
        <v>0</v>
      </c>
      <c r="K573" s="181">
        <f t="shared" si="13"/>
        <v>0</v>
      </c>
      <c r="L573" s="530">
        <f t="shared" si="13"/>
        <v>0</v>
      </c>
      <c r="M573" s="79">
        <f t="shared" si="13"/>
        <v>0</v>
      </c>
    </row>
    <row r="574" spans="1:13" ht="13" x14ac:dyDescent="0.25">
      <c r="A574" s="379"/>
      <c r="B574" s="380" t="s">
        <v>692</v>
      </c>
      <c r="C574" s="236">
        <f>SUM(C33:C40)</f>
        <v>9128</v>
      </c>
      <c r="D574" s="236">
        <f>SUM(D33:D40)</f>
        <v>5497</v>
      </c>
      <c r="E574" s="367">
        <v>0.6101657701174662</v>
      </c>
      <c r="F574" s="531">
        <f t="shared" ref="F574:M574" si="14">SUM(F33:F40)</f>
        <v>0</v>
      </c>
      <c r="G574" s="520">
        <f t="shared" si="14"/>
        <v>0</v>
      </c>
      <c r="H574" s="531">
        <f t="shared" si="14"/>
        <v>0</v>
      </c>
      <c r="I574" s="80">
        <f t="shared" si="14"/>
        <v>1381</v>
      </c>
      <c r="J574" s="81">
        <f t="shared" si="14"/>
        <v>3093</v>
      </c>
      <c r="K574" s="520">
        <f t="shared" si="14"/>
        <v>0</v>
      </c>
      <c r="L574" s="531">
        <f t="shared" si="14"/>
        <v>0</v>
      </c>
      <c r="M574" s="81">
        <f t="shared" si="14"/>
        <v>0</v>
      </c>
    </row>
    <row r="575" spans="1:13" ht="13" x14ac:dyDescent="0.25">
      <c r="A575" s="379"/>
      <c r="B575" s="380" t="s">
        <v>693</v>
      </c>
      <c r="C575" s="235">
        <f>SUM(C41:C49)</f>
        <v>10702</v>
      </c>
      <c r="D575" s="235">
        <f>SUM(D41:D49)</f>
        <v>6372</v>
      </c>
      <c r="E575" s="367">
        <v>0.62454536976592367</v>
      </c>
      <c r="F575" s="532">
        <f t="shared" ref="F575:M575" si="15">SUM(F41:F49)</f>
        <v>608</v>
      </c>
      <c r="G575" s="291">
        <f t="shared" si="15"/>
        <v>0</v>
      </c>
      <c r="H575" s="532">
        <f t="shared" si="15"/>
        <v>0</v>
      </c>
      <c r="I575" s="49">
        <f t="shared" si="15"/>
        <v>1751</v>
      </c>
      <c r="J575" s="82">
        <f t="shared" si="15"/>
        <v>2808</v>
      </c>
      <c r="K575" s="291">
        <f t="shared" si="15"/>
        <v>0</v>
      </c>
      <c r="L575" s="532">
        <f t="shared" si="15"/>
        <v>0</v>
      </c>
      <c r="M575" s="82">
        <f t="shared" si="15"/>
        <v>0</v>
      </c>
    </row>
    <row r="576" spans="1:13" ht="13" x14ac:dyDescent="0.25">
      <c r="A576" s="379"/>
      <c r="B576" s="380" t="s">
        <v>775</v>
      </c>
      <c r="C576" s="235">
        <f>SUM(C50:C53)</f>
        <v>6930</v>
      </c>
      <c r="D576" s="235">
        <f>SUM(D50:D53)</f>
        <v>2355</v>
      </c>
      <c r="E576" s="367">
        <v>0.3663496708119971</v>
      </c>
      <c r="F576" s="532">
        <f t="shared" ref="F576:M576" si="16">SUM(F50:F53)</f>
        <v>773</v>
      </c>
      <c r="G576" s="291">
        <f t="shared" si="16"/>
        <v>0</v>
      </c>
      <c r="H576" s="532">
        <f t="shared" si="16"/>
        <v>0</v>
      </c>
      <c r="I576" s="49">
        <f t="shared" si="16"/>
        <v>180</v>
      </c>
      <c r="J576" s="82">
        <f t="shared" si="16"/>
        <v>752</v>
      </c>
      <c r="K576" s="291">
        <f t="shared" si="16"/>
        <v>0</v>
      </c>
      <c r="L576" s="532">
        <f t="shared" si="16"/>
        <v>0</v>
      </c>
      <c r="M576" s="82">
        <f t="shared" si="16"/>
        <v>0</v>
      </c>
    </row>
    <row r="577" spans="1:13" ht="13" x14ac:dyDescent="0.25">
      <c r="A577" s="379"/>
      <c r="B577" s="380" t="s">
        <v>754</v>
      </c>
      <c r="C577" s="235">
        <f>SUM(C55:C65)</f>
        <v>11053</v>
      </c>
      <c r="D577" s="235">
        <f>SUM(D55:D65)</f>
        <v>4088</v>
      </c>
      <c r="E577" s="367">
        <v>0.41463194882421839</v>
      </c>
      <c r="F577" s="532">
        <f t="shared" ref="F577:M577" si="17">SUM(F55:F65)</f>
        <v>0</v>
      </c>
      <c r="G577" s="291">
        <f t="shared" si="17"/>
        <v>2081</v>
      </c>
      <c r="H577" s="532">
        <f t="shared" si="17"/>
        <v>948</v>
      </c>
      <c r="I577" s="49">
        <f t="shared" si="17"/>
        <v>0</v>
      </c>
      <c r="J577" s="82">
        <f t="shared" si="17"/>
        <v>0</v>
      </c>
      <c r="K577" s="291">
        <f t="shared" si="17"/>
        <v>0</v>
      </c>
      <c r="L577" s="532">
        <f t="shared" si="17"/>
        <v>0</v>
      </c>
      <c r="M577" s="82">
        <f t="shared" si="17"/>
        <v>0</v>
      </c>
    </row>
    <row r="578" spans="1:13" ht="13" x14ac:dyDescent="0.25">
      <c r="A578" s="379"/>
      <c r="B578" s="380" t="s">
        <v>694</v>
      </c>
      <c r="C578" s="235">
        <f>SUM(C66:C69)</f>
        <v>6108</v>
      </c>
      <c r="D578" s="235">
        <f>SUM(D66:D69)</f>
        <v>2473</v>
      </c>
      <c r="E578" s="367">
        <v>0.42323852617970265</v>
      </c>
      <c r="F578" s="532">
        <f t="shared" ref="F578:M578" si="18">SUM(F66:F69)</f>
        <v>1076</v>
      </c>
      <c r="G578" s="291">
        <f t="shared" si="18"/>
        <v>0</v>
      </c>
      <c r="H578" s="532">
        <f t="shared" si="18"/>
        <v>0</v>
      </c>
      <c r="I578" s="49">
        <f t="shared" si="18"/>
        <v>246</v>
      </c>
      <c r="J578" s="82">
        <f t="shared" si="18"/>
        <v>490</v>
      </c>
      <c r="K578" s="291">
        <f t="shared" si="18"/>
        <v>0</v>
      </c>
      <c r="L578" s="532">
        <f t="shared" si="18"/>
        <v>0</v>
      </c>
      <c r="M578" s="82">
        <f t="shared" si="18"/>
        <v>0</v>
      </c>
    </row>
    <row r="579" spans="1:13" ht="13" x14ac:dyDescent="0.25">
      <c r="A579" s="379"/>
      <c r="B579" s="380" t="s">
        <v>755</v>
      </c>
      <c r="C579" s="235">
        <f>SUM(C70:C73)</f>
        <v>4935</v>
      </c>
      <c r="D579" s="235">
        <f>SUM(D70:D73)</f>
        <v>1670</v>
      </c>
      <c r="E579" s="367">
        <v>0.35862210375230674</v>
      </c>
      <c r="F579" s="532">
        <f t="shared" ref="F579:M579" si="19">SUM(F70:F73)</f>
        <v>1128</v>
      </c>
      <c r="G579" s="291">
        <f t="shared" si="19"/>
        <v>0</v>
      </c>
      <c r="H579" s="532">
        <f t="shared" si="19"/>
        <v>0</v>
      </c>
      <c r="I579" s="49">
        <f t="shared" si="19"/>
        <v>0</v>
      </c>
      <c r="J579" s="82">
        <f t="shared" si="19"/>
        <v>0</v>
      </c>
      <c r="K579" s="291">
        <f t="shared" si="19"/>
        <v>0</v>
      </c>
      <c r="L579" s="532">
        <f t="shared" si="19"/>
        <v>0</v>
      </c>
      <c r="M579" s="82">
        <f t="shared" si="19"/>
        <v>0</v>
      </c>
    </row>
    <row r="580" spans="1:13" ht="13" x14ac:dyDescent="0.25">
      <c r="A580" s="379"/>
      <c r="B580" s="380" t="s">
        <v>756</v>
      </c>
      <c r="C580" s="235">
        <f>SUM(C74:C76)</f>
        <v>4178</v>
      </c>
      <c r="D580" s="235">
        <f>SUM(D74:D76)</f>
        <v>1398</v>
      </c>
      <c r="E580" s="367">
        <v>0.35261707988980717</v>
      </c>
      <c r="F580" s="532">
        <f t="shared" ref="F580:M580" si="20">SUM(F74:F76)</f>
        <v>868</v>
      </c>
      <c r="G580" s="291">
        <f t="shared" si="20"/>
        <v>0</v>
      </c>
      <c r="H580" s="532">
        <f t="shared" si="20"/>
        <v>0</v>
      </c>
      <c r="I580" s="49">
        <f t="shared" si="20"/>
        <v>0</v>
      </c>
      <c r="J580" s="82">
        <f t="shared" si="20"/>
        <v>0</v>
      </c>
      <c r="K580" s="291">
        <f t="shared" si="20"/>
        <v>0</v>
      </c>
      <c r="L580" s="532">
        <f t="shared" si="20"/>
        <v>0</v>
      </c>
      <c r="M580" s="82">
        <f t="shared" si="20"/>
        <v>0</v>
      </c>
    </row>
    <row r="581" spans="1:13" ht="13" x14ac:dyDescent="0.25">
      <c r="A581" s="379"/>
      <c r="B581" s="380" t="s">
        <v>776</v>
      </c>
      <c r="C581" s="235">
        <f>SUM(C77:C79)</f>
        <v>3620</v>
      </c>
      <c r="D581" s="235">
        <f>SUM(D77:D79)</f>
        <v>992</v>
      </c>
      <c r="E581" s="367">
        <v>0.27901430842607311</v>
      </c>
      <c r="F581" s="532">
        <f t="shared" ref="F581:M581" si="21">SUM(F77:F79)</f>
        <v>643</v>
      </c>
      <c r="G581" s="291">
        <f t="shared" si="21"/>
        <v>0</v>
      </c>
      <c r="H581" s="532">
        <f t="shared" si="21"/>
        <v>0</v>
      </c>
      <c r="I581" s="49">
        <f t="shared" si="21"/>
        <v>0</v>
      </c>
      <c r="J581" s="82">
        <f t="shared" si="21"/>
        <v>0</v>
      </c>
      <c r="K581" s="291">
        <f t="shared" si="21"/>
        <v>0</v>
      </c>
      <c r="L581" s="532">
        <f t="shared" si="21"/>
        <v>0</v>
      </c>
      <c r="M581" s="82">
        <f t="shared" si="21"/>
        <v>0</v>
      </c>
    </row>
    <row r="582" spans="1:13" ht="13" x14ac:dyDescent="0.25">
      <c r="A582" s="379"/>
      <c r="B582" s="380" t="s">
        <v>757</v>
      </c>
      <c r="C582" s="235">
        <f>SUM(C81:C85)</f>
        <v>5452</v>
      </c>
      <c r="D582" s="235">
        <f>SUM(D81:D85)</f>
        <v>1195</v>
      </c>
      <c r="E582" s="367">
        <v>0.22040816326530613</v>
      </c>
      <c r="F582" s="532">
        <f t="shared" ref="F582:M582" si="22">SUM(F81:F85)</f>
        <v>782</v>
      </c>
      <c r="G582" s="291">
        <f t="shared" si="22"/>
        <v>0</v>
      </c>
      <c r="H582" s="532">
        <f t="shared" si="22"/>
        <v>0</v>
      </c>
      <c r="I582" s="49">
        <f t="shared" si="22"/>
        <v>0</v>
      </c>
      <c r="J582" s="82">
        <f t="shared" si="22"/>
        <v>0</v>
      </c>
      <c r="K582" s="291">
        <f t="shared" si="22"/>
        <v>0</v>
      </c>
      <c r="L582" s="532">
        <f t="shared" si="22"/>
        <v>0</v>
      </c>
      <c r="M582" s="82">
        <f t="shared" si="22"/>
        <v>0</v>
      </c>
    </row>
    <row r="583" spans="1:13" ht="13" x14ac:dyDescent="0.25">
      <c r="A583" s="379"/>
      <c r="B583" s="380" t="s">
        <v>758</v>
      </c>
      <c r="C583" s="235">
        <f>SUM(C86:C93)</f>
        <v>9374</v>
      </c>
      <c r="D583" s="235">
        <f>SUM(D86:D93)</f>
        <v>2852</v>
      </c>
      <c r="E583" s="367">
        <v>0.33187819420783643</v>
      </c>
      <c r="F583" s="532">
        <f t="shared" ref="F583:M583" si="23">SUM(F86:F93)</f>
        <v>802</v>
      </c>
      <c r="G583" s="291">
        <f t="shared" si="23"/>
        <v>1181</v>
      </c>
      <c r="H583" s="532">
        <f t="shared" si="23"/>
        <v>0</v>
      </c>
      <c r="I583" s="49">
        <f t="shared" si="23"/>
        <v>0</v>
      </c>
      <c r="J583" s="82">
        <f t="shared" si="23"/>
        <v>0</v>
      </c>
      <c r="K583" s="291">
        <f t="shared" si="23"/>
        <v>0</v>
      </c>
      <c r="L583" s="532">
        <f t="shared" si="23"/>
        <v>0</v>
      </c>
      <c r="M583" s="82">
        <f t="shared" si="23"/>
        <v>0</v>
      </c>
    </row>
    <row r="584" spans="1:13" ht="13" x14ac:dyDescent="0.25">
      <c r="A584" s="379"/>
      <c r="B584" s="380" t="s">
        <v>695</v>
      </c>
      <c r="C584" s="235">
        <f>SUM(C94:C102)</f>
        <v>10459</v>
      </c>
      <c r="D584" s="235">
        <f>SUM(D94:D102)</f>
        <v>5912</v>
      </c>
      <c r="E584" s="367">
        <v>0.57434765924788944</v>
      </c>
      <c r="F584" s="532">
        <f t="shared" ref="F584:M584" si="24">SUM(F94:F102)</f>
        <v>0</v>
      </c>
      <c r="G584" s="291">
        <f t="shared" si="24"/>
        <v>3964</v>
      </c>
      <c r="H584" s="532">
        <f t="shared" si="24"/>
        <v>0</v>
      </c>
      <c r="I584" s="49">
        <f t="shared" si="24"/>
        <v>0</v>
      </c>
      <c r="J584" s="82">
        <f t="shared" si="24"/>
        <v>0</v>
      </c>
      <c r="K584" s="291">
        <f t="shared" si="24"/>
        <v>0</v>
      </c>
      <c r="L584" s="532">
        <f t="shared" si="24"/>
        <v>0</v>
      </c>
      <c r="M584" s="82">
        <f t="shared" si="24"/>
        <v>0</v>
      </c>
    </row>
    <row r="585" spans="1:13" ht="13" x14ac:dyDescent="0.25">
      <c r="A585" s="379"/>
      <c r="B585" s="380" t="s">
        <v>696</v>
      </c>
      <c r="C585" s="235">
        <f>SUM(C103:C112)</f>
        <v>10888</v>
      </c>
      <c r="D585" s="235">
        <f>SUM(D103:D112)</f>
        <v>5076</v>
      </c>
      <c r="E585" s="367">
        <v>0.48442396313364056</v>
      </c>
      <c r="F585" s="532">
        <f t="shared" ref="F585:M585" si="25">SUM(F103:F112)</f>
        <v>570</v>
      </c>
      <c r="G585" s="291">
        <f t="shared" si="25"/>
        <v>2792</v>
      </c>
      <c r="H585" s="532">
        <f t="shared" si="25"/>
        <v>0</v>
      </c>
      <c r="I585" s="49">
        <f t="shared" si="25"/>
        <v>0</v>
      </c>
      <c r="J585" s="82">
        <f t="shared" si="25"/>
        <v>0</v>
      </c>
      <c r="K585" s="291">
        <f t="shared" si="25"/>
        <v>0</v>
      </c>
      <c r="L585" s="532">
        <f t="shared" si="25"/>
        <v>0</v>
      </c>
      <c r="M585" s="82">
        <f t="shared" si="25"/>
        <v>0</v>
      </c>
    </row>
    <row r="586" spans="1:13" ht="13" x14ac:dyDescent="0.25">
      <c r="A586" s="379"/>
      <c r="B586" s="380" t="s">
        <v>7</v>
      </c>
      <c r="C586" s="235">
        <f>SUM(C113)</f>
        <v>1451</v>
      </c>
      <c r="D586" s="235">
        <f>SUM(D113)</f>
        <v>280</v>
      </c>
      <c r="E586" s="367">
        <v>0.21352313167259787</v>
      </c>
      <c r="F586" s="532">
        <f t="shared" ref="F586:M586" si="26">SUM(F113)</f>
        <v>168</v>
      </c>
      <c r="G586" s="291">
        <f t="shared" si="26"/>
        <v>0</v>
      </c>
      <c r="H586" s="532">
        <f t="shared" si="26"/>
        <v>0</v>
      </c>
      <c r="I586" s="49">
        <f t="shared" si="26"/>
        <v>0</v>
      </c>
      <c r="J586" s="82">
        <f t="shared" si="26"/>
        <v>0</v>
      </c>
      <c r="K586" s="291">
        <f t="shared" si="26"/>
        <v>0</v>
      </c>
      <c r="L586" s="532">
        <f t="shared" si="26"/>
        <v>0</v>
      </c>
      <c r="M586" s="82">
        <f t="shared" si="26"/>
        <v>0</v>
      </c>
    </row>
    <row r="587" spans="1:13" ht="13" x14ac:dyDescent="0.25">
      <c r="A587" s="379"/>
      <c r="B587" s="380" t="s">
        <v>697</v>
      </c>
      <c r="C587" s="235">
        <f>SUM(C114:C116)</f>
        <v>4425</v>
      </c>
      <c r="D587" s="235">
        <f>SUM(D114:D116)</f>
        <v>1216</v>
      </c>
      <c r="E587" s="367">
        <v>0.31101362271992611</v>
      </c>
      <c r="F587" s="532">
        <f t="shared" ref="F587:M587" si="27">SUM(F114:F116)</f>
        <v>799</v>
      </c>
      <c r="G587" s="291">
        <f t="shared" si="27"/>
        <v>0</v>
      </c>
      <c r="H587" s="532">
        <f t="shared" si="27"/>
        <v>0</v>
      </c>
      <c r="I587" s="49">
        <f t="shared" si="27"/>
        <v>0</v>
      </c>
      <c r="J587" s="82">
        <f t="shared" si="27"/>
        <v>0</v>
      </c>
      <c r="K587" s="291">
        <f t="shared" si="27"/>
        <v>0</v>
      </c>
      <c r="L587" s="532">
        <f t="shared" si="27"/>
        <v>0</v>
      </c>
      <c r="M587" s="82">
        <f t="shared" si="27"/>
        <v>0</v>
      </c>
    </row>
    <row r="588" spans="1:13" ht="13" x14ac:dyDescent="0.25">
      <c r="A588" s="379"/>
      <c r="B588" s="380" t="s">
        <v>698</v>
      </c>
      <c r="C588" s="235">
        <f>SUM(C117:C118)</f>
        <v>1860</v>
      </c>
      <c r="D588" s="235">
        <f>SUM(D117:D118)</f>
        <v>379</v>
      </c>
      <c r="E588" s="367">
        <v>0.22276422764227644</v>
      </c>
      <c r="F588" s="532">
        <f t="shared" ref="F588:M588" si="28">SUM(F117:F118)</f>
        <v>261</v>
      </c>
      <c r="G588" s="291">
        <f t="shared" si="28"/>
        <v>0</v>
      </c>
      <c r="H588" s="532">
        <f t="shared" si="28"/>
        <v>0</v>
      </c>
      <c r="I588" s="49">
        <f t="shared" si="28"/>
        <v>0</v>
      </c>
      <c r="J588" s="82">
        <f t="shared" si="28"/>
        <v>0</v>
      </c>
      <c r="K588" s="291">
        <f t="shared" si="28"/>
        <v>0</v>
      </c>
      <c r="L588" s="532">
        <f t="shared" si="28"/>
        <v>0</v>
      </c>
      <c r="M588" s="82">
        <f t="shared" si="28"/>
        <v>0</v>
      </c>
    </row>
    <row r="589" spans="1:13" ht="13" x14ac:dyDescent="0.25">
      <c r="A589" s="379"/>
      <c r="B589" s="380" t="s">
        <v>699</v>
      </c>
      <c r="C589" s="235">
        <f>SUM(C119:C122)</f>
        <v>4019</v>
      </c>
      <c r="D589" s="235">
        <f>SUM(D119:D122)</f>
        <v>1542</v>
      </c>
      <c r="E589" s="367">
        <v>0.42171654711847639</v>
      </c>
      <c r="F589" s="532">
        <f t="shared" ref="F589:M589" si="29">SUM(F119:F122)</f>
        <v>22</v>
      </c>
      <c r="G589" s="291">
        <f t="shared" si="29"/>
        <v>0</v>
      </c>
      <c r="H589" s="532">
        <f t="shared" si="29"/>
        <v>0</v>
      </c>
      <c r="I589" s="49">
        <f t="shared" si="29"/>
        <v>0</v>
      </c>
      <c r="J589" s="82">
        <f t="shared" si="29"/>
        <v>0</v>
      </c>
      <c r="K589" s="291">
        <f t="shared" si="29"/>
        <v>0</v>
      </c>
      <c r="L589" s="532">
        <f t="shared" si="29"/>
        <v>0</v>
      </c>
      <c r="M589" s="82">
        <f t="shared" si="29"/>
        <v>819</v>
      </c>
    </row>
    <row r="590" spans="1:13" ht="13" x14ac:dyDescent="0.25">
      <c r="A590" s="379"/>
      <c r="B590" s="380" t="s">
        <v>759</v>
      </c>
      <c r="C590" s="235">
        <f>SUM(C123:C127)</f>
        <v>6421</v>
      </c>
      <c r="D590" s="235">
        <f>SUM(D123:D127)</f>
        <v>1725</v>
      </c>
      <c r="E590" s="367">
        <v>0.28352193458378544</v>
      </c>
      <c r="F590" s="533">
        <f t="shared" ref="F590:M590" si="30">SUM(F123:F127)</f>
        <v>0</v>
      </c>
      <c r="G590" s="521">
        <f t="shared" si="30"/>
        <v>0</v>
      </c>
      <c r="H590" s="533">
        <f t="shared" si="30"/>
        <v>0</v>
      </c>
      <c r="I590" s="61">
        <f t="shared" si="30"/>
        <v>0</v>
      </c>
      <c r="J590" s="83">
        <f t="shared" si="30"/>
        <v>0</v>
      </c>
      <c r="K590" s="521">
        <f t="shared" si="30"/>
        <v>0</v>
      </c>
      <c r="L590" s="533">
        <f t="shared" si="30"/>
        <v>0</v>
      </c>
      <c r="M590" s="83">
        <f t="shared" si="30"/>
        <v>843</v>
      </c>
    </row>
    <row r="591" spans="1:13" ht="13" x14ac:dyDescent="0.25">
      <c r="A591" s="379"/>
      <c r="B591" s="380" t="s">
        <v>760</v>
      </c>
      <c r="C591" s="235">
        <f>SUM(C128:C132)</f>
        <v>4366</v>
      </c>
      <c r="D591" s="235">
        <f>SUM(D128:D132)</f>
        <v>785</v>
      </c>
      <c r="E591" s="367">
        <v>0.20317820658342792</v>
      </c>
      <c r="F591" s="532">
        <f t="shared" ref="F591:M591" si="31">SUM(F128:F132)</f>
        <v>180</v>
      </c>
      <c r="G591" s="291">
        <f t="shared" si="31"/>
        <v>0</v>
      </c>
      <c r="H591" s="532">
        <f t="shared" si="31"/>
        <v>0</v>
      </c>
      <c r="I591" s="49">
        <f t="shared" si="31"/>
        <v>0</v>
      </c>
      <c r="J591" s="82">
        <f t="shared" si="31"/>
        <v>0</v>
      </c>
      <c r="K591" s="291">
        <f t="shared" si="31"/>
        <v>0</v>
      </c>
      <c r="L591" s="532">
        <f t="shared" si="31"/>
        <v>0</v>
      </c>
      <c r="M591" s="82">
        <f t="shared" si="31"/>
        <v>263</v>
      </c>
    </row>
    <row r="592" spans="1:13" ht="13" x14ac:dyDescent="0.25">
      <c r="A592" s="379"/>
      <c r="B592" s="380" t="s">
        <v>700</v>
      </c>
      <c r="C592" s="235">
        <f>SUM(C133:C135)</f>
        <v>4149</v>
      </c>
      <c r="D592" s="235">
        <f>SUM(D133:D135)</f>
        <v>1203</v>
      </c>
      <c r="E592" s="367">
        <v>0.31269958241218376</v>
      </c>
      <c r="F592" s="532">
        <f t="shared" ref="F592:M592" si="32">SUM(F133:F135)</f>
        <v>340</v>
      </c>
      <c r="G592" s="291">
        <f t="shared" si="32"/>
        <v>468</v>
      </c>
      <c r="H592" s="532">
        <f t="shared" si="32"/>
        <v>0</v>
      </c>
      <c r="I592" s="49">
        <f t="shared" si="32"/>
        <v>0</v>
      </c>
      <c r="J592" s="82">
        <f t="shared" si="32"/>
        <v>0</v>
      </c>
      <c r="K592" s="291">
        <f t="shared" si="32"/>
        <v>0</v>
      </c>
      <c r="L592" s="532">
        <f t="shared" si="32"/>
        <v>0</v>
      </c>
      <c r="M592" s="82">
        <f t="shared" si="32"/>
        <v>0</v>
      </c>
    </row>
    <row r="593" spans="1:13" ht="13" x14ac:dyDescent="0.25">
      <c r="A593" s="379"/>
      <c r="B593" s="380" t="s">
        <v>701</v>
      </c>
      <c r="C593" s="235">
        <f>SUM(C136:C153)</f>
        <v>19423</v>
      </c>
      <c r="D593" s="235">
        <f>SUM(D136:D153)</f>
        <v>8855</v>
      </c>
      <c r="E593" s="367">
        <v>0.47504734606131954</v>
      </c>
      <c r="F593" s="532">
        <f t="shared" ref="F593:M593" si="33">SUM(F136:F153)</f>
        <v>0</v>
      </c>
      <c r="G593" s="291">
        <f t="shared" si="33"/>
        <v>4920</v>
      </c>
      <c r="H593" s="532">
        <f t="shared" si="33"/>
        <v>1014</v>
      </c>
      <c r="I593" s="49">
        <f t="shared" si="33"/>
        <v>0</v>
      </c>
      <c r="J593" s="82">
        <f t="shared" si="33"/>
        <v>0</v>
      </c>
      <c r="K593" s="291">
        <f t="shared" si="33"/>
        <v>0</v>
      </c>
      <c r="L593" s="532">
        <f t="shared" si="33"/>
        <v>0</v>
      </c>
      <c r="M593" s="82">
        <f t="shared" si="33"/>
        <v>0</v>
      </c>
    </row>
    <row r="594" spans="1:13" ht="13" x14ac:dyDescent="0.25">
      <c r="A594" s="379"/>
      <c r="B594" s="380" t="s">
        <v>702</v>
      </c>
      <c r="C594" s="235">
        <f>SUM(C154:C162)</f>
        <v>9946</v>
      </c>
      <c r="D594" s="235">
        <f>SUM(D154:D162)</f>
        <v>3103</v>
      </c>
      <c r="E594" s="367">
        <v>0.34135880690125742</v>
      </c>
      <c r="F594" s="532">
        <f t="shared" ref="F594:M594" si="34">SUM(F154:F162)</f>
        <v>0</v>
      </c>
      <c r="G594" s="291">
        <f t="shared" si="34"/>
        <v>1180</v>
      </c>
      <c r="H594" s="532">
        <f t="shared" si="34"/>
        <v>935</v>
      </c>
      <c r="I594" s="49">
        <f t="shared" si="34"/>
        <v>0</v>
      </c>
      <c r="J594" s="82">
        <f t="shared" si="34"/>
        <v>0</v>
      </c>
      <c r="K594" s="291">
        <f t="shared" si="34"/>
        <v>0</v>
      </c>
      <c r="L594" s="532">
        <f t="shared" si="34"/>
        <v>0</v>
      </c>
      <c r="M594" s="82">
        <f t="shared" si="34"/>
        <v>0</v>
      </c>
    </row>
    <row r="595" spans="1:13" ht="13" x14ac:dyDescent="0.25">
      <c r="A595" s="379"/>
      <c r="B595" s="380" t="s">
        <v>761</v>
      </c>
      <c r="C595" s="235">
        <f>SUM(C163:C174)</f>
        <v>13943</v>
      </c>
      <c r="D595" s="235">
        <f>SUM(D163:D174)</f>
        <v>4600</v>
      </c>
      <c r="E595" s="367">
        <v>0.34630433236110125</v>
      </c>
      <c r="F595" s="532">
        <f t="shared" ref="F595:M595" si="35">SUM(F163:F174)</f>
        <v>0</v>
      </c>
      <c r="G595" s="291">
        <f t="shared" si="35"/>
        <v>0</v>
      </c>
      <c r="H595" s="532">
        <f t="shared" si="35"/>
        <v>0</v>
      </c>
      <c r="I595" s="49">
        <f t="shared" si="35"/>
        <v>0</v>
      </c>
      <c r="J595" s="82">
        <f t="shared" si="35"/>
        <v>0</v>
      </c>
      <c r="K595" s="291">
        <f t="shared" si="35"/>
        <v>0</v>
      </c>
      <c r="L595" s="532">
        <f t="shared" si="35"/>
        <v>0</v>
      </c>
      <c r="M595" s="82">
        <f t="shared" si="35"/>
        <v>2470</v>
      </c>
    </row>
    <row r="596" spans="1:13" ht="13" x14ac:dyDescent="0.25">
      <c r="A596" s="379"/>
      <c r="B596" s="380" t="s">
        <v>753</v>
      </c>
      <c r="C596" s="235">
        <f>SUM(C175:C193)</f>
        <v>20187</v>
      </c>
      <c r="D596" s="235">
        <f>SUM(D175:D193)</f>
        <v>6518</v>
      </c>
      <c r="E596" s="367">
        <v>0.34587497550460511</v>
      </c>
      <c r="F596" s="532">
        <f t="shared" ref="F596:M596" si="36">SUM(F175:F193)</f>
        <v>1260</v>
      </c>
      <c r="G596" s="291">
        <f t="shared" si="36"/>
        <v>2112</v>
      </c>
      <c r="H596" s="532">
        <f t="shared" si="36"/>
        <v>0</v>
      </c>
      <c r="I596" s="49">
        <f t="shared" si="36"/>
        <v>0</v>
      </c>
      <c r="J596" s="82">
        <f t="shared" si="36"/>
        <v>0</v>
      </c>
      <c r="K596" s="291">
        <f t="shared" si="36"/>
        <v>0</v>
      </c>
      <c r="L596" s="532">
        <f t="shared" si="36"/>
        <v>0</v>
      </c>
      <c r="M596" s="82">
        <f t="shared" si="36"/>
        <v>487</v>
      </c>
    </row>
    <row r="597" spans="1:13" ht="13" x14ac:dyDescent="0.25">
      <c r="A597" s="379"/>
      <c r="B597" s="380" t="s">
        <v>777</v>
      </c>
      <c r="C597" s="235">
        <f>SUM(C194:C204)</f>
        <v>10504</v>
      </c>
      <c r="D597" s="235">
        <f>SUM(D194:D204)</f>
        <v>6122</v>
      </c>
      <c r="E597" s="367">
        <v>0.63028715560729531</v>
      </c>
      <c r="F597" s="532">
        <f t="shared" ref="F597:M597" si="37">SUM(F194:F204)</f>
        <v>0</v>
      </c>
      <c r="G597" s="291">
        <f t="shared" si="37"/>
        <v>0</v>
      </c>
      <c r="H597" s="532">
        <f t="shared" si="37"/>
        <v>0</v>
      </c>
      <c r="I597" s="49">
        <f t="shared" si="37"/>
        <v>0</v>
      </c>
      <c r="J597" s="82">
        <f t="shared" si="37"/>
        <v>0</v>
      </c>
      <c r="K597" s="291">
        <f t="shared" si="37"/>
        <v>4060</v>
      </c>
      <c r="L597" s="532">
        <f t="shared" si="37"/>
        <v>0</v>
      </c>
      <c r="M597" s="82">
        <f t="shared" si="37"/>
        <v>0</v>
      </c>
    </row>
    <row r="598" spans="1:13" ht="13" x14ac:dyDescent="0.25">
      <c r="A598" s="379"/>
      <c r="B598" s="380" t="s">
        <v>703</v>
      </c>
      <c r="C598" s="235">
        <f>SUM(C205:C208)</f>
        <v>5921</v>
      </c>
      <c r="D598" s="235">
        <f>SUM(D205:D208)</f>
        <v>2573</v>
      </c>
      <c r="E598" s="367">
        <v>0.43265935572309799</v>
      </c>
      <c r="F598" s="532">
        <f t="shared" ref="F598:M598" si="38">SUM(F205:F208)</f>
        <v>0</v>
      </c>
      <c r="G598" s="291">
        <f t="shared" si="38"/>
        <v>0</v>
      </c>
      <c r="H598" s="532">
        <f t="shared" si="38"/>
        <v>0</v>
      </c>
      <c r="I598" s="49">
        <f t="shared" si="38"/>
        <v>0</v>
      </c>
      <c r="J598" s="82">
        <f t="shared" si="38"/>
        <v>0</v>
      </c>
      <c r="K598" s="291">
        <f t="shared" si="38"/>
        <v>0</v>
      </c>
      <c r="L598" s="532">
        <f t="shared" si="38"/>
        <v>1724</v>
      </c>
      <c r="M598" s="82">
        <f t="shared" si="38"/>
        <v>0</v>
      </c>
    </row>
    <row r="599" spans="1:13" ht="13" x14ac:dyDescent="0.25">
      <c r="A599" s="379"/>
      <c r="B599" s="380" t="s">
        <v>8</v>
      </c>
      <c r="C599" s="235">
        <f>SUM(C209:C212)</f>
        <v>3993</v>
      </c>
      <c r="D599" s="235">
        <f>SUM(D209:D212)</f>
        <v>2257</v>
      </c>
      <c r="E599" s="367">
        <v>0.55530360292265057</v>
      </c>
      <c r="F599" s="532">
        <f t="shared" ref="F599:M599" si="39">SUM(F209:F212)</f>
        <v>0</v>
      </c>
      <c r="G599" s="291">
        <f t="shared" si="39"/>
        <v>0</v>
      </c>
      <c r="H599" s="532">
        <f t="shared" si="39"/>
        <v>0</v>
      </c>
      <c r="I599" s="49">
        <f t="shared" si="39"/>
        <v>0</v>
      </c>
      <c r="J599" s="82">
        <f t="shared" si="39"/>
        <v>0</v>
      </c>
      <c r="K599" s="291">
        <f t="shared" si="39"/>
        <v>1467</v>
      </c>
      <c r="L599" s="532">
        <f t="shared" si="39"/>
        <v>0</v>
      </c>
      <c r="M599" s="82">
        <f t="shared" si="39"/>
        <v>0</v>
      </c>
    </row>
    <row r="600" spans="1:13" ht="13" x14ac:dyDescent="0.25">
      <c r="A600" s="379"/>
      <c r="B600" s="380" t="s">
        <v>17</v>
      </c>
      <c r="C600" s="235">
        <f>SUM(C213:C225)</f>
        <v>12311</v>
      </c>
      <c r="D600" s="235">
        <f>SUM(D213:D225)</f>
        <v>4615</v>
      </c>
      <c r="E600" s="367">
        <v>0.43518741472028255</v>
      </c>
      <c r="F600" s="532">
        <f t="shared" ref="F600:M600" si="40">SUM(F213:F225)</f>
        <v>0</v>
      </c>
      <c r="G600" s="291">
        <f t="shared" si="40"/>
        <v>0</v>
      </c>
      <c r="H600" s="532">
        <f t="shared" si="40"/>
        <v>3698</v>
      </c>
      <c r="I600" s="49">
        <f t="shared" si="40"/>
        <v>0</v>
      </c>
      <c r="J600" s="82">
        <f t="shared" si="40"/>
        <v>0</v>
      </c>
      <c r="K600" s="291">
        <f t="shared" si="40"/>
        <v>0</v>
      </c>
      <c r="L600" s="532">
        <f t="shared" si="40"/>
        <v>0</v>
      </c>
      <c r="M600" s="82">
        <f t="shared" si="40"/>
        <v>0</v>
      </c>
    </row>
    <row r="601" spans="1:13" ht="13" x14ac:dyDescent="0.25">
      <c r="A601" s="379"/>
      <c r="B601" s="381" t="s">
        <v>804</v>
      </c>
      <c r="C601" s="235">
        <f>SUM(C226:C231)</f>
        <v>8836</v>
      </c>
      <c r="D601" s="235">
        <f>SUM(D226:D231)</f>
        <v>4073</v>
      </c>
      <c r="E601" s="367">
        <v>0.49196592257090477</v>
      </c>
      <c r="F601" s="532">
        <f t="shared" ref="F601:M601" si="41">SUM(F226:F232)</f>
        <v>0</v>
      </c>
      <c r="G601" s="291">
        <f t="shared" si="41"/>
        <v>0</v>
      </c>
      <c r="H601" s="532">
        <f t="shared" si="41"/>
        <v>0</v>
      </c>
      <c r="I601" s="49">
        <f t="shared" si="41"/>
        <v>0</v>
      </c>
      <c r="J601" s="82">
        <f t="shared" si="41"/>
        <v>0</v>
      </c>
      <c r="K601" s="291">
        <f t="shared" si="41"/>
        <v>0</v>
      </c>
      <c r="L601" s="532">
        <f t="shared" si="41"/>
        <v>0</v>
      </c>
      <c r="M601" s="82">
        <f t="shared" si="41"/>
        <v>2838</v>
      </c>
    </row>
    <row r="602" spans="1:13" ht="13" x14ac:dyDescent="0.25">
      <c r="A602" s="379"/>
      <c r="B602" s="381" t="s">
        <v>18</v>
      </c>
      <c r="C602" s="235">
        <f>SUM(C233:C238)</f>
        <v>5262</v>
      </c>
      <c r="D602" s="235">
        <f>SUM(D233:D238)</f>
        <v>3079</v>
      </c>
      <c r="E602" s="367">
        <v>0.66994514847739739</v>
      </c>
      <c r="F602" s="532">
        <f t="shared" ref="F602:M602" si="42">SUM(F233:F238)</f>
        <v>0</v>
      </c>
      <c r="G602" s="291">
        <f t="shared" si="42"/>
        <v>0</v>
      </c>
      <c r="H602" s="532">
        <f t="shared" si="42"/>
        <v>0</v>
      </c>
      <c r="I602" s="49">
        <f t="shared" si="42"/>
        <v>0</v>
      </c>
      <c r="J602" s="82">
        <f t="shared" si="42"/>
        <v>0</v>
      </c>
      <c r="K602" s="291">
        <f t="shared" si="42"/>
        <v>1865</v>
      </c>
      <c r="L602" s="532">
        <f t="shared" si="42"/>
        <v>0</v>
      </c>
      <c r="M602" s="82">
        <f t="shared" si="42"/>
        <v>0</v>
      </c>
    </row>
    <row r="603" spans="1:13" ht="13" x14ac:dyDescent="0.25">
      <c r="A603" s="379"/>
      <c r="B603" s="381" t="s">
        <v>704</v>
      </c>
      <c r="C603" s="235">
        <f>SUM(C239:C245)</f>
        <v>6762</v>
      </c>
      <c r="D603" s="235">
        <f>SUM(D239:D245)</f>
        <v>3765</v>
      </c>
      <c r="E603" s="367">
        <v>0.60586222288349945</v>
      </c>
      <c r="F603" s="532">
        <f t="shared" ref="F603:M603" si="43">SUM(F239:F245)</f>
        <v>0</v>
      </c>
      <c r="G603" s="291">
        <f t="shared" si="43"/>
        <v>0</v>
      </c>
      <c r="H603" s="532">
        <f t="shared" si="43"/>
        <v>0</v>
      </c>
      <c r="I603" s="49">
        <f t="shared" si="43"/>
        <v>0</v>
      </c>
      <c r="J603" s="82">
        <f t="shared" si="43"/>
        <v>0</v>
      </c>
      <c r="K603" s="291">
        <f t="shared" si="43"/>
        <v>2383</v>
      </c>
      <c r="L603" s="532">
        <f t="shared" si="43"/>
        <v>0</v>
      </c>
      <c r="M603" s="82">
        <f t="shared" si="43"/>
        <v>0</v>
      </c>
    </row>
    <row r="604" spans="1:13" ht="13" x14ac:dyDescent="0.25">
      <c r="A604" s="379"/>
      <c r="B604" s="381" t="s">
        <v>705</v>
      </c>
      <c r="C604" s="235">
        <f>SUM(C246:C253)</f>
        <v>7317</v>
      </c>
      <c r="D604" s="235">
        <f>SUM(D246:D253)</f>
        <v>5097</v>
      </c>
      <c r="E604" s="367">
        <v>0.6970114309323785</v>
      </c>
      <c r="F604" s="532">
        <f t="shared" ref="F604:M604" si="44">SUM(F246:F253)</f>
        <v>0</v>
      </c>
      <c r="G604" s="291">
        <f t="shared" si="44"/>
        <v>0</v>
      </c>
      <c r="H604" s="532">
        <f t="shared" si="44"/>
        <v>0</v>
      </c>
      <c r="I604" s="49">
        <f t="shared" si="44"/>
        <v>0</v>
      </c>
      <c r="J604" s="82">
        <f t="shared" si="44"/>
        <v>0</v>
      </c>
      <c r="K604" s="291">
        <f t="shared" si="44"/>
        <v>3147</v>
      </c>
      <c r="L604" s="532">
        <f t="shared" si="44"/>
        <v>0</v>
      </c>
      <c r="M604" s="82">
        <f t="shared" si="44"/>
        <v>0</v>
      </c>
    </row>
    <row r="605" spans="1:13" ht="13" x14ac:dyDescent="0.25">
      <c r="A605" s="379"/>
      <c r="B605" s="381" t="s">
        <v>832</v>
      </c>
      <c r="C605" s="235">
        <f>SUM(C398:C398)</f>
        <v>95</v>
      </c>
      <c r="D605" s="235">
        <f>SUM(D398:D398)</f>
        <v>42</v>
      </c>
      <c r="E605" s="367">
        <v>1.6363636363636365</v>
      </c>
      <c r="F605" s="532">
        <f t="shared" ref="F605:M605" si="45">SUM(F398:F398)</f>
        <v>0</v>
      </c>
      <c r="G605" s="291">
        <f t="shared" si="45"/>
        <v>0</v>
      </c>
      <c r="H605" s="532">
        <f t="shared" si="45"/>
        <v>0</v>
      </c>
      <c r="I605" s="49">
        <f t="shared" si="45"/>
        <v>0</v>
      </c>
      <c r="J605" s="82">
        <f t="shared" si="45"/>
        <v>0</v>
      </c>
      <c r="K605" s="291">
        <f t="shared" si="45"/>
        <v>31</v>
      </c>
      <c r="L605" s="532">
        <f t="shared" si="45"/>
        <v>0</v>
      </c>
      <c r="M605" s="82">
        <f t="shared" si="45"/>
        <v>0</v>
      </c>
    </row>
    <row r="606" spans="1:13" ht="13" x14ac:dyDescent="0.25">
      <c r="A606" s="379"/>
      <c r="B606" s="381" t="s">
        <v>706</v>
      </c>
      <c r="C606" s="235">
        <f>SUM(C255:C263)</f>
        <v>8939</v>
      </c>
      <c r="D606" s="235">
        <f>SUM(D255:D263)</f>
        <v>5857</v>
      </c>
      <c r="E606" s="367">
        <v>0.70260927743086532</v>
      </c>
      <c r="F606" s="532">
        <f t="shared" ref="F606:M606" si="46">SUM(F255:F263)</f>
        <v>0</v>
      </c>
      <c r="G606" s="291">
        <f t="shared" si="46"/>
        <v>0</v>
      </c>
      <c r="H606" s="532">
        <f t="shared" si="46"/>
        <v>0</v>
      </c>
      <c r="I606" s="49">
        <f t="shared" si="46"/>
        <v>0</v>
      </c>
      <c r="J606" s="82">
        <f t="shared" si="46"/>
        <v>0</v>
      </c>
      <c r="K606" s="291">
        <f t="shared" si="46"/>
        <v>3574</v>
      </c>
      <c r="L606" s="532">
        <f t="shared" si="46"/>
        <v>0</v>
      </c>
      <c r="M606" s="82">
        <f t="shared" si="46"/>
        <v>0</v>
      </c>
    </row>
    <row r="607" spans="1:13" ht="13" x14ac:dyDescent="0.25">
      <c r="A607" s="379"/>
      <c r="B607" s="381" t="s">
        <v>707</v>
      </c>
      <c r="C607" s="235">
        <f>SUM(C264:C267)</f>
        <v>4513</v>
      </c>
      <c r="D607" s="235">
        <f>SUM(D264:D267)</f>
        <v>1761</v>
      </c>
      <c r="E607" s="367">
        <v>0.41038562664329536</v>
      </c>
      <c r="F607" s="532">
        <f t="shared" ref="F607:M607" si="47">SUM(F264:F267)</f>
        <v>0</v>
      </c>
      <c r="G607" s="291">
        <f t="shared" si="47"/>
        <v>0</v>
      </c>
      <c r="H607" s="532">
        <f t="shared" si="47"/>
        <v>1258</v>
      </c>
      <c r="I607" s="49">
        <f t="shared" si="47"/>
        <v>0</v>
      </c>
      <c r="J607" s="82">
        <f t="shared" si="47"/>
        <v>0</v>
      </c>
      <c r="K607" s="291">
        <f t="shared" si="47"/>
        <v>0</v>
      </c>
      <c r="L607" s="532">
        <f t="shared" si="47"/>
        <v>0</v>
      </c>
      <c r="M607" s="82">
        <f t="shared" si="47"/>
        <v>0</v>
      </c>
    </row>
    <row r="608" spans="1:13" ht="13" x14ac:dyDescent="0.25">
      <c r="A608" s="379"/>
      <c r="B608" s="381" t="s">
        <v>19</v>
      </c>
      <c r="C608" s="235">
        <f>SUM(C268:C274)</f>
        <v>6490</v>
      </c>
      <c r="D608" s="235">
        <f>SUM(D268:D274)</f>
        <v>2521</v>
      </c>
      <c r="E608" s="367">
        <v>0.40641876253664561</v>
      </c>
      <c r="F608" s="532">
        <f t="shared" ref="F608:M608" si="48">SUM(F268:F274)</f>
        <v>0</v>
      </c>
      <c r="G608" s="291">
        <f t="shared" si="48"/>
        <v>0</v>
      </c>
      <c r="H608" s="532">
        <f t="shared" si="48"/>
        <v>1839</v>
      </c>
      <c r="I608" s="49">
        <f t="shared" si="48"/>
        <v>0</v>
      </c>
      <c r="J608" s="82">
        <f t="shared" si="48"/>
        <v>0</v>
      </c>
      <c r="K608" s="291">
        <f t="shared" si="48"/>
        <v>0</v>
      </c>
      <c r="L608" s="532">
        <f t="shared" si="48"/>
        <v>0</v>
      </c>
      <c r="M608" s="82">
        <f t="shared" si="48"/>
        <v>0</v>
      </c>
    </row>
    <row r="609" spans="1:13" ht="13" x14ac:dyDescent="0.25">
      <c r="A609" s="379"/>
      <c r="B609" s="381" t="s">
        <v>778</v>
      </c>
      <c r="C609" s="296">
        <f>SUM(C275:C286)</f>
        <v>13173</v>
      </c>
      <c r="D609" s="296">
        <f>SUM(D275:D286)</f>
        <v>5871</v>
      </c>
      <c r="E609" s="367">
        <v>0.44178003228037815</v>
      </c>
      <c r="F609" s="533">
        <f t="shared" ref="F609:M609" si="49">SUM(F275:F286)</f>
        <v>0</v>
      </c>
      <c r="G609" s="521">
        <f t="shared" si="49"/>
        <v>0</v>
      </c>
      <c r="H609" s="533">
        <f t="shared" si="49"/>
        <v>0</v>
      </c>
      <c r="I609" s="61">
        <f t="shared" si="49"/>
        <v>1662</v>
      </c>
      <c r="J609" s="83">
        <f t="shared" si="49"/>
        <v>2991</v>
      </c>
      <c r="K609" s="521">
        <f t="shared" si="49"/>
        <v>0</v>
      </c>
      <c r="L609" s="533">
        <f t="shared" si="49"/>
        <v>0</v>
      </c>
      <c r="M609" s="83">
        <f t="shared" si="49"/>
        <v>0</v>
      </c>
    </row>
    <row r="610" spans="1:13" ht="13" x14ac:dyDescent="0.25">
      <c r="A610" s="379"/>
      <c r="B610" s="381" t="s">
        <v>708</v>
      </c>
      <c r="C610" s="235">
        <f>SUM(C287:C294)</f>
        <v>7271</v>
      </c>
      <c r="D610" s="235">
        <f>SUM(D287:D294)</f>
        <v>3615</v>
      </c>
      <c r="E610" s="367">
        <v>0.49869379898253813</v>
      </c>
      <c r="F610" s="532">
        <f t="shared" ref="F610:M610" si="50">SUM(F287:F294)</f>
        <v>0</v>
      </c>
      <c r="G610" s="291">
        <f t="shared" si="50"/>
        <v>0</v>
      </c>
      <c r="H610" s="532">
        <f t="shared" si="50"/>
        <v>0</v>
      </c>
      <c r="I610" s="49">
        <f t="shared" si="50"/>
        <v>0</v>
      </c>
      <c r="J610" s="82">
        <f t="shared" si="50"/>
        <v>0</v>
      </c>
      <c r="K610" s="291">
        <f t="shared" si="50"/>
        <v>2247</v>
      </c>
      <c r="L610" s="532">
        <f t="shared" si="50"/>
        <v>0</v>
      </c>
      <c r="M610" s="82">
        <f t="shared" si="50"/>
        <v>0</v>
      </c>
    </row>
    <row r="611" spans="1:13" ht="13" x14ac:dyDescent="0.25">
      <c r="A611" s="379"/>
      <c r="B611" s="381" t="s">
        <v>709</v>
      </c>
      <c r="C611" s="235">
        <f>SUM(C295:C301)</f>
        <v>7722</v>
      </c>
      <c r="D611" s="235">
        <f>SUM(D295:D301)</f>
        <v>4002</v>
      </c>
      <c r="E611" s="367">
        <v>0.54817574511819112</v>
      </c>
      <c r="F611" s="532">
        <f t="shared" ref="F611:M611" si="51">SUM(F295:F301)</f>
        <v>0</v>
      </c>
      <c r="G611" s="291">
        <f t="shared" si="51"/>
        <v>0</v>
      </c>
      <c r="H611" s="532">
        <f t="shared" si="51"/>
        <v>0</v>
      </c>
      <c r="I611" s="49">
        <f t="shared" si="51"/>
        <v>0</v>
      </c>
      <c r="J611" s="82">
        <f t="shared" si="51"/>
        <v>0</v>
      </c>
      <c r="K611" s="291">
        <f t="shared" si="51"/>
        <v>2454</v>
      </c>
      <c r="L611" s="532">
        <f t="shared" si="51"/>
        <v>0</v>
      </c>
      <c r="M611" s="82">
        <f t="shared" si="51"/>
        <v>0</v>
      </c>
    </row>
    <row r="612" spans="1:13" ht="13" x14ac:dyDescent="0.25">
      <c r="A612" s="379"/>
      <c r="B612" s="381" t="s">
        <v>733</v>
      </c>
      <c r="C612" s="235">
        <f>SUM(C302:C309)</f>
        <v>6843</v>
      </c>
      <c r="D612" s="235">
        <f>SUM(D302:D309)</f>
        <v>3294</v>
      </c>
      <c r="E612" s="367">
        <v>0.52375314488678404</v>
      </c>
      <c r="F612" s="532">
        <f t="shared" ref="F612:M612" si="52">SUM(F302:F309)</f>
        <v>0</v>
      </c>
      <c r="G612" s="291">
        <f t="shared" si="52"/>
        <v>0</v>
      </c>
      <c r="H612" s="532">
        <f t="shared" si="52"/>
        <v>0</v>
      </c>
      <c r="I612" s="49">
        <f t="shared" si="52"/>
        <v>0</v>
      </c>
      <c r="J612" s="82">
        <f t="shared" si="52"/>
        <v>0</v>
      </c>
      <c r="K612" s="291">
        <f t="shared" si="52"/>
        <v>2147</v>
      </c>
      <c r="L612" s="532">
        <f t="shared" si="52"/>
        <v>0</v>
      </c>
      <c r="M612" s="82">
        <f t="shared" si="52"/>
        <v>0</v>
      </c>
    </row>
    <row r="613" spans="1:13" ht="13" x14ac:dyDescent="0.25">
      <c r="A613" s="379"/>
      <c r="B613" s="381" t="s">
        <v>20</v>
      </c>
      <c r="C613" s="235">
        <f>SUM(C310:C314)</f>
        <v>7066</v>
      </c>
      <c r="D613" s="235">
        <f>SUM(D310:D314)</f>
        <v>4631</v>
      </c>
      <c r="E613" s="367">
        <v>0.68357487922705318</v>
      </c>
      <c r="F613" s="532">
        <f t="shared" ref="F613:M613" si="53">SUM(F310:F314)</f>
        <v>0</v>
      </c>
      <c r="G613" s="291">
        <f t="shared" si="53"/>
        <v>0</v>
      </c>
      <c r="H613" s="532">
        <f t="shared" si="53"/>
        <v>2929</v>
      </c>
      <c r="I613" s="49">
        <f t="shared" si="53"/>
        <v>0</v>
      </c>
      <c r="J613" s="82">
        <f t="shared" si="53"/>
        <v>0</v>
      </c>
      <c r="K613" s="291">
        <f t="shared" si="53"/>
        <v>0</v>
      </c>
      <c r="L613" s="532">
        <f t="shared" si="53"/>
        <v>0</v>
      </c>
      <c r="M613" s="82">
        <f t="shared" si="53"/>
        <v>0</v>
      </c>
    </row>
    <row r="614" spans="1:13" ht="13" x14ac:dyDescent="0.25">
      <c r="A614" s="379"/>
      <c r="B614" s="381" t="s">
        <v>710</v>
      </c>
      <c r="C614" s="235">
        <f>SUM(C319:C350)</f>
        <v>34264</v>
      </c>
      <c r="D614" s="235">
        <f>SUM(D319:D350)</f>
        <v>22026</v>
      </c>
      <c r="E614" s="367">
        <v>0.66688170781772327</v>
      </c>
      <c r="F614" s="532">
        <f t="shared" ref="F614:M614" si="54">SUM(F319:F350)</f>
        <v>0</v>
      </c>
      <c r="G614" s="291">
        <f t="shared" si="54"/>
        <v>0</v>
      </c>
      <c r="H614" s="532">
        <f t="shared" si="54"/>
        <v>0</v>
      </c>
      <c r="I614" s="49">
        <f t="shared" si="54"/>
        <v>10055</v>
      </c>
      <c r="J614" s="82">
        <f t="shared" si="54"/>
        <v>9148</v>
      </c>
      <c r="K614" s="291">
        <f t="shared" si="54"/>
        <v>0</v>
      </c>
      <c r="L614" s="532">
        <f t="shared" si="54"/>
        <v>0</v>
      </c>
      <c r="M614" s="82">
        <f t="shared" si="54"/>
        <v>0</v>
      </c>
    </row>
    <row r="615" spans="1:13" ht="13" x14ac:dyDescent="0.25">
      <c r="A615" s="379"/>
      <c r="B615" s="381" t="s">
        <v>711</v>
      </c>
      <c r="C615" s="235">
        <f>SUM(C352:C389)</f>
        <v>40867</v>
      </c>
      <c r="D615" s="235">
        <f>SUM(D352:D389)</f>
        <v>19538</v>
      </c>
      <c r="E615" s="367">
        <v>0.52419968109898196</v>
      </c>
      <c r="F615" s="532">
        <f t="shared" ref="F615:M615" si="55">SUM(F352:F389)</f>
        <v>0</v>
      </c>
      <c r="G615" s="291">
        <f t="shared" si="55"/>
        <v>0</v>
      </c>
      <c r="H615" s="532">
        <f t="shared" si="55"/>
        <v>0</v>
      </c>
      <c r="I615" s="49">
        <f t="shared" si="55"/>
        <v>0</v>
      </c>
      <c r="J615" s="82">
        <f t="shared" si="55"/>
        <v>0</v>
      </c>
      <c r="K615" s="291">
        <f t="shared" si="55"/>
        <v>0</v>
      </c>
      <c r="L615" s="532">
        <f t="shared" si="55"/>
        <v>12570</v>
      </c>
      <c r="M615" s="82">
        <f t="shared" si="55"/>
        <v>0</v>
      </c>
    </row>
    <row r="616" spans="1:13" ht="13" x14ac:dyDescent="0.25">
      <c r="A616" s="379"/>
      <c r="B616" s="381" t="s">
        <v>712</v>
      </c>
      <c r="C616" s="235">
        <f t="shared" ref="C616" si="56">SUM(C390:C398)</f>
        <v>3430</v>
      </c>
      <c r="D616" s="235">
        <f t="shared" ref="D616" si="57">SUM(D390:D398)</f>
        <v>1827</v>
      </c>
      <c r="E616" s="367">
        <v>0.55504322766570602</v>
      </c>
      <c r="F616" s="532">
        <f>SUM(F390:F398)</f>
        <v>0</v>
      </c>
      <c r="G616" s="291">
        <f t="shared" ref="G616:M616" si="58">SUM(G390:G398)</f>
        <v>840</v>
      </c>
      <c r="H616" s="532">
        <f t="shared" si="58"/>
        <v>0</v>
      </c>
      <c r="I616" s="49">
        <f t="shared" si="58"/>
        <v>117</v>
      </c>
      <c r="J616" s="82">
        <f t="shared" si="58"/>
        <v>228</v>
      </c>
      <c r="K616" s="291">
        <f t="shared" si="58"/>
        <v>97</v>
      </c>
      <c r="L616" s="532">
        <f t="shared" si="58"/>
        <v>0</v>
      </c>
      <c r="M616" s="82">
        <f t="shared" si="58"/>
        <v>0</v>
      </c>
    </row>
    <row r="617" spans="1:13" ht="13" x14ac:dyDescent="0.25">
      <c r="A617" s="379"/>
      <c r="B617" s="381" t="s">
        <v>735</v>
      </c>
      <c r="C617" s="235">
        <f>SUM(C399:C400)+C231</f>
        <v>4253</v>
      </c>
      <c r="D617" s="235">
        <f>SUM(D399:D400)+D231</f>
        <v>2235</v>
      </c>
      <c r="E617" s="367">
        <v>0.61385896180215471</v>
      </c>
      <c r="F617" s="532">
        <f t="shared" ref="F617:M617" si="59">SUM(F399:F400)+F231</f>
        <v>0</v>
      </c>
      <c r="G617" s="291">
        <f t="shared" si="59"/>
        <v>0</v>
      </c>
      <c r="H617" s="532">
        <f t="shared" si="59"/>
        <v>0</v>
      </c>
      <c r="I617" s="49">
        <f t="shared" si="59"/>
        <v>0</v>
      </c>
      <c r="J617" s="82">
        <f t="shared" si="59"/>
        <v>0</v>
      </c>
      <c r="K617" s="291">
        <f t="shared" si="59"/>
        <v>0</v>
      </c>
      <c r="L617" s="532">
        <f t="shared" si="59"/>
        <v>0</v>
      </c>
      <c r="M617" s="82">
        <f t="shared" si="59"/>
        <v>1480</v>
      </c>
    </row>
    <row r="618" spans="1:13" ht="13" x14ac:dyDescent="0.25">
      <c r="A618" s="379"/>
      <c r="B618" s="381" t="s">
        <v>21</v>
      </c>
      <c r="C618" s="235">
        <f>SUM(C401:C419)</f>
        <v>20186</v>
      </c>
      <c r="D618" s="235">
        <f>SUM(D401:D419)</f>
        <v>10861</v>
      </c>
      <c r="E618" s="367">
        <v>0.57621281692952686</v>
      </c>
      <c r="F618" s="532">
        <f t="shared" ref="F618:M618" si="60">SUM(F401:F419)</f>
        <v>0</v>
      </c>
      <c r="G618" s="291">
        <f t="shared" si="60"/>
        <v>0</v>
      </c>
      <c r="H618" s="532">
        <f t="shared" si="60"/>
        <v>0</v>
      </c>
      <c r="I618" s="49">
        <f t="shared" si="60"/>
        <v>0</v>
      </c>
      <c r="J618" s="82">
        <f t="shared" si="60"/>
        <v>0</v>
      </c>
      <c r="K618" s="291">
        <f t="shared" si="60"/>
        <v>0</v>
      </c>
      <c r="L618" s="532">
        <f t="shared" si="60"/>
        <v>0</v>
      </c>
      <c r="M618" s="82">
        <f t="shared" si="60"/>
        <v>7081</v>
      </c>
    </row>
    <row r="619" spans="1:13" ht="13" x14ac:dyDescent="0.25">
      <c r="A619" s="379"/>
      <c r="B619" s="381" t="s">
        <v>22</v>
      </c>
      <c r="C619" s="235">
        <f>SUM(C429:C471)</f>
        <v>44958</v>
      </c>
      <c r="D619" s="235">
        <f>SUM(D429:D471)</f>
        <v>25250</v>
      </c>
      <c r="E619" s="367">
        <v>0.619247886070316</v>
      </c>
      <c r="F619" s="532">
        <f t="shared" ref="F619:M619" si="61">SUM(F429:F471)</f>
        <v>0</v>
      </c>
      <c r="G619" s="291">
        <f t="shared" si="61"/>
        <v>0</v>
      </c>
      <c r="H619" s="532">
        <f t="shared" si="61"/>
        <v>0</v>
      </c>
      <c r="I619" s="49">
        <f t="shared" si="61"/>
        <v>0</v>
      </c>
      <c r="J619" s="82">
        <f t="shared" si="61"/>
        <v>0</v>
      </c>
      <c r="K619" s="291">
        <f t="shared" si="61"/>
        <v>0</v>
      </c>
      <c r="L619" s="532">
        <f t="shared" si="61"/>
        <v>16659</v>
      </c>
      <c r="M619" s="82">
        <f t="shared" si="61"/>
        <v>0</v>
      </c>
    </row>
    <row r="620" spans="1:13" ht="13" x14ac:dyDescent="0.25">
      <c r="A620" s="379"/>
      <c r="B620" s="381" t="s">
        <v>23</v>
      </c>
      <c r="C620" s="235">
        <f>SUM(C226:C230)+SUM(C475:C477)</f>
        <v>10312</v>
      </c>
      <c r="D620" s="235">
        <f>SUM(D226:D230)+SUM(D475:D477)</f>
        <v>4756</v>
      </c>
      <c r="E620" s="367">
        <v>0.5242239628662605</v>
      </c>
      <c r="F620" s="532">
        <f t="shared" ref="F620:M620" si="62">SUM(F226:F230)+SUM(F475:F477)</f>
        <v>0</v>
      </c>
      <c r="G620" s="291">
        <f t="shared" si="62"/>
        <v>0</v>
      </c>
      <c r="H620" s="532">
        <f t="shared" si="62"/>
        <v>0</v>
      </c>
      <c r="I620" s="49">
        <f t="shared" si="62"/>
        <v>0</v>
      </c>
      <c r="J620" s="82">
        <f t="shared" si="62"/>
        <v>0</v>
      </c>
      <c r="K620" s="291">
        <f t="shared" si="62"/>
        <v>0</v>
      </c>
      <c r="L620" s="532">
        <f t="shared" si="62"/>
        <v>0</v>
      </c>
      <c r="M620" s="82">
        <f t="shared" si="62"/>
        <v>2964</v>
      </c>
    </row>
    <row r="621" spans="1:13" ht="13" x14ac:dyDescent="0.25">
      <c r="A621" s="379"/>
      <c r="B621" s="381" t="s">
        <v>24</v>
      </c>
      <c r="C621" s="382">
        <f>SUM(C484:C495)</f>
        <v>12299</v>
      </c>
      <c r="D621" s="382">
        <f>SUM(D484:D495)</f>
        <v>6988</v>
      </c>
      <c r="E621" s="367">
        <v>0.6241588708353849</v>
      </c>
      <c r="F621" s="532">
        <f t="shared" ref="F621:M621" si="63">SUM(F484:F495)</f>
        <v>0</v>
      </c>
      <c r="G621" s="291">
        <f t="shared" si="63"/>
        <v>0</v>
      </c>
      <c r="H621" s="532">
        <f t="shared" si="63"/>
        <v>0</v>
      </c>
      <c r="I621" s="49">
        <f t="shared" si="63"/>
        <v>0</v>
      </c>
      <c r="J621" s="82">
        <f t="shared" si="63"/>
        <v>0</v>
      </c>
      <c r="K621" s="291">
        <f t="shared" si="63"/>
        <v>0</v>
      </c>
      <c r="L621" s="532">
        <f t="shared" si="63"/>
        <v>0</v>
      </c>
      <c r="M621" s="82">
        <f t="shared" si="63"/>
        <v>4610</v>
      </c>
    </row>
    <row r="622" spans="1:13" ht="13" x14ac:dyDescent="0.25">
      <c r="A622" s="379"/>
      <c r="B622" s="381" t="s">
        <v>25</v>
      </c>
      <c r="C622" s="235">
        <f>SUM(C505:C532)</f>
        <v>26644</v>
      </c>
      <c r="D622" s="235">
        <f>SUM(D505:D532)</f>
        <v>13281</v>
      </c>
      <c r="E622" s="367">
        <v>0.53525460617659204</v>
      </c>
      <c r="F622" s="532">
        <f t="shared" ref="F622:M622" si="64">SUM(F505:F532)</f>
        <v>0</v>
      </c>
      <c r="G622" s="291">
        <f t="shared" si="64"/>
        <v>0</v>
      </c>
      <c r="H622" s="532">
        <f t="shared" si="64"/>
        <v>9004</v>
      </c>
      <c r="I622" s="49">
        <f t="shared" si="64"/>
        <v>0</v>
      </c>
      <c r="J622" s="82">
        <f t="shared" si="64"/>
        <v>0</v>
      </c>
      <c r="K622" s="291">
        <f t="shared" si="64"/>
        <v>0</v>
      </c>
      <c r="L622" s="532">
        <f t="shared" si="64"/>
        <v>676</v>
      </c>
      <c r="M622" s="82">
        <f t="shared" si="64"/>
        <v>0</v>
      </c>
    </row>
    <row r="623" spans="1:13" ht="13" x14ac:dyDescent="0.25">
      <c r="A623" s="379"/>
      <c r="B623" s="381" t="s">
        <v>713</v>
      </c>
      <c r="C623" s="235">
        <f>SUM(C533:C546)</f>
        <v>14300</v>
      </c>
      <c r="D623" s="235">
        <f>SUM(D533:D546)</f>
        <v>7914</v>
      </c>
      <c r="E623" s="367">
        <v>0.59795689896445559</v>
      </c>
      <c r="F623" s="532">
        <f t="shared" ref="F623:M623" si="65">SUM(F533:F546)</f>
        <v>0</v>
      </c>
      <c r="G623" s="291">
        <f t="shared" si="65"/>
        <v>0</v>
      </c>
      <c r="H623" s="532">
        <f t="shared" si="65"/>
        <v>0</v>
      </c>
      <c r="I623" s="49">
        <f t="shared" si="65"/>
        <v>0</v>
      </c>
      <c r="J623" s="82">
        <f t="shared" si="65"/>
        <v>0</v>
      </c>
      <c r="K623" s="291">
        <f t="shared" si="65"/>
        <v>5283</v>
      </c>
      <c r="L623" s="532">
        <f t="shared" si="65"/>
        <v>0</v>
      </c>
      <c r="M623" s="82">
        <f t="shared" si="65"/>
        <v>0</v>
      </c>
    </row>
    <row r="624" spans="1:13" ht="13" x14ac:dyDescent="0.25">
      <c r="A624" s="379"/>
      <c r="B624" s="381" t="s">
        <v>714</v>
      </c>
      <c r="C624" s="382">
        <f>SUM(C547:C558)</f>
        <v>11251</v>
      </c>
      <c r="D624" s="382">
        <f>SUM(D547:D558)</f>
        <v>6598</v>
      </c>
      <c r="E624" s="367">
        <v>0.64246953118049999</v>
      </c>
      <c r="F624" s="532">
        <f t="shared" ref="F624:M624" si="66">SUM(F547:F558)</f>
        <v>0</v>
      </c>
      <c r="G624" s="291">
        <f t="shared" si="66"/>
        <v>0</v>
      </c>
      <c r="H624" s="532">
        <f t="shared" si="66"/>
        <v>0</v>
      </c>
      <c r="I624" s="49">
        <f t="shared" si="66"/>
        <v>0</v>
      </c>
      <c r="J624" s="82">
        <f t="shared" si="66"/>
        <v>0</v>
      </c>
      <c r="K624" s="291">
        <f t="shared" si="66"/>
        <v>4431</v>
      </c>
      <c r="L624" s="532">
        <f t="shared" si="66"/>
        <v>0</v>
      </c>
      <c r="M624" s="82">
        <f t="shared" si="66"/>
        <v>0</v>
      </c>
    </row>
    <row r="625" spans="1:13" ht="13" x14ac:dyDescent="0.25">
      <c r="A625" s="379"/>
      <c r="B625" s="381" t="s">
        <v>715</v>
      </c>
      <c r="C625" s="235">
        <f>SUM(C561:C563)</f>
        <v>4051</v>
      </c>
      <c r="D625" s="235">
        <f>SUM(D561:D563)</f>
        <v>1506</v>
      </c>
      <c r="E625" s="367">
        <v>0.4437869822485207</v>
      </c>
      <c r="F625" s="532">
        <f t="shared" ref="F625:M625" si="67">SUM(F561:F563)</f>
        <v>0</v>
      </c>
      <c r="G625" s="291">
        <f t="shared" si="67"/>
        <v>0</v>
      </c>
      <c r="H625" s="532">
        <f t="shared" si="67"/>
        <v>0</v>
      </c>
      <c r="I625" s="49">
        <f t="shared" si="67"/>
        <v>0</v>
      </c>
      <c r="J625" s="82">
        <f t="shared" si="67"/>
        <v>0</v>
      </c>
      <c r="K625" s="291">
        <f t="shared" si="67"/>
        <v>0</v>
      </c>
      <c r="L625" s="532">
        <f t="shared" si="67"/>
        <v>0</v>
      </c>
      <c r="M625" s="82">
        <f t="shared" si="67"/>
        <v>948</v>
      </c>
    </row>
    <row r="626" spans="1:13" ht="13" x14ac:dyDescent="0.25">
      <c r="A626" s="379"/>
      <c r="B626" s="381" t="s">
        <v>10</v>
      </c>
      <c r="C626" s="235">
        <f>SUM(C484)</f>
        <v>581</v>
      </c>
      <c r="D626" s="235">
        <f>SUM(D484)</f>
        <v>179</v>
      </c>
      <c r="E626" s="367">
        <v>0.35776614310645727</v>
      </c>
      <c r="F626" s="532">
        <f t="shared" ref="F626:M626" si="68">SUM(F484)</f>
        <v>0</v>
      </c>
      <c r="G626" s="291">
        <f t="shared" si="68"/>
        <v>0</v>
      </c>
      <c r="H626" s="532">
        <f t="shared" si="68"/>
        <v>0</v>
      </c>
      <c r="I626" s="49">
        <f t="shared" si="68"/>
        <v>0</v>
      </c>
      <c r="J626" s="82">
        <f t="shared" si="68"/>
        <v>0</v>
      </c>
      <c r="K626" s="291">
        <f t="shared" si="68"/>
        <v>0</v>
      </c>
      <c r="L626" s="532">
        <f t="shared" si="68"/>
        <v>0</v>
      </c>
      <c r="M626" s="82">
        <f t="shared" si="68"/>
        <v>103</v>
      </c>
    </row>
    <row r="627" spans="1:13" ht="13" x14ac:dyDescent="0.25">
      <c r="A627" s="379"/>
      <c r="B627" s="381" t="s">
        <v>11</v>
      </c>
      <c r="C627" s="235">
        <f>SUM(C315:C318)</f>
        <v>3145</v>
      </c>
      <c r="D627" s="235">
        <f>SUM(D315:D318)</f>
        <v>2078</v>
      </c>
      <c r="E627" s="367">
        <v>0.71638454167997445</v>
      </c>
      <c r="F627" s="532">
        <f t="shared" ref="F627:M627" si="69">SUM(F315:F318)</f>
        <v>0</v>
      </c>
      <c r="G627" s="291">
        <f t="shared" si="69"/>
        <v>0</v>
      </c>
      <c r="H627" s="532">
        <f t="shared" si="69"/>
        <v>1314</v>
      </c>
      <c r="I627" s="49">
        <f t="shared" si="69"/>
        <v>0</v>
      </c>
      <c r="J627" s="82">
        <f t="shared" si="69"/>
        <v>0</v>
      </c>
      <c r="K627" s="291">
        <f t="shared" si="69"/>
        <v>0</v>
      </c>
      <c r="L627" s="532">
        <f t="shared" si="69"/>
        <v>0</v>
      </c>
      <c r="M627" s="82">
        <f t="shared" si="69"/>
        <v>0</v>
      </c>
    </row>
    <row r="628" spans="1:13" ht="13" x14ac:dyDescent="0.25">
      <c r="A628" s="379"/>
      <c r="B628" s="381" t="s">
        <v>12</v>
      </c>
      <c r="C628" s="235">
        <f>SUM(C351)</f>
        <v>525</v>
      </c>
      <c r="D628" s="235">
        <f>SUM(D351)</f>
        <v>211</v>
      </c>
      <c r="E628" s="367">
        <v>0.36811023622047245</v>
      </c>
      <c r="F628" s="532">
        <f t="shared" ref="F628:M628" si="70">SUM(F351)</f>
        <v>0</v>
      </c>
      <c r="G628" s="291">
        <f t="shared" si="70"/>
        <v>0</v>
      </c>
      <c r="H628" s="532">
        <f t="shared" si="70"/>
        <v>146</v>
      </c>
      <c r="I628" s="49">
        <f t="shared" si="70"/>
        <v>0</v>
      </c>
      <c r="J628" s="82">
        <f t="shared" si="70"/>
        <v>0</v>
      </c>
      <c r="K628" s="291">
        <f t="shared" si="70"/>
        <v>0</v>
      </c>
      <c r="L628" s="532">
        <f t="shared" si="70"/>
        <v>0</v>
      </c>
      <c r="M628" s="82">
        <f t="shared" si="70"/>
        <v>0</v>
      </c>
    </row>
    <row r="629" spans="1:13" ht="13" x14ac:dyDescent="0.25">
      <c r="A629" s="379"/>
      <c r="B629" s="381" t="s">
        <v>13</v>
      </c>
      <c r="C629" s="235">
        <f>SUM(C485:C486)</f>
        <v>2317</v>
      </c>
      <c r="D629" s="235">
        <f>SUM(D485:D486)</f>
        <v>1166</v>
      </c>
      <c r="E629" s="367">
        <v>0.53079308817013737</v>
      </c>
      <c r="F629" s="532">
        <f t="shared" ref="F629:M629" si="71">SUM(F485:F486)</f>
        <v>0</v>
      </c>
      <c r="G629" s="291">
        <f t="shared" si="71"/>
        <v>0</v>
      </c>
      <c r="H629" s="532">
        <f t="shared" si="71"/>
        <v>0</v>
      </c>
      <c r="I629" s="49">
        <f t="shared" si="71"/>
        <v>0</v>
      </c>
      <c r="J629" s="82">
        <f t="shared" si="71"/>
        <v>0</v>
      </c>
      <c r="K629" s="291">
        <f t="shared" si="71"/>
        <v>0</v>
      </c>
      <c r="L629" s="532">
        <f t="shared" si="71"/>
        <v>0</v>
      </c>
      <c r="M629" s="82">
        <f t="shared" si="71"/>
        <v>766</v>
      </c>
    </row>
    <row r="630" spans="1:13" ht="13" x14ac:dyDescent="0.25">
      <c r="A630" s="379"/>
      <c r="B630" s="381" t="s">
        <v>716</v>
      </c>
      <c r="C630" s="235">
        <f>SUM(C420)</f>
        <v>1122</v>
      </c>
      <c r="D630" s="235">
        <f>SUM(D420)</f>
        <v>275</v>
      </c>
      <c r="E630" s="367">
        <v>0.26583407671721676</v>
      </c>
      <c r="F630" s="532">
        <f t="shared" ref="F630:M630" si="72">SUM(F420)</f>
        <v>0</v>
      </c>
      <c r="G630" s="291">
        <f t="shared" si="72"/>
        <v>184</v>
      </c>
      <c r="H630" s="532">
        <f t="shared" si="72"/>
        <v>0</v>
      </c>
      <c r="I630" s="49">
        <f t="shared" si="72"/>
        <v>0</v>
      </c>
      <c r="J630" s="82">
        <f t="shared" si="72"/>
        <v>0</v>
      </c>
      <c r="K630" s="291">
        <f t="shared" si="72"/>
        <v>0</v>
      </c>
      <c r="L630" s="532">
        <f t="shared" si="72"/>
        <v>0</v>
      </c>
      <c r="M630" s="82">
        <f t="shared" si="72"/>
        <v>0</v>
      </c>
    </row>
    <row r="631" spans="1:13" ht="13" x14ac:dyDescent="0.25">
      <c r="A631" s="379"/>
      <c r="B631" s="381" t="s">
        <v>26</v>
      </c>
      <c r="C631" s="235">
        <f>SUM(C421:C423)</f>
        <v>2289</v>
      </c>
      <c r="D631" s="235">
        <f>SUM(D421:D423)</f>
        <v>1565</v>
      </c>
      <c r="E631" s="367">
        <v>0.71292693471681801</v>
      </c>
      <c r="F631" s="532">
        <f t="shared" ref="F631:M631" si="73">SUM(F421:F423)</f>
        <v>0</v>
      </c>
      <c r="G631" s="291">
        <f t="shared" si="73"/>
        <v>0</v>
      </c>
      <c r="H631" s="532">
        <f t="shared" si="73"/>
        <v>0</v>
      </c>
      <c r="I631" s="49">
        <f t="shared" si="73"/>
        <v>0</v>
      </c>
      <c r="J631" s="82">
        <f t="shared" si="73"/>
        <v>0</v>
      </c>
      <c r="K631" s="291">
        <f t="shared" si="73"/>
        <v>971</v>
      </c>
      <c r="L631" s="532">
        <f t="shared" si="73"/>
        <v>0</v>
      </c>
      <c r="M631" s="82">
        <f t="shared" si="73"/>
        <v>0</v>
      </c>
    </row>
    <row r="632" spans="1:13" ht="13" x14ac:dyDescent="0.25">
      <c r="A632" s="379"/>
      <c r="B632" s="381" t="s">
        <v>27</v>
      </c>
      <c r="C632" s="235">
        <f>SUM(C424)</f>
        <v>1310</v>
      </c>
      <c r="D632" s="235">
        <f>SUM(D424)</f>
        <v>742</v>
      </c>
      <c r="E632" s="367">
        <v>0.58695652173913049</v>
      </c>
      <c r="F632" s="533">
        <f t="shared" ref="F632:M632" si="74">SUM(F424)</f>
        <v>0</v>
      </c>
      <c r="G632" s="521">
        <f t="shared" si="74"/>
        <v>0</v>
      </c>
      <c r="H632" s="533">
        <f t="shared" si="74"/>
        <v>0</v>
      </c>
      <c r="I632" s="61">
        <f t="shared" si="74"/>
        <v>248</v>
      </c>
      <c r="J632" s="83">
        <f t="shared" si="74"/>
        <v>373</v>
      </c>
      <c r="K632" s="521">
        <f t="shared" si="74"/>
        <v>0</v>
      </c>
      <c r="L632" s="533">
        <f t="shared" si="74"/>
        <v>0</v>
      </c>
      <c r="M632" s="83">
        <f t="shared" si="74"/>
        <v>0</v>
      </c>
    </row>
    <row r="633" spans="1:13" ht="13" x14ac:dyDescent="0.25">
      <c r="A633" s="379"/>
      <c r="B633" s="381" t="s">
        <v>14</v>
      </c>
      <c r="C633" s="235">
        <f>SUM(C425:C426)</f>
        <v>2081</v>
      </c>
      <c r="D633" s="235">
        <f>SUM(D425:D426)</f>
        <v>1366</v>
      </c>
      <c r="E633" s="367">
        <v>0.69914040114613185</v>
      </c>
      <c r="F633" s="532">
        <f t="shared" ref="F633:M633" si="75">SUM(F425:F426)</f>
        <v>0</v>
      </c>
      <c r="G633" s="291">
        <f t="shared" si="75"/>
        <v>0</v>
      </c>
      <c r="H633" s="532">
        <f t="shared" si="75"/>
        <v>0</v>
      </c>
      <c r="I633" s="49">
        <f t="shared" si="75"/>
        <v>0</v>
      </c>
      <c r="J633" s="82">
        <f t="shared" si="75"/>
        <v>0</v>
      </c>
      <c r="K633" s="291">
        <f t="shared" si="75"/>
        <v>833</v>
      </c>
      <c r="L633" s="532">
        <f t="shared" si="75"/>
        <v>0</v>
      </c>
      <c r="M633" s="82">
        <f t="shared" si="75"/>
        <v>0</v>
      </c>
    </row>
    <row r="634" spans="1:13" ht="13" x14ac:dyDescent="0.25">
      <c r="A634" s="379"/>
      <c r="B634" s="381" t="s">
        <v>28</v>
      </c>
      <c r="C634" s="296">
        <f>SUM(C427:C428)</f>
        <v>2677</v>
      </c>
      <c r="D634" s="296">
        <f>SUM(D427:D428)</f>
        <v>1159</v>
      </c>
      <c r="E634" s="367">
        <v>0.46010439970171513</v>
      </c>
      <c r="F634" s="533">
        <f t="shared" ref="F634:M634" si="76">SUM(F427:F428)</f>
        <v>0</v>
      </c>
      <c r="G634" s="521">
        <f t="shared" si="76"/>
        <v>0</v>
      </c>
      <c r="H634" s="533">
        <f t="shared" si="76"/>
        <v>876</v>
      </c>
      <c r="I634" s="61">
        <f t="shared" si="76"/>
        <v>0</v>
      </c>
      <c r="J634" s="83">
        <f t="shared" si="76"/>
        <v>0</v>
      </c>
      <c r="K634" s="521">
        <f t="shared" si="76"/>
        <v>0</v>
      </c>
      <c r="L634" s="533">
        <f t="shared" si="76"/>
        <v>0</v>
      </c>
      <c r="M634" s="83">
        <f t="shared" si="76"/>
        <v>0</v>
      </c>
    </row>
    <row r="635" spans="1:13" ht="13" x14ac:dyDescent="0.25">
      <c r="A635" s="379"/>
      <c r="B635" s="381" t="s">
        <v>29</v>
      </c>
      <c r="C635" s="257">
        <f>SUM(C472:C474)</f>
        <v>2600</v>
      </c>
      <c r="D635" s="257">
        <f>SUM(D472:D474)</f>
        <v>1423</v>
      </c>
      <c r="E635" s="367">
        <v>0.56247611769201378</v>
      </c>
      <c r="F635" s="534">
        <f t="shared" ref="F635:M635" si="77">SUM(F472:F474)</f>
        <v>0</v>
      </c>
      <c r="G635" s="306">
        <f t="shared" si="77"/>
        <v>0</v>
      </c>
      <c r="H635" s="534">
        <f t="shared" si="77"/>
        <v>864</v>
      </c>
      <c r="I635" s="66">
        <f t="shared" si="77"/>
        <v>0</v>
      </c>
      <c r="J635" s="84">
        <f t="shared" si="77"/>
        <v>0</v>
      </c>
      <c r="K635" s="306">
        <f t="shared" si="77"/>
        <v>0</v>
      </c>
      <c r="L635" s="534">
        <f t="shared" si="77"/>
        <v>0</v>
      </c>
      <c r="M635" s="84">
        <f t="shared" si="77"/>
        <v>0</v>
      </c>
    </row>
    <row r="636" spans="1:13" ht="13" x14ac:dyDescent="0.25">
      <c r="A636" s="379"/>
      <c r="B636" s="381" t="s">
        <v>717</v>
      </c>
      <c r="C636" s="257">
        <f>SUM(C478:C479)</f>
        <v>2043</v>
      </c>
      <c r="D636" s="257">
        <f>SUM(D478:D479)</f>
        <v>648</v>
      </c>
      <c r="E636" s="367">
        <v>0.3401360544217687</v>
      </c>
      <c r="F636" s="534">
        <f t="shared" ref="F636:M636" si="78">SUM(F478:F479)</f>
        <v>0</v>
      </c>
      <c r="G636" s="306">
        <f t="shared" si="78"/>
        <v>0</v>
      </c>
      <c r="H636" s="534">
        <f t="shared" si="78"/>
        <v>540</v>
      </c>
      <c r="I636" s="66">
        <f t="shared" si="78"/>
        <v>0</v>
      </c>
      <c r="J636" s="84">
        <f t="shared" si="78"/>
        <v>0</v>
      </c>
      <c r="K636" s="306">
        <f t="shared" si="78"/>
        <v>0</v>
      </c>
      <c r="L636" s="534">
        <f t="shared" si="78"/>
        <v>0</v>
      </c>
      <c r="M636" s="84">
        <f t="shared" si="78"/>
        <v>0</v>
      </c>
    </row>
    <row r="637" spans="1:13" ht="13" x14ac:dyDescent="0.25">
      <c r="A637" s="379"/>
      <c r="B637" s="381" t="s">
        <v>718</v>
      </c>
      <c r="C637" s="257">
        <f>SUM(C480:C481)</f>
        <v>2157</v>
      </c>
      <c r="D637" s="257">
        <f>SUM(D480:D481)</f>
        <v>668</v>
      </c>
      <c r="E637" s="367">
        <v>0.33011049723756908</v>
      </c>
      <c r="F637" s="534">
        <f t="shared" ref="F637:M637" si="79">SUM(F480:F481)</f>
        <v>0</v>
      </c>
      <c r="G637" s="306">
        <f t="shared" si="79"/>
        <v>0</v>
      </c>
      <c r="H637" s="534">
        <f t="shared" si="79"/>
        <v>462</v>
      </c>
      <c r="I637" s="66">
        <f t="shared" si="79"/>
        <v>0</v>
      </c>
      <c r="J637" s="84">
        <f t="shared" si="79"/>
        <v>0</v>
      </c>
      <c r="K637" s="306">
        <f t="shared" si="79"/>
        <v>0</v>
      </c>
      <c r="L637" s="534">
        <f t="shared" si="79"/>
        <v>0</v>
      </c>
      <c r="M637" s="84">
        <f t="shared" si="79"/>
        <v>0</v>
      </c>
    </row>
    <row r="638" spans="1:13" ht="13" x14ac:dyDescent="0.25">
      <c r="A638" s="379"/>
      <c r="B638" s="381" t="s">
        <v>30</v>
      </c>
      <c r="C638" s="257">
        <f>SUM(C482:C483)</f>
        <v>2774</v>
      </c>
      <c r="D638" s="257">
        <f>SUM(D482:D483)</f>
        <v>1743</v>
      </c>
      <c r="E638" s="367">
        <v>0.65182186234817818</v>
      </c>
      <c r="F638" s="534">
        <f t="shared" ref="F638:M638" si="80">SUM(F482:F483)</f>
        <v>0</v>
      </c>
      <c r="G638" s="306">
        <f t="shared" si="80"/>
        <v>0</v>
      </c>
      <c r="H638" s="534">
        <f t="shared" si="80"/>
        <v>0</v>
      </c>
      <c r="I638" s="66">
        <f t="shared" si="80"/>
        <v>564</v>
      </c>
      <c r="J638" s="84">
        <f t="shared" si="80"/>
        <v>886</v>
      </c>
      <c r="K638" s="306">
        <f t="shared" si="80"/>
        <v>0</v>
      </c>
      <c r="L638" s="534">
        <f t="shared" si="80"/>
        <v>0</v>
      </c>
      <c r="M638" s="84">
        <f t="shared" si="80"/>
        <v>0</v>
      </c>
    </row>
    <row r="639" spans="1:13" ht="13" x14ac:dyDescent="0.25">
      <c r="A639" s="379"/>
      <c r="B639" s="381" t="s">
        <v>31</v>
      </c>
      <c r="C639" s="257">
        <f>SUM(C496:C497)</f>
        <v>2054</v>
      </c>
      <c r="D639" s="257">
        <f>SUM(D496:D497)</f>
        <v>1127</v>
      </c>
      <c r="E639" s="367">
        <v>0.58276533592989288</v>
      </c>
      <c r="F639" s="534">
        <f t="shared" ref="F639:M639" si="81">SUM(F496:F497)</f>
        <v>0</v>
      </c>
      <c r="G639" s="306">
        <f t="shared" si="81"/>
        <v>0</v>
      </c>
      <c r="H639" s="534">
        <f t="shared" si="81"/>
        <v>0</v>
      </c>
      <c r="I639" s="66">
        <f t="shared" si="81"/>
        <v>538</v>
      </c>
      <c r="J639" s="84">
        <f t="shared" si="81"/>
        <v>431</v>
      </c>
      <c r="K639" s="306">
        <f t="shared" si="81"/>
        <v>0</v>
      </c>
      <c r="L639" s="534">
        <f t="shared" si="81"/>
        <v>0</v>
      </c>
      <c r="M639" s="84">
        <f t="shared" si="81"/>
        <v>0</v>
      </c>
    </row>
    <row r="640" spans="1:13" ht="13" x14ac:dyDescent="0.25">
      <c r="A640" s="379"/>
      <c r="B640" s="381" t="s">
        <v>15</v>
      </c>
      <c r="C640" s="257">
        <f>SUM(C487)</f>
        <v>768</v>
      </c>
      <c r="D640" s="257">
        <f>SUM(D487)</f>
        <v>483</v>
      </c>
      <c r="E640" s="367">
        <v>0.69129287598944589</v>
      </c>
      <c r="F640" s="534">
        <f t="shared" ref="F640:M640" si="82">SUM(F487)</f>
        <v>0</v>
      </c>
      <c r="G640" s="306">
        <f t="shared" si="82"/>
        <v>0</v>
      </c>
      <c r="H640" s="534">
        <f t="shared" si="82"/>
        <v>0</v>
      </c>
      <c r="I640" s="66">
        <f t="shared" si="82"/>
        <v>0</v>
      </c>
      <c r="J640" s="84">
        <f t="shared" si="82"/>
        <v>0</v>
      </c>
      <c r="K640" s="306">
        <f t="shared" si="82"/>
        <v>0</v>
      </c>
      <c r="L640" s="534">
        <f t="shared" si="82"/>
        <v>0</v>
      </c>
      <c r="M640" s="84">
        <f t="shared" si="82"/>
        <v>349</v>
      </c>
    </row>
    <row r="641" spans="1:13" ht="13" x14ac:dyDescent="0.25">
      <c r="A641" s="379"/>
      <c r="B641" s="381" t="s">
        <v>719</v>
      </c>
      <c r="C641" s="257">
        <f>SUM(C498:C501)</f>
        <v>3025</v>
      </c>
      <c r="D641" s="257">
        <f>SUM(D498:D501)</f>
        <v>1570</v>
      </c>
      <c r="E641" s="367">
        <v>0.51426675514266751</v>
      </c>
      <c r="F641" s="534">
        <f t="shared" ref="F641:M641" si="83">SUM(F498:F501)</f>
        <v>0</v>
      </c>
      <c r="G641" s="306">
        <f t="shared" si="83"/>
        <v>894</v>
      </c>
      <c r="H641" s="534">
        <f t="shared" si="83"/>
        <v>0</v>
      </c>
      <c r="I641" s="66">
        <f t="shared" si="83"/>
        <v>0</v>
      </c>
      <c r="J641" s="84">
        <f t="shared" si="83"/>
        <v>0</v>
      </c>
      <c r="K641" s="306">
        <f t="shared" si="83"/>
        <v>0</v>
      </c>
      <c r="L641" s="534">
        <f t="shared" si="83"/>
        <v>0</v>
      </c>
      <c r="M641" s="84">
        <f t="shared" si="83"/>
        <v>0</v>
      </c>
    </row>
    <row r="642" spans="1:13" ht="13" x14ac:dyDescent="0.25">
      <c r="A642" s="379"/>
      <c r="B642" s="381" t="s">
        <v>720</v>
      </c>
      <c r="C642" s="257">
        <f>SUM(C502:C504)</f>
        <v>3781</v>
      </c>
      <c r="D642" s="257">
        <f>SUM(D502:D504)</f>
        <v>1875</v>
      </c>
      <c r="E642" s="367">
        <v>0.52646980579941471</v>
      </c>
      <c r="F642" s="534">
        <f t="shared" ref="F642:M642" si="84">SUM(F502:F504)</f>
        <v>0</v>
      </c>
      <c r="G642" s="306">
        <f t="shared" si="84"/>
        <v>0</v>
      </c>
      <c r="H642" s="534">
        <f t="shared" si="84"/>
        <v>1314</v>
      </c>
      <c r="I642" s="66">
        <f t="shared" si="84"/>
        <v>0</v>
      </c>
      <c r="J642" s="84">
        <f t="shared" si="84"/>
        <v>0</v>
      </c>
      <c r="K642" s="306">
        <f t="shared" si="84"/>
        <v>0</v>
      </c>
      <c r="L642" s="534">
        <f t="shared" si="84"/>
        <v>0</v>
      </c>
      <c r="M642" s="84">
        <f t="shared" si="84"/>
        <v>0</v>
      </c>
    </row>
    <row r="643" spans="1:13" ht="13" x14ac:dyDescent="0.25">
      <c r="A643" s="379"/>
      <c r="B643" s="381" t="s">
        <v>32</v>
      </c>
      <c r="C643" s="257">
        <f>SUM(C559:C560)</f>
        <v>1922</v>
      </c>
      <c r="D643" s="257">
        <f>SUM(D559:D560)</f>
        <v>1188</v>
      </c>
      <c r="E643" s="367">
        <v>0.64825429911412191</v>
      </c>
      <c r="F643" s="534">
        <f t="shared" ref="F643:M643" si="85">SUM(F559:F560)</f>
        <v>0</v>
      </c>
      <c r="G643" s="306">
        <f t="shared" si="85"/>
        <v>0</v>
      </c>
      <c r="H643" s="534">
        <f t="shared" si="85"/>
        <v>0</v>
      </c>
      <c r="I643" s="66">
        <f t="shared" si="85"/>
        <v>0</v>
      </c>
      <c r="J643" s="84">
        <f t="shared" si="85"/>
        <v>0</v>
      </c>
      <c r="K643" s="306">
        <f t="shared" si="85"/>
        <v>811</v>
      </c>
      <c r="L643" s="534">
        <f t="shared" si="85"/>
        <v>0</v>
      </c>
      <c r="M643" s="84">
        <f t="shared" si="85"/>
        <v>0</v>
      </c>
    </row>
    <row r="644" spans="1:13" ht="13" x14ac:dyDescent="0.25">
      <c r="A644" s="379"/>
      <c r="B644" s="381" t="s">
        <v>721</v>
      </c>
      <c r="C644" s="257">
        <f>SUM(C564:C565)</f>
        <v>2662</v>
      </c>
      <c r="D644" s="257">
        <f>SUM(D564:D565)</f>
        <v>1086</v>
      </c>
      <c r="E644" s="367">
        <v>0.45582100872203263</v>
      </c>
      <c r="F644" s="534">
        <f t="shared" ref="F644:M644" si="86">SUM(F564:F565)</f>
        <v>0</v>
      </c>
      <c r="G644" s="306">
        <f t="shared" si="86"/>
        <v>0</v>
      </c>
      <c r="H644" s="534">
        <f t="shared" si="86"/>
        <v>883</v>
      </c>
      <c r="I644" s="66">
        <f t="shared" si="86"/>
        <v>0</v>
      </c>
      <c r="J644" s="84">
        <f t="shared" si="86"/>
        <v>0</v>
      </c>
      <c r="K644" s="306">
        <f t="shared" si="86"/>
        <v>0</v>
      </c>
      <c r="L644" s="534">
        <f t="shared" si="86"/>
        <v>0</v>
      </c>
      <c r="M644" s="84">
        <f t="shared" si="86"/>
        <v>0</v>
      </c>
    </row>
    <row r="645" spans="1:13" ht="13" x14ac:dyDescent="0.25">
      <c r="A645" s="379"/>
      <c r="B645" s="381" t="s">
        <v>833</v>
      </c>
      <c r="C645" s="257">
        <f>SUM(C4:C204)+SUM(C209:C212)+SUM(C233:C263)+SUM(C275:C295)+SUM(C297:C298)+SUM(C301)+SUM(C315:C351)+SUM(C390:C398)+SUM(C401:C424)+SUM(C427:C428)+SUM(C482:C483)+SUM(C496:C504)+SUM(C509)+SUM(C513)+SUM(C515:C516)+SUM(C533:C560)</f>
        <v>398311</v>
      </c>
      <c r="D645" s="257">
        <f>SUM(D4:D204)+SUM(D209:D212)+SUM(D233:D263)+SUM(D275:D295)+SUM(D297:D298)+SUM(D301)+SUM(D315:D351)+SUM(D390:D398)+SUM(D401:D424)+SUM(D427:D428)+SUM(D482:D483)+SUM(D496:D504)+SUM(D509)+SUM(D513)+SUM(D515:D516)+SUM(D533:D560)</f>
        <v>189739</v>
      </c>
      <c r="E645" s="367">
        <v>0.50087430156369339</v>
      </c>
      <c r="F645" s="534">
        <f t="shared" ref="F645:M645" si="87">SUM(F28)+SUM(F31:F32)+SUM(F50:F66)+SUM(F69:F70)+SUM(F72:F93)+SUM(F103:F155)+SUM(F157:F159)+SUM(F161:F193)+SUM(F205:F208)+SUM(F213:F238)+SUM(F255:F263)+SUM(F295:F301)+SUM(F302:F309)+SUM(F352:F389)+SUM(F399:F400)+SUM(F401:F423)+SUM(F425:F426)+SUM(F429:F471)+SUM(F475:F477)+SUM(F478:F479)+SUM(F484:F495)+SUM(F498:F501)+SUM(F508)+SUM(F524)+SUM(F531)+SUM(F516)+SUM(F534)+SUM(F536)+SUM(F541:F542)+SUM(F547:F558)+SUM(F561:F563)</f>
        <v>10006</v>
      </c>
      <c r="G645" s="306">
        <f t="shared" si="87"/>
        <v>15812</v>
      </c>
      <c r="H645" s="534">
        <f t="shared" si="87"/>
        <v>7021</v>
      </c>
      <c r="I645" s="66">
        <f t="shared" si="87"/>
        <v>297</v>
      </c>
      <c r="J645" s="84">
        <f t="shared" si="87"/>
        <v>1097</v>
      </c>
      <c r="K645" s="306">
        <f t="shared" si="87"/>
        <v>17804</v>
      </c>
      <c r="L645" s="534">
        <f t="shared" si="87"/>
        <v>31629</v>
      </c>
      <c r="M645" s="84">
        <f t="shared" si="87"/>
        <v>22177</v>
      </c>
    </row>
    <row r="646" spans="1:13" ht="13" x14ac:dyDescent="0.25">
      <c r="A646" s="379"/>
      <c r="B646" s="381" t="s">
        <v>834</v>
      </c>
      <c r="C646" s="257">
        <f>SUM(C205:C208)+SUM(C213:C232)+SUM(C264:C274)+SUM(C295:C300)+SUM(C302:C314)+SUM(C352:C389)+SUM(C399:C400)+SUM(C425:C426)+SUM(C429:C481)+SUM(C484:C495)+SUM(C505:C508)+SUM(C510:C512)+SUM(C514)+SUM(C517:C532)+SUM(C561:C565)</f>
        <v>202585</v>
      </c>
      <c r="D646" s="257">
        <f>SUM(D205:D208)+SUM(D213:D232)+SUM(D264:D274)+SUM(D295:D300)+SUM(D302:D314)+SUM(D352:D389)+SUM(D399:D400)+SUM(D425:D426)+SUM(D429:D481)+SUM(D484:D495)+SUM(D505:D508)+SUM(D510:D512)+SUM(D514)+SUM(D517:D532)+SUM(D561:D565)</f>
        <v>100683</v>
      </c>
      <c r="E646" s="367">
        <v>0.54319858394478171</v>
      </c>
      <c r="F646" s="535">
        <f t="shared" ref="F646:M646" si="88">SUM(F4:F27)+SUM(F29:F30)+SUM(F33:F49)+SUM(F94:F102)+SUM(F156)+SUM(F160)+SUM(F194:F204)+SUM(F209:F212)+SUM(F239:F245)+SUM(F246:F253)+SUM(F264:F294)+SUM(F310:F314)+SUM(F315:F351)+SUM(F390:F398)+SUM(F424)+SUM(F427:F428)+SUM(F472:F474)+SUM(F480:F483)+SUM(F496:F497)+SUM(F502:F504)+SUM(F505:F507)+SUM(F509:F515)+SUM(F517:F523)+SUM(F525:F530)+SUM(F532)+SUM(F533)+SUM(F535)+SUM(F537:F540)+SUM(F543:F546)+SUM(F559:F560)+SUM(F564:F565)</f>
        <v>1264</v>
      </c>
      <c r="G646" s="522">
        <f t="shared" si="88"/>
        <v>7242</v>
      </c>
      <c r="H646" s="535">
        <f t="shared" si="88"/>
        <v>21003</v>
      </c>
      <c r="I646" s="68">
        <f t="shared" si="88"/>
        <v>19490</v>
      </c>
      <c r="J646" s="85">
        <f t="shared" si="88"/>
        <v>25673</v>
      </c>
      <c r="K646" s="522">
        <f t="shared" si="88"/>
        <v>17966</v>
      </c>
      <c r="L646" s="535">
        <f t="shared" si="88"/>
        <v>0</v>
      </c>
      <c r="M646" s="85">
        <f t="shared" si="88"/>
        <v>0</v>
      </c>
    </row>
    <row r="647" spans="1:13" ht="13" x14ac:dyDescent="0.25">
      <c r="A647" s="379"/>
      <c r="B647" s="381" t="s">
        <v>835</v>
      </c>
      <c r="C647" s="257">
        <f>SUM(C16)+SUM(C28:C35)+SUM(C37:C39)+SUM(C42:C49)+SUM(C70:C73)+SUM(C86:C89)+SUM(C92)+SUM(C105)+SUM(C112)+SUM(C233:C245)+SUM(C254)+SUM(C319:C350)+SUM(C397)+SUM(C496:C497)+SUM(C547:C560)</f>
        <v>97747</v>
      </c>
      <c r="D647" s="257">
        <f>SUM(D18)+SUM(D30:D37)+SUM(D39:D41)+SUM(D44:D51)+SUM(D72:D75)+SUM(D88:D91)+SUM(D94)+SUM(D107)+SUM(D114)+SUM(D235:D247)+SUM(D256)+SUM(D321:D352)+SUM(D399)+SUM(D498:D499)+SUM(D549:D562)</f>
        <v>57897</v>
      </c>
      <c r="E647" s="367">
        <v>0.58752756551618035</v>
      </c>
      <c r="F647" s="534">
        <f t="shared" ref="F647:M647" si="89">SUM(F18)+SUM(F30:F37)+SUM(F39:F41)+SUM(F44:F51)+SUM(F72:F75)+SUM(F88:F91)+SUM(F94)+SUM(F107)+SUM(F114)+SUM(F235:F247)+SUM(F256)+SUM(F321:F352)+SUM(F399)+SUM(F498:F499)+SUM(F549:F562)</f>
        <v>3109</v>
      </c>
      <c r="G647" s="306">
        <f t="shared" si="89"/>
        <v>2775</v>
      </c>
      <c r="H647" s="534">
        <f t="shared" si="89"/>
        <v>146</v>
      </c>
      <c r="I647" s="66">
        <f t="shared" si="89"/>
        <v>12371</v>
      </c>
      <c r="J647" s="84">
        <f t="shared" si="89"/>
        <v>14542</v>
      </c>
      <c r="K647" s="306">
        <f t="shared" si="89"/>
        <v>9509</v>
      </c>
      <c r="L647" s="534">
        <f t="shared" si="89"/>
        <v>462</v>
      </c>
      <c r="M647" s="84">
        <f t="shared" si="89"/>
        <v>1194</v>
      </c>
    </row>
    <row r="648" spans="1:13" ht="13" x14ac:dyDescent="0.25">
      <c r="A648" s="379"/>
      <c r="B648" s="381" t="s">
        <v>763</v>
      </c>
      <c r="C648" s="257">
        <f>SUM(C119:C127)+SUM(C165:C171)+SUM(C173)+SUM(C194:C204)+SUM(C205:C231)+SUM(C246:C263)+SUM(C287:C309)+SUM(C352:C389)+SUM(C399:C419)+SUM(C421:C423)+SUM(C425:C426)+SUM(C429:C477)+SUM(C484:C495)+SUM(C508)+SUM(C524)+SUM(C531)+SUM(C534:C546)+SUM(C561:C563)</f>
        <v>252216</v>
      </c>
      <c r="D648" s="257">
        <f>SUM(D121:D129)+SUM(D167:D173)+SUM(D175)+SUM(D196:D206)+SUM(D207:D233)+SUM(D248:D265)+SUM(D289:D311)+SUM(D354:D391)+SUM(D401:D421)+SUM(D423:D425)+SUM(D427:D428)+SUM(D431:D479)+SUM(D486:D497)+SUM(D510)+SUM(D526)+SUM(D533)+SUM(D536:D548)+SUM(D563:D565)</f>
        <v>126530</v>
      </c>
      <c r="E648" s="367">
        <v>0.55507168060014622</v>
      </c>
      <c r="F648" s="534">
        <f t="shared" ref="F648:M648" si="90">SUM(F121:F129)+SUM(F167:F173)+SUM(F175)+SUM(F196:F206)+SUM(F207:F233)+SUM(F248:F265)+SUM(F289:F311)+SUM(F354:F391)+SUM(F401:F421)+SUM(F423:F425)+SUM(F427:F428)+SUM(F431:F479)+SUM(F486:F497)+SUM(F510)+SUM(F526)+SUM(F533)+SUM(F536:F548)+SUM(F563:F565)</f>
        <v>108</v>
      </c>
      <c r="G648" s="306">
        <f t="shared" si="90"/>
        <v>660</v>
      </c>
      <c r="H648" s="534">
        <f t="shared" si="90"/>
        <v>9576</v>
      </c>
      <c r="I648" s="66">
        <f t="shared" si="90"/>
        <v>786</v>
      </c>
      <c r="J648" s="84">
        <f t="shared" si="90"/>
        <v>804</v>
      </c>
      <c r="K648" s="306">
        <f t="shared" si="90"/>
        <v>23431</v>
      </c>
      <c r="L648" s="534">
        <f t="shared" si="90"/>
        <v>29343</v>
      </c>
      <c r="M648" s="84">
        <f t="shared" si="90"/>
        <v>18025</v>
      </c>
    </row>
    <row r="649" spans="1:13" ht="13" x14ac:dyDescent="0.25">
      <c r="A649" s="379"/>
      <c r="B649" s="381" t="s">
        <v>836</v>
      </c>
      <c r="C649" s="235">
        <f t="shared" ref="C649" si="91">SUM(C4:C15)+SUM(C17:C27)+SUM(C36)+SUM(C40:C41)+SUM(C50:C69)+SUM(C74:C85)+SUM(C90:C91)+SUM(C93:C104)+SUM(C106:C111)+SUM(C113:C118)+SUM(C122:C193)+SUM(C275:C286)+SUM(C310:C318)+SUM(C351)+SUM(C391:C396)+SUM(C398)+SUM(C420)+SUM(C424)+SUM(C427:C428)+SUM(C478:C483)+SUM(C498:C507)+SUM(C509:C514)+SUM(C516:C523)+SUM(C525:C530)+SUM(C532:C533)+SUM(C564:C565)</f>
        <v>251255</v>
      </c>
      <c r="D649" s="235">
        <f t="shared" ref="D649" si="92">SUM(D6:D17)+SUM(D19:D29)+SUM(D38)+SUM(D42:D43)+SUM(D52:D71)+SUM(D76:D87)+SUM(D92:D93)+SUM(D95:D106)+SUM(D108:D113)+SUM(D115:D120)+SUM(D124:D195)+SUM(D277:D288)+SUM(D312:D320)+SUM(D353)+SUM(D393:D398)+SUM(D400)+SUM(D422)+SUM(D426)+SUM(D429:D430)+SUM(D480:D485)+SUM(D500:D509)+SUM(D511:D516)+SUM(D518:D525)+SUM(D527:D532)+SUM(D534:D535)+SUM(D566:D567)</f>
        <v>620105</v>
      </c>
      <c r="E649" s="367">
        <v>0.44056436127708803</v>
      </c>
      <c r="F649" s="532">
        <f t="shared" ref="F649:M649" si="93">SUM(F6:F17)+SUM(F19:F29)+SUM(F38)+SUM(F42:F43)+SUM(F52:F71)+SUM(F76:F87)+SUM(F92:F93)+SUM(F95:F106)+SUM(F108:F113)+SUM(F115:F120)+SUM(F124:F195)+SUM(F277:F288)+SUM(F312:F320)+SUM(F353)+SUM(F393:F398)+SUM(F400)+SUM(F422)+SUM(F426)+SUM(F429:F430)+SUM(F480:F485)+SUM(F500:F509)+SUM(F511:F516)+SUM(F518:F525)+SUM(F527:F532)+SUM(F534:F535)+SUM(F566:F567)</f>
        <v>30110</v>
      </c>
      <c r="G649" s="291">
        <f t="shared" si="93"/>
        <v>58614</v>
      </c>
      <c r="H649" s="532">
        <f t="shared" si="93"/>
        <v>65438</v>
      </c>
      <c r="I649" s="49">
        <f t="shared" si="93"/>
        <v>42790</v>
      </c>
      <c r="J649" s="82">
        <f t="shared" si="93"/>
        <v>57082</v>
      </c>
      <c r="K649" s="291">
        <f t="shared" si="93"/>
        <v>67212</v>
      </c>
      <c r="L649" s="532">
        <f t="shared" si="93"/>
        <v>60596</v>
      </c>
      <c r="M649" s="82">
        <f t="shared" si="93"/>
        <v>46899</v>
      </c>
    </row>
    <row r="650" spans="1:13" ht="13" x14ac:dyDescent="0.25">
      <c r="A650" s="379"/>
      <c r="B650" s="381" t="s">
        <v>837</v>
      </c>
      <c r="C650" s="235">
        <f t="shared" ref="C650" si="94">SUM(C4:C15)+SUM(C41)+SUM(C50:C54)+SUM(C66:C69)+SUM(C74:C80)+SUM(C113:C118)+SUM(C122:C132)+SUM(C163:C177)+SUM(C179)+SUM(C181)+SUM(C183)+SUM(C185:C193)</f>
        <v>85654</v>
      </c>
      <c r="D650" s="235">
        <f t="shared" ref="D650:M650" si="95">SUM(D6:D17)+SUM(D43)+SUM(D52:D56)+SUM(D68:D71)+SUM(D76:D82)+SUM(D115:D120)+SUM(D124:D134)+SUM(D165:D179)+SUM(D181)+SUM(D183)+SUM(D185)+SUM(D187:D195)</f>
        <v>30406</v>
      </c>
      <c r="E650" s="367">
        <v>0.36986141570621994</v>
      </c>
      <c r="F650" s="532">
        <f t="shared" si="95"/>
        <v>5773</v>
      </c>
      <c r="G650" s="291">
        <f t="shared" si="95"/>
        <v>3056</v>
      </c>
      <c r="H650" s="532">
        <f t="shared" si="95"/>
        <v>0</v>
      </c>
      <c r="I650" s="49">
        <f t="shared" si="95"/>
        <v>2352</v>
      </c>
      <c r="J650" s="82">
        <f t="shared" si="95"/>
        <v>4100</v>
      </c>
      <c r="K650" s="291">
        <f t="shared" si="95"/>
        <v>692</v>
      </c>
      <c r="L650" s="532">
        <f t="shared" si="95"/>
        <v>0</v>
      </c>
      <c r="M650" s="82">
        <f t="shared" si="95"/>
        <v>4112</v>
      </c>
    </row>
    <row r="651" spans="1:13" ht="13" x14ac:dyDescent="0.25">
      <c r="A651" s="379"/>
      <c r="B651" s="381" t="s">
        <v>838</v>
      </c>
      <c r="C651" s="235">
        <f t="shared" ref="C651" si="96">SUM(C81:C85)+SUM(C90:C91)+SUM(C93)+SUM(C103:C104)+SUM(C106:C111)+SUM(C133:C135)+SUM(C136:C153)+SUM(C154:C162)+SUM(C178)+SUM(C180)+SUM(C182)+SUM(C184)+SUM(C275:C286)+SUM(C420)+SUM(C498:C501)+SUM(C513)+SUM(C516)</f>
        <v>73541</v>
      </c>
      <c r="D651" s="235">
        <f t="shared" ref="D651:M651" si="97">SUM(D83:D87)+SUM(D92:D93)+SUM(D95)+SUM(D105:D106)+SUM(D108:D113)+SUM(D135:D137)+SUM(D138:D155)+SUM(D156:D164)+SUM(D180)+SUM(D182)+SUM(D184)+SUM(D186)+SUM(D277:D288)+SUM(D422)+SUM(D500:D503)+SUM(D515)+SUM(D518)</f>
        <v>28941</v>
      </c>
      <c r="E651" s="367">
        <v>0.41204167230415373</v>
      </c>
      <c r="F651" s="532">
        <f t="shared" si="97"/>
        <v>1962</v>
      </c>
      <c r="G651" s="291">
        <f t="shared" si="97"/>
        <v>9106</v>
      </c>
      <c r="H651" s="532">
        <f t="shared" si="97"/>
        <v>3546</v>
      </c>
      <c r="I651" s="49">
        <f t="shared" si="97"/>
        <v>1455</v>
      </c>
      <c r="J651" s="82">
        <f t="shared" si="97"/>
        <v>2614</v>
      </c>
      <c r="K651" s="291">
        <f t="shared" si="97"/>
        <v>864</v>
      </c>
      <c r="L651" s="532">
        <f t="shared" si="97"/>
        <v>0</v>
      </c>
      <c r="M651" s="82">
        <f t="shared" si="97"/>
        <v>403</v>
      </c>
    </row>
    <row r="652" spans="1:13" ht="13" x14ac:dyDescent="0.25">
      <c r="A652" s="379"/>
      <c r="B652" s="381" t="s">
        <v>839</v>
      </c>
      <c r="C652" s="236">
        <f t="shared" ref="C652" si="98">SUM(C17:C27)+SUM(C36)+SUM(C40)+SUM(C55:C65)+SUM(C94:C102)+SUM(C310:C318)+SUM(C351)+SUM(C391:C396)+SUM(C398)+SUM(C424)+SUM(C427:C428)+SUM(C478:C483)+SUM(C502:C504)+SUM(C505:C507)+SUM(C509:C512)+SUM(C514)+SUM(C517:C523)+SUM(C525:C530)+SUM(C532)+SUM(C533)+SUM(C564:C565)</f>
        <v>92060</v>
      </c>
      <c r="D652" s="236">
        <f t="shared" ref="D652:M652" si="99">SUM(D19:D29)+SUM(D38)+SUM(D42)+SUM(D57:D67)+SUM(D96:D104)+SUM(D312:D320)+SUM(D353)+SUM(D393:D398)+SUM(D400)+SUM(D426)+SUM(D429:D430)+SUM(D480:D485)+SUM(D504:D506)+SUM(D507:D509)+SUM(D511:D514)+SUM(D516)+SUM(D519:D525)+SUM(D527:D532)+SUM(D534)+SUM(D535)+SUM(D566:D567)</f>
        <v>560758</v>
      </c>
      <c r="E652" s="367">
        <v>0.52944824659710354</v>
      </c>
      <c r="F652" s="529">
        <f t="shared" si="99"/>
        <v>22375</v>
      </c>
      <c r="G652" s="275">
        <f t="shared" si="99"/>
        <v>46452</v>
      </c>
      <c r="H652" s="529">
        <f t="shared" si="99"/>
        <v>61892</v>
      </c>
      <c r="I652" s="70">
        <f t="shared" si="99"/>
        <v>38983</v>
      </c>
      <c r="J652" s="87">
        <f t="shared" si="99"/>
        <v>50368</v>
      </c>
      <c r="K652" s="275">
        <f t="shared" si="99"/>
        <v>65656</v>
      </c>
      <c r="L652" s="529">
        <f t="shared" si="99"/>
        <v>60596</v>
      </c>
      <c r="M652" s="87">
        <f t="shared" si="99"/>
        <v>42384</v>
      </c>
    </row>
    <row r="653" spans="1:13" ht="13" x14ac:dyDescent="0.25">
      <c r="A653" s="379"/>
      <c r="B653" s="381" t="s">
        <v>840</v>
      </c>
      <c r="C653" s="236">
        <f t="shared" ref="C653" si="100">SUM(C16)+SUM(C28:C35)+SUM(C37:C39)+SUM(C42:C49)+SUM(C70:C73)+SUM(C86:C89)+SUM(C92)+SUM(C105)+SUM(C112)+SUM(C233:C245)+SUM(C254)+SUM(C319:C350)+SUM(C397)+SUM(C496:C497)+SUM(C547:C560)</f>
        <v>97747</v>
      </c>
      <c r="D653" s="236">
        <f t="shared" ref="D653:M653" si="101">SUM(D18)+SUM(D30:D37)+SUM(D39:D41)+SUM(D44:D51)+SUM(D72:D75)+SUM(D88:D91)+SUM(D94)+SUM(D107)+SUM(D114)+SUM(D235:D247)+SUM(D256)+SUM(D321:D352)+SUM(D399)+SUM(D498:D499)+SUM(D549:D562)</f>
        <v>57897</v>
      </c>
      <c r="E653" s="367">
        <v>0.58752756551618035</v>
      </c>
      <c r="F653" s="532">
        <f t="shared" si="101"/>
        <v>3109</v>
      </c>
      <c r="G653" s="291">
        <f t="shared" si="101"/>
        <v>2775</v>
      </c>
      <c r="H653" s="532">
        <f t="shared" si="101"/>
        <v>146</v>
      </c>
      <c r="I653" s="49">
        <f t="shared" si="101"/>
        <v>12371</v>
      </c>
      <c r="J653" s="82">
        <f t="shared" si="101"/>
        <v>14542</v>
      </c>
      <c r="K653" s="291">
        <f t="shared" si="101"/>
        <v>9509</v>
      </c>
      <c r="L653" s="532">
        <f t="shared" si="101"/>
        <v>462</v>
      </c>
      <c r="M653" s="82">
        <f t="shared" si="101"/>
        <v>1194</v>
      </c>
    </row>
    <row r="654" spans="1:13" ht="13" x14ac:dyDescent="0.25">
      <c r="A654" s="379"/>
      <c r="B654" s="381" t="s">
        <v>841</v>
      </c>
      <c r="C654" s="235">
        <f t="shared" ref="C654" si="102">SUM(C194:C204)+SUM(C209:C225)+SUM(C246:C253)+SUM(C255:C263)+SUM(C287:C309)+SUM(C390)+SUM(C421:C423)+SUM(C425:C426)+SUM(C472:C474)+SUM(C534:C546)</f>
        <v>86212</v>
      </c>
      <c r="D654" s="235">
        <f t="shared" ref="D654:M654" si="103">SUM(D196:D206)+SUM(D211:D227)+SUM(D248:D255)+SUM(D257:D265)+SUM(D289:D311)+SUM(D392)+SUM(D423:D425)+SUM(D427:D428)+SUM(D474:D476)+SUM(D536:D548)</f>
        <v>47296</v>
      </c>
      <c r="E654" s="367">
        <v>0.5816518447999629</v>
      </c>
      <c r="F654" s="532">
        <f t="shared" si="103"/>
        <v>0</v>
      </c>
      <c r="G654" s="291">
        <f t="shared" si="103"/>
        <v>211</v>
      </c>
      <c r="H654" s="532">
        <f t="shared" si="103"/>
        <v>6810</v>
      </c>
      <c r="I654" s="49">
        <f t="shared" si="103"/>
        <v>248</v>
      </c>
      <c r="J654" s="82">
        <f t="shared" si="103"/>
        <v>373</v>
      </c>
      <c r="K654" s="291">
        <f t="shared" si="103"/>
        <v>21330</v>
      </c>
      <c r="L654" s="532">
        <f t="shared" si="103"/>
        <v>903</v>
      </c>
      <c r="M654" s="82">
        <f t="shared" si="103"/>
        <v>1350</v>
      </c>
    </row>
    <row r="655" spans="1:13" ht="13" x14ac:dyDescent="0.25">
      <c r="A655" s="379"/>
      <c r="B655" s="381" t="s">
        <v>842</v>
      </c>
      <c r="C655" s="235">
        <f t="shared" ref="C655" si="104">SUM(C226:C232)+SUM(C264:C274)+SUM(C352:C389)+SUM(C399:C400)+SUM(C475:C477)+SUM(C485:C487)+SUM(C493)+SUM(C508)+SUM(C515)+SUM(C524)+SUM(C531)+SUM(C561:C563)</f>
        <v>79033</v>
      </c>
      <c r="D655" s="235">
        <f t="shared" ref="D655:M655" si="105">SUM(D228:D234)+SUM(D266:D276)+SUM(D354:D391)+SUM(D401:D402)+SUM(D477:D479)+SUM(D487:D489)+SUM(D495)+SUM(D510)+SUM(D517)+SUM(D526)+SUM(D533)+SUM(D563:D565)</f>
        <v>34595</v>
      </c>
      <c r="E655" s="367">
        <v>0.51001309649446258</v>
      </c>
      <c r="F655" s="532">
        <f t="shared" si="105"/>
        <v>0</v>
      </c>
      <c r="G655" s="291">
        <f t="shared" si="105"/>
        <v>131</v>
      </c>
      <c r="H655" s="532">
        <f t="shared" si="105"/>
        <v>5013</v>
      </c>
      <c r="I655" s="49">
        <f t="shared" si="105"/>
        <v>207</v>
      </c>
      <c r="J655" s="82">
        <f t="shared" si="105"/>
        <v>377</v>
      </c>
      <c r="K655" s="291">
        <f t="shared" si="105"/>
        <v>785</v>
      </c>
      <c r="L655" s="532">
        <f t="shared" si="105"/>
        <v>11812</v>
      </c>
      <c r="M655" s="82">
        <f t="shared" si="105"/>
        <v>4884</v>
      </c>
    </row>
    <row r="656" spans="1:13" ht="13" x14ac:dyDescent="0.25">
      <c r="A656" s="379"/>
      <c r="B656" s="381" t="s">
        <v>843</v>
      </c>
      <c r="C656" s="235">
        <f t="shared" ref="C656" si="106">SUM(C119:C121)+SUM(C205:C208)+SUM(C401:C419)+SUM(C429:C471)+SUM(C484)+SUM(C488:C492)+SUM(C494:C495)</f>
        <v>83219</v>
      </c>
      <c r="D656" s="235">
        <f t="shared" ref="D656:M656" si="107">SUM(D121:D123)+SUM(D207:D210)+SUM(D403:D421)+SUM(D431:D473)+SUM(D486)+SUM(D490:D494)+SUM(D496:D497)</f>
        <v>44082</v>
      </c>
      <c r="E656" s="367">
        <v>0.5914016078294303</v>
      </c>
      <c r="F656" s="532">
        <f t="shared" si="107"/>
        <v>22</v>
      </c>
      <c r="G656" s="291">
        <f t="shared" si="107"/>
        <v>184</v>
      </c>
      <c r="H656" s="532">
        <f t="shared" si="107"/>
        <v>550</v>
      </c>
      <c r="I656" s="49">
        <f t="shared" si="107"/>
        <v>538</v>
      </c>
      <c r="J656" s="82">
        <f t="shared" si="107"/>
        <v>431</v>
      </c>
      <c r="K656" s="291">
        <f t="shared" si="107"/>
        <v>1259</v>
      </c>
      <c r="L656" s="532">
        <f t="shared" si="107"/>
        <v>16628</v>
      </c>
      <c r="M656" s="82">
        <f t="shared" si="107"/>
        <v>9423</v>
      </c>
    </row>
    <row r="657" spans="1:13" ht="13" x14ac:dyDescent="0.25">
      <c r="A657" s="379"/>
      <c r="B657" s="381" t="s">
        <v>785</v>
      </c>
      <c r="C657" s="235">
        <f>SUM(C28:C32)+C43+C48+SUM(C52:C53)+SUM(C66:C67)+SUM(C69:C86)+SUM(C88:C89)+C92+SUM(C105:C106)+SUM(C112:C118)+C122+C129+C132+SUM(C134:C135)+C176+SUM(C178:C179)+C182+SUM(C187:C188)+SUM(C191:C192)</f>
        <v>64401</v>
      </c>
      <c r="D657" s="235">
        <f>SUM(D28:D32)+D43+D48+SUM(D52:D53)+SUM(D66:D67)+SUM(D69:D86)+SUM(D88:D89)+D92+SUM(D105:D106)+SUM(D112:D118)+D122+D129+D132+SUM(D134:D135)+D176+SUM(D178:D179)+D182+SUM(D187:D188)+SUM(D191:D192)</f>
        <v>18420</v>
      </c>
      <c r="E657" s="367">
        <v>0.30489049740163326</v>
      </c>
      <c r="F657" s="532">
        <f>SUM(F28:F32)+SUM(F43)+SUM(F48)+SUM(F52:F53)+SUM(F66:F67)+SUM(F69:F86)+SUM(F88:F89)+SUM(F92)+SUM(F105:F106)+SUM(F112:F118)+SUM(F122)+SUM(F129)+SUM(F132)+SUM(F134:F135)+SUM(F176)+SUM(F178:F179)+SUM(F182)+SUM(F187:F188)+SUM(F191:F192)</f>
        <v>12218</v>
      </c>
      <c r="G657" s="291">
        <f t="shared" ref="G657:M657" si="108">SUM(G28:G32)+G43+G48+SUM(G52:G53)+SUM(G66:G67)+SUM(G69:G86)+SUM(G88:G89)+G92+SUM(G105:G106)+SUM(G112:G118)+G122+G129+G132+SUM(G134:G135)+G176+SUM(G178:G179)+G182+SUM(G187:G188)+SUM(G191:G192)</f>
        <v>0</v>
      </c>
      <c r="H657" s="532">
        <f t="shared" si="108"/>
        <v>0</v>
      </c>
      <c r="I657" s="49">
        <f t="shared" si="108"/>
        <v>0</v>
      </c>
      <c r="J657" s="82">
        <f t="shared" si="108"/>
        <v>0</v>
      </c>
      <c r="K657" s="291">
        <f t="shared" si="108"/>
        <v>0</v>
      </c>
      <c r="L657" s="532">
        <f t="shared" si="108"/>
        <v>0</v>
      </c>
      <c r="M657" s="82">
        <f t="shared" si="108"/>
        <v>0</v>
      </c>
    </row>
    <row r="658" spans="1:13" ht="13" x14ac:dyDescent="0.25">
      <c r="A658" s="379"/>
      <c r="B658" s="381" t="s">
        <v>764</v>
      </c>
      <c r="C658" s="235">
        <f>SUM(C17:C18)+C20+C22+SUM(C24:C25)+SUM(C55:C61)+C64+C87+SUM(C90:C91)+C93+SUM(C94:C102)+SUM(C103:C104)+SUM(C107:C111)+C133+SUM(C136:C141)+SUM(C144:C149)+SUM(C151:C153)+SUM(C154:C155)+SUM(C158:C159)+SUM(C161:C162)+C175+C177+SUM(C180:C181)+SUM(C183:C185)+C189+SUM(C391:C395)+C420+SUM(C498:C501)</f>
        <v>77801</v>
      </c>
      <c r="D658" s="235">
        <f>SUM(D17:D18)+D20+D22+SUM(D24:D25)+SUM(D55:D61)+D64+D87+SUM(D90:D91)+D93+SUM(D94:D102)+SUM(D103:D104)+SUM(D107:D111)+D133+SUM(D136:D141)+SUM(D144:D149)+SUM(D151:D153)+SUM(D154:D155)+SUM(D158:D159)+SUM(D161:D162)+D175+D177+SUM(D180:D181)+SUM(D183:D185)+D189+SUM(D391:D395)+D420+SUM(D498:D501)</f>
        <v>34974</v>
      </c>
      <c r="E658" s="367">
        <v>0.46839036169338266</v>
      </c>
      <c r="F658" s="532">
        <f t="shared" ref="F658:M658" si="109">SUM(F17:F18)+F20+F22+SUM(F24:F25)+SUM(F55:F61)+F64+F87+SUM(F90:F91)+F93+SUM(F94:F102)+SUM(F103:F104)+SUM(F107:F111)+F133+SUM(F136:F141)+SUM(F144:F149)+SUM(F151:F153)+SUM(F154:F155)+SUM(F158:F159)+SUM(F161:F162)+F175+F177+SUM(F180:F181)+SUM(F183:F185)+F189+SUM(F391:F395)+F420+SUM(F498:F501)</f>
        <v>0</v>
      </c>
      <c r="G658" s="291">
        <f t="shared" si="109"/>
        <v>23054</v>
      </c>
      <c r="H658" s="532">
        <f t="shared" si="109"/>
        <v>0</v>
      </c>
      <c r="I658" s="49">
        <f t="shared" si="109"/>
        <v>0</v>
      </c>
      <c r="J658" s="82">
        <f t="shared" si="109"/>
        <v>0</v>
      </c>
      <c r="K658" s="291">
        <f t="shared" si="109"/>
        <v>0</v>
      </c>
      <c r="L658" s="532">
        <f t="shared" si="109"/>
        <v>0</v>
      </c>
      <c r="M658" s="82">
        <f t="shared" si="109"/>
        <v>0</v>
      </c>
    </row>
    <row r="659" spans="1:13" ht="13" x14ac:dyDescent="0.25">
      <c r="A659" s="379"/>
      <c r="B659" s="381" t="s">
        <v>765</v>
      </c>
      <c r="C659" s="235">
        <f>SUM(C62:C63)+C65+SUM(C142:C143)+C150+SUM(C156:C157)+C160+SUM(C213:C225)+SUM(C264:C274)+SUM(C310:C314)+SUM(C315:C318)+C351+SUM(C427:C428)+SUM(C472:C474)+SUM(C478:C481)+SUM(C502:C504)+SUM(C505:C507)+SUM(C509:C523)+SUM(C525:C532)+SUM(C564:C565)</f>
        <v>84526</v>
      </c>
      <c r="D659" s="235">
        <f>SUM(D62:D63)+D65+SUM(D142:D143)+D150+SUM(D156:D157)+D160+SUM(D213:D225)+SUM(D264:D274)+SUM(D310:D314)+SUM(D315:D318)+D351+SUM(D427:D428)+SUM(D472:D474)+SUM(D478:D481)+SUM(D502:D504)+SUM(D505:D507)+SUM(D509:D523)+SUM(D525:D532)+SUM(D564:D565)</f>
        <v>38974</v>
      </c>
      <c r="E659" s="367">
        <v>0.49590994813767092</v>
      </c>
      <c r="F659" s="532">
        <f t="shared" ref="F659:M659" si="110">SUM(F62:F63)+F65+SUM(F142:F143)+F150+SUM(F156:F157)+F160+SUM(F213:F225)+SUM(F264:F274)+SUM(F310:F314)+SUM(F315:F318)+F351+SUM(F427:F428)+SUM(F472:F474)+SUM(F478:F481)+SUM(F502:F504)+SUM(F505:F507)+SUM(F509:F523)+SUM(F525:F532)+SUM(F564:F565)</f>
        <v>0</v>
      </c>
      <c r="G659" s="291">
        <f t="shared" si="110"/>
        <v>0</v>
      </c>
      <c r="H659" s="532">
        <f t="shared" si="110"/>
        <v>28024</v>
      </c>
      <c r="I659" s="49">
        <f t="shared" si="110"/>
        <v>0</v>
      </c>
      <c r="J659" s="82">
        <f t="shared" si="110"/>
        <v>0</v>
      </c>
      <c r="K659" s="291">
        <f t="shared" si="110"/>
        <v>0</v>
      </c>
      <c r="L659" s="532">
        <f t="shared" si="110"/>
        <v>0</v>
      </c>
      <c r="M659" s="82">
        <f t="shared" si="110"/>
        <v>0</v>
      </c>
    </row>
    <row r="660" spans="1:13" ht="13" x14ac:dyDescent="0.25">
      <c r="A660" s="379"/>
      <c r="B660" s="381" t="s">
        <v>786</v>
      </c>
      <c r="C660" s="235">
        <f>SUM(C4:C16)+C19+C21+C23+C26+C27+SUM(C33:C42)+SUM(C44:C47)+SUM(C49:C51)+C54+C68+SUM(C275:C286)+SUM(C319:C350)+C396+C424+SUM(C482:C483)+SUM(C496:C497)</f>
        <v>98542</v>
      </c>
      <c r="D660" s="235">
        <f>SUM(D4:D16)+D19+D21+D23+D26+D27+SUM(D33:D42)+SUM(D44:D47)+SUM(D49:D51)+D54+D68+SUM(D275:D286)+SUM(D319:D350)+D396+D424+SUM(D482:D483)+SUM(D496:D497)</f>
        <v>55979</v>
      </c>
      <c r="E660" s="367">
        <v>0.58696051610795807</v>
      </c>
      <c r="F660" s="532">
        <f t="shared" ref="F660:M660" si="111">SUM(F4:F16)+F19+F21+F23+F26+F27+SUM(F33:F42)+SUM(F44:F47)+SUM(F49:F51)+F54+F68+SUM(F275:F286)+SUM(F319:F350)+F396+F424+SUM(F482:F483)+SUM(F496:F497)</f>
        <v>0</v>
      </c>
      <c r="G660" s="291">
        <f t="shared" si="111"/>
        <v>0</v>
      </c>
      <c r="H660" s="532">
        <f t="shared" si="111"/>
        <v>0</v>
      </c>
      <c r="I660" s="49">
        <f t="shared" si="111"/>
        <v>20033</v>
      </c>
      <c r="J660" s="82">
        <f t="shared" si="111"/>
        <v>27260</v>
      </c>
      <c r="K660" s="291">
        <f t="shared" si="111"/>
        <v>0</v>
      </c>
      <c r="L660" s="532">
        <f t="shared" si="111"/>
        <v>0</v>
      </c>
      <c r="M660" s="82">
        <f t="shared" si="111"/>
        <v>0</v>
      </c>
    </row>
    <row r="661" spans="1:13" ht="13" x14ac:dyDescent="0.25">
      <c r="A661" s="379"/>
      <c r="B661" s="380" t="s">
        <v>844</v>
      </c>
      <c r="C661" s="235">
        <f>SUM(C194:C204)+SUM(C209:C212)+SUM(C233:C238)+SUM(C239:C263)+SUM(C287:C309)+C390+SUM(C397:C398)+SUM(C421:C423)+SUM(C425:C426)+SUM(C533:C560)</f>
        <v>96736</v>
      </c>
      <c r="D661" s="235">
        <f>SUM(D194:D204)+SUM(D209:D212)+SUM(D233:D238)+SUM(D239:D263)+SUM(D287:D309)+D390+SUM(D397:D398)+SUM(D421:D423)+SUM(D425:D426)+SUM(D533:D560)</f>
        <v>55877</v>
      </c>
      <c r="E661" s="367">
        <v>0.61559749992226132</v>
      </c>
      <c r="F661" s="532">
        <f t="shared" ref="F661:M661" si="112">SUM(F194:F204)+SUM(F209:F212)+SUM(F233:F238)+SUM(F239:F263)+SUM(F287:F309)+F390+SUM(F397:F398)+SUM(F421:F423)+SUM(F425:F426)+SUM(F533:F560)</f>
        <v>0</v>
      </c>
      <c r="G661" s="291">
        <f t="shared" si="112"/>
        <v>0</v>
      </c>
      <c r="H661" s="532">
        <f t="shared" si="112"/>
        <v>0</v>
      </c>
      <c r="I661" s="49">
        <f t="shared" si="112"/>
        <v>0</v>
      </c>
      <c r="J661" s="82">
        <f t="shared" si="112"/>
        <v>0</v>
      </c>
      <c r="K661" s="291">
        <f t="shared" si="112"/>
        <v>35780</v>
      </c>
      <c r="L661" s="532">
        <f t="shared" si="112"/>
        <v>0</v>
      </c>
      <c r="M661" s="82">
        <f t="shared" si="112"/>
        <v>0</v>
      </c>
    </row>
    <row r="662" spans="1:13" ht="13" x14ac:dyDescent="0.25">
      <c r="A662" s="379"/>
      <c r="B662" s="380" t="s">
        <v>723</v>
      </c>
      <c r="C662" s="235">
        <f>SUM(C205:C208)+SUM(C352:C389)+SUM(C429:C471)+C508+C524</f>
        <v>94007</v>
      </c>
      <c r="D662" s="235">
        <f>SUM(D205:D208)+SUM(D352:D389)+SUM(D429:D471)+D508+D524</f>
        <v>48477</v>
      </c>
      <c r="E662" s="367">
        <v>0.56453091684434964</v>
      </c>
      <c r="F662" s="532">
        <f t="shared" ref="F662:M662" si="113">SUM(F205:F208)+SUM(F352:F389)+SUM(F429:F471)+F508+F524</f>
        <v>0</v>
      </c>
      <c r="G662" s="291">
        <f t="shared" si="113"/>
        <v>0</v>
      </c>
      <c r="H662" s="532">
        <f t="shared" si="113"/>
        <v>0</v>
      </c>
      <c r="I662" s="49">
        <f t="shared" si="113"/>
        <v>0</v>
      </c>
      <c r="J662" s="82">
        <f t="shared" si="113"/>
        <v>0</v>
      </c>
      <c r="K662" s="291">
        <f t="shared" si="113"/>
        <v>0</v>
      </c>
      <c r="L662" s="532">
        <f t="shared" si="113"/>
        <v>31629</v>
      </c>
      <c r="M662" s="82">
        <f t="shared" si="113"/>
        <v>0</v>
      </c>
    </row>
    <row r="663" spans="1:13" ht="13.5" thickBot="1" x14ac:dyDescent="0.3">
      <c r="A663" s="383"/>
      <c r="B663" s="410" t="s">
        <v>845</v>
      </c>
      <c r="C663" s="286">
        <f>SUM(C119:C121)+SUM(C123:C128)+C130+C131+SUM(C163:C174)+C186+C190+C193+SUM(C226:C231)+SUM(C399:C419)+SUM(C475:C477)+SUM(C484:C495)+SUM(C561:C563)</f>
        <v>80862</v>
      </c>
      <c r="D663" s="286">
        <f>SUM(D119:D121)+SUM(D123:D128)+D130+D131+SUM(D163:D174)+D186+D190+D193+SUM(D226:D231)+SUM(D399:D419)+SUM(D475:D477)+SUM(D484:D495)+SUM(D561:D563)</f>
        <v>35743</v>
      </c>
      <c r="E663" s="368">
        <v>0.48314927056607049</v>
      </c>
      <c r="F663" s="536">
        <f t="shared" ref="F663:M663" si="114">SUM(F119:F121)+SUM(F123:F128)+F130+F131+SUM(F163:F174)+F186+F190+F193+SUM(F226:F231)+SUM(F399:F419)+SUM(F475:F477)+SUM(F484:F495)+SUM(F561:F563)</f>
        <v>0</v>
      </c>
      <c r="G663" s="523">
        <f t="shared" si="114"/>
        <v>0</v>
      </c>
      <c r="H663" s="536">
        <f t="shared" si="114"/>
        <v>0</v>
      </c>
      <c r="I663" s="245">
        <f t="shared" si="114"/>
        <v>0</v>
      </c>
      <c r="J663" s="247">
        <f t="shared" si="114"/>
        <v>0</v>
      </c>
      <c r="K663" s="523">
        <f t="shared" si="114"/>
        <v>0</v>
      </c>
      <c r="L663" s="536">
        <f t="shared" si="114"/>
        <v>0</v>
      </c>
      <c r="M663" s="247">
        <f t="shared" si="114"/>
        <v>21965</v>
      </c>
    </row>
    <row r="664" spans="1:13" ht="13" thickTop="1" x14ac:dyDescent="0.25"/>
  </sheetData>
  <mergeCells count="3">
    <mergeCell ref="A1:E2"/>
    <mergeCell ref="F1:M1"/>
    <mergeCell ref="I2:J2"/>
  </mergeCells>
  <pageMargins left="0.32" right="0.38" top="0.75" bottom="0.75" header="0.3" footer="0.3"/>
  <pageSetup paperSize="5" orientation="landscape" r:id="rId1"/>
  <headerFooter>
    <oddFooter>&amp;C&amp;"Californian FB,Italic"(Pg. &amp;P of &amp;N)</oddFooter>
  </headerFooter>
  <ignoredErrors>
    <ignoredError sqref="C570:M634 C650:M663 C635:E635 C649:E649 E636:E648" formulaRange="1"/>
    <ignoredError sqref="E567" formula="1"/>
    <ignoredError sqref="F635:M649 C636:D648" formulaRange="1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A7A7-7EF7-404F-819D-57DE435DA89F}">
  <dimension ref="A1:O225"/>
  <sheetViews>
    <sheetView topLeftCell="B1" workbookViewId="0">
      <pane xSplit="5670" ySplit="2650" topLeftCell="F4"/>
      <selection sqref="A1:E2"/>
      <selection pane="topRight" activeCell="E3" sqref="E1:E1048576"/>
      <selection pane="bottomLeft" activeCell="B27" sqref="B27"/>
      <selection pane="bottomRight" activeCell="F4" sqref="F4"/>
    </sheetView>
  </sheetViews>
  <sheetFormatPr defaultRowHeight="12.5" x14ac:dyDescent="0.25"/>
  <cols>
    <col min="1" max="1" width="6.54296875" customWidth="1"/>
    <col min="2" max="2" width="20.26953125" customWidth="1"/>
    <col min="3" max="3" width="9.7265625" style="325" customWidth="1"/>
    <col min="4" max="4" width="9.1796875" style="324"/>
    <col min="5" max="5" width="8.7265625" style="324"/>
    <col min="6" max="15" width="11.54296875" customWidth="1"/>
    <col min="16" max="16" width="11.453125" customWidth="1"/>
  </cols>
  <sheetData>
    <row r="1" spans="1:15" ht="26.25" customHeight="1" thickTop="1" thickBot="1" x14ac:dyDescent="0.3">
      <c r="A1" s="711" t="s">
        <v>846</v>
      </c>
      <c r="B1" s="712"/>
      <c r="C1" s="712"/>
      <c r="D1" s="712"/>
      <c r="E1" s="713"/>
      <c r="F1" s="721" t="s">
        <v>805</v>
      </c>
      <c r="G1" s="722"/>
      <c r="H1" s="722"/>
      <c r="I1" s="722"/>
      <c r="J1" s="722"/>
      <c r="K1" s="722"/>
      <c r="L1" s="722"/>
      <c r="M1" s="722"/>
      <c r="N1" s="722"/>
      <c r="O1" s="723"/>
    </row>
    <row r="2" spans="1:15" ht="61.5" customHeight="1" thickTop="1" thickBot="1" x14ac:dyDescent="0.3">
      <c r="A2" s="714"/>
      <c r="B2" s="715"/>
      <c r="C2" s="715"/>
      <c r="D2" s="715"/>
      <c r="E2" s="716"/>
      <c r="F2" s="724" t="s">
        <v>1076</v>
      </c>
      <c r="G2" s="719"/>
      <c r="H2" s="719"/>
      <c r="I2" s="719"/>
      <c r="J2" s="719"/>
      <c r="K2" s="719"/>
      <c r="L2" s="719"/>
      <c r="M2" s="719"/>
      <c r="N2" s="719"/>
      <c r="O2" s="720"/>
    </row>
    <row r="3" spans="1:15" ht="32.5" thickTop="1" thickBot="1" x14ac:dyDescent="0.3">
      <c r="A3" s="88" t="s">
        <v>106</v>
      </c>
      <c r="B3" s="89" t="s">
        <v>107</v>
      </c>
      <c r="C3" s="90" t="s">
        <v>108</v>
      </c>
      <c r="D3" s="91" t="s">
        <v>109</v>
      </c>
      <c r="E3" s="92" t="s">
        <v>110</v>
      </c>
      <c r="F3" s="116" t="s">
        <v>963</v>
      </c>
      <c r="G3" s="112" t="s">
        <v>861</v>
      </c>
      <c r="H3" s="113" t="s">
        <v>862</v>
      </c>
      <c r="I3" s="113" t="s">
        <v>863</v>
      </c>
      <c r="J3" s="113" t="s">
        <v>964</v>
      </c>
      <c r="K3" s="113" t="s">
        <v>810</v>
      </c>
      <c r="L3" s="113" t="s">
        <v>864</v>
      </c>
      <c r="M3" s="114" t="s">
        <v>965</v>
      </c>
      <c r="N3" s="114" t="s">
        <v>865</v>
      </c>
      <c r="O3" s="115" t="s">
        <v>866</v>
      </c>
    </row>
    <row r="4" spans="1:15" ht="13.5" thickTop="1" x14ac:dyDescent="0.3">
      <c r="A4" s="28">
        <v>101</v>
      </c>
      <c r="B4" s="29" t="s">
        <v>145</v>
      </c>
      <c r="C4" s="359">
        <v>330</v>
      </c>
      <c r="D4" s="56">
        <v>169</v>
      </c>
      <c r="E4" s="705">
        <f>SUM(D4/C4)</f>
        <v>0.51212121212121209</v>
      </c>
      <c r="F4" s="75">
        <v>53</v>
      </c>
      <c r="G4" s="75">
        <v>60</v>
      </c>
      <c r="H4" s="75">
        <v>46</v>
      </c>
      <c r="I4" s="75">
        <v>59</v>
      </c>
      <c r="J4" s="75">
        <v>52</v>
      </c>
      <c r="K4" s="75">
        <v>54</v>
      </c>
      <c r="L4" s="75">
        <v>99</v>
      </c>
      <c r="M4" s="75">
        <v>51</v>
      </c>
      <c r="N4" s="75">
        <v>57</v>
      </c>
      <c r="O4" s="76">
        <v>48</v>
      </c>
    </row>
    <row r="5" spans="1:15" ht="13" x14ac:dyDescent="0.3">
      <c r="A5" s="10">
        <v>102</v>
      </c>
      <c r="B5" s="11" t="s">
        <v>146</v>
      </c>
      <c r="C5" s="360">
        <v>1320</v>
      </c>
      <c r="D5" s="54">
        <v>826</v>
      </c>
      <c r="E5" s="706">
        <f t="shared" ref="E5:E69" si="0">SUM(D5/C5)</f>
        <v>0.62575757575757573</v>
      </c>
      <c r="F5" s="59">
        <v>436</v>
      </c>
      <c r="G5" s="59">
        <v>438</v>
      </c>
      <c r="H5" s="59">
        <v>434</v>
      </c>
      <c r="I5" s="59">
        <v>452</v>
      </c>
      <c r="J5" s="59">
        <v>422</v>
      </c>
      <c r="K5" s="59">
        <v>454</v>
      </c>
      <c r="L5" s="59">
        <v>415</v>
      </c>
      <c r="M5" s="59">
        <v>430</v>
      </c>
      <c r="N5" s="59">
        <v>434</v>
      </c>
      <c r="O5" s="77">
        <v>412</v>
      </c>
    </row>
    <row r="6" spans="1:15" ht="13" x14ac:dyDescent="0.3">
      <c r="A6" s="10">
        <v>103</v>
      </c>
      <c r="B6" s="11" t="s">
        <v>147</v>
      </c>
      <c r="C6" s="360">
        <v>1201</v>
      </c>
      <c r="D6" s="54">
        <v>586</v>
      </c>
      <c r="E6" s="706">
        <f t="shared" si="0"/>
        <v>0.48792672772689427</v>
      </c>
      <c r="F6" s="59">
        <v>300</v>
      </c>
      <c r="G6" s="59">
        <v>297</v>
      </c>
      <c r="H6" s="59">
        <v>305</v>
      </c>
      <c r="I6" s="59">
        <v>304</v>
      </c>
      <c r="J6" s="59">
        <v>293</v>
      </c>
      <c r="K6" s="59">
        <v>307</v>
      </c>
      <c r="L6" s="59">
        <v>245</v>
      </c>
      <c r="M6" s="59">
        <v>297</v>
      </c>
      <c r="N6" s="59">
        <v>313</v>
      </c>
      <c r="O6" s="77">
        <v>279</v>
      </c>
    </row>
    <row r="7" spans="1:15" ht="13" x14ac:dyDescent="0.3">
      <c r="A7" s="10">
        <v>104</v>
      </c>
      <c r="B7" s="11" t="s">
        <v>148</v>
      </c>
      <c r="C7" s="360">
        <v>822</v>
      </c>
      <c r="D7" s="54">
        <v>423</v>
      </c>
      <c r="E7" s="706">
        <f t="shared" si="0"/>
        <v>0.51459854014598538</v>
      </c>
      <c r="F7" s="59">
        <v>212</v>
      </c>
      <c r="G7" s="59">
        <v>201</v>
      </c>
      <c r="H7" s="59">
        <v>214</v>
      </c>
      <c r="I7" s="59">
        <v>225</v>
      </c>
      <c r="J7" s="59">
        <v>207</v>
      </c>
      <c r="K7" s="59">
        <v>226</v>
      </c>
      <c r="L7" s="59">
        <v>211</v>
      </c>
      <c r="M7" s="59">
        <v>208</v>
      </c>
      <c r="N7" s="59">
        <v>212</v>
      </c>
      <c r="O7" s="77">
        <v>189</v>
      </c>
    </row>
    <row r="8" spans="1:15" ht="13" x14ac:dyDescent="0.3">
      <c r="A8" s="10">
        <v>105</v>
      </c>
      <c r="B8" s="11" t="s">
        <v>149</v>
      </c>
      <c r="C8" s="360">
        <v>1311</v>
      </c>
      <c r="D8" s="54">
        <v>610</v>
      </c>
      <c r="E8" s="706">
        <f t="shared" si="0"/>
        <v>0.46529366895499619</v>
      </c>
      <c r="F8" s="59">
        <v>307</v>
      </c>
      <c r="G8" s="59">
        <v>291</v>
      </c>
      <c r="H8" s="59">
        <v>299</v>
      </c>
      <c r="I8" s="59">
        <v>293</v>
      </c>
      <c r="J8" s="59">
        <v>284</v>
      </c>
      <c r="K8" s="59">
        <v>314</v>
      </c>
      <c r="L8" s="59">
        <v>277</v>
      </c>
      <c r="M8" s="59">
        <v>325</v>
      </c>
      <c r="N8" s="59">
        <v>297</v>
      </c>
      <c r="O8" s="77">
        <v>280</v>
      </c>
    </row>
    <row r="9" spans="1:15" ht="13" x14ac:dyDescent="0.3">
      <c r="A9" s="10">
        <v>106</v>
      </c>
      <c r="B9" s="11" t="s">
        <v>150</v>
      </c>
      <c r="C9" s="360">
        <v>1204</v>
      </c>
      <c r="D9" s="54">
        <v>749</v>
      </c>
      <c r="E9" s="706">
        <f t="shared" si="0"/>
        <v>0.62209302325581395</v>
      </c>
      <c r="F9" s="59">
        <v>337</v>
      </c>
      <c r="G9" s="59">
        <v>334</v>
      </c>
      <c r="H9" s="59">
        <v>344</v>
      </c>
      <c r="I9" s="59">
        <v>348</v>
      </c>
      <c r="J9" s="59">
        <v>305</v>
      </c>
      <c r="K9" s="59">
        <v>356</v>
      </c>
      <c r="L9" s="59">
        <v>386</v>
      </c>
      <c r="M9" s="59">
        <v>333</v>
      </c>
      <c r="N9" s="59">
        <v>328</v>
      </c>
      <c r="O9" s="77">
        <v>301</v>
      </c>
    </row>
    <row r="10" spans="1:15" ht="13" x14ac:dyDescent="0.3">
      <c r="A10" s="10">
        <v>107</v>
      </c>
      <c r="B10" s="11" t="s">
        <v>151</v>
      </c>
      <c r="C10" s="360">
        <v>979</v>
      </c>
      <c r="D10" s="54">
        <v>540</v>
      </c>
      <c r="E10" s="706">
        <f t="shared" si="0"/>
        <v>0.55158324821246174</v>
      </c>
      <c r="F10" s="59">
        <v>246</v>
      </c>
      <c r="G10" s="59">
        <v>222</v>
      </c>
      <c r="H10" s="59">
        <v>224</v>
      </c>
      <c r="I10" s="59">
        <v>232</v>
      </c>
      <c r="J10" s="59">
        <v>227</v>
      </c>
      <c r="K10" s="59">
        <v>233</v>
      </c>
      <c r="L10" s="59">
        <v>275</v>
      </c>
      <c r="M10" s="59">
        <v>234</v>
      </c>
      <c r="N10" s="59">
        <v>234</v>
      </c>
      <c r="O10" s="77">
        <v>217</v>
      </c>
    </row>
    <row r="11" spans="1:15" ht="13" x14ac:dyDescent="0.3">
      <c r="A11" s="10">
        <v>108</v>
      </c>
      <c r="B11" s="11" t="s">
        <v>152</v>
      </c>
      <c r="C11" s="360">
        <v>706</v>
      </c>
      <c r="D11" s="54">
        <v>398</v>
      </c>
      <c r="E11" s="706">
        <f t="shared" si="0"/>
        <v>0.5637393767705382</v>
      </c>
      <c r="F11" s="59">
        <v>187</v>
      </c>
      <c r="G11" s="59">
        <v>179</v>
      </c>
      <c r="H11" s="59">
        <v>189</v>
      </c>
      <c r="I11" s="59">
        <v>183</v>
      </c>
      <c r="J11" s="59">
        <v>171</v>
      </c>
      <c r="K11" s="59">
        <v>197</v>
      </c>
      <c r="L11" s="59">
        <v>219</v>
      </c>
      <c r="M11" s="59">
        <v>187</v>
      </c>
      <c r="N11" s="59">
        <v>183</v>
      </c>
      <c r="O11" s="77">
        <v>156</v>
      </c>
    </row>
    <row r="12" spans="1:15" ht="13" x14ac:dyDescent="0.3">
      <c r="A12" s="10">
        <v>109</v>
      </c>
      <c r="B12" s="11" t="s">
        <v>153</v>
      </c>
      <c r="C12" s="360">
        <v>1162</v>
      </c>
      <c r="D12" s="54">
        <v>674</v>
      </c>
      <c r="E12" s="706">
        <f t="shared" si="0"/>
        <v>0.58003442340791733</v>
      </c>
      <c r="F12" s="59">
        <v>302</v>
      </c>
      <c r="G12" s="59">
        <v>284</v>
      </c>
      <c r="H12" s="59">
        <v>289</v>
      </c>
      <c r="I12" s="59">
        <v>273</v>
      </c>
      <c r="J12" s="59">
        <v>278</v>
      </c>
      <c r="K12" s="59">
        <v>301</v>
      </c>
      <c r="L12" s="59">
        <v>311</v>
      </c>
      <c r="M12" s="59">
        <v>293</v>
      </c>
      <c r="N12" s="59">
        <v>307</v>
      </c>
      <c r="O12" s="77">
        <v>275</v>
      </c>
    </row>
    <row r="13" spans="1:15" ht="13" x14ac:dyDescent="0.3">
      <c r="A13" s="10">
        <v>110</v>
      </c>
      <c r="B13" s="11" t="s">
        <v>154</v>
      </c>
      <c r="C13" s="360">
        <v>1224</v>
      </c>
      <c r="D13" s="54">
        <v>656</v>
      </c>
      <c r="E13" s="706">
        <f t="shared" si="0"/>
        <v>0.53594771241830064</v>
      </c>
      <c r="F13" s="59">
        <v>286</v>
      </c>
      <c r="G13" s="59">
        <v>268</v>
      </c>
      <c r="H13" s="59">
        <v>286</v>
      </c>
      <c r="I13" s="59">
        <v>274</v>
      </c>
      <c r="J13" s="59">
        <v>255</v>
      </c>
      <c r="K13" s="59">
        <v>286</v>
      </c>
      <c r="L13" s="59">
        <v>342</v>
      </c>
      <c r="M13" s="59">
        <v>279</v>
      </c>
      <c r="N13" s="59">
        <v>264</v>
      </c>
      <c r="O13" s="77">
        <v>272</v>
      </c>
    </row>
    <row r="14" spans="1:15" ht="13" x14ac:dyDescent="0.3">
      <c r="A14" s="10">
        <v>111</v>
      </c>
      <c r="B14" s="11" t="s">
        <v>155</v>
      </c>
      <c r="C14" s="360">
        <v>1212</v>
      </c>
      <c r="D14" s="54">
        <v>545</v>
      </c>
      <c r="E14" s="706">
        <f t="shared" si="0"/>
        <v>0.44966996699669964</v>
      </c>
      <c r="F14" s="59">
        <v>299</v>
      </c>
      <c r="G14" s="59">
        <v>266</v>
      </c>
      <c r="H14" s="59">
        <v>275</v>
      </c>
      <c r="I14" s="59">
        <v>273</v>
      </c>
      <c r="J14" s="59">
        <v>274</v>
      </c>
      <c r="K14" s="59">
        <v>283</v>
      </c>
      <c r="L14" s="59">
        <v>245</v>
      </c>
      <c r="M14" s="59">
        <v>284</v>
      </c>
      <c r="N14" s="59">
        <v>286</v>
      </c>
      <c r="O14" s="77">
        <v>273</v>
      </c>
    </row>
    <row r="15" spans="1:15" ht="13" x14ac:dyDescent="0.3">
      <c r="A15" s="10">
        <v>112</v>
      </c>
      <c r="B15" s="11" t="s">
        <v>156</v>
      </c>
      <c r="C15" s="360">
        <v>685</v>
      </c>
      <c r="D15" s="54">
        <v>421</v>
      </c>
      <c r="E15" s="706">
        <f t="shared" si="0"/>
        <v>0.61459854014598536</v>
      </c>
      <c r="F15" s="59">
        <v>178</v>
      </c>
      <c r="G15" s="59">
        <v>192</v>
      </c>
      <c r="H15" s="59">
        <v>185</v>
      </c>
      <c r="I15" s="59">
        <v>201</v>
      </c>
      <c r="J15" s="59">
        <v>176</v>
      </c>
      <c r="K15" s="59">
        <v>198</v>
      </c>
      <c r="L15" s="59">
        <v>246</v>
      </c>
      <c r="M15" s="59">
        <v>174</v>
      </c>
      <c r="N15" s="59">
        <v>179</v>
      </c>
      <c r="O15" s="77">
        <v>175</v>
      </c>
    </row>
    <row r="16" spans="1:15" ht="13" x14ac:dyDescent="0.3">
      <c r="A16" s="10">
        <v>113</v>
      </c>
      <c r="B16" s="11" t="s">
        <v>157</v>
      </c>
      <c r="C16" s="360">
        <v>998</v>
      </c>
      <c r="D16" s="54">
        <v>585</v>
      </c>
      <c r="E16" s="706">
        <f t="shared" si="0"/>
        <v>0.58617234468937873</v>
      </c>
      <c r="F16" s="59">
        <v>256</v>
      </c>
      <c r="G16" s="59">
        <v>237</v>
      </c>
      <c r="H16" s="59">
        <v>261</v>
      </c>
      <c r="I16" s="59">
        <v>253</v>
      </c>
      <c r="J16" s="59">
        <v>224</v>
      </c>
      <c r="K16" s="59">
        <v>265</v>
      </c>
      <c r="L16" s="59">
        <v>362</v>
      </c>
      <c r="M16" s="59">
        <v>239</v>
      </c>
      <c r="N16" s="59">
        <v>241</v>
      </c>
      <c r="O16" s="77">
        <v>228</v>
      </c>
    </row>
    <row r="17" spans="1:15" ht="13" x14ac:dyDescent="0.3">
      <c r="A17" s="10">
        <v>201</v>
      </c>
      <c r="B17" s="11" t="s">
        <v>158</v>
      </c>
      <c r="C17" s="360">
        <v>1437</v>
      </c>
      <c r="D17" s="54">
        <v>606</v>
      </c>
      <c r="E17" s="706">
        <f t="shared" si="0"/>
        <v>0.42171189979123175</v>
      </c>
      <c r="F17" s="59">
        <v>327</v>
      </c>
      <c r="G17" s="59">
        <v>268</v>
      </c>
      <c r="H17" s="59">
        <v>326</v>
      </c>
      <c r="I17" s="59">
        <v>305</v>
      </c>
      <c r="J17" s="59">
        <v>310</v>
      </c>
      <c r="K17" s="59">
        <v>345</v>
      </c>
      <c r="L17" s="59">
        <v>247</v>
      </c>
      <c r="M17" s="59">
        <v>352</v>
      </c>
      <c r="N17" s="59">
        <v>314</v>
      </c>
      <c r="O17" s="77">
        <v>267</v>
      </c>
    </row>
    <row r="18" spans="1:15" ht="13" x14ac:dyDescent="0.3">
      <c r="A18" s="10">
        <v>202</v>
      </c>
      <c r="B18" s="11" t="s">
        <v>159</v>
      </c>
      <c r="C18" s="360">
        <v>1689</v>
      </c>
      <c r="D18" s="54">
        <v>720</v>
      </c>
      <c r="E18" s="706">
        <f t="shared" si="0"/>
        <v>0.42628774422735344</v>
      </c>
      <c r="F18" s="59">
        <v>366</v>
      </c>
      <c r="G18" s="59">
        <v>318</v>
      </c>
      <c r="H18" s="59">
        <v>401</v>
      </c>
      <c r="I18" s="59">
        <v>343</v>
      </c>
      <c r="J18" s="59">
        <v>386</v>
      </c>
      <c r="K18" s="59">
        <v>403</v>
      </c>
      <c r="L18" s="59">
        <v>287</v>
      </c>
      <c r="M18" s="59">
        <v>411</v>
      </c>
      <c r="N18" s="59">
        <v>374</v>
      </c>
      <c r="O18" s="77">
        <v>330</v>
      </c>
    </row>
    <row r="19" spans="1:15" ht="13" x14ac:dyDescent="0.3">
      <c r="A19" s="10">
        <v>203</v>
      </c>
      <c r="B19" s="11" t="s">
        <v>160</v>
      </c>
      <c r="C19" s="360">
        <v>1255</v>
      </c>
      <c r="D19" s="54">
        <v>450</v>
      </c>
      <c r="E19" s="706">
        <f t="shared" si="0"/>
        <v>0.35856573705179284</v>
      </c>
      <c r="F19" s="59">
        <v>234</v>
      </c>
      <c r="G19" s="59">
        <v>197</v>
      </c>
      <c r="H19" s="59">
        <v>223</v>
      </c>
      <c r="I19" s="59">
        <v>203</v>
      </c>
      <c r="J19" s="59">
        <v>213</v>
      </c>
      <c r="K19" s="59">
        <v>245</v>
      </c>
      <c r="L19" s="59">
        <v>162</v>
      </c>
      <c r="M19" s="59">
        <v>238</v>
      </c>
      <c r="N19" s="59">
        <v>227</v>
      </c>
      <c r="O19" s="77">
        <v>191</v>
      </c>
    </row>
    <row r="20" spans="1:15" ht="13" x14ac:dyDescent="0.3">
      <c r="A20" s="10">
        <v>204</v>
      </c>
      <c r="B20" s="11" t="s">
        <v>161</v>
      </c>
      <c r="C20" s="360">
        <v>1355</v>
      </c>
      <c r="D20" s="54">
        <v>692</v>
      </c>
      <c r="E20" s="706">
        <f t="shared" si="0"/>
        <v>0.51070110701107008</v>
      </c>
      <c r="F20" s="59">
        <v>401</v>
      </c>
      <c r="G20" s="59">
        <v>337</v>
      </c>
      <c r="H20" s="59">
        <v>381</v>
      </c>
      <c r="I20" s="59">
        <v>360</v>
      </c>
      <c r="J20" s="59">
        <v>362</v>
      </c>
      <c r="K20" s="59">
        <v>381</v>
      </c>
      <c r="L20" s="59">
        <v>280</v>
      </c>
      <c r="M20" s="59">
        <v>384</v>
      </c>
      <c r="N20" s="59">
        <v>364</v>
      </c>
      <c r="O20" s="77">
        <v>331</v>
      </c>
    </row>
    <row r="21" spans="1:15" ht="13" x14ac:dyDescent="0.3">
      <c r="A21" s="10">
        <v>205</v>
      </c>
      <c r="B21" s="11" t="s">
        <v>162</v>
      </c>
      <c r="C21" s="360">
        <v>1293</v>
      </c>
      <c r="D21" s="54">
        <v>725</v>
      </c>
      <c r="E21" s="706">
        <f t="shared" si="0"/>
        <v>0.56071152358855381</v>
      </c>
      <c r="F21" s="59">
        <v>349</v>
      </c>
      <c r="G21" s="59">
        <v>315</v>
      </c>
      <c r="H21" s="59">
        <v>343</v>
      </c>
      <c r="I21" s="59">
        <v>330</v>
      </c>
      <c r="J21" s="59">
        <v>307</v>
      </c>
      <c r="K21" s="59">
        <v>361</v>
      </c>
      <c r="L21" s="59">
        <v>386</v>
      </c>
      <c r="M21" s="59">
        <v>340</v>
      </c>
      <c r="N21" s="59">
        <v>338</v>
      </c>
      <c r="O21" s="77">
        <v>307</v>
      </c>
    </row>
    <row r="22" spans="1:15" ht="13" x14ac:dyDescent="0.3">
      <c r="A22" s="10">
        <v>206</v>
      </c>
      <c r="B22" s="11" t="s">
        <v>163</v>
      </c>
      <c r="C22" s="360">
        <v>1407</v>
      </c>
      <c r="D22" s="54">
        <v>673</v>
      </c>
      <c r="E22" s="706">
        <f t="shared" si="0"/>
        <v>0.47832267235252313</v>
      </c>
      <c r="F22" s="59">
        <v>383</v>
      </c>
      <c r="G22" s="59">
        <v>324</v>
      </c>
      <c r="H22" s="59">
        <v>400</v>
      </c>
      <c r="I22" s="59">
        <v>353</v>
      </c>
      <c r="J22" s="59">
        <v>382</v>
      </c>
      <c r="K22" s="59">
        <v>392</v>
      </c>
      <c r="L22" s="59">
        <v>222</v>
      </c>
      <c r="M22" s="59">
        <v>412</v>
      </c>
      <c r="N22" s="59">
        <v>377</v>
      </c>
      <c r="O22" s="77">
        <v>324</v>
      </c>
    </row>
    <row r="23" spans="1:15" ht="13" x14ac:dyDescent="0.3">
      <c r="A23" s="10">
        <v>207</v>
      </c>
      <c r="B23" s="11" t="s">
        <v>164</v>
      </c>
      <c r="C23" s="360">
        <v>1309</v>
      </c>
      <c r="D23" s="54">
        <v>709</v>
      </c>
      <c r="E23" s="706">
        <f t="shared" si="0"/>
        <v>0.54163483575248283</v>
      </c>
      <c r="F23" s="59">
        <v>329</v>
      </c>
      <c r="G23" s="59">
        <v>326</v>
      </c>
      <c r="H23" s="59">
        <v>333</v>
      </c>
      <c r="I23" s="59">
        <v>339</v>
      </c>
      <c r="J23" s="59">
        <v>307</v>
      </c>
      <c r="K23" s="59">
        <v>363</v>
      </c>
      <c r="L23" s="59">
        <v>406</v>
      </c>
      <c r="M23" s="59">
        <v>306</v>
      </c>
      <c r="N23" s="59">
        <v>324</v>
      </c>
      <c r="O23" s="77">
        <v>306</v>
      </c>
    </row>
    <row r="24" spans="1:15" ht="13" x14ac:dyDescent="0.3">
      <c r="A24" s="10">
        <v>208</v>
      </c>
      <c r="B24" s="11" t="s">
        <v>165</v>
      </c>
      <c r="C24" s="360">
        <v>958</v>
      </c>
      <c r="D24" s="54">
        <v>422</v>
      </c>
      <c r="E24" s="706">
        <f t="shared" si="0"/>
        <v>0.44050104384133609</v>
      </c>
      <c r="F24" s="59">
        <v>233</v>
      </c>
      <c r="G24" s="59">
        <v>196</v>
      </c>
      <c r="H24" s="59">
        <v>229</v>
      </c>
      <c r="I24" s="59">
        <v>211</v>
      </c>
      <c r="J24" s="59">
        <v>201</v>
      </c>
      <c r="K24" s="59">
        <v>220</v>
      </c>
      <c r="L24" s="59">
        <v>156</v>
      </c>
      <c r="M24" s="59">
        <v>231</v>
      </c>
      <c r="N24" s="59">
        <v>226</v>
      </c>
      <c r="O24" s="77">
        <v>177</v>
      </c>
    </row>
    <row r="25" spans="1:15" ht="13" x14ac:dyDescent="0.3">
      <c r="A25" s="10">
        <v>209</v>
      </c>
      <c r="B25" s="11" t="s">
        <v>166</v>
      </c>
      <c r="C25" s="360">
        <v>1172</v>
      </c>
      <c r="D25" s="54">
        <v>634</v>
      </c>
      <c r="E25" s="706">
        <f t="shared" si="0"/>
        <v>0.54095563139931746</v>
      </c>
      <c r="F25" s="59">
        <v>367</v>
      </c>
      <c r="G25" s="59">
        <v>331</v>
      </c>
      <c r="H25" s="59">
        <v>353</v>
      </c>
      <c r="I25" s="59">
        <v>336</v>
      </c>
      <c r="J25" s="59">
        <v>327</v>
      </c>
      <c r="K25" s="59">
        <v>359</v>
      </c>
      <c r="L25" s="59">
        <v>247</v>
      </c>
      <c r="M25" s="59">
        <v>354</v>
      </c>
      <c r="N25" s="59">
        <v>341</v>
      </c>
      <c r="O25" s="77">
        <v>288</v>
      </c>
    </row>
    <row r="26" spans="1:15" ht="13" x14ac:dyDescent="0.3">
      <c r="A26" s="10">
        <v>210</v>
      </c>
      <c r="B26" s="11" t="s">
        <v>167</v>
      </c>
      <c r="C26" s="360">
        <v>1392</v>
      </c>
      <c r="D26" s="54">
        <v>726</v>
      </c>
      <c r="E26" s="706">
        <f t="shared" si="0"/>
        <v>0.52155172413793105</v>
      </c>
      <c r="F26" s="59">
        <v>390</v>
      </c>
      <c r="G26" s="59">
        <v>327</v>
      </c>
      <c r="H26" s="59">
        <v>380</v>
      </c>
      <c r="I26" s="59">
        <v>360</v>
      </c>
      <c r="J26" s="59">
        <v>342</v>
      </c>
      <c r="K26" s="59">
        <v>367</v>
      </c>
      <c r="L26" s="59">
        <v>277</v>
      </c>
      <c r="M26" s="59">
        <v>374</v>
      </c>
      <c r="N26" s="59">
        <v>369</v>
      </c>
      <c r="O26" s="77">
        <v>321</v>
      </c>
    </row>
    <row r="27" spans="1:15" ht="13" x14ac:dyDescent="0.3">
      <c r="A27" s="10">
        <v>211</v>
      </c>
      <c r="B27" s="11" t="s">
        <v>168</v>
      </c>
      <c r="C27" s="360">
        <v>1479</v>
      </c>
      <c r="D27" s="54">
        <v>778</v>
      </c>
      <c r="E27" s="706">
        <f t="shared" si="0"/>
        <v>0.52603110209601078</v>
      </c>
      <c r="F27" s="59">
        <v>410</v>
      </c>
      <c r="G27" s="59">
        <v>380</v>
      </c>
      <c r="H27" s="59">
        <v>411</v>
      </c>
      <c r="I27" s="59">
        <v>411</v>
      </c>
      <c r="J27" s="59">
        <v>386</v>
      </c>
      <c r="K27" s="59">
        <v>425</v>
      </c>
      <c r="L27" s="59">
        <v>305</v>
      </c>
      <c r="M27" s="59">
        <v>404</v>
      </c>
      <c r="N27" s="59">
        <v>405</v>
      </c>
      <c r="O27" s="77">
        <v>379</v>
      </c>
    </row>
    <row r="28" spans="1:15" ht="13" x14ac:dyDescent="0.3">
      <c r="A28" s="10">
        <v>301</v>
      </c>
      <c r="B28" s="11" t="s">
        <v>169</v>
      </c>
      <c r="C28" s="360">
        <v>1403</v>
      </c>
      <c r="D28" s="54">
        <v>479</v>
      </c>
      <c r="E28" s="706">
        <f t="shared" si="0"/>
        <v>0.3414112615823236</v>
      </c>
      <c r="F28" s="45">
        <v>232</v>
      </c>
      <c r="G28" s="45">
        <v>203</v>
      </c>
      <c r="H28" s="45">
        <v>298</v>
      </c>
      <c r="I28" s="45">
        <v>231</v>
      </c>
      <c r="J28" s="45">
        <v>304</v>
      </c>
      <c r="K28" s="45">
        <v>308</v>
      </c>
      <c r="L28" s="45">
        <v>149</v>
      </c>
      <c r="M28" s="45">
        <v>332</v>
      </c>
      <c r="N28" s="45">
        <v>288</v>
      </c>
      <c r="O28" s="77">
        <v>197</v>
      </c>
    </row>
    <row r="29" spans="1:15" ht="13" x14ac:dyDescent="0.3">
      <c r="A29" s="10">
        <v>302</v>
      </c>
      <c r="B29" s="11" t="s">
        <v>170</v>
      </c>
      <c r="C29" s="360">
        <v>874</v>
      </c>
      <c r="D29" s="54">
        <v>465</v>
      </c>
      <c r="E29" s="706">
        <f t="shared" si="0"/>
        <v>0.53203661327231122</v>
      </c>
      <c r="F29" s="45">
        <v>247</v>
      </c>
      <c r="G29" s="45">
        <v>236</v>
      </c>
      <c r="H29" s="45">
        <v>246</v>
      </c>
      <c r="I29" s="45">
        <v>254</v>
      </c>
      <c r="J29" s="45">
        <v>218</v>
      </c>
      <c r="K29" s="45">
        <v>270</v>
      </c>
      <c r="L29" s="45">
        <v>224</v>
      </c>
      <c r="M29" s="45">
        <v>252</v>
      </c>
      <c r="N29" s="45">
        <v>226</v>
      </c>
      <c r="O29" s="77">
        <v>193</v>
      </c>
    </row>
    <row r="30" spans="1:15" ht="13" x14ac:dyDescent="0.3">
      <c r="A30" s="10">
        <v>303</v>
      </c>
      <c r="B30" s="11" t="s">
        <v>171</v>
      </c>
      <c r="C30" s="360">
        <v>1140</v>
      </c>
      <c r="D30" s="54">
        <v>607</v>
      </c>
      <c r="E30" s="706">
        <f t="shared" si="0"/>
        <v>0.53245614035087718</v>
      </c>
      <c r="F30" s="45">
        <v>301</v>
      </c>
      <c r="G30" s="45">
        <v>291</v>
      </c>
      <c r="H30" s="45">
        <v>310</v>
      </c>
      <c r="I30" s="45">
        <v>305</v>
      </c>
      <c r="J30" s="45">
        <v>325</v>
      </c>
      <c r="K30" s="45">
        <v>364</v>
      </c>
      <c r="L30" s="45">
        <v>312</v>
      </c>
      <c r="M30" s="45">
        <v>330</v>
      </c>
      <c r="N30" s="45">
        <v>311</v>
      </c>
      <c r="O30" s="77">
        <v>269</v>
      </c>
    </row>
    <row r="31" spans="1:15" ht="13" x14ac:dyDescent="0.3">
      <c r="A31" s="10">
        <v>304</v>
      </c>
      <c r="B31" s="11" t="s">
        <v>172</v>
      </c>
      <c r="C31" s="360">
        <v>1536</v>
      </c>
      <c r="D31" s="54">
        <v>520</v>
      </c>
      <c r="E31" s="706">
        <f t="shared" si="0"/>
        <v>0.33854166666666669</v>
      </c>
      <c r="F31" s="45">
        <v>282</v>
      </c>
      <c r="G31" s="45">
        <v>266</v>
      </c>
      <c r="H31" s="45">
        <v>322</v>
      </c>
      <c r="I31" s="45">
        <v>278</v>
      </c>
      <c r="J31" s="45">
        <v>293</v>
      </c>
      <c r="K31" s="45">
        <v>348</v>
      </c>
      <c r="L31" s="45">
        <v>149</v>
      </c>
      <c r="M31" s="45">
        <v>361</v>
      </c>
      <c r="N31" s="45">
        <v>313</v>
      </c>
      <c r="O31" s="77">
        <v>255</v>
      </c>
    </row>
    <row r="32" spans="1:15" ht="13" x14ac:dyDescent="0.3">
      <c r="A32" s="10">
        <v>305</v>
      </c>
      <c r="B32" s="11" t="s">
        <v>173</v>
      </c>
      <c r="C32" s="360">
        <v>1414</v>
      </c>
      <c r="D32" s="54">
        <v>492</v>
      </c>
      <c r="E32" s="706">
        <f t="shared" si="0"/>
        <v>0.34794908062234797</v>
      </c>
      <c r="F32" s="45">
        <v>274</v>
      </c>
      <c r="G32" s="45">
        <v>246</v>
      </c>
      <c r="H32" s="45">
        <v>327</v>
      </c>
      <c r="I32" s="45">
        <v>283</v>
      </c>
      <c r="J32" s="45">
        <v>310</v>
      </c>
      <c r="K32" s="45">
        <v>323</v>
      </c>
      <c r="L32" s="45">
        <v>141</v>
      </c>
      <c r="M32" s="45">
        <v>335</v>
      </c>
      <c r="N32" s="45">
        <v>303</v>
      </c>
      <c r="O32" s="77">
        <v>248</v>
      </c>
    </row>
    <row r="33" spans="1:15" ht="13" x14ac:dyDescent="0.3">
      <c r="A33" s="10">
        <v>401</v>
      </c>
      <c r="B33" s="11" t="s">
        <v>174</v>
      </c>
      <c r="C33" s="360">
        <v>957</v>
      </c>
      <c r="D33" s="54">
        <v>610</v>
      </c>
      <c r="E33" s="706">
        <f t="shared" si="0"/>
        <v>0.63740856844305116</v>
      </c>
      <c r="F33" s="59">
        <v>340</v>
      </c>
      <c r="G33" s="59">
        <v>317</v>
      </c>
      <c r="H33" s="59">
        <v>330</v>
      </c>
      <c r="I33" s="59">
        <v>339</v>
      </c>
      <c r="J33" s="59">
        <v>309</v>
      </c>
      <c r="K33" s="59">
        <v>353</v>
      </c>
      <c r="L33" s="59">
        <v>289</v>
      </c>
      <c r="M33" s="59">
        <v>312</v>
      </c>
      <c r="N33" s="59">
        <v>312</v>
      </c>
      <c r="O33" s="77">
        <v>306</v>
      </c>
    </row>
    <row r="34" spans="1:15" ht="13" x14ac:dyDescent="0.3">
      <c r="A34" s="10">
        <v>402</v>
      </c>
      <c r="B34" s="11" t="s">
        <v>175</v>
      </c>
      <c r="C34" s="360">
        <v>1078</v>
      </c>
      <c r="D34" s="54">
        <v>673</v>
      </c>
      <c r="E34" s="706">
        <f t="shared" si="0"/>
        <v>0.62430426716140996</v>
      </c>
      <c r="F34" s="59">
        <v>367</v>
      </c>
      <c r="G34" s="59">
        <v>330</v>
      </c>
      <c r="H34" s="59">
        <v>362</v>
      </c>
      <c r="I34" s="59">
        <v>359</v>
      </c>
      <c r="J34" s="59">
        <v>323</v>
      </c>
      <c r="K34" s="59">
        <v>360</v>
      </c>
      <c r="L34" s="59">
        <v>313</v>
      </c>
      <c r="M34" s="59">
        <v>348</v>
      </c>
      <c r="N34" s="59">
        <v>347</v>
      </c>
      <c r="O34" s="77">
        <v>325</v>
      </c>
    </row>
    <row r="35" spans="1:15" ht="13" x14ac:dyDescent="0.3">
      <c r="A35" s="10">
        <v>403</v>
      </c>
      <c r="B35" s="11" t="s">
        <v>176</v>
      </c>
      <c r="C35" s="360">
        <v>920</v>
      </c>
      <c r="D35" s="54">
        <v>507</v>
      </c>
      <c r="E35" s="706">
        <f t="shared" si="0"/>
        <v>0.55108695652173911</v>
      </c>
      <c r="F35" s="59">
        <v>321</v>
      </c>
      <c r="G35" s="59">
        <v>260</v>
      </c>
      <c r="H35" s="59">
        <v>272</v>
      </c>
      <c r="I35" s="59">
        <v>276</v>
      </c>
      <c r="J35" s="59">
        <v>247</v>
      </c>
      <c r="K35" s="59">
        <v>300</v>
      </c>
      <c r="L35" s="59">
        <v>224</v>
      </c>
      <c r="M35" s="59">
        <v>275</v>
      </c>
      <c r="N35" s="59">
        <v>253</v>
      </c>
      <c r="O35" s="77">
        <v>246</v>
      </c>
    </row>
    <row r="36" spans="1:15" ht="13" x14ac:dyDescent="0.3">
      <c r="A36" s="10">
        <v>404</v>
      </c>
      <c r="B36" s="11" t="s">
        <v>177</v>
      </c>
      <c r="C36" s="360">
        <v>1225</v>
      </c>
      <c r="D36" s="54">
        <v>756</v>
      </c>
      <c r="E36" s="706">
        <f t="shared" si="0"/>
        <v>0.6171428571428571</v>
      </c>
      <c r="F36" s="59">
        <v>360</v>
      </c>
      <c r="G36" s="59">
        <v>349</v>
      </c>
      <c r="H36" s="59">
        <v>368</v>
      </c>
      <c r="I36" s="59">
        <v>364</v>
      </c>
      <c r="J36" s="59">
        <v>327</v>
      </c>
      <c r="K36" s="59">
        <v>370</v>
      </c>
      <c r="L36" s="59">
        <v>342</v>
      </c>
      <c r="M36" s="59">
        <v>354</v>
      </c>
      <c r="N36" s="59">
        <v>356</v>
      </c>
      <c r="O36" s="77">
        <v>325</v>
      </c>
    </row>
    <row r="37" spans="1:15" ht="13" x14ac:dyDescent="0.3">
      <c r="A37" s="10">
        <v>405</v>
      </c>
      <c r="B37" s="11" t="s">
        <v>178</v>
      </c>
      <c r="C37" s="360">
        <v>1185</v>
      </c>
      <c r="D37" s="54">
        <v>679</v>
      </c>
      <c r="E37" s="706">
        <f t="shared" si="0"/>
        <v>0.57299578059071732</v>
      </c>
      <c r="F37" s="59">
        <v>339</v>
      </c>
      <c r="G37" s="59">
        <v>321</v>
      </c>
      <c r="H37" s="59">
        <v>337</v>
      </c>
      <c r="I37" s="59">
        <v>354</v>
      </c>
      <c r="J37" s="59">
        <v>308</v>
      </c>
      <c r="K37" s="59">
        <v>350</v>
      </c>
      <c r="L37" s="59">
        <v>319</v>
      </c>
      <c r="M37" s="59">
        <v>317</v>
      </c>
      <c r="N37" s="59">
        <v>330</v>
      </c>
      <c r="O37" s="77">
        <v>294</v>
      </c>
    </row>
    <row r="38" spans="1:15" ht="13" x14ac:dyDescent="0.3">
      <c r="A38" s="10">
        <v>406</v>
      </c>
      <c r="B38" s="11" t="s">
        <v>179</v>
      </c>
      <c r="C38" s="360">
        <v>1070</v>
      </c>
      <c r="D38" s="54">
        <v>632</v>
      </c>
      <c r="E38" s="706">
        <f t="shared" si="0"/>
        <v>0.59065420560747661</v>
      </c>
      <c r="F38" s="59">
        <v>350</v>
      </c>
      <c r="G38" s="59">
        <v>313</v>
      </c>
      <c r="H38" s="59">
        <v>316</v>
      </c>
      <c r="I38" s="59">
        <v>334</v>
      </c>
      <c r="J38" s="59">
        <v>302</v>
      </c>
      <c r="K38" s="59">
        <v>339</v>
      </c>
      <c r="L38" s="59">
        <v>325</v>
      </c>
      <c r="M38" s="59">
        <v>306</v>
      </c>
      <c r="N38" s="59">
        <v>316</v>
      </c>
      <c r="O38" s="77">
        <v>296</v>
      </c>
    </row>
    <row r="39" spans="1:15" ht="13" x14ac:dyDescent="0.3">
      <c r="A39" s="10">
        <v>407</v>
      </c>
      <c r="B39" s="11" t="s">
        <v>180</v>
      </c>
      <c r="C39" s="360">
        <v>1243</v>
      </c>
      <c r="D39" s="54">
        <v>815</v>
      </c>
      <c r="E39" s="706">
        <f t="shared" si="0"/>
        <v>0.65567176186645215</v>
      </c>
      <c r="F39" s="59">
        <v>351</v>
      </c>
      <c r="G39" s="59">
        <v>327</v>
      </c>
      <c r="H39" s="59">
        <v>326</v>
      </c>
      <c r="I39" s="59">
        <v>359</v>
      </c>
      <c r="J39" s="59">
        <v>298</v>
      </c>
      <c r="K39" s="59">
        <v>377</v>
      </c>
      <c r="L39" s="59">
        <v>529</v>
      </c>
      <c r="M39" s="59">
        <v>327</v>
      </c>
      <c r="N39" s="59">
        <v>311</v>
      </c>
      <c r="O39" s="77">
        <v>300</v>
      </c>
    </row>
    <row r="40" spans="1:15" ht="13" x14ac:dyDescent="0.3">
      <c r="A40" s="10">
        <v>408</v>
      </c>
      <c r="B40" s="11" t="s">
        <v>181</v>
      </c>
      <c r="C40" s="360">
        <v>1450</v>
      </c>
      <c r="D40" s="54">
        <v>825</v>
      </c>
      <c r="E40" s="706">
        <f t="shared" si="0"/>
        <v>0.56896551724137934</v>
      </c>
      <c r="F40" s="59">
        <v>407</v>
      </c>
      <c r="G40" s="59">
        <v>366</v>
      </c>
      <c r="H40" s="59">
        <v>400</v>
      </c>
      <c r="I40" s="59">
        <v>385</v>
      </c>
      <c r="J40" s="59">
        <v>370</v>
      </c>
      <c r="K40" s="59">
        <v>411</v>
      </c>
      <c r="L40" s="59">
        <v>354</v>
      </c>
      <c r="M40" s="59">
        <v>406</v>
      </c>
      <c r="N40" s="59">
        <v>403</v>
      </c>
      <c r="O40" s="77">
        <v>365</v>
      </c>
    </row>
    <row r="41" spans="1:15" ht="13" x14ac:dyDescent="0.3">
      <c r="A41" s="10">
        <v>501</v>
      </c>
      <c r="B41" s="11" t="s">
        <v>182</v>
      </c>
      <c r="C41" s="360">
        <v>1242</v>
      </c>
      <c r="D41" s="54">
        <v>718</v>
      </c>
      <c r="E41" s="706">
        <f t="shared" si="0"/>
        <v>0.5780998389694042</v>
      </c>
      <c r="F41" s="59">
        <v>334</v>
      </c>
      <c r="G41" s="59">
        <v>329</v>
      </c>
      <c r="H41" s="59">
        <v>311</v>
      </c>
      <c r="I41" s="59">
        <v>326</v>
      </c>
      <c r="J41" s="59">
        <v>275</v>
      </c>
      <c r="K41" s="59">
        <v>351</v>
      </c>
      <c r="L41" s="59">
        <v>457</v>
      </c>
      <c r="M41" s="59">
        <v>305</v>
      </c>
      <c r="N41" s="59">
        <v>297</v>
      </c>
      <c r="O41" s="77">
        <v>296</v>
      </c>
    </row>
    <row r="42" spans="1:15" ht="13" x14ac:dyDescent="0.3">
      <c r="A42" s="10">
        <v>502</v>
      </c>
      <c r="B42" s="11" t="s">
        <v>183</v>
      </c>
      <c r="C42" s="360">
        <v>1130</v>
      </c>
      <c r="D42" s="54">
        <v>739</v>
      </c>
      <c r="E42" s="706">
        <f t="shared" si="0"/>
        <v>0.65398230088495579</v>
      </c>
      <c r="F42" s="59">
        <v>379</v>
      </c>
      <c r="G42" s="59">
        <v>364</v>
      </c>
      <c r="H42" s="59">
        <v>364</v>
      </c>
      <c r="I42" s="59">
        <v>365</v>
      </c>
      <c r="J42" s="59">
        <v>318</v>
      </c>
      <c r="K42" s="59">
        <v>395</v>
      </c>
      <c r="L42" s="59">
        <v>399</v>
      </c>
      <c r="M42" s="59">
        <v>358</v>
      </c>
      <c r="N42" s="59">
        <v>356</v>
      </c>
      <c r="O42" s="77">
        <v>341</v>
      </c>
    </row>
    <row r="43" spans="1:15" ht="13" x14ac:dyDescent="0.3">
      <c r="A43" s="10">
        <v>503</v>
      </c>
      <c r="B43" s="11" t="s">
        <v>184</v>
      </c>
      <c r="C43" s="360">
        <v>843</v>
      </c>
      <c r="D43" s="54">
        <v>522</v>
      </c>
      <c r="E43" s="706">
        <f t="shared" si="0"/>
        <v>0.61921708185053381</v>
      </c>
      <c r="F43" s="45">
        <v>266</v>
      </c>
      <c r="G43" s="45">
        <v>254</v>
      </c>
      <c r="H43" s="45">
        <v>258</v>
      </c>
      <c r="I43" s="45">
        <v>265</v>
      </c>
      <c r="J43" s="45">
        <v>236</v>
      </c>
      <c r="K43" s="45">
        <v>294</v>
      </c>
      <c r="L43" s="45">
        <v>275</v>
      </c>
      <c r="M43" s="45">
        <v>265</v>
      </c>
      <c r="N43" s="45">
        <v>236</v>
      </c>
      <c r="O43" s="77">
        <v>229</v>
      </c>
    </row>
    <row r="44" spans="1:15" ht="13" x14ac:dyDescent="0.3">
      <c r="A44" s="10">
        <v>504</v>
      </c>
      <c r="B44" s="11" t="s">
        <v>185</v>
      </c>
      <c r="C44" s="360">
        <v>1334</v>
      </c>
      <c r="D44" s="54">
        <v>920</v>
      </c>
      <c r="E44" s="706">
        <f t="shared" si="0"/>
        <v>0.68965517241379315</v>
      </c>
      <c r="F44" s="59">
        <v>504</v>
      </c>
      <c r="G44" s="59">
        <v>488</v>
      </c>
      <c r="H44" s="59">
        <v>474</v>
      </c>
      <c r="I44" s="59">
        <v>463</v>
      </c>
      <c r="J44" s="59">
        <v>428</v>
      </c>
      <c r="K44" s="59">
        <v>512</v>
      </c>
      <c r="L44" s="59">
        <v>492</v>
      </c>
      <c r="M44" s="59">
        <v>454</v>
      </c>
      <c r="N44" s="59">
        <v>442</v>
      </c>
      <c r="O44" s="77">
        <v>413</v>
      </c>
    </row>
    <row r="45" spans="1:15" ht="13" x14ac:dyDescent="0.3">
      <c r="A45" s="10">
        <v>505</v>
      </c>
      <c r="B45" s="11" t="s">
        <v>186</v>
      </c>
      <c r="C45" s="360">
        <v>1427</v>
      </c>
      <c r="D45" s="54">
        <v>881</v>
      </c>
      <c r="E45" s="706">
        <f t="shared" si="0"/>
        <v>0.61737911702873161</v>
      </c>
      <c r="F45" s="59">
        <v>433</v>
      </c>
      <c r="G45" s="59">
        <v>434</v>
      </c>
      <c r="H45" s="59">
        <v>436</v>
      </c>
      <c r="I45" s="59">
        <v>429</v>
      </c>
      <c r="J45" s="59">
        <v>404</v>
      </c>
      <c r="K45" s="59">
        <v>445</v>
      </c>
      <c r="L45" s="59">
        <v>426</v>
      </c>
      <c r="M45" s="59">
        <v>418</v>
      </c>
      <c r="N45" s="59">
        <v>416</v>
      </c>
      <c r="O45" s="77">
        <v>390</v>
      </c>
    </row>
    <row r="46" spans="1:15" ht="13" x14ac:dyDescent="0.3">
      <c r="A46" s="10">
        <v>506</v>
      </c>
      <c r="B46" s="11" t="s">
        <v>187</v>
      </c>
      <c r="C46" s="360">
        <v>919</v>
      </c>
      <c r="D46" s="54">
        <v>526</v>
      </c>
      <c r="E46" s="706">
        <f t="shared" si="0"/>
        <v>0.57236126224156691</v>
      </c>
      <c r="F46" s="59">
        <v>261</v>
      </c>
      <c r="G46" s="59">
        <v>240</v>
      </c>
      <c r="H46" s="59">
        <v>243</v>
      </c>
      <c r="I46" s="59">
        <v>256</v>
      </c>
      <c r="J46" s="59">
        <v>215</v>
      </c>
      <c r="K46" s="59">
        <v>251</v>
      </c>
      <c r="L46" s="59">
        <v>277</v>
      </c>
      <c r="M46" s="59">
        <v>231</v>
      </c>
      <c r="N46" s="59">
        <v>228</v>
      </c>
      <c r="O46" s="77">
        <v>219</v>
      </c>
    </row>
    <row r="47" spans="1:15" ht="13" x14ac:dyDescent="0.3">
      <c r="A47" s="10">
        <v>507</v>
      </c>
      <c r="B47" s="11" t="s">
        <v>188</v>
      </c>
      <c r="C47" s="360">
        <v>1522</v>
      </c>
      <c r="D47" s="54">
        <v>826</v>
      </c>
      <c r="E47" s="706">
        <f t="shared" si="0"/>
        <v>0.54270696452036793</v>
      </c>
      <c r="F47" s="59">
        <v>378</v>
      </c>
      <c r="G47" s="59">
        <v>334</v>
      </c>
      <c r="H47" s="59">
        <v>346</v>
      </c>
      <c r="I47" s="59">
        <v>360</v>
      </c>
      <c r="J47" s="59">
        <v>317</v>
      </c>
      <c r="K47" s="59">
        <v>397</v>
      </c>
      <c r="L47" s="59">
        <v>506</v>
      </c>
      <c r="M47" s="59">
        <v>346</v>
      </c>
      <c r="N47" s="59">
        <v>343</v>
      </c>
      <c r="O47" s="77">
        <v>302</v>
      </c>
    </row>
    <row r="48" spans="1:15" ht="13" x14ac:dyDescent="0.3">
      <c r="A48" s="10">
        <v>508</v>
      </c>
      <c r="B48" s="11" t="s">
        <v>189</v>
      </c>
      <c r="C48" s="360">
        <v>966</v>
      </c>
      <c r="D48" s="54">
        <v>454</v>
      </c>
      <c r="E48" s="706">
        <f t="shared" si="0"/>
        <v>0.46997929606625261</v>
      </c>
      <c r="F48" s="45">
        <v>263</v>
      </c>
      <c r="G48" s="45">
        <v>236</v>
      </c>
      <c r="H48" s="45">
        <v>277</v>
      </c>
      <c r="I48" s="45">
        <v>261</v>
      </c>
      <c r="J48" s="45">
        <v>257</v>
      </c>
      <c r="K48" s="45">
        <v>277</v>
      </c>
      <c r="L48" s="45">
        <v>154</v>
      </c>
      <c r="M48" s="45">
        <v>296</v>
      </c>
      <c r="N48" s="45">
        <v>265</v>
      </c>
      <c r="O48" s="77">
        <v>245</v>
      </c>
    </row>
    <row r="49" spans="1:15" ht="13" x14ac:dyDescent="0.3">
      <c r="A49" s="10">
        <v>509</v>
      </c>
      <c r="B49" s="11" t="s">
        <v>190</v>
      </c>
      <c r="C49" s="360">
        <v>1319</v>
      </c>
      <c r="D49" s="54">
        <v>786</v>
      </c>
      <c r="E49" s="706">
        <f t="shared" si="0"/>
        <v>0.59590598938589845</v>
      </c>
      <c r="F49" s="59">
        <v>345</v>
      </c>
      <c r="G49" s="59">
        <v>291</v>
      </c>
      <c r="H49" s="59">
        <v>295</v>
      </c>
      <c r="I49" s="59">
        <v>298</v>
      </c>
      <c r="J49" s="59">
        <v>283</v>
      </c>
      <c r="K49" s="59">
        <v>356</v>
      </c>
      <c r="L49" s="59">
        <v>511</v>
      </c>
      <c r="M49" s="59">
        <v>277</v>
      </c>
      <c r="N49" s="59">
        <v>294</v>
      </c>
      <c r="O49" s="77">
        <v>263</v>
      </c>
    </row>
    <row r="50" spans="1:15" ht="13" x14ac:dyDescent="0.3">
      <c r="A50" s="10">
        <v>601</v>
      </c>
      <c r="B50" s="11" t="s">
        <v>191</v>
      </c>
      <c r="C50" s="360">
        <v>2027</v>
      </c>
      <c r="D50" s="54">
        <v>738</v>
      </c>
      <c r="E50" s="706">
        <f t="shared" si="0"/>
        <v>0.36408485446472622</v>
      </c>
      <c r="F50" s="59">
        <v>421</v>
      </c>
      <c r="G50" s="59">
        <v>395</v>
      </c>
      <c r="H50" s="59">
        <v>425</v>
      </c>
      <c r="I50" s="59">
        <v>406</v>
      </c>
      <c r="J50" s="59">
        <v>391</v>
      </c>
      <c r="K50" s="59">
        <v>446</v>
      </c>
      <c r="L50" s="59">
        <v>273</v>
      </c>
      <c r="M50" s="59">
        <v>449</v>
      </c>
      <c r="N50" s="59">
        <v>432</v>
      </c>
      <c r="O50" s="77">
        <v>398</v>
      </c>
    </row>
    <row r="51" spans="1:15" ht="13" x14ac:dyDescent="0.3">
      <c r="A51" s="10">
        <v>602</v>
      </c>
      <c r="B51" s="11" t="s">
        <v>192</v>
      </c>
      <c r="C51" s="360">
        <v>1304</v>
      </c>
      <c r="D51" s="54">
        <v>411</v>
      </c>
      <c r="E51" s="706">
        <f t="shared" si="0"/>
        <v>0.31518404907975461</v>
      </c>
      <c r="F51" s="59">
        <v>228</v>
      </c>
      <c r="G51" s="59">
        <v>205</v>
      </c>
      <c r="H51" s="59">
        <v>222</v>
      </c>
      <c r="I51" s="59">
        <v>204</v>
      </c>
      <c r="J51" s="59">
        <v>200</v>
      </c>
      <c r="K51" s="59">
        <v>228</v>
      </c>
      <c r="L51" s="59">
        <v>168</v>
      </c>
      <c r="M51" s="59">
        <v>227</v>
      </c>
      <c r="N51" s="59">
        <v>223</v>
      </c>
      <c r="O51" s="77">
        <v>199</v>
      </c>
    </row>
    <row r="52" spans="1:15" ht="13" x14ac:dyDescent="0.3">
      <c r="A52" s="10">
        <v>603</v>
      </c>
      <c r="B52" s="11" t="s">
        <v>193</v>
      </c>
      <c r="C52" s="360">
        <v>1884</v>
      </c>
      <c r="D52" s="54">
        <v>546</v>
      </c>
      <c r="E52" s="706">
        <f t="shared" si="0"/>
        <v>0.28980891719745222</v>
      </c>
      <c r="F52" s="45">
        <v>301</v>
      </c>
      <c r="G52" s="45">
        <v>281</v>
      </c>
      <c r="H52" s="45">
        <v>333</v>
      </c>
      <c r="I52" s="45">
        <v>287</v>
      </c>
      <c r="J52" s="45">
        <v>272</v>
      </c>
      <c r="K52" s="45">
        <v>302</v>
      </c>
      <c r="L52" s="45">
        <v>209</v>
      </c>
      <c r="M52" s="45">
        <v>314</v>
      </c>
      <c r="N52" s="45">
        <v>310</v>
      </c>
      <c r="O52" s="77">
        <v>269</v>
      </c>
    </row>
    <row r="53" spans="1:15" ht="13" x14ac:dyDescent="0.3">
      <c r="A53" s="10">
        <v>604</v>
      </c>
      <c r="B53" s="11" t="s">
        <v>194</v>
      </c>
      <c r="C53" s="360">
        <v>1715</v>
      </c>
      <c r="D53" s="54">
        <v>660</v>
      </c>
      <c r="E53" s="706">
        <f t="shared" si="0"/>
        <v>0.38483965014577259</v>
      </c>
      <c r="F53" s="45">
        <v>405</v>
      </c>
      <c r="G53" s="45">
        <v>366</v>
      </c>
      <c r="H53" s="45">
        <v>414</v>
      </c>
      <c r="I53" s="45">
        <v>388</v>
      </c>
      <c r="J53" s="45">
        <v>349</v>
      </c>
      <c r="K53" s="45">
        <v>409</v>
      </c>
      <c r="L53" s="45">
        <v>216</v>
      </c>
      <c r="M53" s="45">
        <v>416</v>
      </c>
      <c r="N53" s="45">
        <v>370</v>
      </c>
      <c r="O53" s="77">
        <v>326</v>
      </c>
    </row>
    <row r="54" spans="1:15" ht="13" x14ac:dyDescent="0.3">
      <c r="A54" s="10">
        <v>605</v>
      </c>
      <c r="B54" s="11" t="s">
        <v>771</v>
      </c>
      <c r="C54" s="360">
        <v>1382</v>
      </c>
      <c r="D54" s="54">
        <v>569</v>
      </c>
      <c r="E54" s="706">
        <f t="shared" si="0"/>
        <v>0.4117221418234443</v>
      </c>
      <c r="F54" s="45">
        <v>275</v>
      </c>
      <c r="G54" s="45">
        <v>281</v>
      </c>
      <c r="H54" s="45">
        <v>280</v>
      </c>
      <c r="I54" s="45">
        <v>271</v>
      </c>
      <c r="J54" s="45">
        <v>235</v>
      </c>
      <c r="K54" s="45">
        <v>294</v>
      </c>
      <c r="L54" s="45">
        <v>285</v>
      </c>
      <c r="M54" s="45">
        <v>270</v>
      </c>
      <c r="N54" s="45">
        <v>266</v>
      </c>
      <c r="O54" s="77">
        <v>241</v>
      </c>
    </row>
    <row r="55" spans="1:15" ht="13" x14ac:dyDescent="0.3">
      <c r="A55" s="10">
        <v>701</v>
      </c>
      <c r="B55" s="11" t="s">
        <v>195</v>
      </c>
      <c r="C55" s="360">
        <v>1268</v>
      </c>
      <c r="D55" s="54">
        <v>569</v>
      </c>
      <c r="E55" s="706">
        <f t="shared" si="0"/>
        <v>0.44873817034700314</v>
      </c>
      <c r="F55" s="59">
        <v>289</v>
      </c>
      <c r="G55" s="59">
        <v>309</v>
      </c>
      <c r="H55" s="59">
        <v>390</v>
      </c>
      <c r="I55" s="59">
        <v>317</v>
      </c>
      <c r="J55" s="59">
        <v>397</v>
      </c>
      <c r="K55" s="59">
        <v>404</v>
      </c>
      <c r="L55" s="59">
        <v>201</v>
      </c>
      <c r="M55" s="59">
        <v>405</v>
      </c>
      <c r="N55" s="59">
        <v>368</v>
      </c>
      <c r="O55" s="77">
        <v>287</v>
      </c>
    </row>
    <row r="56" spans="1:15" ht="13" x14ac:dyDescent="0.3">
      <c r="A56" s="10">
        <v>702</v>
      </c>
      <c r="B56" s="11" t="s">
        <v>196</v>
      </c>
      <c r="C56" s="360">
        <v>767</v>
      </c>
      <c r="D56" s="54">
        <v>171</v>
      </c>
      <c r="E56" s="706">
        <f t="shared" si="0"/>
        <v>0.22294654498044328</v>
      </c>
      <c r="F56" s="59">
        <v>99</v>
      </c>
      <c r="G56" s="59">
        <v>83</v>
      </c>
      <c r="H56" s="59">
        <v>133</v>
      </c>
      <c r="I56" s="59">
        <v>105</v>
      </c>
      <c r="J56" s="59">
        <v>122</v>
      </c>
      <c r="K56" s="59">
        <v>124</v>
      </c>
      <c r="L56" s="59">
        <v>62</v>
      </c>
      <c r="M56" s="59">
        <v>119</v>
      </c>
      <c r="N56" s="59">
        <v>120</v>
      </c>
      <c r="O56" s="77">
        <v>95</v>
      </c>
    </row>
    <row r="57" spans="1:15" ht="13" x14ac:dyDescent="0.3">
      <c r="A57" s="10">
        <v>703</v>
      </c>
      <c r="B57" s="11" t="s">
        <v>197</v>
      </c>
      <c r="C57" s="360">
        <v>1162</v>
      </c>
      <c r="D57" s="54">
        <v>525</v>
      </c>
      <c r="E57" s="706">
        <f t="shared" si="0"/>
        <v>0.45180722891566266</v>
      </c>
      <c r="F57" s="59">
        <v>297</v>
      </c>
      <c r="G57" s="59">
        <v>282</v>
      </c>
      <c r="H57" s="59">
        <v>400</v>
      </c>
      <c r="I57" s="59">
        <v>322</v>
      </c>
      <c r="J57" s="59">
        <v>405</v>
      </c>
      <c r="K57" s="59">
        <v>410</v>
      </c>
      <c r="L57" s="59">
        <v>160</v>
      </c>
      <c r="M57" s="59">
        <v>424</v>
      </c>
      <c r="N57" s="59">
        <v>361</v>
      </c>
      <c r="O57" s="77">
        <v>307</v>
      </c>
    </row>
    <row r="58" spans="1:15" ht="13" x14ac:dyDescent="0.3">
      <c r="A58" s="10">
        <v>704</v>
      </c>
      <c r="B58" s="11" t="s">
        <v>198</v>
      </c>
      <c r="C58" s="360">
        <v>1193</v>
      </c>
      <c r="D58" s="54">
        <v>403</v>
      </c>
      <c r="E58" s="706">
        <f t="shared" si="0"/>
        <v>0.33780385582564965</v>
      </c>
      <c r="F58" s="59">
        <v>195</v>
      </c>
      <c r="G58" s="59">
        <v>169</v>
      </c>
      <c r="H58" s="59">
        <v>251</v>
      </c>
      <c r="I58" s="59">
        <v>208</v>
      </c>
      <c r="J58" s="59">
        <v>275</v>
      </c>
      <c r="K58" s="59">
        <v>276</v>
      </c>
      <c r="L58" s="59">
        <v>129</v>
      </c>
      <c r="M58" s="59">
        <v>288</v>
      </c>
      <c r="N58" s="59">
        <v>243</v>
      </c>
      <c r="O58" s="77">
        <v>188</v>
      </c>
    </row>
    <row r="59" spans="1:15" ht="13" x14ac:dyDescent="0.3">
      <c r="A59" s="10">
        <v>705</v>
      </c>
      <c r="B59" s="11" t="s">
        <v>199</v>
      </c>
      <c r="C59" s="360">
        <v>609</v>
      </c>
      <c r="D59" s="54">
        <v>274</v>
      </c>
      <c r="E59" s="706">
        <f t="shared" si="0"/>
        <v>0.44991789819376027</v>
      </c>
      <c r="F59" s="59">
        <v>136</v>
      </c>
      <c r="G59" s="59">
        <v>125</v>
      </c>
      <c r="H59" s="59">
        <v>188</v>
      </c>
      <c r="I59" s="59">
        <v>146</v>
      </c>
      <c r="J59" s="59">
        <v>194</v>
      </c>
      <c r="K59" s="59">
        <v>200</v>
      </c>
      <c r="L59" s="59">
        <v>86</v>
      </c>
      <c r="M59" s="59">
        <v>210</v>
      </c>
      <c r="N59" s="59">
        <v>179</v>
      </c>
      <c r="O59" s="77">
        <v>134</v>
      </c>
    </row>
    <row r="60" spans="1:15" ht="13" x14ac:dyDescent="0.3">
      <c r="A60" s="10">
        <v>706</v>
      </c>
      <c r="B60" s="11" t="s">
        <v>200</v>
      </c>
      <c r="C60" s="360">
        <v>898</v>
      </c>
      <c r="D60" s="54">
        <v>309</v>
      </c>
      <c r="E60" s="706">
        <f t="shared" si="0"/>
        <v>0.34409799554565701</v>
      </c>
      <c r="F60" s="59">
        <v>163</v>
      </c>
      <c r="G60" s="59">
        <v>152</v>
      </c>
      <c r="H60" s="59">
        <v>238</v>
      </c>
      <c r="I60" s="59">
        <v>167</v>
      </c>
      <c r="J60" s="59">
        <v>227</v>
      </c>
      <c r="K60" s="59">
        <v>229</v>
      </c>
      <c r="L60" s="59">
        <v>98</v>
      </c>
      <c r="M60" s="59">
        <v>238</v>
      </c>
      <c r="N60" s="59">
        <v>213</v>
      </c>
      <c r="O60" s="77">
        <v>166</v>
      </c>
    </row>
    <row r="61" spans="1:15" ht="13" x14ac:dyDescent="0.3">
      <c r="A61" s="10">
        <v>707</v>
      </c>
      <c r="B61" s="11" t="s">
        <v>201</v>
      </c>
      <c r="C61" s="360">
        <v>1306</v>
      </c>
      <c r="D61" s="54">
        <v>469</v>
      </c>
      <c r="E61" s="706">
        <f t="shared" si="0"/>
        <v>0.35911179173047475</v>
      </c>
      <c r="F61" s="59">
        <v>236</v>
      </c>
      <c r="G61" s="59">
        <v>203</v>
      </c>
      <c r="H61" s="59">
        <v>327</v>
      </c>
      <c r="I61" s="59">
        <v>252</v>
      </c>
      <c r="J61" s="59">
        <v>324</v>
      </c>
      <c r="K61" s="59">
        <v>326</v>
      </c>
      <c r="L61" s="59">
        <v>145</v>
      </c>
      <c r="M61" s="59">
        <v>363</v>
      </c>
      <c r="N61" s="59">
        <v>302</v>
      </c>
      <c r="O61" s="77">
        <v>223</v>
      </c>
    </row>
    <row r="62" spans="1:15" ht="13" x14ac:dyDescent="0.3">
      <c r="A62" s="10">
        <v>708</v>
      </c>
      <c r="B62" s="11" t="s">
        <v>202</v>
      </c>
      <c r="C62" s="360">
        <v>1140</v>
      </c>
      <c r="D62" s="54">
        <v>352</v>
      </c>
      <c r="E62" s="706">
        <f t="shared" si="0"/>
        <v>0.30877192982456142</v>
      </c>
      <c r="F62" s="59">
        <v>189</v>
      </c>
      <c r="G62" s="59">
        <v>178</v>
      </c>
      <c r="H62" s="59">
        <v>251</v>
      </c>
      <c r="I62" s="59">
        <v>202</v>
      </c>
      <c r="J62" s="59">
        <v>249</v>
      </c>
      <c r="K62" s="59">
        <v>245</v>
      </c>
      <c r="L62" s="59">
        <v>96</v>
      </c>
      <c r="M62" s="59">
        <v>255</v>
      </c>
      <c r="N62" s="59">
        <v>237</v>
      </c>
      <c r="O62" s="77">
        <v>181</v>
      </c>
    </row>
    <row r="63" spans="1:15" ht="13" x14ac:dyDescent="0.3">
      <c r="A63" s="10">
        <v>709</v>
      </c>
      <c r="B63" s="11" t="s">
        <v>203</v>
      </c>
      <c r="C63" s="360">
        <v>1138</v>
      </c>
      <c r="D63" s="54">
        <v>485</v>
      </c>
      <c r="E63" s="706">
        <f t="shared" si="0"/>
        <v>0.42618629173989453</v>
      </c>
      <c r="F63" s="59">
        <v>263</v>
      </c>
      <c r="G63" s="59">
        <v>256</v>
      </c>
      <c r="H63" s="59">
        <v>344</v>
      </c>
      <c r="I63" s="59">
        <v>276</v>
      </c>
      <c r="J63" s="59">
        <v>349</v>
      </c>
      <c r="K63" s="59">
        <v>358</v>
      </c>
      <c r="L63" s="59">
        <v>177</v>
      </c>
      <c r="M63" s="59">
        <v>356</v>
      </c>
      <c r="N63" s="59">
        <v>335</v>
      </c>
      <c r="O63" s="77">
        <v>257</v>
      </c>
    </row>
    <row r="64" spans="1:15" ht="13" x14ac:dyDescent="0.3">
      <c r="A64" s="10">
        <v>710</v>
      </c>
      <c r="B64" s="11" t="s">
        <v>204</v>
      </c>
      <c r="C64" s="360">
        <v>513</v>
      </c>
      <c r="D64" s="54">
        <v>138</v>
      </c>
      <c r="E64" s="706">
        <f t="shared" si="0"/>
        <v>0.26900584795321636</v>
      </c>
      <c r="F64" s="59">
        <v>69</v>
      </c>
      <c r="G64" s="59">
        <v>56</v>
      </c>
      <c r="H64" s="59">
        <v>84</v>
      </c>
      <c r="I64" s="59">
        <v>68</v>
      </c>
      <c r="J64" s="59">
        <v>90</v>
      </c>
      <c r="K64" s="59">
        <v>88</v>
      </c>
      <c r="L64" s="59">
        <v>43</v>
      </c>
      <c r="M64" s="59">
        <v>92</v>
      </c>
      <c r="N64" s="59">
        <v>76</v>
      </c>
      <c r="O64" s="77">
        <v>69</v>
      </c>
    </row>
    <row r="65" spans="1:15" ht="13" x14ac:dyDescent="0.3">
      <c r="A65" s="10">
        <v>711</v>
      </c>
      <c r="B65" s="11" t="s">
        <v>743</v>
      </c>
      <c r="C65" s="360">
        <v>1059</v>
      </c>
      <c r="D65" s="54">
        <v>393</v>
      </c>
      <c r="E65" s="706">
        <f t="shared" si="0"/>
        <v>0.37110481586402266</v>
      </c>
      <c r="F65" s="59">
        <v>215</v>
      </c>
      <c r="G65" s="59">
        <v>208</v>
      </c>
      <c r="H65" s="59">
        <v>279</v>
      </c>
      <c r="I65" s="59">
        <v>210</v>
      </c>
      <c r="J65" s="59">
        <v>261</v>
      </c>
      <c r="K65" s="59">
        <v>281</v>
      </c>
      <c r="L65" s="59">
        <v>139</v>
      </c>
      <c r="M65" s="59">
        <v>272</v>
      </c>
      <c r="N65" s="59">
        <v>239</v>
      </c>
      <c r="O65" s="77">
        <v>178</v>
      </c>
    </row>
    <row r="66" spans="1:15" ht="13" x14ac:dyDescent="0.3">
      <c r="A66" s="10">
        <v>801</v>
      </c>
      <c r="B66" s="11" t="s">
        <v>205</v>
      </c>
      <c r="C66" s="360">
        <v>1564</v>
      </c>
      <c r="D66" s="54">
        <v>476</v>
      </c>
      <c r="E66" s="706">
        <f t="shared" si="0"/>
        <v>0.30434782608695654</v>
      </c>
      <c r="F66" s="45">
        <v>245</v>
      </c>
      <c r="G66" s="45">
        <v>213</v>
      </c>
      <c r="H66" s="45">
        <v>304</v>
      </c>
      <c r="I66" s="45">
        <v>250</v>
      </c>
      <c r="J66" s="45">
        <v>292</v>
      </c>
      <c r="K66" s="45">
        <v>297</v>
      </c>
      <c r="L66" s="45">
        <v>143</v>
      </c>
      <c r="M66" s="45">
        <v>327</v>
      </c>
      <c r="N66" s="45">
        <v>273</v>
      </c>
      <c r="O66" s="77">
        <v>219</v>
      </c>
    </row>
    <row r="67" spans="1:15" ht="13" x14ac:dyDescent="0.3">
      <c r="A67" s="10">
        <v>802</v>
      </c>
      <c r="B67" s="11" t="s">
        <v>206</v>
      </c>
      <c r="C67" s="360">
        <v>1379</v>
      </c>
      <c r="D67" s="54">
        <v>647</v>
      </c>
      <c r="E67" s="706">
        <f t="shared" si="0"/>
        <v>0.46918056562726612</v>
      </c>
      <c r="F67" s="45">
        <v>382</v>
      </c>
      <c r="G67" s="45">
        <v>372</v>
      </c>
      <c r="H67" s="45">
        <v>395</v>
      </c>
      <c r="I67" s="45">
        <v>393</v>
      </c>
      <c r="J67" s="45">
        <v>371</v>
      </c>
      <c r="K67" s="45">
        <v>420</v>
      </c>
      <c r="L67" s="45">
        <v>248</v>
      </c>
      <c r="M67" s="45">
        <v>388</v>
      </c>
      <c r="N67" s="45">
        <v>364</v>
      </c>
      <c r="O67" s="77">
        <v>342</v>
      </c>
    </row>
    <row r="68" spans="1:15" ht="13" x14ac:dyDescent="0.3">
      <c r="A68" s="10">
        <v>803</v>
      </c>
      <c r="B68" s="11" t="s">
        <v>207</v>
      </c>
      <c r="C68" s="360">
        <v>1540</v>
      </c>
      <c r="D68" s="54">
        <v>857</v>
      </c>
      <c r="E68" s="706">
        <f t="shared" si="0"/>
        <v>0.55649350649350648</v>
      </c>
      <c r="F68" s="59">
        <v>402</v>
      </c>
      <c r="G68" s="59">
        <v>414</v>
      </c>
      <c r="H68" s="59">
        <v>423</v>
      </c>
      <c r="I68" s="59">
        <v>426</v>
      </c>
      <c r="J68" s="59">
        <v>396</v>
      </c>
      <c r="K68" s="59">
        <v>464</v>
      </c>
      <c r="L68" s="59">
        <v>506</v>
      </c>
      <c r="M68" s="59">
        <v>373</v>
      </c>
      <c r="N68" s="59">
        <v>387</v>
      </c>
      <c r="O68" s="77">
        <v>374</v>
      </c>
    </row>
    <row r="69" spans="1:15" ht="13" x14ac:dyDescent="0.3">
      <c r="A69" s="10">
        <v>804</v>
      </c>
      <c r="B69" s="11" t="s">
        <v>208</v>
      </c>
      <c r="C69" s="360">
        <v>1625</v>
      </c>
      <c r="D69" s="54">
        <v>493</v>
      </c>
      <c r="E69" s="706">
        <f t="shared" si="0"/>
        <v>0.30338461538461536</v>
      </c>
      <c r="F69" s="45">
        <v>256</v>
      </c>
      <c r="G69" s="45">
        <v>243</v>
      </c>
      <c r="H69" s="45">
        <v>295</v>
      </c>
      <c r="I69" s="45">
        <v>257</v>
      </c>
      <c r="J69" s="45">
        <v>261</v>
      </c>
      <c r="K69" s="45">
        <v>308</v>
      </c>
      <c r="L69" s="45">
        <v>158</v>
      </c>
      <c r="M69" s="45">
        <v>327</v>
      </c>
      <c r="N69" s="45">
        <v>266</v>
      </c>
      <c r="O69" s="77">
        <v>238</v>
      </c>
    </row>
    <row r="70" spans="1:15" ht="13" x14ac:dyDescent="0.3">
      <c r="A70" s="10">
        <v>901</v>
      </c>
      <c r="B70" s="11" t="s">
        <v>209</v>
      </c>
      <c r="C70" s="360">
        <v>896</v>
      </c>
      <c r="D70" s="54">
        <v>189</v>
      </c>
      <c r="E70" s="706">
        <f t="shared" ref="E70:E134" si="1">SUM(D70/C70)</f>
        <v>0.2109375</v>
      </c>
      <c r="F70" s="45">
        <v>102</v>
      </c>
      <c r="G70" s="45">
        <v>97</v>
      </c>
      <c r="H70" s="45">
        <v>125</v>
      </c>
      <c r="I70" s="45">
        <v>114</v>
      </c>
      <c r="J70" s="45">
        <v>117</v>
      </c>
      <c r="K70" s="45">
        <v>124</v>
      </c>
      <c r="L70" s="45">
        <v>68</v>
      </c>
      <c r="M70" s="45">
        <v>129</v>
      </c>
      <c r="N70" s="45">
        <v>116</v>
      </c>
      <c r="O70" s="77">
        <v>92</v>
      </c>
    </row>
    <row r="71" spans="1:15" ht="13" x14ac:dyDescent="0.3">
      <c r="A71" s="10">
        <v>902</v>
      </c>
      <c r="B71" s="11" t="s">
        <v>210</v>
      </c>
      <c r="C71" s="360">
        <v>1590</v>
      </c>
      <c r="D71" s="54">
        <v>818</v>
      </c>
      <c r="E71" s="706">
        <f t="shared" si="1"/>
        <v>0.51446540880503144</v>
      </c>
      <c r="F71" s="45">
        <v>454</v>
      </c>
      <c r="G71" s="45">
        <v>417</v>
      </c>
      <c r="H71" s="45">
        <v>477</v>
      </c>
      <c r="I71" s="45">
        <v>435</v>
      </c>
      <c r="J71" s="45">
        <v>414</v>
      </c>
      <c r="K71" s="45">
        <v>489</v>
      </c>
      <c r="L71" s="45">
        <v>345</v>
      </c>
      <c r="M71" s="45">
        <v>487</v>
      </c>
      <c r="N71" s="45">
        <v>443</v>
      </c>
      <c r="O71" s="77">
        <v>401</v>
      </c>
    </row>
    <row r="72" spans="1:15" ht="13" x14ac:dyDescent="0.3">
      <c r="A72" s="10">
        <v>903</v>
      </c>
      <c r="B72" s="11" t="s">
        <v>211</v>
      </c>
      <c r="C72" s="360">
        <v>1369</v>
      </c>
      <c r="D72" s="54">
        <v>396</v>
      </c>
      <c r="E72" s="706">
        <f t="shared" si="1"/>
        <v>0.28926223520818117</v>
      </c>
      <c r="F72" s="45">
        <v>210</v>
      </c>
      <c r="G72" s="45">
        <v>198</v>
      </c>
      <c r="H72" s="45">
        <v>249</v>
      </c>
      <c r="I72" s="45">
        <v>217</v>
      </c>
      <c r="J72" s="45">
        <v>231</v>
      </c>
      <c r="K72" s="45">
        <v>250</v>
      </c>
      <c r="L72" s="45">
        <v>114</v>
      </c>
      <c r="M72" s="45">
        <v>273</v>
      </c>
      <c r="N72" s="45">
        <v>247</v>
      </c>
      <c r="O72" s="77">
        <v>183</v>
      </c>
    </row>
    <row r="73" spans="1:15" ht="13" x14ac:dyDescent="0.3">
      <c r="A73" s="10">
        <v>904</v>
      </c>
      <c r="B73" s="11" t="s">
        <v>744</v>
      </c>
      <c r="C73" s="360">
        <v>1080</v>
      </c>
      <c r="D73" s="54">
        <v>267</v>
      </c>
      <c r="E73" s="706">
        <f t="shared" si="1"/>
        <v>0.24722222222222223</v>
      </c>
      <c r="F73" s="45">
        <v>137</v>
      </c>
      <c r="G73" s="45">
        <v>136</v>
      </c>
      <c r="H73" s="45">
        <v>170</v>
      </c>
      <c r="I73" s="45">
        <v>138</v>
      </c>
      <c r="J73" s="45">
        <v>174</v>
      </c>
      <c r="K73" s="45">
        <v>187</v>
      </c>
      <c r="L73" s="45">
        <v>85</v>
      </c>
      <c r="M73" s="45">
        <v>196</v>
      </c>
      <c r="N73" s="45">
        <v>162</v>
      </c>
      <c r="O73" s="77">
        <v>130</v>
      </c>
    </row>
    <row r="74" spans="1:15" ht="13" x14ac:dyDescent="0.3">
      <c r="A74" s="10">
        <v>1001</v>
      </c>
      <c r="B74" s="11" t="s">
        <v>212</v>
      </c>
      <c r="C74" s="360">
        <v>1328</v>
      </c>
      <c r="D74" s="54">
        <v>619</v>
      </c>
      <c r="E74" s="706">
        <f t="shared" si="1"/>
        <v>0.46611445783132532</v>
      </c>
      <c r="F74" s="45">
        <v>309</v>
      </c>
      <c r="G74" s="45">
        <v>295</v>
      </c>
      <c r="H74" s="45">
        <v>326</v>
      </c>
      <c r="I74" s="45">
        <v>300</v>
      </c>
      <c r="J74" s="45">
        <v>294</v>
      </c>
      <c r="K74" s="45">
        <v>311</v>
      </c>
      <c r="L74" s="45">
        <v>261</v>
      </c>
      <c r="M74" s="45">
        <v>329</v>
      </c>
      <c r="N74" s="45">
        <v>303</v>
      </c>
      <c r="O74" s="77">
        <v>255</v>
      </c>
    </row>
    <row r="75" spans="1:15" ht="13" x14ac:dyDescent="0.3">
      <c r="A75" s="10">
        <v>1002</v>
      </c>
      <c r="B75" s="11" t="s">
        <v>213</v>
      </c>
      <c r="C75" s="360">
        <v>1485</v>
      </c>
      <c r="D75" s="54">
        <v>320</v>
      </c>
      <c r="E75" s="706">
        <f t="shared" si="1"/>
        <v>0.21548821548821548</v>
      </c>
      <c r="F75" s="45">
        <v>165</v>
      </c>
      <c r="G75" s="45">
        <v>148</v>
      </c>
      <c r="H75" s="45">
        <v>191</v>
      </c>
      <c r="I75" s="45">
        <v>160</v>
      </c>
      <c r="J75" s="45">
        <v>152</v>
      </c>
      <c r="K75" s="45">
        <v>178</v>
      </c>
      <c r="L75" s="45">
        <v>109</v>
      </c>
      <c r="M75" s="45">
        <v>198</v>
      </c>
      <c r="N75" s="45">
        <v>161</v>
      </c>
      <c r="O75" s="77">
        <v>132</v>
      </c>
    </row>
    <row r="76" spans="1:15" ht="13" x14ac:dyDescent="0.3">
      <c r="A76" s="10">
        <v>1003</v>
      </c>
      <c r="B76" s="11" t="s">
        <v>745</v>
      </c>
      <c r="C76" s="360">
        <v>1365</v>
      </c>
      <c r="D76" s="54">
        <v>459</v>
      </c>
      <c r="E76" s="706">
        <f t="shared" si="1"/>
        <v>0.33626373626373629</v>
      </c>
      <c r="F76" s="45">
        <v>244</v>
      </c>
      <c r="G76" s="45">
        <v>230</v>
      </c>
      <c r="H76" s="45">
        <v>291</v>
      </c>
      <c r="I76" s="45">
        <v>258</v>
      </c>
      <c r="J76" s="45">
        <v>251</v>
      </c>
      <c r="K76" s="45">
        <v>275</v>
      </c>
      <c r="L76" s="45">
        <v>178</v>
      </c>
      <c r="M76" s="45">
        <v>284</v>
      </c>
      <c r="N76" s="45">
        <v>253</v>
      </c>
      <c r="O76" s="77">
        <v>213</v>
      </c>
    </row>
    <row r="77" spans="1:15" ht="13" x14ac:dyDescent="0.3">
      <c r="A77" s="10">
        <v>1101</v>
      </c>
      <c r="B77" s="11" t="s">
        <v>214</v>
      </c>
      <c r="C77" s="360">
        <v>1227</v>
      </c>
      <c r="D77" s="54">
        <v>461</v>
      </c>
      <c r="E77" s="706">
        <f t="shared" si="1"/>
        <v>0.37571312143439284</v>
      </c>
      <c r="F77" s="45">
        <v>256</v>
      </c>
      <c r="G77" s="45">
        <v>235</v>
      </c>
      <c r="H77" s="45">
        <v>270</v>
      </c>
      <c r="I77" s="45">
        <v>255</v>
      </c>
      <c r="J77" s="45">
        <v>236</v>
      </c>
      <c r="K77" s="45">
        <v>262</v>
      </c>
      <c r="L77" s="45">
        <v>160</v>
      </c>
      <c r="M77" s="45">
        <v>266</v>
      </c>
      <c r="N77" s="45">
        <v>247</v>
      </c>
      <c r="O77" s="77">
        <v>241</v>
      </c>
    </row>
    <row r="78" spans="1:15" ht="13" x14ac:dyDescent="0.3">
      <c r="A78" s="10">
        <v>1102</v>
      </c>
      <c r="B78" s="11" t="s">
        <v>215</v>
      </c>
      <c r="C78" s="360">
        <v>1429</v>
      </c>
      <c r="D78" s="54">
        <v>315</v>
      </c>
      <c r="E78" s="706">
        <f t="shared" si="1"/>
        <v>0.22043386983904828</v>
      </c>
      <c r="F78" s="45">
        <v>187</v>
      </c>
      <c r="G78" s="45">
        <v>162</v>
      </c>
      <c r="H78" s="45">
        <v>191</v>
      </c>
      <c r="I78" s="45">
        <v>171</v>
      </c>
      <c r="J78" s="45">
        <v>174</v>
      </c>
      <c r="K78" s="45">
        <v>185</v>
      </c>
      <c r="L78" s="45">
        <v>92</v>
      </c>
      <c r="M78" s="45">
        <v>198</v>
      </c>
      <c r="N78" s="45">
        <v>180</v>
      </c>
      <c r="O78" s="77">
        <v>145</v>
      </c>
    </row>
    <row r="79" spans="1:15" ht="13" x14ac:dyDescent="0.3">
      <c r="A79" s="10">
        <v>1103</v>
      </c>
      <c r="B79" s="11" t="s">
        <v>216</v>
      </c>
      <c r="C79" s="360">
        <v>964</v>
      </c>
      <c r="D79" s="54">
        <v>216</v>
      </c>
      <c r="E79" s="706">
        <f t="shared" si="1"/>
        <v>0.22406639004149378</v>
      </c>
      <c r="F79" s="45">
        <v>102</v>
      </c>
      <c r="G79" s="45">
        <v>80</v>
      </c>
      <c r="H79" s="45">
        <v>103</v>
      </c>
      <c r="I79" s="45">
        <v>91</v>
      </c>
      <c r="J79" s="45">
        <v>86</v>
      </c>
      <c r="K79" s="45">
        <v>89</v>
      </c>
      <c r="L79" s="45">
        <v>73</v>
      </c>
      <c r="M79" s="45">
        <v>101</v>
      </c>
      <c r="N79" s="45">
        <v>98</v>
      </c>
      <c r="O79" s="77">
        <v>80</v>
      </c>
    </row>
    <row r="80" spans="1:15" ht="13" x14ac:dyDescent="0.3">
      <c r="A80" s="10">
        <v>1104</v>
      </c>
      <c r="B80" s="11" t="s">
        <v>772</v>
      </c>
      <c r="C80" s="360">
        <v>1121</v>
      </c>
      <c r="D80" s="54">
        <v>333</v>
      </c>
      <c r="E80" s="706">
        <f t="shared" si="1"/>
        <v>0.29705619982158787</v>
      </c>
      <c r="F80" s="45">
        <v>198</v>
      </c>
      <c r="G80" s="45">
        <v>182</v>
      </c>
      <c r="H80" s="45">
        <v>203</v>
      </c>
      <c r="I80" s="45">
        <v>178</v>
      </c>
      <c r="J80" s="45">
        <v>180</v>
      </c>
      <c r="K80" s="45">
        <v>195</v>
      </c>
      <c r="L80" s="45">
        <v>115</v>
      </c>
      <c r="M80" s="45">
        <v>205</v>
      </c>
      <c r="N80" s="45">
        <v>191</v>
      </c>
      <c r="O80" s="77">
        <v>162</v>
      </c>
    </row>
    <row r="81" spans="1:15" ht="13" x14ac:dyDescent="0.3">
      <c r="A81" s="10">
        <v>1201</v>
      </c>
      <c r="B81" s="11" t="s">
        <v>217</v>
      </c>
      <c r="C81" s="360">
        <v>868</v>
      </c>
      <c r="D81" s="54">
        <v>191</v>
      </c>
      <c r="E81" s="706">
        <f t="shared" si="1"/>
        <v>0.22004608294930875</v>
      </c>
      <c r="F81" s="45">
        <v>96</v>
      </c>
      <c r="G81" s="45">
        <v>80</v>
      </c>
      <c r="H81" s="45">
        <v>93</v>
      </c>
      <c r="I81" s="45">
        <v>87</v>
      </c>
      <c r="J81" s="45">
        <v>87</v>
      </c>
      <c r="K81" s="45">
        <v>92</v>
      </c>
      <c r="L81" s="45">
        <v>65</v>
      </c>
      <c r="M81" s="45">
        <v>92</v>
      </c>
      <c r="N81" s="45">
        <v>95</v>
      </c>
      <c r="O81" s="77">
        <v>88</v>
      </c>
    </row>
    <row r="82" spans="1:15" ht="13" x14ac:dyDescent="0.3">
      <c r="A82" s="10">
        <v>1202</v>
      </c>
      <c r="B82" s="11" t="s">
        <v>218</v>
      </c>
      <c r="C82" s="360">
        <v>550</v>
      </c>
      <c r="D82" s="54">
        <v>44</v>
      </c>
      <c r="E82" s="706">
        <f t="shared" si="1"/>
        <v>0.08</v>
      </c>
      <c r="F82" s="45">
        <v>13</v>
      </c>
      <c r="G82" s="45">
        <v>11</v>
      </c>
      <c r="H82" s="45">
        <v>13</v>
      </c>
      <c r="I82" s="45">
        <v>8</v>
      </c>
      <c r="J82" s="45">
        <v>8</v>
      </c>
      <c r="K82" s="45">
        <v>12</v>
      </c>
      <c r="L82" s="45">
        <v>8</v>
      </c>
      <c r="M82" s="45">
        <v>13</v>
      </c>
      <c r="N82" s="45">
        <v>15</v>
      </c>
      <c r="O82" s="77">
        <v>13</v>
      </c>
    </row>
    <row r="83" spans="1:15" ht="13" x14ac:dyDescent="0.3">
      <c r="A83" s="10">
        <v>1203</v>
      </c>
      <c r="B83" s="11" t="s">
        <v>219</v>
      </c>
      <c r="C83" s="360">
        <v>1263</v>
      </c>
      <c r="D83" s="54">
        <v>309</v>
      </c>
      <c r="E83" s="706">
        <f t="shared" si="1"/>
        <v>0.24465558194774348</v>
      </c>
      <c r="F83" s="45">
        <v>166</v>
      </c>
      <c r="G83" s="45">
        <v>146</v>
      </c>
      <c r="H83" s="45">
        <v>167</v>
      </c>
      <c r="I83" s="45">
        <v>150</v>
      </c>
      <c r="J83" s="45">
        <v>143</v>
      </c>
      <c r="K83" s="45">
        <v>169</v>
      </c>
      <c r="L83" s="45">
        <v>77</v>
      </c>
      <c r="M83" s="45">
        <v>177</v>
      </c>
      <c r="N83" s="45">
        <v>162</v>
      </c>
      <c r="O83" s="77">
        <v>142</v>
      </c>
    </row>
    <row r="84" spans="1:15" ht="13" x14ac:dyDescent="0.3">
      <c r="A84" s="10">
        <v>1204</v>
      </c>
      <c r="B84" s="11" t="s">
        <v>739</v>
      </c>
      <c r="C84" s="360">
        <v>1521</v>
      </c>
      <c r="D84" s="54">
        <v>386</v>
      </c>
      <c r="E84" s="706">
        <f t="shared" si="1"/>
        <v>0.25378040762656146</v>
      </c>
      <c r="F84" s="45">
        <v>212</v>
      </c>
      <c r="G84" s="45">
        <v>173</v>
      </c>
      <c r="H84" s="45">
        <v>209</v>
      </c>
      <c r="I84" s="45">
        <v>196</v>
      </c>
      <c r="J84" s="45">
        <v>177</v>
      </c>
      <c r="K84" s="45">
        <v>196</v>
      </c>
      <c r="L84" s="45">
        <v>124</v>
      </c>
      <c r="M84" s="45">
        <v>205</v>
      </c>
      <c r="N84" s="45">
        <v>188</v>
      </c>
      <c r="O84" s="77">
        <v>167</v>
      </c>
    </row>
    <row r="85" spans="1:15" ht="13" x14ac:dyDescent="0.3">
      <c r="A85" s="10">
        <v>1205</v>
      </c>
      <c r="B85" s="11" t="s">
        <v>740</v>
      </c>
      <c r="C85" s="360">
        <v>1250</v>
      </c>
      <c r="D85" s="54">
        <v>265</v>
      </c>
      <c r="E85" s="706">
        <f t="shared" si="1"/>
        <v>0.21199999999999999</v>
      </c>
      <c r="F85" s="45">
        <v>111</v>
      </c>
      <c r="G85" s="45">
        <v>98</v>
      </c>
      <c r="H85" s="45">
        <v>133</v>
      </c>
      <c r="I85" s="45">
        <v>109</v>
      </c>
      <c r="J85" s="45">
        <v>104</v>
      </c>
      <c r="K85" s="45">
        <v>124</v>
      </c>
      <c r="L85" s="45">
        <v>74</v>
      </c>
      <c r="M85" s="45">
        <v>135</v>
      </c>
      <c r="N85" s="45">
        <v>121</v>
      </c>
      <c r="O85" s="77">
        <v>88</v>
      </c>
    </row>
    <row r="86" spans="1:15" ht="13" x14ac:dyDescent="0.3">
      <c r="A86" s="10">
        <v>1301</v>
      </c>
      <c r="B86" s="11" t="s">
        <v>220</v>
      </c>
      <c r="C86" s="360">
        <v>1237</v>
      </c>
      <c r="D86" s="54">
        <v>229</v>
      </c>
      <c r="E86" s="706">
        <f t="shared" si="1"/>
        <v>0.18512530315278899</v>
      </c>
      <c r="F86" s="45">
        <v>101</v>
      </c>
      <c r="G86" s="45">
        <v>100</v>
      </c>
      <c r="H86" s="45">
        <v>169</v>
      </c>
      <c r="I86" s="45">
        <v>110</v>
      </c>
      <c r="J86" s="45">
        <v>150</v>
      </c>
      <c r="K86" s="45">
        <v>149</v>
      </c>
      <c r="L86" s="45">
        <v>73</v>
      </c>
      <c r="M86" s="45">
        <v>162</v>
      </c>
      <c r="N86" s="45">
        <v>137</v>
      </c>
      <c r="O86" s="77">
        <v>90</v>
      </c>
    </row>
    <row r="87" spans="1:15" ht="13" x14ac:dyDescent="0.3">
      <c r="A87" s="10">
        <v>1302</v>
      </c>
      <c r="B87" s="11" t="s">
        <v>221</v>
      </c>
      <c r="C87" s="360">
        <v>858</v>
      </c>
      <c r="D87" s="54">
        <v>407</v>
      </c>
      <c r="E87" s="706">
        <f t="shared" si="1"/>
        <v>0.47435897435897434</v>
      </c>
      <c r="F87" s="59">
        <v>212</v>
      </c>
      <c r="G87" s="59">
        <v>203</v>
      </c>
      <c r="H87" s="59">
        <v>246</v>
      </c>
      <c r="I87" s="59">
        <v>225</v>
      </c>
      <c r="J87" s="59">
        <v>234</v>
      </c>
      <c r="K87" s="59">
        <v>271</v>
      </c>
      <c r="L87" s="59">
        <v>166</v>
      </c>
      <c r="M87" s="59">
        <v>254</v>
      </c>
      <c r="N87" s="59">
        <v>218</v>
      </c>
      <c r="O87" s="77">
        <v>194</v>
      </c>
    </row>
    <row r="88" spans="1:15" ht="13" x14ac:dyDescent="0.3">
      <c r="A88" s="10">
        <v>1303</v>
      </c>
      <c r="B88" s="11" t="s">
        <v>222</v>
      </c>
      <c r="C88" s="360">
        <v>1298</v>
      </c>
      <c r="D88" s="54">
        <v>244</v>
      </c>
      <c r="E88" s="706">
        <f t="shared" si="1"/>
        <v>0.18798151001540833</v>
      </c>
      <c r="F88" s="45">
        <v>113</v>
      </c>
      <c r="G88" s="45">
        <v>98</v>
      </c>
      <c r="H88" s="45">
        <v>162</v>
      </c>
      <c r="I88" s="45">
        <v>127</v>
      </c>
      <c r="J88" s="45">
        <v>139</v>
      </c>
      <c r="K88" s="45">
        <v>148</v>
      </c>
      <c r="L88" s="45">
        <v>79</v>
      </c>
      <c r="M88" s="45">
        <v>161</v>
      </c>
      <c r="N88" s="45">
        <v>139</v>
      </c>
      <c r="O88" s="77">
        <v>101</v>
      </c>
    </row>
    <row r="89" spans="1:15" ht="13" x14ac:dyDescent="0.3">
      <c r="A89" s="10">
        <v>1304</v>
      </c>
      <c r="B89" s="11" t="s">
        <v>223</v>
      </c>
      <c r="C89" s="360">
        <v>1230</v>
      </c>
      <c r="D89" s="54">
        <v>353</v>
      </c>
      <c r="E89" s="706">
        <f t="shared" si="1"/>
        <v>0.28699186991869918</v>
      </c>
      <c r="F89" s="45">
        <v>199</v>
      </c>
      <c r="G89" s="45">
        <v>164</v>
      </c>
      <c r="H89" s="45">
        <v>260</v>
      </c>
      <c r="I89" s="45">
        <v>199</v>
      </c>
      <c r="J89" s="45">
        <v>242</v>
      </c>
      <c r="K89" s="45">
        <v>248</v>
      </c>
      <c r="L89" s="45">
        <v>103</v>
      </c>
      <c r="M89" s="45">
        <v>265</v>
      </c>
      <c r="N89" s="45">
        <v>213</v>
      </c>
      <c r="O89" s="77">
        <v>183</v>
      </c>
    </row>
    <row r="90" spans="1:15" ht="13" x14ac:dyDescent="0.3">
      <c r="A90" s="10">
        <v>1305</v>
      </c>
      <c r="B90" s="11" t="s">
        <v>224</v>
      </c>
      <c r="C90" s="360">
        <v>1344</v>
      </c>
      <c r="D90" s="54">
        <v>735</v>
      </c>
      <c r="E90" s="706">
        <f t="shared" si="1"/>
        <v>0.546875</v>
      </c>
      <c r="F90" s="59">
        <v>420</v>
      </c>
      <c r="G90" s="59">
        <v>416</v>
      </c>
      <c r="H90" s="59">
        <v>498</v>
      </c>
      <c r="I90" s="59">
        <v>459</v>
      </c>
      <c r="J90" s="59">
        <v>473</v>
      </c>
      <c r="K90" s="59">
        <v>519</v>
      </c>
      <c r="L90" s="59">
        <v>286</v>
      </c>
      <c r="M90" s="59">
        <v>507</v>
      </c>
      <c r="N90" s="59">
        <v>444</v>
      </c>
      <c r="O90" s="77">
        <v>423</v>
      </c>
    </row>
    <row r="91" spans="1:15" ht="13" x14ac:dyDescent="0.3">
      <c r="A91" s="10">
        <v>1306</v>
      </c>
      <c r="B91" s="11" t="s">
        <v>225</v>
      </c>
      <c r="C91" s="360">
        <v>966</v>
      </c>
      <c r="D91" s="54">
        <v>519</v>
      </c>
      <c r="E91" s="706">
        <f t="shared" si="1"/>
        <v>0.53726708074534157</v>
      </c>
      <c r="F91" s="59">
        <v>307</v>
      </c>
      <c r="G91" s="59">
        <v>284</v>
      </c>
      <c r="H91" s="59">
        <v>402</v>
      </c>
      <c r="I91" s="59">
        <v>327</v>
      </c>
      <c r="J91" s="59">
        <v>365</v>
      </c>
      <c r="K91" s="59">
        <v>403</v>
      </c>
      <c r="L91" s="59">
        <v>169</v>
      </c>
      <c r="M91" s="59">
        <v>423</v>
      </c>
      <c r="N91" s="59">
        <v>345</v>
      </c>
      <c r="O91" s="77">
        <v>307</v>
      </c>
    </row>
    <row r="92" spans="1:15" ht="13" x14ac:dyDescent="0.3">
      <c r="A92" s="10">
        <v>1307</v>
      </c>
      <c r="B92" s="11" t="s">
        <v>741</v>
      </c>
      <c r="C92" s="360">
        <v>1550</v>
      </c>
      <c r="D92" s="54">
        <v>301</v>
      </c>
      <c r="E92" s="706">
        <f t="shared" si="1"/>
        <v>0.19419354838709676</v>
      </c>
      <c r="F92" s="45">
        <v>155</v>
      </c>
      <c r="G92" s="45">
        <v>137</v>
      </c>
      <c r="H92" s="45">
        <v>212</v>
      </c>
      <c r="I92" s="45">
        <v>158</v>
      </c>
      <c r="J92" s="45">
        <v>199</v>
      </c>
      <c r="K92" s="45">
        <v>205</v>
      </c>
      <c r="L92" s="45">
        <v>109</v>
      </c>
      <c r="M92" s="45">
        <v>230</v>
      </c>
      <c r="N92" s="45">
        <v>190</v>
      </c>
      <c r="O92" s="77">
        <v>162</v>
      </c>
    </row>
    <row r="93" spans="1:15" ht="13" x14ac:dyDescent="0.3">
      <c r="A93" s="10">
        <v>1308</v>
      </c>
      <c r="B93" s="11" t="s">
        <v>742</v>
      </c>
      <c r="C93" s="360">
        <v>891</v>
      </c>
      <c r="D93" s="54">
        <v>64</v>
      </c>
      <c r="E93" s="706">
        <f t="shared" si="1"/>
        <v>7.1829405162738502E-2</v>
      </c>
      <c r="F93" s="59">
        <v>23</v>
      </c>
      <c r="G93" s="59">
        <v>19</v>
      </c>
      <c r="H93" s="59">
        <v>27</v>
      </c>
      <c r="I93" s="59">
        <v>23</v>
      </c>
      <c r="J93" s="59">
        <v>24</v>
      </c>
      <c r="K93" s="59">
        <v>31</v>
      </c>
      <c r="L93" s="59">
        <v>33</v>
      </c>
      <c r="M93" s="59">
        <v>27</v>
      </c>
      <c r="N93" s="59">
        <v>29</v>
      </c>
      <c r="O93" s="77">
        <v>27</v>
      </c>
    </row>
    <row r="94" spans="1:15" ht="13" x14ac:dyDescent="0.3">
      <c r="A94" s="10">
        <v>1401</v>
      </c>
      <c r="B94" s="11" t="s">
        <v>226</v>
      </c>
      <c r="C94" s="360">
        <v>1284</v>
      </c>
      <c r="D94" s="54">
        <v>765</v>
      </c>
      <c r="E94" s="706">
        <f t="shared" si="1"/>
        <v>0.59579439252336452</v>
      </c>
      <c r="F94" s="59">
        <v>467</v>
      </c>
      <c r="G94" s="59">
        <v>437</v>
      </c>
      <c r="H94" s="59">
        <v>472</v>
      </c>
      <c r="I94" s="59">
        <v>468</v>
      </c>
      <c r="J94" s="59">
        <v>426</v>
      </c>
      <c r="K94" s="59">
        <v>485</v>
      </c>
      <c r="L94" s="59">
        <v>275</v>
      </c>
      <c r="M94" s="59">
        <v>485</v>
      </c>
      <c r="N94" s="59">
        <v>449</v>
      </c>
      <c r="O94" s="77">
        <v>407</v>
      </c>
    </row>
    <row r="95" spans="1:15" ht="13" x14ac:dyDescent="0.3">
      <c r="A95" s="10">
        <v>1402</v>
      </c>
      <c r="B95" s="11" t="s">
        <v>227</v>
      </c>
      <c r="C95" s="360">
        <v>1222</v>
      </c>
      <c r="D95" s="54">
        <v>558</v>
      </c>
      <c r="E95" s="706">
        <f t="shared" si="1"/>
        <v>0.45662847790507366</v>
      </c>
      <c r="F95" s="59">
        <v>299</v>
      </c>
      <c r="G95" s="59">
        <v>292</v>
      </c>
      <c r="H95" s="59">
        <v>390</v>
      </c>
      <c r="I95" s="59">
        <v>317</v>
      </c>
      <c r="J95" s="59">
        <v>393</v>
      </c>
      <c r="K95" s="59">
        <v>375</v>
      </c>
      <c r="L95" s="59">
        <v>155</v>
      </c>
      <c r="M95" s="59">
        <v>410</v>
      </c>
      <c r="N95" s="59">
        <v>358</v>
      </c>
      <c r="O95" s="77">
        <v>279</v>
      </c>
    </row>
    <row r="96" spans="1:15" ht="13" x14ac:dyDescent="0.3">
      <c r="A96" s="10">
        <v>1403</v>
      </c>
      <c r="B96" s="11" t="s">
        <v>228</v>
      </c>
      <c r="C96" s="360">
        <v>487</v>
      </c>
      <c r="D96" s="54">
        <v>351</v>
      </c>
      <c r="E96" s="706">
        <f t="shared" si="1"/>
        <v>0.72073921971252564</v>
      </c>
      <c r="F96" s="59">
        <v>164</v>
      </c>
      <c r="G96" s="59">
        <v>181</v>
      </c>
      <c r="H96" s="59">
        <v>179</v>
      </c>
      <c r="I96" s="59">
        <v>186</v>
      </c>
      <c r="J96" s="59">
        <v>172</v>
      </c>
      <c r="K96" s="59">
        <v>200</v>
      </c>
      <c r="L96" s="59">
        <v>172</v>
      </c>
      <c r="M96" s="59">
        <v>172</v>
      </c>
      <c r="N96" s="59">
        <v>177</v>
      </c>
      <c r="O96" s="77">
        <v>152</v>
      </c>
    </row>
    <row r="97" spans="1:15" ht="13" x14ac:dyDescent="0.3">
      <c r="A97" s="10">
        <v>1404</v>
      </c>
      <c r="B97" s="11" t="s">
        <v>229</v>
      </c>
      <c r="C97" s="360">
        <v>1471</v>
      </c>
      <c r="D97" s="54">
        <v>843</v>
      </c>
      <c r="E97" s="706">
        <f t="shared" si="1"/>
        <v>0.57307953772943576</v>
      </c>
      <c r="F97" s="59">
        <v>470</v>
      </c>
      <c r="G97" s="59">
        <v>464</v>
      </c>
      <c r="H97" s="59">
        <v>529</v>
      </c>
      <c r="I97" s="59">
        <v>469</v>
      </c>
      <c r="J97" s="59">
        <v>504</v>
      </c>
      <c r="K97" s="59">
        <v>554</v>
      </c>
      <c r="L97" s="59">
        <v>308</v>
      </c>
      <c r="M97" s="59">
        <v>551</v>
      </c>
      <c r="N97" s="59">
        <v>506</v>
      </c>
      <c r="O97" s="77">
        <v>421</v>
      </c>
    </row>
    <row r="98" spans="1:15" ht="13" x14ac:dyDescent="0.3">
      <c r="A98" s="10">
        <v>1405</v>
      </c>
      <c r="B98" s="11" t="s">
        <v>230</v>
      </c>
      <c r="C98" s="360">
        <v>1257</v>
      </c>
      <c r="D98" s="54">
        <v>683</v>
      </c>
      <c r="E98" s="706">
        <f t="shared" si="1"/>
        <v>0.54335719968178198</v>
      </c>
      <c r="F98" s="59">
        <v>425</v>
      </c>
      <c r="G98" s="59">
        <v>389</v>
      </c>
      <c r="H98" s="59">
        <v>466</v>
      </c>
      <c r="I98" s="59">
        <v>403</v>
      </c>
      <c r="J98" s="59">
        <v>430</v>
      </c>
      <c r="K98" s="59">
        <v>465</v>
      </c>
      <c r="L98" s="59">
        <v>243</v>
      </c>
      <c r="M98" s="59">
        <v>466</v>
      </c>
      <c r="N98" s="59">
        <v>427</v>
      </c>
      <c r="O98" s="77">
        <v>387</v>
      </c>
    </row>
    <row r="99" spans="1:15" ht="13" x14ac:dyDescent="0.3">
      <c r="A99" s="10">
        <v>1406</v>
      </c>
      <c r="B99" s="11" t="s">
        <v>231</v>
      </c>
      <c r="C99" s="360">
        <v>990</v>
      </c>
      <c r="D99" s="54">
        <v>648</v>
      </c>
      <c r="E99" s="706">
        <f t="shared" si="1"/>
        <v>0.65454545454545454</v>
      </c>
      <c r="F99" s="59">
        <v>388</v>
      </c>
      <c r="G99" s="59">
        <v>371</v>
      </c>
      <c r="H99" s="59">
        <v>435</v>
      </c>
      <c r="I99" s="59">
        <v>393</v>
      </c>
      <c r="J99" s="59">
        <v>434</v>
      </c>
      <c r="K99" s="59">
        <v>470</v>
      </c>
      <c r="L99" s="59">
        <v>221</v>
      </c>
      <c r="M99" s="59">
        <v>447</v>
      </c>
      <c r="N99" s="59">
        <v>411</v>
      </c>
      <c r="O99" s="77">
        <v>359</v>
      </c>
    </row>
    <row r="100" spans="1:15" ht="13" x14ac:dyDescent="0.3">
      <c r="A100" s="10">
        <v>1407</v>
      </c>
      <c r="B100" s="11" t="s">
        <v>232</v>
      </c>
      <c r="C100" s="360">
        <v>1042</v>
      </c>
      <c r="D100" s="54">
        <v>701</v>
      </c>
      <c r="E100" s="706">
        <f t="shared" si="1"/>
        <v>0.67274472168905952</v>
      </c>
      <c r="F100" s="59">
        <v>423</v>
      </c>
      <c r="G100" s="59">
        <v>406</v>
      </c>
      <c r="H100" s="59">
        <v>427</v>
      </c>
      <c r="I100" s="59">
        <v>424</v>
      </c>
      <c r="J100" s="59">
        <v>374</v>
      </c>
      <c r="K100" s="59">
        <v>434</v>
      </c>
      <c r="L100" s="59">
        <v>275</v>
      </c>
      <c r="M100" s="59">
        <v>443</v>
      </c>
      <c r="N100" s="59">
        <v>409</v>
      </c>
      <c r="O100" s="77">
        <v>388</v>
      </c>
    </row>
    <row r="101" spans="1:15" ht="13" x14ac:dyDescent="0.3">
      <c r="A101" s="10">
        <v>1408</v>
      </c>
      <c r="B101" s="11" t="s">
        <v>233</v>
      </c>
      <c r="C101" s="360">
        <v>1296</v>
      </c>
      <c r="D101" s="54">
        <v>699</v>
      </c>
      <c r="E101" s="706">
        <f t="shared" si="1"/>
        <v>0.53935185185185186</v>
      </c>
      <c r="F101" s="59">
        <v>415</v>
      </c>
      <c r="G101" s="59">
        <v>386</v>
      </c>
      <c r="H101" s="59">
        <v>426</v>
      </c>
      <c r="I101" s="59">
        <v>411</v>
      </c>
      <c r="J101" s="59">
        <v>399</v>
      </c>
      <c r="K101" s="59">
        <v>414</v>
      </c>
      <c r="L101" s="59">
        <v>263</v>
      </c>
      <c r="M101" s="59">
        <v>441</v>
      </c>
      <c r="N101" s="59">
        <v>424</v>
      </c>
      <c r="O101" s="77">
        <v>372</v>
      </c>
    </row>
    <row r="102" spans="1:15" ht="13" x14ac:dyDescent="0.3">
      <c r="A102" s="10">
        <v>1409</v>
      </c>
      <c r="B102" s="11" t="s">
        <v>234</v>
      </c>
      <c r="C102" s="360">
        <v>1410</v>
      </c>
      <c r="D102" s="54">
        <v>664</v>
      </c>
      <c r="E102" s="706">
        <f t="shared" si="1"/>
        <v>0.47092198581560285</v>
      </c>
      <c r="F102" s="59">
        <v>400</v>
      </c>
      <c r="G102" s="59">
        <v>339</v>
      </c>
      <c r="H102" s="59">
        <v>404</v>
      </c>
      <c r="I102" s="59">
        <v>378</v>
      </c>
      <c r="J102" s="59">
        <v>352</v>
      </c>
      <c r="K102" s="59">
        <v>401</v>
      </c>
      <c r="L102" s="59">
        <v>251</v>
      </c>
      <c r="M102" s="59">
        <v>402</v>
      </c>
      <c r="N102" s="59">
        <v>388</v>
      </c>
      <c r="O102" s="77">
        <v>324</v>
      </c>
    </row>
    <row r="103" spans="1:15" ht="13" x14ac:dyDescent="0.3">
      <c r="A103" s="10">
        <v>1501</v>
      </c>
      <c r="B103" s="11" t="s">
        <v>235</v>
      </c>
      <c r="C103" s="360">
        <v>1221</v>
      </c>
      <c r="D103" s="54">
        <v>708</v>
      </c>
      <c r="E103" s="706">
        <f t="shared" si="1"/>
        <v>0.57985257985257987</v>
      </c>
      <c r="F103" s="59">
        <v>471</v>
      </c>
      <c r="G103" s="59">
        <v>443</v>
      </c>
      <c r="H103" s="59">
        <v>567</v>
      </c>
      <c r="I103" s="59">
        <v>474</v>
      </c>
      <c r="J103" s="59">
        <v>423</v>
      </c>
      <c r="K103" s="59">
        <v>480</v>
      </c>
      <c r="L103" s="59">
        <v>181</v>
      </c>
      <c r="M103" s="59">
        <v>506</v>
      </c>
      <c r="N103" s="59">
        <v>472</v>
      </c>
      <c r="O103" s="77">
        <v>409</v>
      </c>
    </row>
    <row r="104" spans="1:15" ht="13" x14ac:dyDescent="0.3">
      <c r="A104" s="10">
        <v>1502</v>
      </c>
      <c r="B104" s="11" t="s">
        <v>236</v>
      </c>
      <c r="C104" s="360">
        <v>1488</v>
      </c>
      <c r="D104" s="54">
        <v>734</v>
      </c>
      <c r="E104" s="706">
        <f t="shared" si="1"/>
        <v>0.49327956989247312</v>
      </c>
      <c r="F104" s="59">
        <v>445</v>
      </c>
      <c r="G104" s="59">
        <v>424</v>
      </c>
      <c r="H104" s="59">
        <v>476</v>
      </c>
      <c r="I104" s="59">
        <v>472</v>
      </c>
      <c r="J104" s="59">
        <v>419</v>
      </c>
      <c r="K104" s="59">
        <v>490</v>
      </c>
      <c r="L104" s="59">
        <v>267</v>
      </c>
      <c r="M104" s="59">
        <v>474</v>
      </c>
      <c r="N104" s="59">
        <v>444</v>
      </c>
      <c r="O104" s="77">
        <v>384</v>
      </c>
    </row>
    <row r="105" spans="1:15" ht="13" x14ac:dyDescent="0.3">
      <c r="A105" s="10">
        <v>1503</v>
      </c>
      <c r="B105" s="11" t="s">
        <v>237</v>
      </c>
      <c r="C105" s="360">
        <v>1018</v>
      </c>
      <c r="D105" s="54">
        <v>244</v>
      </c>
      <c r="E105" s="706">
        <f t="shared" si="1"/>
        <v>0.23968565815324164</v>
      </c>
      <c r="F105" s="45">
        <v>127</v>
      </c>
      <c r="G105" s="45">
        <v>122</v>
      </c>
      <c r="H105" s="45">
        <v>168</v>
      </c>
      <c r="I105" s="45">
        <v>139</v>
      </c>
      <c r="J105" s="45">
        <v>166</v>
      </c>
      <c r="K105" s="45">
        <v>164</v>
      </c>
      <c r="L105" s="45">
        <v>62</v>
      </c>
      <c r="M105" s="45">
        <v>178</v>
      </c>
      <c r="N105" s="45">
        <v>151</v>
      </c>
      <c r="O105" s="77">
        <v>117</v>
      </c>
    </row>
    <row r="106" spans="1:15" ht="13" x14ac:dyDescent="0.3">
      <c r="A106" s="10">
        <v>1504</v>
      </c>
      <c r="B106" s="11" t="s">
        <v>238</v>
      </c>
      <c r="C106" s="360">
        <v>821</v>
      </c>
      <c r="D106" s="54">
        <v>321</v>
      </c>
      <c r="E106" s="706">
        <f t="shared" si="1"/>
        <v>0.39098660170523752</v>
      </c>
      <c r="F106" s="45">
        <v>141</v>
      </c>
      <c r="G106" s="45">
        <v>130</v>
      </c>
      <c r="H106" s="45">
        <v>213</v>
      </c>
      <c r="I106" s="45">
        <v>166</v>
      </c>
      <c r="J106" s="45">
        <v>223</v>
      </c>
      <c r="K106" s="45">
        <v>223</v>
      </c>
      <c r="L106" s="45">
        <v>110</v>
      </c>
      <c r="M106" s="45">
        <v>228</v>
      </c>
      <c r="N106" s="45">
        <v>182</v>
      </c>
      <c r="O106" s="77">
        <v>133</v>
      </c>
    </row>
    <row r="107" spans="1:15" ht="13" x14ac:dyDescent="0.3">
      <c r="A107" s="10">
        <v>1505</v>
      </c>
      <c r="B107" s="11" t="s">
        <v>239</v>
      </c>
      <c r="C107" s="360">
        <v>1429</v>
      </c>
      <c r="D107" s="54">
        <v>731</v>
      </c>
      <c r="E107" s="706">
        <f t="shared" si="1"/>
        <v>0.5115465360391882</v>
      </c>
      <c r="F107" s="59">
        <v>441</v>
      </c>
      <c r="G107" s="59">
        <v>421</v>
      </c>
      <c r="H107" s="59">
        <v>465</v>
      </c>
      <c r="I107" s="59">
        <v>511</v>
      </c>
      <c r="J107" s="59">
        <v>407</v>
      </c>
      <c r="K107" s="59">
        <v>475</v>
      </c>
      <c r="L107" s="59">
        <v>241</v>
      </c>
      <c r="M107" s="59">
        <v>457</v>
      </c>
      <c r="N107" s="59">
        <v>423</v>
      </c>
      <c r="O107" s="77">
        <v>388</v>
      </c>
    </row>
    <row r="108" spans="1:15" ht="13" x14ac:dyDescent="0.3">
      <c r="A108" s="10">
        <v>1506</v>
      </c>
      <c r="B108" s="11" t="s">
        <v>240</v>
      </c>
      <c r="C108" s="360">
        <v>1165</v>
      </c>
      <c r="D108" s="54">
        <v>519</v>
      </c>
      <c r="E108" s="706">
        <f t="shared" si="1"/>
        <v>0.44549356223175968</v>
      </c>
      <c r="F108" s="59">
        <v>317</v>
      </c>
      <c r="G108" s="59">
        <v>304</v>
      </c>
      <c r="H108" s="59">
        <v>372</v>
      </c>
      <c r="I108" s="59">
        <v>334</v>
      </c>
      <c r="J108" s="59">
        <v>322</v>
      </c>
      <c r="K108" s="59">
        <v>344</v>
      </c>
      <c r="L108" s="59">
        <v>155</v>
      </c>
      <c r="M108" s="59">
        <v>351</v>
      </c>
      <c r="N108" s="59">
        <v>331</v>
      </c>
      <c r="O108" s="77">
        <v>297</v>
      </c>
    </row>
    <row r="109" spans="1:15" ht="13" x14ac:dyDescent="0.3">
      <c r="A109" s="10">
        <v>1507</v>
      </c>
      <c r="B109" s="11" t="s">
        <v>241</v>
      </c>
      <c r="C109" s="360">
        <v>705</v>
      </c>
      <c r="D109" s="54">
        <v>340</v>
      </c>
      <c r="E109" s="706">
        <f t="shared" si="1"/>
        <v>0.48226950354609927</v>
      </c>
      <c r="F109" s="59">
        <v>194</v>
      </c>
      <c r="G109" s="59">
        <v>191</v>
      </c>
      <c r="H109" s="59">
        <v>218</v>
      </c>
      <c r="I109" s="59">
        <v>213</v>
      </c>
      <c r="J109" s="59">
        <v>187</v>
      </c>
      <c r="K109" s="59">
        <v>229</v>
      </c>
      <c r="L109" s="59">
        <v>134</v>
      </c>
      <c r="M109" s="59">
        <v>222</v>
      </c>
      <c r="N109" s="59">
        <v>208</v>
      </c>
      <c r="O109" s="77">
        <v>171</v>
      </c>
    </row>
    <row r="110" spans="1:15" ht="13" x14ac:dyDescent="0.3">
      <c r="A110" s="10">
        <v>1508</v>
      </c>
      <c r="B110" s="11" t="s">
        <v>242</v>
      </c>
      <c r="C110" s="360">
        <v>1183</v>
      </c>
      <c r="D110" s="54">
        <v>799</v>
      </c>
      <c r="E110" s="706">
        <f t="shared" si="1"/>
        <v>0.6754015215553677</v>
      </c>
      <c r="F110" s="59">
        <v>491</v>
      </c>
      <c r="G110" s="59">
        <v>470</v>
      </c>
      <c r="H110" s="59">
        <v>515</v>
      </c>
      <c r="I110" s="59">
        <v>564</v>
      </c>
      <c r="J110" s="59">
        <v>428</v>
      </c>
      <c r="K110" s="59">
        <v>517</v>
      </c>
      <c r="L110" s="59">
        <v>341</v>
      </c>
      <c r="M110" s="59">
        <v>502</v>
      </c>
      <c r="N110" s="59">
        <v>459</v>
      </c>
      <c r="O110" s="77">
        <v>455</v>
      </c>
    </row>
    <row r="111" spans="1:15" ht="13" x14ac:dyDescent="0.3">
      <c r="A111" s="10">
        <v>1509</v>
      </c>
      <c r="B111" s="11" t="s">
        <v>243</v>
      </c>
      <c r="C111" s="360">
        <v>1050</v>
      </c>
      <c r="D111" s="54">
        <v>470</v>
      </c>
      <c r="E111" s="706">
        <f t="shared" si="1"/>
        <v>0.44761904761904764</v>
      </c>
      <c r="F111" s="59">
        <v>302</v>
      </c>
      <c r="G111" s="59">
        <v>287</v>
      </c>
      <c r="H111" s="59">
        <v>313</v>
      </c>
      <c r="I111" s="59">
        <v>325</v>
      </c>
      <c r="J111" s="59">
        <v>285</v>
      </c>
      <c r="K111" s="59">
        <v>316</v>
      </c>
      <c r="L111" s="59">
        <v>178</v>
      </c>
      <c r="M111" s="59">
        <v>321</v>
      </c>
      <c r="N111" s="59">
        <v>301</v>
      </c>
      <c r="O111" s="77">
        <v>270</v>
      </c>
    </row>
    <row r="112" spans="1:15" ht="13" x14ac:dyDescent="0.3">
      <c r="A112" s="10">
        <v>1510</v>
      </c>
      <c r="B112" s="11" t="s">
        <v>244</v>
      </c>
      <c r="C112" s="360">
        <v>808</v>
      </c>
      <c r="D112" s="54">
        <v>210</v>
      </c>
      <c r="E112" s="706">
        <f t="shared" si="1"/>
        <v>0.25990099009900991</v>
      </c>
      <c r="F112" s="45">
        <v>112</v>
      </c>
      <c r="G112" s="45">
        <v>91</v>
      </c>
      <c r="H112" s="45">
        <v>143</v>
      </c>
      <c r="I112" s="45">
        <v>106</v>
      </c>
      <c r="J112" s="45">
        <v>134</v>
      </c>
      <c r="K112" s="45">
        <v>142</v>
      </c>
      <c r="L112" s="45">
        <v>69</v>
      </c>
      <c r="M112" s="45">
        <v>152</v>
      </c>
      <c r="N112" s="45">
        <v>125</v>
      </c>
      <c r="O112" s="77">
        <v>102</v>
      </c>
    </row>
    <row r="113" spans="1:15" ht="13" x14ac:dyDescent="0.3">
      <c r="A113" s="10">
        <v>1601</v>
      </c>
      <c r="B113" s="11" t="s">
        <v>245</v>
      </c>
      <c r="C113" s="360">
        <v>1451</v>
      </c>
      <c r="D113" s="54">
        <v>280</v>
      </c>
      <c r="E113" s="706">
        <f t="shared" si="1"/>
        <v>0.19297036526533426</v>
      </c>
      <c r="F113" s="45">
        <v>134</v>
      </c>
      <c r="G113" s="45">
        <v>135</v>
      </c>
      <c r="H113" s="45">
        <v>164</v>
      </c>
      <c r="I113" s="45">
        <v>139</v>
      </c>
      <c r="J113" s="45">
        <v>137</v>
      </c>
      <c r="K113" s="45">
        <v>153</v>
      </c>
      <c r="L113" s="45">
        <v>113</v>
      </c>
      <c r="M113" s="45">
        <v>151</v>
      </c>
      <c r="N113" s="45">
        <v>140</v>
      </c>
      <c r="O113" s="77">
        <v>129</v>
      </c>
    </row>
    <row r="114" spans="1:15" ht="13" x14ac:dyDescent="0.3">
      <c r="A114" s="10">
        <v>1701</v>
      </c>
      <c r="B114" s="11" t="s">
        <v>246</v>
      </c>
      <c r="C114" s="360">
        <v>1596</v>
      </c>
      <c r="D114" s="54">
        <v>385</v>
      </c>
      <c r="E114" s="706">
        <f t="shared" si="1"/>
        <v>0.2412280701754386</v>
      </c>
      <c r="F114" s="45">
        <v>161</v>
      </c>
      <c r="G114" s="45">
        <v>141</v>
      </c>
      <c r="H114" s="45">
        <v>231</v>
      </c>
      <c r="I114" s="45">
        <v>155</v>
      </c>
      <c r="J114" s="45">
        <v>228</v>
      </c>
      <c r="K114" s="45">
        <v>207</v>
      </c>
      <c r="L114" s="45">
        <v>108</v>
      </c>
      <c r="M114" s="45">
        <v>245</v>
      </c>
      <c r="N114" s="45">
        <v>204</v>
      </c>
      <c r="O114" s="77">
        <v>139</v>
      </c>
    </row>
    <row r="115" spans="1:15" ht="13" x14ac:dyDescent="0.3">
      <c r="A115" s="10">
        <v>1702</v>
      </c>
      <c r="B115" s="11" t="s">
        <v>247</v>
      </c>
      <c r="C115" s="360">
        <v>1674</v>
      </c>
      <c r="D115" s="54">
        <v>494</v>
      </c>
      <c r="E115" s="706">
        <f t="shared" si="1"/>
        <v>0.29510155316606929</v>
      </c>
      <c r="F115" s="45">
        <v>266</v>
      </c>
      <c r="G115" s="45">
        <v>256</v>
      </c>
      <c r="H115" s="45">
        <v>303</v>
      </c>
      <c r="I115" s="45">
        <v>269</v>
      </c>
      <c r="J115" s="45">
        <v>249</v>
      </c>
      <c r="K115" s="45">
        <v>282</v>
      </c>
      <c r="L115" s="45">
        <v>174</v>
      </c>
      <c r="M115" s="45">
        <v>292</v>
      </c>
      <c r="N115" s="45">
        <v>252</v>
      </c>
      <c r="O115" s="77">
        <v>242</v>
      </c>
    </row>
    <row r="116" spans="1:15" ht="13" x14ac:dyDescent="0.3">
      <c r="A116" s="10">
        <v>1703</v>
      </c>
      <c r="B116" s="11" t="s">
        <v>248</v>
      </c>
      <c r="C116" s="360">
        <v>1155</v>
      </c>
      <c r="D116" s="54">
        <v>337</v>
      </c>
      <c r="E116" s="706">
        <f t="shared" si="1"/>
        <v>0.2917748917748918</v>
      </c>
      <c r="F116" s="45">
        <v>178</v>
      </c>
      <c r="G116" s="45">
        <v>166</v>
      </c>
      <c r="H116" s="45">
        <v>226</v>
      </c>
      <c r="I116" s="45">
        <v>190</v>
      </c>
      <c r="J116" s="45">
        <v>200</v>
      </c>
      <c r="K116" s="45">
        <v>220</v>
      </c>
      <c r="L116" s="45">
        <v>148</v>
      </c>
      <c r="M116" s="45">
        <v>211</v>
      </c>
      <c r="N116" s="45">
        <v>199</v>
      </c>
      <c r="O116" s="77">
        <v>164</v>
      </c>
    </row>
    <row r="117" spans="1:15" ht="13" x14ac:dyDescent="0.3">
      <c r="A117" s="10">
        <v>1801</v>
      </c>
      <c r="B117" s="11" t="s">
        <v>249</v>
      </c>
      <c r="C117" s="360">
        <v>1066</v>
      </c>
      <c r="D117" s="54">
        <v>256</v>
      </c>
      <c r="E117" s="706">
        <f t="shared" si="1"/>
        <v>0.24015009380863039</v>
      </c>
      <c r="F117" s="45">
        <v>115</v>
      </c>
      <c r="G117" s="45">
        <v>112</v>
      </c>
      <c r="H117" s="45">
        <v>157</v>
      </c>
      <c r="I117" s="45">
        <v>125</v>
      </c>
      <c r="J117" s="45">
        <v>150</v>
      </c>
      <c r="K117" s="45">
        <v>146</v>
      </c>
      <c r="L117" s="45">
        <v>86</v>
      </c>
      <c r="M117" s="45">
        <v>169</v>
      </c>
      <c r="N117" s="45">
        <v>139</v>
      </c>
      <c r="O117" s="77">
        <v>112</v>
      </c>
    </row>
    <row r="118" spans="1:15" ht="13" x14ac:dyDescent="0.3">
      <c r="A118" s="10">
        <v>1802</v>
      </c>
      <c r="B118" s="11" t="s">
        <v>250</v>
      </c>
      <c r="C118" s="360">
        <v>794</v>
      </c>
      <c r="D118" s="54">
        <v>123</v>
      </c>
      <c r="E118" s="706">
        <f t="shared" si="1"/>
        <v>0.15491183879093198</v>
      </c>
      <c r="F118" s="45">
        <v>44</v>
      </c>
      <c r="G118" s="45">
        <v>45</v>
      </c>
      <c r="H118" s="45">
        <v>68</v>
      </c>
      <c r="I118" s="45">
        <v>56</v>
      </c>
      <c r="J118" s="45">
        <v>69</v>
      </c>
      <c r="K118" s="45">
        <v>72</v>
      </c>
      <c r="L118" s="45">
        <v>49</v>
      </c>
      <c r="M118" s="45">
        <v>76</v>
      </c>
      <c r="N118" s="45">
        <v>68</v>
      </c>
      <c r="O118" s="77">
        <v>44</v>
      </c>
    </row>
    <row r="119" spans="1:15" ht="13" x14ac:dyDescent="0.3">
      <c r="A119" s="10">
        <v>1901</v>
      </c>
      <c r="B119" s="11" t="s">
        <v>251</v>
      </c>
      <c r="C119" s="360">
        <v>973</v>
      </c>
      <c r="D119" s="54">
        <v>405</v>
      </c>
      <c r="E119" s="706">
        <f t="shared" si="1"/>
        <v>0.41623843782117165</v>
      </c>
      <c r="F119" s="59">
        <v>110</v>
      </c>
      <c r="G119" s="59">
        <v>152</v>
      </c>
      <c r="H119" s="59">
        <v>158</v>
      </c>
      <c r="I119" s="59">
        <v>139</v>
      </c>
      <c r="J119" s="59">
        <v>122</v>
      </c>
      <c r="K119" s="59">
        <v>135</v>
      </c>
      <c r="L119" s="59">
        <v>235</v>
      </c>
      <c r="M119" s="59">
        <v>128</v>
      </c>
      <c r="N119" s="59">
        <v>133</v>
      </c>
      <c r="O119" s="73">
        <v>134</v>
      </c>
    </row>
    <row r="120" spans="1:15" ht="13" x14ac:dyDescent="0.3">
      <c r="A120" s="10">
        <v>1902</v>
      </c>
      <c r="B120" s="11" t="s">
        <v>252</v>
      </c>
      <c r="C120" s="360">
        <v>1311</v>
      </c>
      <c r="D120" s="54">
        <v>680</v>
      </c>
      <c r="E120" s="706">
        <f t="shared" si="1"/>
        <v>0.5186880244088482</v>
      </c>
      <c r="F120" s="59">
        <v>195</v>
      </c>
      <c r="G120" s="59">
        <v>239</v>
      </c>
      <c r="H120" s="59">
        <v>232</v>
      </c>
      <c r="I120" s="59">
        <v>214</v>
      </c>
      <c r="J120" s="59">
        <v>187</v>
      </c>
      <c r="K120" s="59">
        <v>210</v>
      </c>
      <c r="L120" s="59">
        <v>439</v>
      </c>
      <c r="M120" s="59">
        <v>174</v>
      </c>
      <c r="N120" s="59">
        <v>205</v>
      </c>
      <c r="O120" s="73">
        <v>208</v>
      </c>
    </row>
    <row r="121" spans="1:15" ht="13" x14ac:dyDescent="0.3">
      <c r="A121" s="10">
        <v>1903</v>
      </c>
      <c r="B121" s="11" t="s">
        <v>253</v>
      </c>
      <c r="C121" s="360">
        <v>1281</v>
      </c>
      <c r="D121" s="54">
        <v>410</v>
      </c>
      <c r="E121" s="706">
        <f t="shared" si="1"/>
        <v>0.32006245120999222</v>
      </c>
      <c r="F121" s="59">
        <v>151</v>
      </c>
      <c r="G121" s="59">
        <v>181</v>
      </c>
      <c r="H121" s="59">
        <v>144</v>
      </c>
      <c r="I121" s="59">
        <v>159</v>
      </c>
      <c r="J121" s="59">
        <v>134</v>
      </c>
      <c r="K121" s="59">
        <v>152</v>
      </c>
      <c r="L121" s="59">
        <v>235</v>
      </c>
      <c r="M121" s="59">
        <v>137</v>
      </c>
      <c r="N121" s="59">
        <v>146</v>
      </c>
      <c r="O121" s="73">
        <v>149</v>
      </c>
    </row>
    <row r="122" spans="1:15" ht="13" x14ac:dyDescent="0.3">
      <c r="A122" s="10">
        <v>1904</v>
      </c>
      <c r="B122" s="11" t="s">
        <v>254</v>
      </c>
      <c r="C122" s="360">
        <v>454</v>
      </c>
      <c r="D122" s="54">
        <v>47</v>
      </c>
      <c r="E122" s="706">
        <f t="shared" si="1"/>
        <v>0.10352422907488987</v>
      </c>
      <c r="F122" s="45">
        <v>18</v>
      </c>
      <c r="G122" s="45">
        <v>16</v>
      </c>
      <c r="H122" s="45">
        <v>19</v>
      </c>
      <c r="I122" s="45">
        <v>17</v>
      </c>
      <c r="J122" s="45">
        <v>15</v>
      </c>
      <c r="K122" s="45">
        <v>18</v>
      </c>
      <c r="L122" s="45">
        <v>13</v>
      </c>
      <c r="M122" s="45">
        <v>23</v>
      </c>
      <c r="N122" s="45">
        <v>16</v>
      </c>
      <c r="O122" s="77">
        <v>14</v>
      </c>
    </row>
    <row r="123" spans="1:15" ht="13" x14ac:dyDescent="0.3">
      <c r="A123" s="10">
        <v>2001</v>
      </c>
      <c r="B123" s="11" t="s">
        <v>255</v>
      </c>
      <c r="C123" s="360">
        <v>1278</v>
      </c>
      <c r="D123" s="54">
        <v>278</v>
      </c>
      <c r="E123" s="706">
        <f t="shared" si="1"/>
        <v>0.21752738654147105</v>
      </c>
      <c r="F123" s="59">
        <v>132</v>
      </c>
      <c r="G123" s="59">
        <v>130</v>
      </c>
      <c r="H123" s="59">
        <v>138</v>
      </c>
      <c r="I123" s="59">
        <v>134</v>
      </c>
      <c r="J123" s="59">
        <v>119</v>
      </c>
      <c r="K123" s="59">
        <v>143</v>
      </c>
      <c r="L123" s="59">
        <v>136</v>
      </c>
      <c r="M123" s="59">
        <v>142</v>
      </c>
      <c r="N123" s="59">
        <v>129</v>
      </c>
      <c r="O123" s="73">
        <v>108</v>
      </c>
    </row>
    <row r="124" spans="1:15" ht="13" x14ac:dyDescent="0.3">
      <c r="A124" s="10">
        <v>2002</v>
      </c>
      <c r="B124" s="11" t="s">
        <v>256</v>
      </c>
      <c r="C124" s="360">
        <v>1041</v>
      </c>
      <c r="D124" s="54">
        <v>254</v>
      </c>
      <c r="E124" s="706">
        <f t="shared" si="1"/>
        <v>0.24399615754082613</v>
      </c>
      <c r="F124" s="59">
        <v>96</v>
      </c>
      <c r="G124" s="59">
        <v>101</v>
      </c>
      <c r="H124" s="59">
        <v>119</v>
      </c>
      <c r="I124" s="59">
        <v>107</v>
      </c>
      <c r="J124" s="59">
        <v>123</v>
      </c>
      <c r="K124" s="59">
        <v>112</v>
      </c>
      <c r="L124" s="59">
        <v>118</v>
      </c>
      <c r="M124" s="59">
        <v>124</v>
      </c>
      <c r="N124" s="59">
        <v>110</v>
      </c>
      <c r="O124" s="73">
        <v>90</v>
      </c>
    </row>
    <row r="125" spans="1:15" ht="13" x14ac:dyDescent="0.3">
      <c r="A125" s="10">
        <v>2003</v>
      </c>
      <c r="B125" s="11" t="s">
        <v>257</v>
      </c>
      <c r="C125" s="360">
        <v>1532</v>
      </c>
      <c r="D125" s="54">
        <v>540</v>
      </c>
      <c r="E125" s="706">
        <f t="shared" si="1"/>
        <v>0.35248041775456918</v>
      </c>
      <c r="F125" s="59">
        <v>311</v>
      </c>
      <c r="G125" s="59">
        <v>297</v>
      </c>
      <c r="H125" s="59">
        <v>282</v>
      </c>
      <c r="I125" s="59">
        <v>270</v>
      </c>
      <c r="J125" s="59">
        <v>248</v>
      </c>
      <c r="K125" s="59">
        <v>287</v>
      </c>
      <c r="L125" s="59">
        <v>238</v>
      </c>
      <c r="M125" s="59">
        <v>274</v>
      </c>
      <c r="N125" s="59">
        <v>257</v>
      </c>
      <c r="O125" s="73">
        <v>249</v>
      </c>
    </row>
    <row r="126" spans="1:15" ht="13" x14ac:dyDescent="0.3">
      <c r="A126" s="10">
        <v>2004</v>
      </c>
      <c r="B126" s="11" t="s">
        <v>258</v>
      </c>
      <c r="C126" s="360">
        <v>1462</v>
      </c>
      <c r="D126" s="54">
        <v>473</v>
      </c>
      <c r="E126" s="706">
        <f t="shared" si="1"/>
        <v>0.3235294117647059</v>
      </c>
      <c r="F126" s="59">
        <v>262</v>
      </c>
      <c r="G126" s="59">
        <v>232</v>
      </c>
      <c r="H126" s="59">
        <v>260</v>
      </c>
      <c r="I126" s="59">
        <v>237</v>
      </c>
      <c r="J126" s="59">
        <v>222</v>
      </c>
      <c r="K126" s="59">
        <v>272</v>
      </c>
      <c r="L126" s="59">
        <v>219</v>
      </c>
      <c r="M126" s="59">
        <v>248</v>
      </c>
      <c r="N126" s="59">
        <v>235</v>
      </c>
      <c r="O126" s="73">
        <v>214</v>
      </c>
    </row>
    <row r="127" spans="1:15" ht="13" x14ac:dyDescent="0.3">
      <c r="A127" s="10">
        <v>2005</v>
      </c>
      <c r="B127" s="11" t="s">
        <v>746</v>
      </c>
      <c r="C127" s="360">
        <v>1108</v>
      </c>
      <c r="D127" s="54">
        <v>180</v>
      </c>
      <c r="E127" s="706">
        <f t="shared" si="1"/>
        <v>0.16245487364620939</v>
      </c>
      <c r="F127" s="59">
        <v>83</v>
      </c>
      <c r="G127" s="59">
        <v>82</v>
      </c>
      <c r="H127" s="59">
        <v>85</v>
      </c>
      <c r="I127" s="59">
        <v>97</v>
      </c>
      <c r="J127" s="59">
        <v>93</v>
      </c>
      <c r="K127" s="59">
        <v>89</v>
      </c>
      <c r="L127" s="59">
        <v>77</v>
      </c>
      <c r="M127" s="59">
        <v>89</v>
      </c>
      <c r="N127" s="59">
        <v>82</v>
      </c>
      <c r="O127" s="73">
        <v>79</v>
      </c>
    </row>
    <row r="128" spans="1:15" ht="13" x14ac:dyDescent="0.3">
      <c r="A128" s="10">
        <v>2101</v>
      </c>
      <c r="B128" s="11" t="s">
        <v>259</v>
      </c>
      <c r="C128" s="360">
        <v>610</v>
      </c>
      <c r="D128" s="54">
        <v>153</v>
      </c>
      <c r="E128" s="706">
        <f t="shared" si="1"/>
        <v>0.25081967213114753</v>
      </c>
      <c r="F128" s="59">
        <v>57</v>
      </c>
      <c r="G128" s="59">
        <v>63</v>
      </c>
      <c r="H128" s="59">
        <v>72</v>
      </c>
      <c r="I128" s="59">
        <v>66</v>
      </c>
      <c r="J128" s="59">
        <v>83</v>
      </c>
      <c r="K128" s="59">
        <v>74</v>
      </c>
      <c r="L128" s="59">
        <v>69</v>
      </c>
      <c r="M128" s="59">
        <v>84</v>
      </c>
      <c r="N128" s="59">
        <v>78</v>
      </c>
      <c r="O128" s="73">
        <v>59</v>
      </c>
    </row>
    <row r="129" spans="1:15" ht="13" x14ac:dyDescent="0.3">
      <c r="A129" s="10">
        <v>2102</v>
      </c>
      <c r="B129" s="11" t="s">
        <v>260</v>
      </c>
      <c r="C129" s="360">
        <v>863</v>
      </c>
      <c r="D129" s="54">
        <v>125</v>
      </c>
      <c r="E129" s="706">
        <f t="shared" si="1"/>
        <v>0.14484356894553882</v>
      </c>
      <c r="F129" s="45">
        <v>54</v>
      </c>
      <c r="G129" s="45">
        <v>48</v>
      </c>
      <c r="H129" s="45">
        <v>67</v>
      </c>
      <c r="I129" s="45">
        <v>49</v>
      </c>
      <c r="J129" s="45">
        <v>59</v>
      </c>
      <c r="K129" s="45">
        <v>66</v>
      </c>
      <c r="L129" s="45">
        <v>42</v>
      </c>
      <c r="M129" s="45">
        <v>77</v>
      </c>
      <c r="N129" s="45">
        <v>63</v>
      </c>
      <c r="O129" s="77">
        <v>48</v>
      </c>
    </row>
    <row r="130" spans="1:15" ht="13" x14ac:dyDescent="0.3">
      <c r="A130" s="10">
        <v>2103</v>
      </c>
      <c r="B130" s="11" t="s">
        <v>261</v>
      </c>
      <c r="C130" s="360">
        <v>1128</v>
      </c>
      <c r="D130" s="54">
        <v>202</v>
      </c>
      <c r="E130" s="706">
        <f t="shared" si="1"/>
        <v>0.17907801418439717</v>
      </c>
      <c r="F130" s="59">
        <v>91</v>
      </c>
      <c r="G130" s="59">
        <v>101</v>
      </c>
      <c r="H130" s="59">
        <v>107</v>
      </c>
      <c r="I130" s="59">
        <v>98</v>
      </c>
      <c r="J130" s="59">
        <v>116</v>
      </c>
      <c r="K130" s="59">
        <v>104</v>
      </c>
      <c r="L130" s="59">
        <v>87</v>
      </c>
      <c r="M130" s="59">
        <v>119</v>
      </c>
      <c r="N130" s="59">
        <v>111</v>
      </c>
      <c r="O130" s="73">
        <v>89</v>
      </c>
    </row>
    <row r="131" spans="1:15" ht="13" x14ac:dyDescent="0.3">
      <c r="A131" s="10">
        <v>2104</v>
      </c>
      <c r="B131" s="11" t="s">
        <v>262</v>
      </c>
      <c r="C131" s="360">
        <v>936</v>
      </c>
      <c r="D131" s="54">
        <v>178</v>
      </c>
      <c r="E131" s="706">
        <f t="shared" si="1"/>
        <v>0.19017094017094016</v>
      </c>
      <c r="F131" s="59">
        <v>72</v>
      </c>
      <c r="G131" s="59">
        <v>77</v>
      </c>
      <c r="H131" s="59">
        <v>82</v>
      </c>
      <c r="I131" s="59">
        <v>82</v>
      </c>
      <c r="J131" s="59">
        <v>87</v>
      </c>
      <c r="K131" s="59">
        <v>78</v>
      </c>
      <c r="L131" s="59">
        <v>76</v>
      </c>
      <c r="M131" s="59">
        <v>85</v>
      </c>
      <c r="N131" s="59">
        <v>80</v>
      </c>
      <c r="O131" s="73">
        <v>75</v>
      </c>
    </row>
    <row r="132" spans="1:15" ht="13" x14ac:dyDescent="0.3">
      <c r="A132" s="10">
        <v>2105</v>
      </c>
      <c r="B132" s="11" t="s">
        <v>747</v>
      </c>
      <c r="C132" s="360">
        <v>829</v>
      </c>
      <c r="D132" s="54">
        <v>127</v>
      </c>
      <c r="E132" s="706">
        <f t="shared" si="1"/>
        <v>0.15319662243667068</v>
      </c>
      <c r="F132" s="45">
        <v>66</v>
      </c>
      <c r="G132" s="45">
        <v>56</v>
      </c>
      <c r="H132" s="45">
        <v>87</v>
      </c>
      <c r="I132" s="45">
        <v>65</v>
      </c>
      <c r="J132" s="45">
        <v>74</v>
      </c>
      <c r="K132" s="45">
        <v>74</v>
      </c>
      <c r="L132" s="45">
        <v>38</v>
      </c>
      <c r="M132" s="45">
        <v>82</v>
      </c>
      <c r="N132" s="45">
        <v>74</v>
      </c>
      <c r="O132" s="77">
        <v>67</v>
      </c>
    </row>
    <row r="133" spans="1:15" ht="13" x14ac:dyDescent="0.3">
      <c r="A133" s="10">
        <v>2201</v>
      </c>
      <c r="B133" s="11" t="s">
        <v>263</v>
      </c>
      <c r="C133" s="360">
        <v>1515</v>
      </c>
      <c r="D133" s="54">
        <v>717</v>
      </c>
      <c r="E133" s="706">
        <f t="shared" si="1"/>
        <v>0.47326732673267324</v>
      </c>
      <c r="F133" s="59">
        <v>449</v>
      </c>
      <c r="G133" s="59">
        <v>409</v>
      </c>
      <c r="H133" s="59">
        <v>520</v>
      </c>
      <c r="I133" s="59">
        <v>438</v>
      </c>
      <c r="J133" s="59">
        <v>434</v>
      </c>
      <c r="K133" s="59">
        <v>468</v>
      </c>
      <c r="L133" s="59">
        <v>199</v>
      </c>
      <c r="M133" s="59">
        <v>483</v>
      </c>
      <c r="N133" s="59">
        <v>449</v>
      </c>
      <c r="O133" s="77">
        <v>389</v>
      </c>
    </row>
    <row r="134" spans="1:15" ht="13" x14ac:dyDescent="0.3">
      <c r="A134" s="10">
        <v>2202</v>
      </c>
      <c r="B134" s="11" t="s">
        <v>264</v>
      </c>
      <c r="C134" s="360">
        <v>1150</v>
      </c>
      <c r="D134" s="54">
        <v>295</v>
      </c>
      <c r="E134" s="706">
        <f t="shared" si="1"/>
        <v>0.2565217391304348</v>
      </c>
      <c r="F134" s="45">
        <v>130</v>
      </c>
      <c r="G134" s="45">
        <v>114</v>
      </c>
      <c r="H134" s="45">
        <v>153</v>
      </c>
      <c r="I134" s="45">
        <v>129</v>
      </c>
      <c r="J134" s="45">
        <v>137</v>
      </c>
      <c r="K134" s="45">
        <v>148</v>
      </c>
      <c r="L134" s="45">
        <v>97</v>
      </c>
      <c r="M134" s="45">
        <v>163</v>
      </c>
      <c r="N134" s="45">
        <v>132</v>
      </c>
      <c r="O134" s="77">
        <v>102</v>
      </c>
    </row>
    <row r="135" spans="1:15" ht="13" x14ac:dyDescent="0.3">
      <c r="A135" s="10">
        <v>2203</v>
      </c>
      <c r="B135" s="11" t="s">
        <v>265</v>
      </c>
      <c r="C135" s="360">
        <v>1484</v>
      </c>
      <c r="D135" s="54">
        <v>191</v>
      </c>
      <c r="E135" s="706">
        <f t="shared" ref="E135:E193" si="2">SUM(D135/C135)</f>
        <v>0.12870619946091644</v>
      </c>
      <c r="F135" s="45">
        <v>75</v>
      </c>
      <c r="G135" s="45">
        <v>77</v>
      </c>
      <c r="H135" s="45">
        <v>110</v>
      </c>
      <c r="I135" s="45">
        <v>88</v>
      </c>
      <c r="J135" s="45">
        <v>107</v>
      </c>
      <c r="K135" s="45">
        <v>101</v>
      </c>
      <c r="L135" s="45">
        <v>63</v>
      </c>
      <c r="M135" s="45">
        <v>130</v>
      </c>
      <c r="N135" s="45">
        <v>98</v>
      </c>
      <c r="O135" s="77">
        <v>80</v>
      </c>
    </row>
    <row r="136" spans="1:15" ht="13" x14ac:dyDescent="0.3">
      <c r="A136" s="10">
        <v>2301</v>
      </c>
      <c r="B136" s="11" t="s">
        <v>266</v>
      </c>
      <c r="C136" s="360">
        <v>1509</v>
      </c>
      <c r="D136" s="54">
        <v>709</v>
      </c>
      <c r="E136" s="706">
        <f t="shared" si="2"/>
        <v>0.46984758117958914</v>
      </c>
      <c r="F136" s="59">
        <v>430</v>
      </c>
      <c r="G136" s="59">
        <v>419</v>
      </c>
      <c r="H136" s="59">
        <v>489</v>
      </c>
      <c r="I136" s="59">
        <v>439</v>
      </c>
      <c r="J136" s="59">
        <v>425</v>
      </c>
      <c r="K136" s="59">
        <v>459</v>
      </c>
      <c r="L136" s="59">
        <v>230</v>
      </c>
      <c r="M136" s="59">
        <v>477</v>
      </c>
      <c r="N136" s="59">
        <v>435</v>
      </c>
      <c r="O136" s="77">
        <v>377</v>
      </c>
    </row>
    <row r="137" spans="1:15" ht="13" x14ac:dyDescent="0.3">
      <c r="A137" s="10">
        <v>2302</v>
      </c>
      <c r="B137" s="11" t="s">
        <v>267</v>
      </c>
      <c r="C137" s="360">
        <v>1548</v>
      </c>
      <c r="D137" s="54">
        <v>239</v>
      </c>
      <c r="E137" s="706">
        <f t="shared" si="2"/>
        <v>0.15439276485788114</v>
      </c>
      <c r="F137" s="59">
        <v>120</v>
      </c>
      <c r="G137" s="59">
        <v>116</v>
      </c>
      <c r="H137" s="59">
        <v>154</v>
      </c>
      <c r="I137" s="59">
        <v>145</v>
      </c>
      <c r="J137" s="59">
        <v>138</v>
      </c>
      <c r="K137" s="59">
        <v>143</v>
      </c>
      <c r="L137" s="59">
        <v>78</v>
      </c>
      <c r="M137" s="59">
        <v>157</v>
      </c>
      <c r="N137" s="59">
        <v>131</v>
      </c>
      <c r="O137" s="77">
        <v>113</v>
      </c>
    </row>
    <row r="138" spans="1:15" ht="13" x14ac:dyDescent="0.3">
      <c r="A138" s="10">
        <v>2303</v>
      </c>
      <c r="B138" s="11" t="s">
        <v>268</v>
      </c>
      <c r="C138" s="360">
        <v>882</v>
      </c>
      <c r="D138" s="54">
        <v>572</v>
      </c>
      <c r="E138" s="706">
        <f t="shared" si="2"/>
        <v>0.64852607709750565</v>
      </c>
      <c r="F138" s="59">
        <v>378</v>
      </c>
      <c r="G138" s="59">
        <v>387</v>
      </c>
      <c r="H138" s="59">
        <v>447</v>
      </c>
      <c r="I138" s="59">
        <v>399</v>
      </c>
      <c r="J138" s="59">
        <v>359</v>
      </c>
      <c r="K138" s="59">
        <v>394</v>
      </c>
      <c r="L138" s="59">
        <v>171</v>
      </c>
      <c r="M138" s="59">
        <v>413</v>
      </c>
      <c r="N138" s="59">
        <v>376</v>
      </c>
      <c r="O138" s="77">
        <v>338</v>
      </c>
    </row>
    <row r="139" spans="1:15" ht="13" x14ac:dyDescent="0.3">
      <c r="A139" s="10">
        <v>2304</v>
      </c>
      <c r="B139" s="11" t="s">
        <v>269</v>
      </c>
      <c r="C139" s="360">
        <v>1170</v>
      </c>
      <c r="D139" s="54">
        <v>730</v>
      </c>
      <c r="E139" s="706">
        <f t="shared" si="2"/>
        <v>0.62393162393162394</v>
      </c>
      <c r="F139" s="59">
        <v>497</v>
      </c>
      <c r="G139" s="59">
        <v>459</v>
      </c>
      <c r="H139" s="59">
        <v>553</v>
      </c>
      <c r="I139" s="59">
        <v>481</v>
      </c>
      <c r="J139" s="59">
        <v>447</v>
      </c>
      <c r="K139" s="59">
        <v>502</v>
      </c>
      <c r="L139" s="59">
        <v>220</v>
      </c>
      <c r="M139" s="59">
        <v>516</v>
      </c>
      <c r="N139" s="59">
        <v>484</v>
      </c>
      <c r="O139" s="77">
        <v>434</v>
      </c>
    </row>
    <row r="140" spans="1:15" ht="13" x14ac:dyDescent="0.3">
      <c r="A140" s="10">
        <v>2305</v>
      </c>
      <c r="B140" s="11" t="s">
        <v>270</v>
      </c>
      <c r="C140" s="360">
        <v>1036</v>
      </c>
      <c r="D140" s="54">
        <v>351</v>
      </c>
      <c r="E140" s="706">
        <f t="shared" si="2"/>
        <v>0.33880308880308879</v>
      </c>
      <c r="F140" s="59">
        <v>186</v>
      </c>
      <c r="G140" s="59">
        <v>159</v>
      </c>
      <c r="H140" s="59">
        <v>245</v>
      </c>
      <c r="I140" s="59">
        <v>169</v>
      </c>
      <c r="J140" s="59">
        <v>231</v>
      </c>
      <c r="K140" s="59">
        <v>225</v>
      </c>
      <c r="L140" s="59">
        <v>116</v>
      </c>
      <c r="M140" s="59">
        <v>253</v>
      </c>
      <c r="N140" s="59">
        <v>226</v>
      </c>
      <c r="O140" s="77">
        <v>175</v>
      </c>
    </row>
    <row r="141" spans="1:15" ht="13" x14ac:dyDescent="0.3">
      <c r="A141" s="10">
        <v>2306</v>
      </c>
      <c r="B141" s="11" t="s">
        <v>271</v>
      </c>
      <c r="C141" s="360">
        <v>1287</v>
      </c>
      <c r="D141" s="54">
        <v>593</v>
      </c>
      <c r="E141" s="706">
        <f t="shared" si="2"/>
        <v>0.46076146076146074</v>
      </c>
      <c r="F141" s="59">
        <v>316</v>
      </c>
      <c r="G141" s="59">
        <v>308</v>
      </c>
      <c r="H141" s="59">
        <v>367</v>
      </c>
      <c r="I141" s="59">
        <v>320</v>
      </c>
      <c r="J141" s="59">
        <v>340</v>
      </c>
      <c r="K141" s="59">
        <v>360</v>
      </c>
      <c r="L141" s="59">
        <v>234</v>
      </c>
      <c r="M141" s="59">
        <v>385</v>
      </c>
      <c r="N141" s="59">
        <v>361</v>
      </c>
      <c r="O141" s="77">
        <v>315</v>
      </c>
    </row>
    <row r="142" spans="1:15" ht="13" x14ac:dyDescent="0.3">
      <c r="A142" s="10">
        <v>2307</v>
      </c>
      <c r="B142" s="11" t="s">
        <v>272</v>
      </c>
      <c r="C142" s="360">
        <v>575</v>
      </c>
      <c r="D142" s="54">
        <v>220</v>
      </c>
      <c r="E142" s="706">
        <f t="shared" si="2"/>
        <v>0.38260869565217392</v>
      </c>
      <c r="F142" s="59">
        <v>125</v>
      </c>
      <c r="G142" s="59">
        <v>110</v>
      </c>
      <c r="H142" s="59">
        <v>159</v>
      </c>
      <c r="I142" s="59">
        <v>128</v>
      </c>
      <c r="J142" s="59">
        <v>140</v>
      </c>
      <c r="K142" s="59">
        <v>149</v>
      </c>
      <c r="L142" s="59">
        <v>71</v>
      </c>
      <c r="M142" s="59">
        <v>162</v>
      </c>
      <c r="N142" s="59">
        <v>141</v>
      </c>
      <c r="O142" s="77">
        <v>120</v>
      </c>
    </row>
    <row r="143" spans="1:15" ht="13" x14ac:dyDescent="0.3">
      <c r="A143" s="10">
        <v>2308</v>
      </c>
      <c r="B143" s="11" t="s">
        <v>273</v>
      </c>
      <c r="C143" s="360">
        <v>1030</v>
      </c>
      <c r="D143" s="54">
        <v>659</v>
      </c>
      <c r="E143" s="706">
        <f t="shared" si="2"/>
        <v>0.63980582524271845</v>
      </c>
      <c r="F143" s="59">
        <v>342</v>
      </c>
      <c r="G143" s="59">
        <v>346</v>
      </c>
      <c r="H143" s="59">
        <v>381</v>
      </c>
      <c r="I143" s="59">
        <v>358</v>
      </c>
      <c r="J143" s="59">
        <v>351</v>
      </c>
      <c r="K143" s="59">
        <v>387</v>
      </c>
      <c r="L143" s="59">
        <v>285</v>
      </c>
      <c r="M143" s="59">
        <v>381</v>
      </c>
      <c r="N143" s="59">
        <v>361</v>
      </c>
      <c r="O143" s="77">
        <v>401</v>
      </c>
    </row>
    <row r="144" spans="1:15" ht="13" x14ac:dyDescent="0.3">
      <c r="A144" s="10">
        <v>2309</v>
      </c>
      <c r="B144" s="11" t="s">
        <v>274</v>
      </c>
      <c r="C144" s="360">
        <v>994</v>
      </c>
      <c r="D144" s="54">
        <v>548</v>
      </c>
      <c r="E144" s="706">
        <f t="shared" si="2"/>
        <v>0.55130784708249492</v>
      </c>
      <c r="F144" s="59">
        <v>293</v>
      </c>
      <c r="G144" s="59">
        <v>294</v>
      </c>
      <c r="H144" s="59">
        <v>339</v>
      </c>
      <c r="I144" s="59">
        <v>315</v>
      </c>
      <c r="J144" s="59">
        <v>343</v>
      </c>
      <c r="K144" s="59">
        <v>370</v>
      </c>
      <c r="L144" s="59">
        <v>247</v>
      </c>
      <c r="M144" s="59">
        <v>339</v>
      </c>
      <c r="N144" s="59">
        <v>342</v>
      </c>
      <c r="O144" s="77">
        <v>300</v>
      </c>
    </row>
    <row r="145" spans="1:15" ht="13" x14ac:dyDescent="0.3">
      <c r="A145" s="10">
        <v>2310</v>
      </c>
      <c r="B145" s="11" t="s">
        <v>275</v>
      </c>
      <c r="C145" s="360">
        <v>1296</v>
      </c>
      <c r="D145" s="54">
        <v>554</v>
      </c>
      <c r="E145" s="706">
        <f t="shared" si="2"/>
        <v>0.42746913580246915</v>
      </c>
      <c r="F145" s="59">
        <v>269</v>
      </c>
      <c r="G145" s="59">
        <v>253</v>
      </c>
      <c r="H145" s="59">
        <v>302</v>
      </c>
      <c r="I145" s="59">
        <v>270</v>
      </c>
      <c r="J145" s="59">
        <v>284</v>
      </c>
      <c r="K145" s="59">
        <v>297</v>
      </c>
      <c r="L145" s="59">
        <v>251</v>
      </c>
      <c r="M145" s="59">
        <v>307</v>
      </c>
      <c r="N145" s="59">
        <v>290</v>
      </c>
      <c r="O145" s="77">
        <v>239</v>
      </c>
    </row>
    <row r="146" spans="1:15" ht="13" x14ac:dyDescent="0.3">
      <c r="A146" s="10">
        <v>2311</v>
      </c>
      <c r="B146" s="11" t="s">
        <v>276</v>
      </c>
      <c r="C146" s="360">
        <v>1210</v>
      </c>
      <c r="D146" s="54">
        <v>653</v>
      </c>
      <c r="E146" s="706">
        <f t="shared" si="2"/>
        <v>0.53966942148760333</v>
      </c>
      <c r="F146" s="59">
        <v>386</v>
      </c>
      <c r="G146" s="59">
        <v>352</v>
      </c>
      <c r="H146" s="59">
        <v>447</v>
      </c>
      <c r="I146" s="59">
        <v>399</v>
      </c>
      <c r="J146" s="59">
        <v>422</v>
      </c>
      <c r="K146" s="59">
        <v>442</v>
      </c>
      <c r="L146" s="59">
        <v>258</v>
      </c>
      <c r="M146" s="59">
        <v>428</v>
      </c>
      <c r="N146" s="59">
        <v>429</v>
      </c>
      <c r="O146" s="77">
        <v>366</v>
      </c>
    </row>
    <row r="147" spans="1:15" ht="13" x14ac:dyDescent="0.3">
      <c r="A147" s="10">
        <v>2312</v>
      </c>
      <c r="B147" s="11" t="s">
        <v>277</v>
      </c>
      <c r="C147" s="360">
        <v>612</v>
      </c>
      <c r="D147" s="54">
        <v>221</v>
      </c>
      <c r="E147" s="706">
        <f t="shared" si="2"/>
        <v>0.3611111111111111</v>
      </c>
      <c r="F147" s="59">
        <v>122</v>
      </c>
      <c r="G147" s="59">
        <v>111</v>
      </c>
      <c r="H147" s="59">
        <v>140</v>
      </c>
      <c r="I147" s="59">
        <v>131</v>
      </c>
      <c r="J147" s="59">
        <v>136</v>
      </c>
      <c r="K147" s="59">
        <v>143</v>
      </c>
      <c r="L147" s="59">
        <v>87</v>
      </c>
      <c r="M147" s="59">
        <v>144</v>
      </c>
      <c r="N147" s="59">
        <v>130</v>
      </c>
      <c r="O147" s="77">
        <v>107</v>
      </c>
    </row>
    <row r="148" spans="1:15" ht="13" x14ac:dyDescent="0.3">
      <c r="A148" s="10">
        <v>2313</v>
      </c>
      <c r="B148" s="11" t="s">
        <v>278</v>
      </c>
      <c r="C148" s="360">
        <v>1065</v>
      </c>
      <c r="D148" s="54">
        <v>439</v>
      </c>
      <c r="E148" s="706">
        <f t="shared" si="2"/>
        <v>0.41220657276995304</v>
      </c>
      <c r="F148" s="59">
        <v>233</v>
      </c>
      <c r="G148" s="59">
        <v>206</v>
      </c>
      <c r="H148" s="59">
        <v>253</v>
      </c>
      <c r="I148" s="59">
        <v>223</v>
      </c>
      <c r="J148" s="59">
        <v>256</v>
      </c>
      <c r="K148" s="59">
        <v>271</v>
      </c>
      <c r="L148" s="59">
        <v>157</v>
      </c>
      <c r="M148" s="59">
        <v>270</v>
      </c>
      <c r="N148" s="59">
        <v>245</v>
      </c>
      <c r="O148" s="77">
        <v>231</v>
      </c>
    </row>
    <row r="149" spans="1:15" ht="13" x14ac:dyDescent="0.3">
      <c r="A149" s="10">
        <v>2314</v>
      </c>
      <c r="B149" s="11" t="s">
        <v>279</v>
      </c>
      <c r="C149" s="360">
        <v>1191</v>
      </c>
      <c r="D149" s="54">
        <v>600</v>
      </c>
      <c r="E149" s="706">
        <f t="shared" si="2"/>
        <v>0.50377833753148615</v>
      </c>
      <c r="F149" s="59">
        <v>321</v>
      </c>
      <c r="G149" s="59">
        <v>318</v>
      </c>
      <c r="H149" s="59">
        <v>369</v>
      </c>
      <c r="I149" s="59">
        <v>336</v>
      </c>
      <c r="J149" s="59">
        <v>375</v>
      </c>
      <c r="K149" s="59">
        <v>380</v>
      </c>
      <c r="L149" s="59">
        <v>223</v>
      </c>
      <c r="M149" s="59">
        <v>374</v>
      </c>
      <c r="N149" s="59">
        <v>366</v>
      </c>
      <c r="O149" s="77">
        <v>344</v>
      </c>
    </row>
    <row r="150" spans="1:15" ht="13" x14ac:dyDescent="0.3">
      <c r="A150" s="10">
        <v>2315</v>
      </c>
      <c r="B150" s="11" t="s">
        <v>280</v>
      </c>
      <c r="C150" s="360">
        <v>1057</v>
      </c>
      <c r="D150" s="54">
        <v>618</v>
      </c>
      <c r="E150" s="706">
        <f t="shared" si="2"/>
        <v>0.58467360454115425</v>
      </c>
      <c r="F150" s="59">
        <v>298</v>
      </c>
      <c r="G150" s="59">
        <v>290</v>
      </c>
      <c r="H150" s="59">
        <v>416</v>
      </c>
      <c r="I150" s="59">
        <v>325</v>
      </c>
      <c r="J150" s="59">
        <v>409</v>
      </c>
      <c r="K150" s="59">
        <v>401</v>
      </c>
      <c r="L150" s="59">
        <v>253</v>
      </c>
      <c r="M150" s="59">
        <v>427</v>
      </c>
      <c r="N150" s="59">
        <v>375</v>
      </c>
      <c r="O150" s="77">
        <v>294</v>
      </c>
    </row>
    <row r="151" spans="1:15" ht="13" x14ac:dyDescent="0.3">
      <c r="A151" s="10">
        <v>2316</v>
      </c>
      <c r="B151" s="11" t="s">
        <v>281</v>
      </c>
      <c r="C151" s="360">
        <v>1475</v>
      </c>
      <c r="D151" s="54">
        <v>547</v>
      </c>
      <c r="E151" s="706">
        <f t="shared" si="2"/>
        <v>0.37084745762711863</v>
      </c>
      <c r="F151" s="59">
        <v>261</v>
      </c>
      <c r="G151" s="59">
        <v>242</v>
      </c>
      <c r="H151" s="59">
        <v>322</v>
      </c>
      <c r="I151" s="59">
        <v>260</v>
      </c>
      <c r="J151" s="59">
        <v>322</v>
      </c>
      <c r="K151" s="59">
        <v>330</v>
      </c>
      <c r="L151" s="59">
        <v>199</v>
      </c>
      <c r="M151" s="59">
        <v>352</v>
      </c>
      <c r="N151" s="59">
        <v>289</v>
      </c>
      <c r="O151" s="77">
        <v>243</v>
      </c>
    </row>
    <row r="152" spans="1:15" ht="13" x14ac:dyDescent="0.3">
      <c r="A152" s="10">
        <v>2317</v>
      </c>
      <c r="B152" s="11" t="s">
        <v>282</v>
      </c>
      <c r="C152" s="360">
        <v>813</v>
      </c>
      <c r="D152" s="54">
        <v>331</v>
      </c>
      <c r="E152" s="706">
        <f t="shared" si="2"/>
        <v>0.40713407134071339</v>
      </c>
      <c r="F152" s="59">
        <v>149</v>
      </c>
      <c r="G152" s="59">
        <v>165</v>
      </c>
      <c r="H152" s="59">
        <v>175</v>
      </c>
      <c r="I152" s="59">
        <v>166</v>
      </c>
      <c r="J152" s="59">
        <v>169</v>
      </c>
      <c r="K152" s="59">
        <v>183</v>
      </c>
      <c r="L152" s="59">
        <v>162</v>
      </c>
      <c r="M152" s="59">
        <v>161</v>
      </c>
      <c r="N152" s="59">
        <v>168</v>
      </c>
      <c r="O152" s="77">
        <v>148</v>
      </c>
    </row>
    <row r="153" spans="1:15" ht="13" x14ac:dyDescent="0.3">
      <c r="A153" s="10">
        <v>2318</v>
      </c>
      <c r="B153" s="11" t="s">
        <v>283</v>
      </c>
      <c r="C153" s="360">
        <v>673</v>
      </c>
      <c r="D153" s="54">
        <v>271</v>
      </c>
      <c r="E153" s="706">
        <f t="shared" si="2"/>
        <v>0.40267459138187223</v>
      </c>
      <c r="F153" s="59">
        <v>151</v>
      </c>
      <c r="G153" s="59">
        <v>151</v>
      </c>
      <c r="H153" s="59">
        <v>173</v>
      </c>
      <c r="I153" s="59">
        <v>162</v>
      </c>
      <c r="J153" s="59">
        <v>170</v>
      </c>
      <c r="K153" s="59">
        <v>174</v>
      </c>
      <c r="L153" s="59">
        <v>94</v>
      </c>
      <c r="M153" s="59">
        <v>178</v>
      </c>
      <c r="N153" s="59">
        <v>175</v>
      </c>
      <c r="O153" s="77">
        <v>170</v>
      </c>
    </row>
    <row r="154" spans="1:15" ht="13" x14ac:dyDescent="0.3">
      <c r="A154" s="10">
        <v>2401</v>
      </c>
      <c r="B154" s="11" t="s">
        <v>284</v>
      </c>
      <c r="C154" s="360">
        <v>1353</v>
      </c>
      <c r="D154" s="54">
        <v>590</v>
      </c>
      <c r="E154" s="706">
        <f t="shared" si="2"/>
        <v>0.43606799704360683</v>
      </c>
      <c r="F154" s="59">
        <v>328</v>
      </c>
      <c r="G154" s="59">
        <v>292</v>
      </c>
      <c r="H154" s="59">
        <v>423</v>
      </c>
      <c r="I154" s="59">
        <v>323</v>
      </c>
      <c r="J154" s="59">
        <v>425</v>
      </c>
      <c r="K154" s="59">
        <v>425</v>
      </c>
      <c r="L154" s="59">
        <v>200</v>
      </c>
      <c r="M154" s="59">
        <v>424</v>
      </c>
      <c r="N154" s="59">
        <v>399</v>
      </c>
      <c r="O154" s="77">
        <v>300</v>
      </c>
    </row>
    <row r="155" spans="1:15" ht="13" x14ac:dyDescent="0.3">
      <c r="A155" s="10">
        <v>2402</v>
      </c>
      <c r="B155" s="11" t="s">
        <v>285</v>
      </c>
      <c r="C155" s="360">
        <v>1440</v>
      </c>
      <c r="D155" s="54">
        <v>598</v>
      </c>
      <c r="E155" s="706">
        <f t="shared" si="2"/>
        <v>0.4152777777777778</v>
      </c>
      <c r="F155" s="59">
        <v>332</v>
      </c>
      <c r="G155" s="59">
        <v>324</v>
      </c>
      <c r="H155" s="59">
        <v>382</v>
      </c>
      <c r="I155" s="59">
        <v>350</v>
      </c>
      <c r="J155" s="59">
        <v>372</v>
      </c>
      <c r="K155" s="59">
        <v>384</v>
      </c>
      <c r="L155" s="59">
        <v>226</v>
      </c>
      <c r="M155" s="59">
        <v>405</v>
      </c>
      <c r="N155" s="59">
        <v>379</v>
      </c>
      <c r="O155" s="77">
        <v>319</v>
      </c>
    </row>
    <row r="156" spans="1:15" ht="13" x14ac:dyDescent="0.3">
      <c r="A156" s="10">
        <v>2403</v>
      </c>
      <c r="B156" s="11" t="s">
        <v>286</v>
      </c>
      <c r="C156" s="360">
        <v>1386</v>
      </c>
      <c r="D156" s="54">
        <v>338</v>
      </c>
      <c r="E156" s="706">
        <f t="shared" si="2"/>
        <v>0.24386724386724387</v>
      </c>
      <c r="F156" s="59">
        <v>128</v>
      </c>
      <c r="G156" s="59">
        <v>126</v>
      </c>
      <c r="H156" s="59">
        <v>183</v>
      </c>
      <c r="I156" s="59">
        <v>141</v>
      </c>
      <c r="J156" s="59">
        <v>163</v>
      </c>
      <c r="K156" s="59">
        <v>177</v>
      </c>
      <c r="L156" s="59">
        <v>142</v>
      </c>
      <c r="M156" s="59">
        <v>179</v>
      </c>
      <c r="N156" s="59">
        <v>157</v>
      </c>
      <c r="O156" s="77">
        <v>128</v>
      </c>
    </row>
    <row r="157" spans="1:15" ht="13" x14ac:dyDescent="0.3">
      <c r="A157" s="10">
        <v>2404</v>
      </c>
      <c r="B157" s="11" t="s">
        <v>287</v>
      </c>
      <c r="C157" s="360">
        <v>1434</v>
      </c>
      <c r="D157" s="54">
        <v>505</v>
      </c>
      <c r="E157" s="706">
        <f t="shared" si="2"/>
        <v>0.35216178521617852</v>
      </c>
      <c r="F157" s="59">
        <v>204</v>
      </c>
      <c r="G157" s="59">
        <v>201</v>
      </c>
      <c r="H157" s="59">
        <v>243</v>
      </c>
      <c r="I157" s="59">
        <v>225</v>
      </c>
      <c r="J157" s="59">
        <v>243</v>
      </c>
      <c r="K157" s="59">
        <v>240</v>
      </c>
      <c r="L157" s="59">
        <v>235</v>
      </c>
      <c r="M157" s="59">
        <v>246</v>
      </c>
      <c r="N157" s="59">
        <v>223</v>
      </c>
      <c r="O157" s="77">
        <v>193</v>
      </c>
    </row>
    <row r="158" spans="1:15" ht="13" x14ac:dyDescent="0.3">
      <c r="A158" s="10">
        <v>2405</v>
      </c>
      <c r="B158" s="11" t="s">
        <v>288</v>
      </c>
      <c r="C158" s="360">
        <v>920</v>
      </c>
      <c r="D158" s="54">
        <v>99</v>
      </c>
      <c r="E158" s="706">
        <f t="shared" si="2"/>
        <v>0.10760869565217392</v>
      </c>
      <c r="F158" s="59">
        <v>34</v>
      </c>
      <c r="G158" s="59">
        <v>25</v>
      </c>
      <c r="H158" s="59">
        <v>50</v>
      </c>
      <c r="I158" s="59">
        <v>35</v>
      </c>
      <c r="J158" s="59">
        <v>42</v>
      </c>
      <c r="K158" s="59">
        <v>42</v>
      </c>
      <c r="L158" s="59">
        <v>40</v>
      </c>
      <c r="M158" s="59">
        <v>58</v>
      </c>
      <c r="N158" s="59">
        <v>41</v>
      </c>
      <c r="O158" s="77">
        <v>30</v>
      </c>
    </row>
    <row r="159" spans="1:15" ht="13" x14ac:dyDescent="0.3">
      <c r="A159" s="10">
        <v>2406</v>
      </c>
      <c r="B159" s="11" t="s">
        <v>289</v>
      </c>
      <c r="C159" s="360">
        <v>889</v>
      </c>
      <c r="D159" s="54">
        <v>329</v>
      </c>
      <c r="E159" s="706">
        <f t="shared" si="2"/>
        <v>0.37007874015748032</v>
      </c>
      <c r="F159" s="59">
        <v>175</v>
      </c>
      <c r="G159" s="59">
        <v>165</v>
      </c>
      <c r="H159" s="59">
        <v>220</v>
      </c>
      <c r="I159" s="59">
        <v>183</v>
      </c>
      <c r="J159" s="59">
        <v>231</v>
      </c>
      <c r="K159" s="59">
        <v>229</v>
      </c>
      <c r="L159" s="59">
        <v>125</v>
      </c>
      <c r="M159" s="59">
        <v>229</v>
      </c>
      <c r="N159" s="59">
        <v>203</v>
      </c>
      <c r="O159" s="77">
        <v>174</v>
      </c>
    </row>
    <row r="160" spans="1:15" ht="13" x14ac:dyDescent="0.3">
      <c r="A160" s="10">
        <v>2407</v>
      </c>
      <c r="B160" s="11" t="s">
        <v>290</v>
      </c>
      <c r="C160" s="360">
        <v>1354</v>
      </c>
      <c r="D160" s="54">
        <v>563</v>
      </c>
      <c r="E160" s="706">
        <f t="shared" si="2"/>
        <v>0.41580502215657311</v>
      </c>
      <c r="F160" s="59">
        <v>230</v>
      </c>
      <c r="G160" s="59">
        <v>233</v>
      </c>
      <c r="H160" s="59">
        <v>246</v>
      </c>
      <c r="I160" s="59">
        <v>239</v>
      </c>
      <c r="J160" s="59">
        <v>241</v>
      </c>
      <c r="K160" s="59">
        <v>244</v>
      </c>
      <c r="L160" s="59">
        <v>267</v>
      </c>
      <c r="M160" s="59">
        <v>249</v>
      </c>
      <c r="N160" s="59">
        <v>232</v>
      </c>
      <c r="O160" s="77">
        <v>216</v>
      </c>
    </row>
    <row r="161" spans="1:15" ht="13" x14ac:dyDescent="0.3">
      <c r="A161" s="10">
        <v>2408</v>
      </c>
      <c r="B161" s="11" t="s">
        <v>291</v>
      </c>
      <c r="C161" s="360">
        <v>540</v>
      </c>
      <c r="D161" s="54">
        <v>29</v>
      </c>
      <c r="E161" s="706">
        <f t="shared" si="2"/>
        <v>5.3703703703703705E-2</v>
      </c>
      <c r="F161" s="59">
        <v>9</v>
      </c>
      <c r="G161" s="59">
        <v>6</v>
      </c>
      <c r="H161" s="59">
        <v>16</v>
      </c>
      <c r="I161" s="59">
        <v>10</v>
      </c>
      <c r="J161" s="59">
        <v>14</v>
      </c>
      <c r="K161" s="59">
        <v>12</v>
      </c>
      <c r="L161" s="59">
        <v>12</v>
      </c>
      <c r="M161" s="59">
        <v>23</v>
      </c>
      <c r="N161" s="59">
        <v>16</v>
      </c>
      <c r="O161" s="77">
        <v>8</v>
      </c>
    </row>
    <row r="162" spans="1:15" ht="13" x14ac:dyDescent="0.3">
      <c r="A162" s="10">
        <v>2409</v>
      </c>
      <c r="B162" s="11" t="s">
        <v>292</v>
      </c>
      <c r="C162" s="360">
        <v>630</v>
      </c>
      <c r="D162" s="54">
        <v>52</v>
      </c>
      <c r="E162" s="706">
        <f t="shared" si="2"/>
        <v>8.2539682539682538E-2</v>
      </c>
      <c r="F162" s="59">
        <v>27</v>
      </c>
      <c r="G162" s="59">
        <v>21</v>
      </c>
      <c r="H162" s="59">
        <v>33</v>
      </c>
      <c r="I162" s="59">
        <v>28</v>
      </c>
      <c r="J162" s="59">
        <v>25</v>
      </c>
      <c r="K162" s="59">
        <v>27</v>
      </c>
      <c r="L162" s="59">
        <v>16</v>
      </c>
      <c r="M162" s="59">
        <v>34</v>
      </c>
      <c r="N162" s="59">
        <v>35</v>
      </c>
      <c r="O162" s="77">
        <v>24</v>
      </c>
    </row>
    <row r="163" spans="1:15" ht="13" x14ac:dyDescent="0.3">
      <c r="A163" s="10">
        <v>2501</v>
      </c>
      <c r="B163" s="11" t="s">
        <v>293</v>
      </c>
      <c r="C163" s="360">
        <v>1143</v>
      </c>
      <c r="D163" s="54">
        <v>277</v>
      </c>
      <c r="E163" s="706">
        <f t="shared" si="2"/>
        <v>0.24234470691163604</v>
      </c>
      <c r="F163" s="59">
        <v>140</v>
      </c>
      <c r="G163" s="59">
        <v>131</v>
      </c>
      <c r="H163" s="59">
        <v>173</v>
      </c>
      <c r="I163" s="59">
        <v>141</v>
      </c>
      <c r="J163" s="59">
        <v>170</v>
      </c>
      <c r="K163" s="59">
        <v>174</v>
      </c>
      <c r="L163" s="59">
        <v>86</v>
      </c>
      <c r="M163" s="59">
        <v>176</v>
      </c>
      <c r="N163" s="59">
        <v>159</v>
      </c>
      <c r="O163" s="73">
        <v>127</v>
      </c>
    </row>
    <row r="164" spans="1:15" ht="13" x14ac:dyDescent="0.3">
      <c r="A164" s="10">
        <v>2502</v>
      </c>
      <c r="B164" s="11" t="s">
        <v>294</v>
      </c>
      <c r="C164" s="360">
        <v>1183</v>
      </c>
      <c r="D164" s="54">
        <v>224</v>
      </c>
      <c r="E164" s="706">
        <f t="shared" si="2"/>
        <v>0.1893491124260355</v>
      </c>
      <c r="F164" s="59">
        <v>79</v>
      </c>
      <c r="G164" s="59">
        <v>80</v>
      </c>
      <c r="H164" s="59">
        <v>90</v>
      </c>
      <c r="I164" s="59">
        <v>90</v>
      </c>
      <c r="J164" s="59">
        <v>84</v>
      </c>
      <c r="K164" s="59">
        <v>73</v>
      </c>
      <c r="L164" s="59">
        <v>101</v>
      </c>
      <c r="M164" s="59">
        <v>86</v>
      </c>
      <c r="N164" s="59">
        <v>84</v>
      </c>
      <c r="O164" s="73">
        <v>78</v>
      </c>
    </row>
    <row r="165" spans="1:15" ht="13" x14ac:dyDescent="0.3">
      <c r="A165" s="10">
        <v>2503</v>
      </c>
      <c r="B165" s="11" t="s">
        <v>295</v>
      </c>
      <c r="C165" s="360">
        <v>1113</v>
      </c>
      <c r="D165" s="54">
        <v>622</v>
      </c>
      <c r="E165" s="706">
        <f t="shared" si="2"/>
        <v>0.55884995507637014</v>
      </c>
      <c r="F165" s="59">
        <v>216</v>
      </c>
      <c r="G165" s="59">
        <v>256</v>
      </c>
      <c r="H165" s="59">
        <v>236</v>
      </c>
      <c r="I165" s="59">
        <v>229</v>
      </c>
      <c r="J165" s="59">
        <v>210</v>
      </c>
      <c r="K165" s="59">
        <v>250</v>
      </c>
      <c r="L165" s="59">
        <v>309</v>
      </c>
      <c r="M165" s="59">
        <v>244</v>
      </c>
      <c r="N165" s="59">
        <v>224</v>
      </c>
      <c r="O165" s="73">
        <v>192</v>
      </c>
    </row>
    <row r="166" spans="1:15" ht="13" x14ac:dyDescent="0.3">
      <c r="A166" s="10">
        <v>2504</v>
      </c>
      <c r="B166" s="11" t="s">
        <v>296</v>
      </c>
      <c r="C166" s="360">
        <v>1130</v>
      </c>
      <c r="D166" s="54">
        <v>383</v>
      </c>
      <c r="E166" s="706">
        <f t="shared" si="2"/>
        <v>0.33893805309734515</v>
      </c>
      <c r="F166" s="59">
        <v>137</v>
      </c>
      <c r="G166" s="59">
        <v>163</v>
      </c>
      <c r="H166" s="59">
        <v>156</v>
      </c>
      <c r="I166" s="59">
        <v>151</v>
      </c>
      <c r="J166" s="59">
        <v>146</v>
      </c>
      <c r="K166" s="59">
        <v>148</v>
      </c>
      <c r="L166" s="59">
        <v>186</v>
      </c>
      <c r="M166" s="59">
        <v>147</v>
      </c>
      <c r="N166" s="59">
        <v>134</v>
      </c>
      <c r="O166" s="73">
        <v>129</v>
      </c>
    </row>
    <row r="167" spans="1:15" ht="13" x14ac:dyDescent="0.3">
      <c r="A167" s="10">
        <v>2505</v>
      </c>
      <c r="B167" s="11" t="s">
        <v>297</v>
      </c>
      <c r="C167" s="360">
        <v>1235</v>
      </c>
      <c r="D167" s="54">
        <v>560</v>
      </c>
      <c r="E167" s="706">
        <f t="shared" si="2"/>
        <v>0.45344129554655871</v>
      </c>
      <c r="F167" s="59">
        <v>199</v>
      </c>
      <c r="G167" s="59">
        <v>229</v>
      </c>
      <c r="H167" s="59">
        <v>211</v>
      </c>
      <c r="I167" s="59">
        <v>220</v>
      </c>
      <c r="J167" s="59">
        <v>216</v>
      </c>
      <c r="K167" s="59">
        <v>218</v>
      </c>
      <c r="L167" s="59">
        <v>308</v>
      </c>
      <c r="M167" s="59">
        <v>196</v>
      </c>
      <c r="N167" s="59">
        <v>216</v>
      </c>
      <c r="O167" s="73">
        <v>186</v>
      </c>
    </row>
    <row r="168" spans="1:15" ht="13" x14ac:dyDescent="0.3">
      <c r="A168" s="10">
        <v>2506</v>
      </c>
      <c r="B168" s="11" t="s">
        <v>298</v>
      </c>
      <c r="C168" s="360">
        <v>1255</v>
      </c>
      <c r="D168" s="54">
        <v>443</v>
      </c>
      <c r="E168" s="706">
        <f t="shared" si="2"/>
        <v>0.35298804780876492</v>
      </c>
      <c r="F168" s="59">
        <v>165</v>
      </c>
      <c r="G168" s="59">
        <v>205</v>
      </c>
      <c r="H168" s="59">
        <v>194</v>
      </c>
      <c r="I168" s="59">
        <v>188</v>
      </c>
      <c r="J168" s="59">
        <v>187</v>
      </c>
      <c r="K168" s="59">
        <v>191</v>
      </c>
      <c r="L168" s="59">
        <v>209</v>
      </c>
      <c r="M168" s="59">
        <v>204</v>
      </c>
      <c r="N168" s="59">
        <v>183</v>
      </c>
      <c r="O168" s="73">
        <v>166</v>
      </c>
    </row>
    <row r="169" spans="1:15" ht="13" x14ac:dyDescent="0.3">
      <c r="A169" s="10">
        <v>2507</v>
      </c>
      <c r="B169" s="11" t="s">
        <v>299</v>
      </c>
      <c r="C169" s="360">
        <v>621</v>
      </c>
      <c r="D169" s="54">
        <v>223</v>
      </c>
      <c r="E169" s="706">
        <f t="shared" si="2"/>
        <v>0.35909822866344604</v>
      </c>
      <c r="F169" s="59">
        <v>74</v>
      </c>
      <c r="G169" s="59">
        <v>104</v>
      </c>
      <c r="H169" s="59">
        <v>86</v>
      </c>
      <c r="I169" s="59">
        <v>92</v>
      </c>
      <c r="J169" s="59">
        <v>92</v>
      </c>
      <c r="K169" s="59">
        <v>100</v>
      </c>
      <c r="L169" s="59">
        <v>115</v>
      </c>
      <c r="M169" s="59">
        <v>90</v>
      </c>
      <c r="N169" s="59">
        <v>90</v>
      </c>
      <c r="O169" s="73">
        <v>79</v>
      </c>
    </row>
    <row r="170" spans="1:15" ht="13" x14ac:dyDescent="0.3">
      <c r="A170" s="10">
        <v>2508</v>
      </c>
      <c r="B170" s="11" t="s">
        <v>300</v>
      </c>
      <c r="C170" s="360">
        <v>1379</v>
      </c>
      <c r="D170" s="54">
        <v>528</v>
      </c>
      <c r="E170" s="706">
        <f t="shared" si="2"/>
        <v>0.38288614938361132</v>
      </c>
      <c r="F170" s="59">
        <v>200</v>
      </c>
      <c r="G170" s="59">
        <v>218</v>
      </c>
      <c r="H170" s="59">
        <v>209</v>
      </c>
      <c r="I170" s="59">
        <v>219</v>
      </c>
      <c r="J170" s="59">
        <v>205</v>
      </c>
      <c r="K170" s="59">
        <v>233</v>
      </c>
      <c r="L170" s="59">
        <v>247</v>
      </c>
      <c r="M170" s="59">
        <v>226</v>
      </c>
      <c r="N170" s="59">
        <v>219</v>
      </c>
      <c r="O170" s="73">
        <v>193</v>
      </c>
    </row>
    <row r="171" spans="1:15" ht="13" x14ac:dyDescent="0.3">
      <c r="A171" s="10">
        <v>2509</v>
      </c>
      <c r="B171" s="11" t="s">
        <v>301</v>
      </c>
      <c r="C171" s="360">
        <v>1227</v>
      </c>
      <c r="D171" s="54">
        <v>463</v>
      </c>
      <c r="E171" s="706">
        <f t="shared" si="2"/>
        <v>0.3773431132844336</v>
      </c>
      <c r="F171" s="59">
        <v>180</v>
      </c>
      <c r="G171" s="59">
        <v>224</v>
      </c>
      <c r="H171" s="59">
        <v>188</v>
      </c>
      <c r="I171" s="59">
        <v>179</v>
      </c>
      <c r="J171" s="59">
        <v>172</v>
      </c>
      <c r="K171" s="59">
        <v>194</v>
      </c>
      <c r="L171" s="59">
        <v>245</v>
      </c>
      <c r="M171" s="59">
        <v>201</v>
      </c>
      <c r="N171" s="59">
        <v>185</v>
      </c>
      <c r="O171" s="73">
        <v>180</v>
      </c>
    </row>
    <row r="172" spans="1:15" ht="13" x14ac:dyDescent="0.3">
      <c r="A172" s="10">
        <v>2510</v>
      </c>
      <c r="B172" s="11" t="s">
        <v>302</v>
      </c>
      <c r="C172" s="360">
        <v>1213</v>
      </c>
      <c r="D172" s="54">
        <v>341</v>
      </c>
      <c r="E172" s="706">
        <f t="shared" si="2"/>
        <v>0.28112118713932399</v>
      </c>
      <c r="F172" s="59">
        <v>143</v>
      </c>
      <c r="G172" s="59">
        <v>142</v>
      </c>
      <c r="H172" s="59">
        <v>180</v>
      </c>
      <c r="I172" s="59">
        <v>141</v>
      </c>
      <c r="J172" s="59">
        <v>164</v>
      </c>
      <c r="K172" s="59">
        <v>174</v>
      </c>
      <c r="L172" s="59">
        <v>135</v>
      </c>
      <c r="M172" s="59">
        <v>197</v>
      </c>
      <c r="N172" s="59">
        <v>190</v>
      </c>
      <c r="O172" s="73">
        <v>131</v>
      </c>
    </row>
    <row r="173" spans="1:15" ht="13" x14ac:dyDescent="0.3">
      <c r="A173" s="10">
        <v>2511</v>
      </c>
      <c r="B173" s="11" t="s">
        <v>303</v>
      </c>
      <c r="C173" s="360">
        <v>1530</v>
      </c>
      <c r="D173" s="54">
        <v>392</v>
      </c>
      <c r="E173" s="706">
        <f t="shared" si="2"/>
        <v>0.25620915032679736</v>
      </c>
      <c r="F173" s="59">
        <v>168</v>
      </c>
      <c r="G173" s="59">
        <v>204</v>
      </c>
      <c r="H173" s="59">
        <v>185</v>
      </c>
      <c r="I173" s="59">
        <v>176</v>
      </c>
      <c r="J173" s="59">
        <v>177</v>
      </c>
      <c r="K173" s="59">
        <v>176</v>
      </c>
      <c r="L173" s="59">
        <v>166</v>
      </c>
      <c r="M173" s="59">
        <v>201</v>
      </c>
      <c r="N173" s="59">
        <v>186</v>
      </c>
      <c r="O173" s="73">
        <v>184</v>
      </c>
    </row>
    <row r="174" spans="1:15" ht="13" x14ac:dyDescent="0.3">
      <c r="A174" s="10">
        <v>2512</v>
      </c>
      <c r="B174" s="11" t="s">
        <v>748</v>
      </c>
      <c r="C174" s="360">
        <v>914</v>
      </c>
      <c r="D174" s="54">
        <v>144</v>
      </c>
      <c r="E174" s="706">
        <f t="shared" si="2"/>
        <v>0.1575492341356674</v>
      </c>
      <c r="F174" s="59">
        <v>78</v>
      </c>
      <c r="G174" s="59">
        <v>71</v>
      </c>
      <c r="H174" s="59">
        <v>93</v>
      </c>
      <c r="I174" s="59">
        <v>73</v>
      </c>
      <c r="J174" s="59">
        <v>80</v>
      </c>
      <c r="K174" s="59">
        <v>95</v>
      </c>
      <c r="L174" s="59">
        <v>51</v>
      </c>
      <c r="M174" s="59">
        <v>90</v>
      </c>
      <c r="N174" s="59">
        <v>87</v>
      </c>
      <c r="O174" s="73">
        <v>68</v>
      </c>
    </row>
    <row r="175" spans="1:15" ht="13" x14ac:dyDescent="0.3">
      <c r="A175" s="10">
        <v>2601</v>
      </c>
      <c r="B175" s="11" t="s">
        <v>304</v>
      </c>
      <c r="C175" s="360">
        <v>1272</v>
      </c>
      <c r="D175" s="54">
        <v>670</v>
      </c>
      <c r="E175" s="706">
        <f t="shared" si="2"/>
        <v>0.52672955974842772</v>
      </c>
      <c r="F175" s="59">
        <v>256</v>
      </c>
      <c r="G175" s="59">
        <v>284</v>
      </c>
      <c r="H175" s="59">
        <v>270</v>
      </c>
      <c r="I175" s="59">
        <v>276</v>
      </c>
      <c r="J175" s="59">
        <v>268</v>
      </c>
      <c r="K175" s="59">
        <v>295</v>
      </c>
      <c r="L175" s="59">
        <v>332</v>
      </c>
      <c r="M175" s="59">
        <v>280</v>
      </c>
      <c r="N175" s="59">
        <v>256</v>
      </c>
      <c r="O175" s="77">
        <v>250</v>
      </c>
    </row>
    <row r="176" spans="1:15" ht="13" x14ac:dyDescent="0.3">
      <c r="A176" s="10">
        <v>2602</v>
      </c>
      <c r="B176" s="11" t="s">
        <v>305</v>
      </c>
      <c r="C176" s="360">
        <v>1077</v>
      </c>
      <c r="D176" s="54">
        <v>397</v>
      </c>
      <c r="E176" s="706">
        <f t="shared" si="2"/>
        <v>0.36861652739090067</v>
      </c>
      <c r="F176" s="45">
        <v>204</v>
      </c>
      <c r="G176" s="45">
        <v>212</v>
      </c>
      <c r="H176" s="45">
        <v>250</v>
      </c>
      <c r="I176" s="45">
        <v>217</v>
      </c>
      <c r="J176" s="45">
        <v>222</v>
      </c>
      <c r="K176" s="45">
        <v>235</v>
      </c>
      <c r="L176" s="45">
        <v>179</v>
      </c>
      <c r="M176" s="45">
        <v>247</v>
      </c>
      <c r="N176" s="45">
        <v>215</v>
      </c>
      <c r="O176" s="77">
        <v>182</v>
      </c>
    </row>
    <row r="177" spans="1:15" ht="13" x14ac:dyDescent="0.3">
      <c r="A177" s="10">
        <v>2603</v>
      </c>
      <c r="B177" s="11" t="s">
        <v>306</v>
      </c>
      <c r="C177" s="360">
        <v>677</v>
      </c>
      <c r="D177" s="54">
        <v>269</v>
      </c>
      <c r="E177" s="706">
        <f t="shared" si="2"/>
        <v>0.39734121122599703</v>
      </c>
      <c r="F177" s="59">
        <v>131</v>
      </c>
      <c r="G177" s="59">
        <v>117</v>
      </c>
      <c r="H177" s="59">
        <v>134</v>
      </c>
      <c r="I177" s="59">
        <v>135</v>
      </c>
      <c r="J177" s="59">
        <v>129</v>
      </c>
      <c r="K177" s="59">
        <v>132</v>
      </c>
      <c r="L177" s="59">
        <v>127</v>
      </c>
      <c r="M177" s="59">
        <v>143</v>
      </c>
      <c r="N177" s="59">
        <v>121</v>
      </c>
      <c r="O177" s="77">
        <v>98</v>
      </c>
    </row>
    <row r="178" spans="1:15" ht="13" x14ac:dyDescent="0.3">
      <c r="A178" s="10">
        <v>2604</v>
      </c>
      <c r="B178" s="11" t="s">
        <v>307</v>
      </c>
      <c r="C178" s="360">
        <v>1070</v>
      </c>
      <c r="D178" s="54">
        <v>226</v>
      </c>
      <c r="E178" s="706">
        <f t="shared" si="2"/>
        <v>0.21121495327102804</v>
      </c>
      <c r="F178" s="45">
        <v>90</v>
      </c>
      <c r="G178" s="45">
        <v>89</v>
      </c>
      <c r="H178" s="45">
        <v>123</v>
      </c>
      <c r="I178" s="45">
        <v>109</v>
      </c>
      <c r="J178" s="45">
        <v>132</v>
      </c>
      <c r="K178" s="45">
        <v>134</v>
      </c>
      <c r="L178" s="45">
        <v>69</v>
      </c>
      <c r="M178" s="45">
        <v>135</v>
      </c>
      <c r="N178" s="45">
        <v>119</v>
      </c>
      <c r="O178" s="77">
        <v>95</v>
      </c>
    </row>
    <row r="179" spans="1:15" ht="13" x14ac:dyDescent="0.3">
      <c r="A179" s="10">
        <v>2605</v>
      </c>
      <c r="B179" s="11" t="s">
        <v>308</v>
      </c>
      <c r="C179" s="360">
        <v>1276</v>
      </c>
      <c r="D179" s="54">
        <v>297</v>
      </c>
      <c r="E179" s="706">
        <f t="shared" si="2"/>
        <v>0.23275862068965517</v>
      </c>
      <c r="F179" s="45">
        <v>125</v>
      </c>
      <c r="G179" s="45">
        <v>131</v>
      </c>
      <c r="H179" s="45">
        <v>156</v>
      </c>
      <c r="I179" s="45">
        <v>140</v>
      </c>
      <c r="J179" s="45">
        <v>167</v>
      </c>
      <c r="K179" s="45">
        <v>169</v>
      </c>
      <c r="L179" s="45">
        <v>84</v>
      </c>
      <c r="M179" s="45">
        <v>185</v>
      </c>
      <c r="N179" s="45">
        <v>149</v>
      </c>
      <c r="O179" s="77">
        <v>122</v>
      </c>
    </row>
    <row r="180" spans="1:15" ht="13" x14ac:dyDescent="0.3">
      <c r="A180" s="10">
        <v>2606</v>
      </c>
      <c r="B180" s="11" t="s">
        <v>309</v>
      </c>
      <c r="C180" s="360">
        <v>897</v>
      </c>
      <c r="D180" s="54">
        <v>226</v>
      </c>
      <c r="E180" s="706">
        <f t="shared" si="2"/>
        <v>0.25195094760312153</v>
      </c>
      <c r="F180" s="59">
        <v>111</v>
      </c>
      <c r="G180" s="59">
        <v>105</v>
      </c>
      <c r="H180" s="59">
        <v>132</v>
      </c>
      <c r="I180" s="59">
        <v>113</v>
      </c>
      <c r="J180" s="59">
        <v>126</v>
      </c>
      <c r="K180" s="59">
        <v>129</v>
      </c>
      <c r="L180" s="59">
        <v>80</v>
      </c>
      <c r="M180" s="59">
        <v>148</v>
      </c>
      <c r="N180" s="59">
        <v>126</v>
      </c>
      <c r="O180" s="77">
        <v>99</v>
      </c>
    </row>
    <row r="181" spans="1:15" ht="13" x14ac:dyDescent="0.3">
      <c r="A181" s="10">
        <v>2607</v>
      </c>
      <c r="B181" s="11" t="s">
        <v>310</v>
      </c>
      <c r="C181" s="360">
        <v>1023</v>
      </c>
      <c r="D181" s="54">
        <v>323</v>
      </c>
      <c r="E181" s="706">
        <f t="shared" si="2"/>
        <v>0.31573802541544477</v>
      </c>
      <c r="F181" s="59">
        <v>126</v>
      </c>
      <c r="G181" s="59">
        <v>149</v>
      </c>
      <c r="H181" s="59">
        <v>130</v>
      </c>
      <c r="I181" s="59">
        <v>147</v>
      </c>
      <c r="J181" s="59">
        <v>136</v>
      </c>
      <c r="K181" s="59">
        <v>146</v>
      </c>
      <c r="L181" s="59">
        <v>165</v>
      </c>
      <c r="M181" s="59">
        <v>142</v>
      </c>
      <c r="N181" s="59">
        <v>146</v>
      </c>
      <c r="O181" s="77">
        <v>134</v>
      </c>
    </row>
    <row r="182" spans="1:15" ht="13" x14ac:dyDescent="0.3">
      <c r="A182" s="10">
        <v>2608</v>
      </c>
      <c r="B182" s="11" t="s">
        <v>311</v>
      </c>
      <c r="C182" s="360">
        <v>921</v>
      </c>
      <c r="D182" s="54">
        <v>92</v>
      </c>
      <c r="E182" s="706">
        <f t="shared" si="2"/>
        <v>9.9891422366992402E-2</v>
      </c>
      <c r="F182" s="45">
        <v>28</v>
      </c>
      <c r="G182" s="45">
        <v>23</v>
      </c>
      <c r="H182" s="45">
        <v>34</v>
      </c>
      <c r="I182" s="45">
        <v>30</v>
      </c>
      <c r="J182" s="45">
        <v>32</v>
      </c>
      <c r="K182" s="45">
        <v>32</v>
      </c>
      <c r="L182" s="45">
        <v>34</v>
      </c>
      <c r="M182" s="45">
        <v>47</v>
      </c>
      <c r="N182" s="45">
        <v>39</v>
      </c>
      <c r="O182" s="77">
        <v>32</v>
      </c>
    </row>
    <row r="183" spans="1:15" ht="13" x14ac:dyDescent="0.3">
      <c r="A183" s="10">
        <v>2609</v>
      </c>
      <c r="B183" s="11" t="s">
        <v>312</v>
      </c>
      <c r="C183" s="360">
        <v>1113</v>
      </c>
      <c r="D183" s="54">
        <v>494</v>
      </c>
      <c r="E183" s="706">
        <f t="shared" si="2"/>
        <v>0.44384546271338726</v>
      </c>
      <c r="F183" s="59">
        <v>199</v>
      </c>
      <c r="G183" s="59">
        <v>207</v>
      </c>
      <c r="H183" s="59">
        <v>226</v>
      </c>
      <c r="I183" s="59">
        <v>215</v>
      </c>
      <c r="J183" s="59">
        <v>191</v>
      </c>
      <c r="K183" s="59">
        <v>205</v>
      </c>
      <c r="L183" s="59">
        <v>231</v>
      </c>
      <c r="M183" s="59">
        <v>210</v>
      </c>
      <c r="N183" s="59">
        <v>199</v>
      </c>
      <c r="O183" s="77">
        <v>183</v>
      </c>
    </row>
    <row r="184" spans="1:15" ht="13" x14ac:dyDescent="0.3">
      <c r="A184" s="10">
        <v>2610</v>
      </c>
      <c r="B184" s="11" t="s">
        <v>313</v>
      </c>
      <c r="C184" s="360">
        <v>1302</v>
      </c>
      <c r="D184" s="54">
        <v>416</v>
      </c>
      <c r="E184" s="706">
        <f t="shared" si="2"/>
        <v>0.31950844854070659</v>
      </c>
      <c r="F184" s="59">
        <v>180</v>
      </c>
      <c r="G184" s="59">
        <v>169</v>
      </c>
      <c r="H184" s="59">
        <v>252</v>
      </c>
      <c r="I184" s="59">
        <v>197</v>
      </c>
      <c r="J184" s="59">
        <v>237</v>
      </c>
      <c r="K184" s="59">
        <v>234</v>
      </c>
      <c r="L184" s="59">
        <v>158</v>
      </c>
      <c r="M184" s="59">
        <v>270</v>
      </c>
      <c r="N184" s="59">
        <v>216</v>
      </c>
      <c r="O184" s="77">
        <v>171</v>
      </c>
    </row>
    <row r="185" spans="1:15" ht="13" x14ac:dyDescent="0.3">
      <c r="A185" s="10">
        <v>2611</v>
      </c>
      <c r="B185" s="11" t="s">
        <v>314</v>
      </c>
      <c r="C185" s="360">
        <v>1309</v>
      </c>
      <c r="D185" s="54">
        <v>570</v>
      </c>
      <c r="E185" s="706">
        <f t="shared" si="2"/>
        <v>0.43544690603514136</v>
      </c>
      <c r="F185" s="59">
        <v>247</v>
      </c>
      <c r="G185" s="59">
        <v>245</v>
      </c>
      <c r="H185" s="59">
        <v>263</v>
      </c>
      <c r="I185" s="59">
        <v>252</v>
      </c>
      <c r="J185" s="59">
        <v>250</v>
      </c>
      <c r="K185" s="59">
        <v>269</v>
      </c>
      <c r="L185" s="59">
        <v>277</v>
      </c>
      <c r="M185" s="59">
        <v>257</v>
      </c>
      <c r="N185" s="59">
        <v>260</v>
      </c>
      <c r="O185" s="77">
        <v>227</v>
      </c>
    </row>
    <row r="186" spans="1:15" ht="13" x14ac:dyDescent="0.3">
      <c r="A186" s="10">
        <v>2612</v>
      </c>
      <c r="B186" s="11" t="s">
        <v>315</v>
      </c>
      <c r="C186" s="360">
        <v>882</v>
      </c>
      <c r="D186" s="54">
        <v>269</v>
      </c>
      <c r="E186" s="706">
        <f t="shared" si="2"/>
        <v>0.30498866213151926</v>
      </c>
      <c r="F186" s="59">
        <v>120</v>
      </c>
      <c r="G186" s="59">
        <v>125</v>
      </c>
      <c r="H186" s="59">
        <v>154</v>
      </c>
      <c r="I186" s="59">
        <v>127</v>
      </c>
      <c r="J186" s="59">
        <v>129</v>
      </c>
      <c r="K186" s="59">
        <v>145</v>
      </c>
      <c r="L186" s="59">
        <v>111</v>
      </c>
      <c r="M186" s="59">
        <v>143</v>
      </c>
      <c r="N186" s="59">
        <v>133</v>
      </c>
      <c r="O186" s="73">
        <v>120</v>
      </c>
    </row>
    <row r="187" spans="1:15" ht="13" x14ac:dyDescent="0.3">
      <c r="A187" s="10">
        <v>2613</v>
      </c>
      <c r="B187" s="11" t="s">
        <v>316</v>
      </c>
      <c r="C187" s="360">
        <v>674</v>
      </c>
      <c r="D187" s="54">
        <v>163</v>
      </c>
      <c r="E187" s="706">
        <f t="shared" si="2"/>
        <v>0.24183976261127596</v>
      </c>
      <c r="F187" s="45">
        <v>76</v>
      </c>
      <c r="G187" s="45">
        <v>71</v>
      </c>
      <c r="H187" s="45">
        <v>89</v>
      </c>
      <c r="I187" s="45">
        <v>81</v>
      </c>
      <c r="J187" s="45">
        <v>87</v>
      </c>
      <c r="K187" s="45">
        <v>95</v>
      </c>
      <c r="L187" s="45">
        <v>51</v>
      </c>
      <c r="M187" s="45">
        <v>97</v>
      </c>
      <c r="N187" s="45">
        <v>92</v>
      </c>
      <c r="O187" s="77">
        <v>67</v>
      </c>
    </row>
    <row r="188" spans="1:15" ht="13" x14ac:dyDescent="0.3">
      <c r="A188" s="10">
        <v>2614</v>
      </c>
      <c r="B188" s="11" t="s">
        <v>317</v>
      </c>
      <c r="C188" s="360">
        <v>1219</v>
      </c>
      <c r="D188" s="54">
        <v>366</v>
      </c>
      <c r="E188" s="706">
        <f t="shared" si="2"/>
        <v>0.30024610336341262</v>
      </c>
      <c r="F188" s="45">
        <v>141</v>
      </c>
      <c r="G188" s="45">
        <v>151</v>
      </c>
      <c r="H188" s="45">
        <v>171</v>
      </c>
      <c r="I188" s="45">
        <v>162</v>
      </c>
      <c r="J188" s="45">
        <v>164</v>
      </c>
      <c r="K188" s="45">
        <v>165</v>
      </c>
      <c r="L188" s="45">
        <v>141</v>
      </c>
      <c r="M188" s="45">
        <v>185</v>
      </c>
      <c r="N188" s="45">
        <v>160</v>
      </c>
      <c r="O188" s="77">
        <v>128</v>
      </c>
    </row>
    <row r="189" spans="1:15" ht="13" x14ac:dyDescent="0.3">
      <c r="A189" s="10">
        <v>2615</v>
      </c>
      <c r="B189" s="11" t="s">
        <v>318</v>
      </c>
      <c r="C189" s="360">
        <v>1162</v>
      </c>
      <c r="D189" s="54">
        <v>597</v>
      </c>
      <c r="E189" s="706">
        <f t="shared" si="2"/>
        <v>0.51376936316695354</v>
      </c>
      <c r="F189" s="59">
        <v>268</v>
      </c>
      <c r="G189" s="59">
        <v>276</v>
      </c>
      <c r="H189" s="59">
        <v>305</v>
      </c>
      <c r="I189" s="59">
        <v>291</v>
      </c>
      <c r="J189" s="59">
        <v>264</v>
      </c>
      <c r="K189" s="59">
        <v>301</v>
      </c>
      <c r="L189" s="59">
        <v>268</v>
      </c>
      <c r="M189" s="59">
        <v>297</v>
      </c>
      <c r="N189" s="59">
        <v>275</v>
      </c>
      <c r="O189" s="77">
        <v>256</v>
      </c>
    </row>
    <row r="190" spans="1:15" ht="13" x14ac:dyDescent="0.3">
      <c r="A190" s="10">
        <v>2616</v>
      </c>
      <c r="B190" s="11" t="s">
        <v>319</v>
      </c>
      <c r="C190" s="360">
        <v>1287</v>
      </c>
      <c r="D190" s="54">
        <v>442</v>
      </c>
      <c r="E190" s="706">
        <f t="shared" si="2"/>
        <v>0.34343434343434343</v>
      </c>
      <c r="F190" s="59">
        <v>216</v>
      </c>
      <c r="G190" s="59">
        <v>219</v>
      </c>
      <c r="H190" s="59">
        <v>264</v>
      </c>
      <c r="I190" s="59">
        <v>233</v>
      </c>
      <c r="J190" s="59">
        <v>251</v>
      </c>
      <c r="K190" s="59">
        <v>261</v>
      </c>
      <c r="L190" s="59">
        <v>185</v>
      </c>
      <c r="M190" s="59">
        <v>276</v>
      </c>
      <c r="N190" s="59">
        <v>245</v>
      </c>
      <c r="O190" s="73">
        <v>203</v>
      </c>
    </row>
    <row r="191" spans="1:15" ht="13" x14ac:dyDescent="0.3">
      <c r="A191" s="10">
        <v>2617</v>
      </c>
      <c r="B191" s="11" t="s">
        <v>749</v>
      </c>
      <c r="C191" s="360">
        <v>1259</v>
      </c>
      <c r="D191" s="54">
        <v>196</v>
      </c>
      <c r="E191" s="706">
        <f t="shared" si="2"/>
        <v>0.15567911040508339</v>
      </c>
      <c r="F191" s="45">
        <v>91</v>
      </c>
      <c r="G191" s="45">
        <v>91</v>
      </c>
      <c r="H191" s="45">
        <v>116</v>
      </c>
      <c r="I191" s="45">
        <v>103</v>
      </c>
      <c r="J191" s="45">
        <v>101</v>
      </c>
      <c r="K191" s="45">
        <v>108</v>
      </c>
      <c r="L191" s="45">
        <v>68</v>
      </c>
      <c r="M191" s="45">
        <v>128</v>
      </c>
      <c r="N191" s="45">
        <v>108</v>
      </c>
      <c r="O191" s="77">
        <v>91</v>
      </c>
    </row>
    <row r="192" spans="1:15" ht="13" x14ac:dyDescent="0.3">
      <c r="A192" s="10">
        <v>2618</v>
      </c>
      <c r="B192" s="11" t="s">
        <v>750</v>
      </c>
      <c r="C192" s="360">
        <v>778</v>
      </c>
      <c r="D192" s="54">
        <v>172</v>
      </c>
      <c r="E192" s="706">
        <f t="shared" si="2"/>
        <v>0.2210796915167095</v>
      </c>
      <c r="F192" s="45">
        <v>75</v>
      </c>
      <c r="G192" s="45">
        <v>74</v>
      </c>
      <c r="H192" s="45">
        <v>105</v>
      </c>
      <c r="I192" s="45">
        <v>77</v>
      </c>
      <c r="J192" s="45">
        <v>98</v>
      </c>
      <c r="K192" s="45">
        <v>98</v>
      </c>
      <c r="L192" s="45">
        <v>59</v>
      </c>
      <c r="M192" s="45">
        <v>114</v>
      </c>
      <c r="N192" s="45">
        <v>105</v>
      </c>
      <c r="O192" s="77">
        <v>75</v>
      </c>
    </row>
    <row r="193" spans="1:15" ht="13.5" thickBot="1" x14ac:dyDescent="0.35">
      <c r="A193" s="418">
        <v>2619</v>
      </c>
      <c r="B193" s="419" t="s">
        <v>751</v>
      </c>
      <c r="C193" s="375">
        <v>989</v>
      </c>
      <c r="D193" s="363">
        <v>333</v>
      </c>
      <c r="E193" s="707">
        <f t="shared" si="2"/>
        <v>0.33670374115267948</v>
      </c>
      <c r="F193" s="364">
        <v>141</v>
      </c>
      <c r="G193" s="364">
        <v>145</v>
      </c>
      <c r="H193" s="364">
        <v>163</v>
      </c>
      <c r="I193" s="364">
        <v>140</v>
      </c>
      <c r="J193" s="364">
        <v>156</v>
      </c>
      <c r="K193" s="364">
        <v>157</v>
      </c>
      <c r="L193" s="364">
        <v>170</v>
      </c>
      <c r="M193" s="364">
        <v>161</v>
      </c>
      <c r="N193" s="364">
        <v>165</v>
      </c>
      <c r="O193" s="365">
        <v>136</v>
      </c>
    </row>
    <row r="194" spans="1:15" ht="13.5" thickTop="1" x14ac:dyDescent="0.3">
      <c r="A194" s="413"/>
      <c r="B194" s="413" t="s">
        <v>4</v>
      </c>
      <c r="C194" s="414">
        <f>SUM(C4:C193)</f>
        <v>219787</v>
      </c>
      <c r="D194" s="415">
        <f>SUM(D4:D193)</f>
        <v>87868</v>
      </c>
      <c r="E194" s="708">
        <f>SUM(D194/C194)</f>
        <v>0.39978706656899632</v>
      </c>
      <c r="F194" s="416">
        <f>SUM(F4:F193)</f>
        <v>44770</v>
      </c>
      <c r="G194" s="416">
        <f t="shared" ref="G194:N194" si="3">SUM(G4:G193)</f>
        <v>42650</v>
      </c>
      <c r="H194" s="416">
        <f t="shared" si="3"/>
        <v>49339</v>
      </c>
      <c r="I194" s="416">
        <f t="shared" si="3"/>
        <v>45295</v>
      </c>
      <c r="J194" s="416">
        <f t="shared" si="3"/>
        <v>45659</v>
      </c>
      <c r="K194" s="416">
        <f t="shared" si="3"/>
        <v>49822</v>
      </c>
      <c r="L194" s="416">
        <f t="shared" si="3"/>
        <v>36789</v>
      </c>
      <c r="M194" s="416">
        <f t="shared" si="3"/>
        <v>49783</v>
      </c>
      <c r="N194" s="416">
        <f t="shared" si="3"/>
        <v>46341</v>
      </c>
      <c r="O194" s="417">
        <f>SUM(O4:O193)</f>
        <v>40641</v>
      </c>
    </row>
    <row r="195" spans="1:15" ht="13" x14ac:dyDescent="0.3">
      <c r="A195" s="13"/>
      <c r="B195" s="15" t="s">
        <v>5</v>
      </c>
      <c r="C195" s="226"/>
      <c r="D195" s="326">
        <f>SUM(D194-D196)</f>
        <v>63340</v>
      </c>
      <c r="E195" s="709">
        <f>SUM(D195/C194)</f>
        <v>0.2881881093968251</v>
      </c>
      <c r="F195" s="47">
        <f t="shared" ref="F195" si="4">F194-F196</f>
        <v>29934</v>
      </c>
      <c r="G195" s="47">
        <f t="shared" ref="G195:N195" si="5">G194-G196</f>
        <v>28286</v>
      </c>
      <c r="H195" s="47">
        <f t="shared" si="5"/>
        <v>33045</v>
      </c>
      <c r="I195" s="47">
        <f t="shared" si="5"/>
        <v>30199</v>
      </c>
      <c r="J195" s="47">
        <f t="shared" si="5"/>
        <v>30140</v>
      </c>
      <c r="K195" s="47">
        <f t="shared" si="5"/>
        <v>32783</v>
      </c>
      <c r="L195" s="47">
        <f t="shared" si="5"/>
        <v>26780</v>
      </c>
      <c r="M195" s="47">
        <f t="shared" si="5"/>
        <v>33645</v>
      </c>
      <c r="N195" s="47">
        <f t="shared" si="5"/>
        <v>30931</v>
      </c>
      <c r="O195" s="78">
        <f t="shared" ref="O195" si="6">O194-O196</f>
        <v>27020</v>
      </c>
    </row>
    <row r="196" spans="1:15" ht="13.5" thickBot="1" x14ac:dyDescent="0.35">
      <c r="A196" s="424"/>
      <c r="B196" s="425" t="s">
        <v>6</v>
      </c>
      <c r="C196" s="426"/>
      <c r="D196" s="427">
        <v>24528</v>
      </c>
      <c r="E196" s="710">
        <f>SUM(D196/C194)</f>
        <v>0.11159895717217123</v>
      </c>
      <c r="F196" s="428">
        <v>14836</v>
      </c>
      <c r="G196" s="428">
        <v>14364</v>
      </c>
      <c r="H196" s="428">
        <v>16294</v>
      </c>
      <c r="I196" s="428">
        <v>15096</v>
      </c>
      <c r="J196" s="428">
        <v>15519</v>
      </c>
      <c r="K196" s="428">
        <v>17039</v>
      </c>
      <c r="L196" s="428">
        <v>10009</v>
      </c>
      <c r="M196" s="428">
        <v>16138</v>
      </c>
      <c r="N196" s="428">
        <v>15410</v>
      </c>
      <c r="O196" s="429">
        <v>13621</v>
      </c>
    </row>
    <row r="197" spans="1:15" ht="13.5" thickTop="1" x14ac:dyDescent="0.3">
      <c r="A197" s="26"/>
      <c r="B197" s="420"/>
      <c r="C197" s="421"/>
      <c r="D197" s="422"/>
      <c r="E197" s="705"/>
      <c r="F197" s="404"/>
      <c r="G197" s="404"/>
      <c r="H197" s="404"/>
      <c r="I197" s="404"/>
      <c r="J197" s="404"/>
      <c r="K197" s="404"/>
      <c r="L197" s="404"/>
      <c r="M197" s="404"/>
      <c r="N197" s="404"/>
      <c r="O197" s="423"/>
    </row>
    <row r="198" spans="1:15" ht="13" x14ac:dyDescent="0.3">
      <c r="A198" s="12"/>
      <c r="B198" s="7" t="s">
        <v>774</v>
      </c>
      <c r="C198" s="236">
        <f>SUM(C4:C193)</f>
        <v>219787</v>
      </c>
      <c r="D198" s="321">
        <f>SUM(D4:D193)</f>
        <v>87868</v>
      </c>
      <c r="E198" s="706">
        <f t="shared" ref="E198:E224" si="7">SUM(D198/C198)</f>
        <v>0.39978706656899632</v>
      </c>
      <c r="F198" s="70">
        <f>SUM(F4:F193)</f>
        <v>44770</v>
      </c>
      <c r="G198" s="70">
        <f t="shared" ref="G198:N198" si="8">SUM(G4:G193)</f>
        <v>42650</v>
      </c>
      <c r="H198" s="70">
        <f t="shared" si="8"/>
        <v>49339</v>
      </c>
      <c r="I198" s="70">
        <f t="shared" si="8"/>
        <v>45295</v>
      </c>
      <c r="J198" s="70">
        <f t="shared" si="8"/>
        <v>45659</v>
      </c>
      <c r="K198" s="70">
        <f t="shared" si="8"/>
        <v>49822</v>
      </c>
      <c r="L198" s="70">
        <f t="shared" si="8"/>
        <v>36789</v>
      </c>
      <c r="M198" s="70">
        <f t="shared" si="8"/>
        <v>49783</v>
      </c>
      <c r="N198" s="70">
        <f t="shared" si="8"/>
        <v>46341</v>
      </c>
      <c r="O198" s="87">
        <f>SUM(O4:O193)</f>
        <v>40641</v>
      </c>
    </row>
    <row r="199" spans="1:15" ht="13" x14ac:dyDescent="0.3">
      <c r="A199" s="12"/>
      <c r="B199" s="7" t="s">
        <v>689</v>
      </c>
      <c r="C199" s="235">
        <f>SUM(C4:C16)</f>
        <v>13154</v>
      </c>
      <c r="D199" s="322">
        <f>SUM(D4:D16)</f>
        <v>7182</v>
      </c>
      <c r="E199" s="706">
        <f t="shared" si="7"/>
        <v>0.54599361410977654</v>
      </c>
      <c r="F199" s="49">
        <f>SUM(F4:F16)</f>
        <v>3399</v>
      </c>
      <c r="G199" s="49">
        <f t="shared" ref="G199:N199" si="9">SUM(G4:G16)</f>
        <v>3269</v>
      </c>
      <c r="H199" s="49">
        <f t="shared" si="9"/>
        <v>3351</v>
      </c>
      <c r="I199" s="49">
        <f t="shared" si="9"/>
        <v>3370</v>
      </c>
      <c r="J199" s="49">
        <f t="shared" si="9"/>
        <v>3168</v>
      </c>
      <c r="K199" s="49">
        <f t="shared" si="9"/>
        <v>3474</v>
      </c>
      <c r="L199" s="49">
        <f t="shared" si="9"/>
        <v>3633</v>
      </c>
      <c r="M199" s="49">
        <f t="shared" si="9"/>
        <v>3334</v>
      </c>
      <c r="N199" s="49">
        <f t="shared" si="9"/>
        <v>3335</v>
      </c>
      <c r="O199" s="82">
        <f>SUM(O4:O16)</f>
        <v>3105</v>
      </c>
    </row>
    <row r="200" spans="1:15" ht="13" x14ac:dyDescent="0.3">
      <c r="A200" s="12"/>
      <c r="B200" s="7" t="s">
        <v>690</v>
      </c>
      <c r="C200" s="235">
        <f>SUM(C17:C27)</f>
        <v>14746</v>
      </c>
      <c r="D200" s="322">
        <f>SUM(D17:D27)</f>
        <v>7135</v>
      </c>
      <c r="E200" s="706">
        <f t="shared" si="7"/>
        <v>0.48386002983860033</v>
      </c>
      <c r="F200" s="49">
        <f>SUM(F17:F27)</f>
        <v>3789</v>
      </c>
      <c r="G200" s="49">
        <f t="shared" ref="G200:N200" si="10">SUM(G17:G27)</f>
        <v>3319</v>
      </c>
      <c r="H200" s="49">
        <f t="shared" si="10"/>
        <v>3780</v>
      </c>
      <c r="I200" s="49">
        <f t="shared" si="10"/>
        <v>3551</v>
      </c>
      <c r="J200" s="49">
        <f t="shared" si="10"/>
        <v>3523</v>
      </c>
      <c r="K200" s="49">
        <f t="shared" si="10"/>
        <v>3861</v>
      </c>
      <c r="L200" s="49">
        <f t="shared" si="10"/>
        <v>2975</v>
      </c>
      <c r="M200" s="49">
        <f t="shared" si="10"/>
        <v>3806</v>
      </c>
      <c r="N200" s="49">
        <f t="shared" si="10"/>
        <v>3659</v>
      </c>
      <c r="O200" s="82">
        <f>SUM(O17:O27)</f>
        <v>3221</v>
      </c>
    </row>
    <row r="201" spans="1:15" ht="13" x14ac:dyDescent="0.3">
      <c r="A201" s="12"/>
      <c r="B201" s="7" t="s">
        <v>691</v>
      </c>
      <c r="C201" s="235">
        <f>SUM(C28:C32)</f>
        <v>6367</v>
      </c>
      <c r="D201" s="322">
        <f>SUM(D28:D32)</f>
        <v>2563</v>
      </c>
      <c r="E201" s="706">
        <f t="shared" si="7"/>
        <v>0.4025443694047432</v>
      </c>
      <c r="F201" s="49">
        <f>SUM(F28:F32)</f>
        <v>1336</v>
      </c>
      <c r="G201" s="49">
        <f t="shared" ref="G201:N201" si="11">SUM(G28:G32)</f>
        <v>1242</v>
      </c>
      <c r="H201" s="49">
        <f t="shared" si="11"/>
        <v>1503</v>
      </c>
      <c r="I201" s="49">
        <f t="shared" si="11"/>
        <v>1351</v>
      </c>
      <c r="J201" s="49">
        <f t="shared" si="11"/>
        <v>1450</v>
      </c>
      <c r="K201" s="49">
        <f t="shared" si="11"/>
        <v>1613</v>
      </c>
      <c r="L201" s="49">
        <f t="shared" si="11"/>
        <v>975</v>
      </c>
      <c r="M201" s="49">
        <f t="shared" si="11"/>
        <v>1610</v>
      </c>
      <c r="N201" s="49">
        <f t="shared" si="11"/>
        <v>1441</v>
      </c>
      <c r="O201" s="82">
        <f>SUM(O28:O32)</f>
        <v>1162</v>
      </c>
    </row>
    <row r="202" spans="1:15" ht="13" x14ac:dyDescent="0.3">
      <c r="A202" s="12"/>
      <c r="B202" s="7" t="s">
        <v>692</v>
      </c>
      <c r="C202" s="235">
        <f>SUM(C33:C40)</f>
        <v>9128</v>
      </c>
      <c r="D202" s="322">
        <f>SUM(D33:D40)</f>
        <v>5497</v>
      </c>
      <c r="E202" s="706">
        <f t="shared" si="7"/>
        <v>0.60221297107800176</v>
      </c>
      <c r="F202" s="49">
        <f>SUM(F33:F40)</f>
        <v>2835</v>
      </c>
      <c r="G202" s="49">
        <f t="shared" ref="G202:N202" si="12">SUM(G33:G40)</f>
        <v>2583</v>
      </c>
      <c r="H202" s="49">
        <f t="shared" si="12"/>
        <v>2711</v>
      </c>
      <c r="I202" s="49">
        <f t="shared" si="12"/>
        <v>2770</v>
      </c>
      <c r="J202" s="49">
        <f t="shared" si="12"/>
        <v>2484</v>
      </c>
      <c r="K202" s="49">
        <f t="shared" si="12"/>
        <v>2860</v>
      </c>
      <c r="L202" s="49">
        <f t="shared" si="12"/>
        <v>2695</v>
      </c>
      <c r="M202" s="49">
        <f t="shared" si="12"/>
        <v>2645</v>
      </c>
      <c r="N202" s="49">
        <f t="shared" si="12"/>
        <v>2628</v>
      </c>
      <c r="O202" s="82">
        <f>SUM(O33:O40)</f>
        <v>2457</v>
      </c>
    </row>
    <row r="203" spans="1:15" ht="13" x14ac:dyDescent="0.3">
      <c r="A203" s="12"/>
      <c r="B203" s="7" t="s">
        <v>693</v>
      </c>
      <c r="C203" s="235">
        <f>SUM(C41:C49)</f>
        <v>10702</v>
      </c>
      <c r="D203" s="322">
        <f>SUM(D41:D49)</f>
        <v>6372</v>
      </c>
      <c r="E203" s="706">
        <f t="shared" si="7"/>
        <v>0.59540272846196973</v>
      </c>
      <c r="F203" s="49">
        <f>SUM(F41:F49)</f>
        <v>3163</v>
      </c>
      <c r="G203" s="49">
        <f t="shared" ref="G203:N203" si="13">SUM(G41:G49)</f>
        <v>2970</v>
      </c>
      <c r="H203" s="49">
        <f t="shared" si="13"/>
        <v>3004</v>
      </c>
      <c r="I203" s="49">
        <f t="shared" si="13"/>
        <v>3023</v>
      </c>
      <c r="J203" s="49">
        <f t="shared" si="13"/>
        <v>2733</v>
      </c>
      <c r="K203" s="49">
        <f t="shared" si="13"/>
        <v>3278</v>
      </c>
      <c r="L203" s="49">
        <f t="shared" si="13"/>
        <v>3497</v>
      </c>
      <c r="M203" s="49">
        <f t="shared" si="13"/>
        <v>2950</v>
      </c>
      <c r="N203" s="49">
        <f t="shared" si="13"/>
        <v>2877</v>
      </c>
      <c r="O203" s="82">
        <f>SUM(O41:O49)</f>
        <v>2698</v>
      </c>
    </row>
    <row r="204" spans="1:15" ht="13" x14ac:dyDescent="0.3">
      <c r="A204" s="12"/>
      <c r="B204" s="7" t="s">
        <v>775</v>
      </c>
      <c r="C204" s="235">
        <f>SUM(C50:C53)</f>
        <v>6930</v>
      </c>
      <c r="D204" s="322">
        <f>SUM(D50:D54)</f>
        <v>2924</v>
      </c>
      <c r="E204" s="706">
        <f t="shared" si="7"/>
        <v>0.42193362193362194</v>
      </c>
      <c r="F204" s="49">
        <f>SUM(F50:F53)</f>
        <v>1355</v>
      </c>
      <c r="G204" s="49">
        <f t="shared" ref="G204:N204" si="14">SUM(G50:G53)</f>
        <v>1247</v>
      </c>
      <c r="H204" s="49">
        <f t="shared" si="14"/>
        <v>1394</v>
      </c>
      <c r="I204" s="49">
        <f t="shared" si="14"/>
        <v>1285</v>
      </c>
      <c r="J204" s="49">
        <f t="shared" si="14"/>
        <v>1212</v>
      </c>
      <c r="K204" s="49">
        <f t="shared" si="14"/>
        <v>1385</v>
      </c>
      <c r="L204" s="49">
        <f t="shared" si="14"/>
        <v>866</v>
      </c>
      <c r="M204" s="49">
        <f t="shared" si="14"/>
        <v>1406</v>
      </c>
      <c r="N204" s="49">
        <f t="shared" si="14"/>
        <v>1335</v>
      </c>
      <c r="O204" s="82">
        <f>SUM(O50:O53)</f>
        <v>1192</v>
      </c>
    </row>
    <row r="205" spans="1:15" ht="13" x14ac:dyDescent="0.3">
      <c r="A205" s="12"/>
      <c r="B205" s="7" t="s">
        <v>754</v>
      </c>
      <c r="C205" s="235">
        <f>SUM(C55:C65)</f>
        <v>11053</v>
      </c>
      <c r="D205" s="322">
        <f>SUM(D55:D65)</f>
        <v>4088</v>
      </c>
      <c r="E205" s="706">
        <f t="shared" si="7"/>
        <v>0.36985433818872704</v>
      </c>
      <c r="F205" s="49">
        <f>SUM(F55:F65)</f>
        <v>2151</v>
      </c>
      <c r="G205" s="49">
        <f t="shared" ref="G205:N205" si="15">SUM(G55:G65)</f>
        <v>2021</v>
      </c>
      <c r="H205" s="49">
        <f t="shared" si="15"/>
        <v>2885</v>
      </c>
      <c r="I205" s="49">
        <f t="shared" si="15"/>
        <v>2273</v>
      </c>
      <c r="J205" s="49">
        <f t="shared" si="15"/>
        <v>2893</v>
      </c>
      <c r="K205" s="49">
        <f t="shared" si="15"/>
        <v>2941</v>
      </c>
      <c r="L205" s="49">
        <f t="shared" si="15"/>
        <v>1336</v>
      </c>
      <c r="M205" s="49">
        <f t="shared" si="15"/>
        <v>3022</v>
      </c>
      <c r="N205" s="49">
        <f t="shared" si="15"/>
        <v>2673</v>
      </c>
      <c r="O205" s="82">
        <f>SUM(O55:O65)</f>
        <v>2085</v>
      </c>
    </row>
    <row r="206" spans="1:15" ht="13" x14ac:dyDescent="0.3">
      <c r="A206" s="12"/>
      <c r="B206" s="7" t="s">
        <v>694</v>
      </c>
      <c r="C206" s="235">
        <f>SUM(C66:C69)</f>
        <v>6108</v>
      </c>
      <c r="D206" s="322">
        <f>SUM(D66:D69)</f>
        <v>2473</v>
      </c>
      <c r="E206" s="706">
        <f t="shared" si="7"/>
        <v>0.40487884741322855</v>
      </c>
      <c r="F206" s="49">
        <f>SUM(F66:F69)</f>
        <v>1285</v>
      </c>
      <c r="G206" s="49">
        <f t="shared" ref="G206:N206" si="16">SUM(G66:G69)</f>
        <v>1242</v>
      </c>
      <c r="H206" s="49">
        <f t="shared" si="16"/>
        <v>1417</v>
      </c>
      <c r="I206" s="49">
        <f t="shared" si="16"/>
        <v>1326</v>
      </c>
      <c r="J206" s="49">
        <f t="shared" si="16"/>
        <v>1320</v>
      </c>
      <c r="K206" s="49">
        <f t="shared" si="16"/>
        <v>1489</v>
      </c>
      <c r="L206" s="49">
        <f t="shared" si="16"/>
        <v>1055</v>
      </c>
      <c r="M206" s="49">
        <f t="shared" si="16"/>
        <v>1415</v>
      </c>
      <c r="N206" s="49">
        <f t="shared" si="16"/>
        <v>1290</v>
      </c>
      <c r="O206" s="82">
        <f>SUM(O66:O69)</f>
        <v>1173</v>
      </c>
    </row>
    <row r="207" spans="1:15" ht="13" x14ac:dyDescent="0.3">
      <c r="A207" s="12"/>
      <c r="B207" s="7" t="s">
        <v>755</v>
      </c>
      <c r="C207" s="235">
        <f>SUM(C70:C73)</f>
        <v>4935</v>
      </c>
      <c r="D207" s="322">
        <f>SUM(D70:D73)</f>
        <v>1670</v>
      </c>
      <c r="E207" s="706">
        <f t="shared" si="7"/>
        <v>0.33839918946301922</v>
      </c>
      <c r="F207" s="49">
        <f>SUM(F70:F73)</f>
        <v>903</v>
      </c>
      <c r="G207" s="49">
        <f t="shared" ref="G207:N207" si="17">SUM(G70:G73)</f>
        <v>848</v>
      </c>
      <c r="H207" s="49">
        <f t="shared" si="17"/>
        <v>1021</v>
      </c>
      <c r="I207" s="49">
        <f t="shared" si="17"/>
        <v>904</v>
      </c>
      <c r="J207" s="49">
        <f t="shared" si="17"/>
        <v>936</v>
      </c>
      <c r="K207" s="49">
        <f t="shared" si="17"/>
        <v>1050</v>
      </c>
      <c r="L207" s="49">
        <f t="shared" si="17"/>
        <v>612</v>
      </c>
      <c r="M207" s="49">
        <f t="shared" si="17"/>
        <v>1085</v>
      </c>
      <c r="N207" s="49">
        <f t="shared" si="17"/>
        <v>968</v>
      </c>
      <c r="O207" s="82">
        <f>SUM(O70:O73)</f>
        <v>806</v>
      </c>
    </row>
    <row r="208" spans="1:15" ht="13" x14ac:dyDescent="0.3">
      <c r="A208" s="12"/>
      <c r="B208" s="7" t="s">
        <v>756</v>
      </c>
      <c r="C208" s="235">
        <f>SUM(C74:C76)</f>
        <v>4178</v>
      </c>
      <c r="D208" s="322">
        <f>SUM(D74:D76)</f>
        <v>1398</v>
      </c>
      <c r="E208" s="706">
        <f t="shared" si="7"/>
        <v>0.33460986117759695</v>
      </c>
      <c r="F208" s="49">
        <f>SUM(F74:F76)</f>
        <v>718</v>
      </c>
      <c r="G208" s="49">
        <f t="shared" ref="G208:N208" si="18">SUM(G74:G76)</f>
        <v>673</v>
      </c>
      <c r="H208" s="49">
        <f t="shared" si="18"/>
        <v>808</v>
      </c>
      <c r="I208" s="49">
        <f t="shared" si="18"/>
        <v>718</v>
      </c>
      <c r="J208" s="49">
        <f t="shared" si="18"/>
        <v>697</v>
      </c>
      <c r="K208" s="49">
        <f t="shared" si="18"/>
        <v>764</v>
      </c>
      <c r="L208" s="49">
        <f t="shared" si="18"/>
        <v>548</v>
      </c>
      <c r="M208" s="49">
        <f t="shared" si="18"/>
        <v>811</v>
      </c>
      <c r="N208" s="49">
        <f t="shared" si="18"/>
        <v>717</v>
      </c>
      <c r="O208" s="82">
        <f>SUM(O74:O76)</f>
        <v>600</v>
      </c>
    </row>
    <row r="209" spans="1:15" ht="13" x14ac:dyDescent="0.3">
      <c r="A209" s="12"/>
      <c r="B209" s="7" t="s">
        <v>776</v>
      </c>
      <c r="C209" s="235">
        <f>SUM(C77:C79)</f>
        <v>3620</v>
      </c>
      <c r="D209" s="322">
        <f>SUM(D77:D80)</f>
        <v>1325</v>
      </c>
      <c r="E209" s="706">
        <f t="shared" si="7"/>
        <v>0.36602209944751379</v>
      </c>
      <c r="F209" s="49">
        <f>SUM(F77:F79)</f>
        <v>545</v>
      </c>
      <c r="G209" s="49">
        <f t="shared" ref="G209:N209" si="19">SUM(G77:G79)</f>
        <v>477</v>
      </c>
      <c r="H209" s="49">
        <f t="shared" si="19"/>
        <v>564</v>
      </c>
      <c r="I209" s="49">
        <f t="shared" si="19"/>
        <v>517</v>
      </c>
      <c r="J209" s="49">
        <f t="shared" si="19"/>
        <v>496</v>
      </c>
      <c r="K209" s="49">
        <f t="shared" si="19"/>
        <v>536</v>
      </c>
      <c r="L209" s="49">
        <f t="shared" si="19"/>
        <v>325</v>
      </c>
      <c r="M209" s="49">
        <f t="shared" si="19"/>
        <v>565</v>
      </c>
      <c r="N209" s="49">
        <f t="shared" si="19"/>
        <v>525</v>
      </c>
      <c r="O209" s="82">
        <f>SUM(O77:O79)</f>
        <v>466</v>
      </c>
    </row>
    <row r="210" spans="1:15" ht="13" x14ac:dyDescent="0.3">
      <c r="A210" s="12"/>
      <c r="B210" s="7" t="s">
        <v>757</v>
      </c>
      <c r="C210" s="235">
        <f>SUM(C81:C85)</f>
        <v>5452</v>
      </c>
      <c r="D210" s="322">
        <f>SUM(D81:D85)</f>
        <v>1195</v>
      </c>
      <c r="E210" s="706">
        <f t="shared" si="7"/>
        <v>0.21918561995597946</v>
      </c>
      <c r="F210" s="49">
        <f>SUM(F81:F85)</f>
        <v>598</v>
      </c>
      <c r="G210" s="49">
        <f t="shared" ref="G210:N210" si="20">SUM(G81:G85)</f>
        <v>508</v>
      </c>
      <c r="H210" s="49">
        <f t="shared" si="20"/>
        <v>615</v>
      </c>
      <c r="I210" s="49">
        <f t="shared" si="20"/>
        <v>550</v>
      </c>
      <c r="J210" s="49">
        <f t="shared" si="20"/>
        <v>519</v>
      </c>
      <c r="K210" s="49">
        <f t="shared" si="20"/>
        <v>593</v>
      </c>
      <c r="L210" s="49">
        <f t="shared" si="20"/>
        <v>348</v>
      </c>
      <c r="M210" s="49">
        <f t="shared" si="20"/>
        <v>622</v>
      </c>
      <c r="N210" s="49">
        <f t="shared" si="20"/>
        <v>581</v>
      </c>
      <c r="O210" s="82">
        <f>SUM(O81:O85)</f>
        <v>498</v>
      </c>
    </row>
    <row r="211" spans="1:15" ht="13" x14ac:dyDescent="0.3">
      <c r="A211" s="12"/>
      <c r="B211" s="7" t="s">
        <v>758</v>
      </c>
      <c r="C211" s="235">
        <f>SUM(C86:C93)</f>
        <v>9374</v>
      </c>
      <c r="D211" s="322">
        <f>SUM(D86:D93)</f>
        <v>2852</v>
      </c>
      <c r="E211" s="706">
        <f t="shared" si="7"/>
        <v>0.3042457862171965</v>
      </c>
      <c r="F211" s="49">
        <f>SUM(F86:F93)</f>
        <v>1530</v>
      </c>
      <c r="G211" s="49">
        <f t="shared" ref="G211:N211" si="21">SUM(G86:G93)</f>
        <v>1421</v>
      </c>
      <c r="H211" s="49">
        <f t="shared" si="21"/>
        <v>1976</v>
      </c>
      <c r="I211" s="49">
        <f t="shared" si="21"/>
        <v>1628</v>
      </c>
      <c r="J211" s="49">
        <f t="shared" si="21"/>
        <v>1826</v>
      </c>
      <c r="K211" s="49">
        <f t="shared" si="21"/>
        <v>1974</v>
      </c>
      <c r="L211" s="49">
        <f t="shared" si="21"/>
        <v>1018</v>
      </c>
      <c r="M211" s="49">
        <f t="shared" si="21"/>
        <v>2029</v>
      </c>
      <c r="N211" s="49">
        <f t="shared" si="21"/>
        <v>1715</v>
      </c>
      <c r="O211" s="82">
        <f>SUM(O86:O93)</f>
        <v>1487</v>
      </c>
    </row>
    <row r="212" spans="1:15" ht="13" x14ac:dyDescent="0.3">
      <c r="A212" s="12"/>
      <c r="B212" s="7" t="s">
        <v>695</v>
      </c>
      <c r="C212" s="235">
        <f>SUM(C94:C102)</f>
        <v>10459</v>
      </c>
      <c r="D212" s="322">
        <f>SUM(D94:D102)</f>
        <v>5912</v>
      </c>
      <c r="E212" s="706">
        <f t="shared" si="7"/>
        <v>0.56525480447461518</v>
      </c>
      <c r="F212" s="49">
        <f>SUM(F94:F102)</f>
        <v>3451</v>
      </c>
      <c r="G212" s="49">
        <f t="shared" ref="G212:N212" si="22">SUM(G94:G102)</f>
        <v>3265</v>
      </c>
      <c r="H212" s="49">
        <f t="shared" si="22"/>
        <v>3728</v>
      </c>
      <c r="I212" s="49">
        <f t="shared" si="22"/>
        <v>3449</v>
      </c>
      <c r="J212" s="49">
        <f t="shared" si="22"/>
        <v>3484</v>
      </c>
      <c r="K212" s="49">
        <f t="shared" si="22"/>
        <v>3798</v>
      </c>
      <c r="L212" s="49">
        <f t="shared" si="22"/>
        <v>2163</v>
      </c>
      <c r="M212" s="49">
        <f t="shared" si="22"/>
        <v>3817</v>
      </c>
      <c r="N212" s="49">
        <f t="shared" si="22"/>
        <v>3549</v>
      </c>
      <c r="O212" s="82">
        <f>SUM(O94:O102)</f>
        <v>3089</v>
      </c>
    </row>
    <row r="213" spans="1:15" ht="13" x14ac:dyDescent="0.3">
      <c r="A213" s="12"/>
      <c r="B213" s="7" t="s">
        <v>696</v>
      </c>
      <c r="C213" s="235">
        <f>SUM(C103:C112)</f>
        <v>10888</v>
      </c>
      <c r="D213" s="322">
        <f>SUM(D103:D112)</f>
        <v>5076</v>
      </c>
      <c r="E213" s="706">
        <f t="shared" si="7"/>
        <v>0.46620132255694341</v>
      </c>
      <c r="F213" s="49">
        <f>SUM(F103:F112)</f>
        <v>3041</v>
      </c>
      <c r="G213" s="49">
        <f t="shared" ref="G213:N213" si="23">SUM(G103:G112)</f>
        <v>2883</v>
      </c>
      <c r="H213" s="49">
        <f t="shared" si="23"/>
        <v>3450</v>
      </c>
      <c r="I213" s="49">
        <f t="shared" si="23"/>
        <v>3304</v>
      </c>
      <c r="J213" s="49">
        <f t="shared" si="23"/>
        <v>2994</v>
      </c>
      <c r="K213" s="49">
        <f t="shared" si="23"/>
        <v>3380</v>
      </c>
      <c r="L213" s="49">
        <f t="shared" si="23"/>
        <v>1738</v>
      </c>
      <c r="M213" s="49">
        <f t="shared" si="23"/>
        <v>3391</v>
      </c>
      <c r="N213" s="49">
        <f t="shared" si="23"/>
        <v>3096</v>
      </c>
      <c r="O213" s="82">
        <f>SUM(O103:O112)</f>
        <v>2726</v>
      </c>
    </row>
    <row r="214" spans="1:15" ht="13" x14ac:dyDescent="0.3">
      <c r="A214" s="12"/>
      <c r="B214" s="7" t="s">
        <v>7</v>
      </c>
      <c r="C214" s="235">
        <f>SUM(C113)</f>
        <v>1451</v>
      </c>
      <c r="D214" s="322">
        <f>SUM(D113)</f>
        <v>280</v>
      </c>
      <c r="E214" s="706">
        <f t="shared" si="7"/>
        <v>0.19297036526533426</v>
      </c>
      <c r="F214" s="61">
        <f>SUM(F113)</f>
        <v>134</v>
      </c>
      <c r="G214" s="61">
        <f t="shared" ref="G214:N214" si="24">SUM(G113)</f>
        <v>135</v>
      </c>
      <c r="H214" s="61">
        <f t="shared" si="24"/>
        <v>164</v>
      </c>
      <c r="I214" s="61">
        <f t="shared" si="24"/>
        <v>139</v>
      </c>
      <c r="J214" s="61">
        <f t="shared" si="24"/>
        <v>137</v>
      </c>
      <c r="K214" s="61">
        <f t="shared" si="24"/>
        <v>153</v>
      </c>
      <c r="L214" s="61">
        <f t="shared" si="24"/>
        <v>113</v>
      </c>
      <c r="M214" s="61">
        <f t="shared" si="24"/>
        <v>151</v>
      </c>
      <c r="N214" s="61">
        <f t="shared" si="24"/>
        <v>140</v>
      </c>
      <c r="O214" s="83">
        <f>SUM(O113)</f>
        <v>129</v>
      </c>
    </row>
    <row r="215" spans="1:15" ht="13" x14ac:dyDescent="0.3">
      <c r="A215" s="12"/>
      <c r="B215" s="7" t="s">
        <v>697</v>
      </c>
      <c r="C215" s="235">
        <f>SUM(C114:C116)</f>
        <v>4425</v>
      </c>
      <c r="D215" s="322">
        <f>SUM(D114:D116)</f>
        <v>1216</v>
      </c>
      <c r="E215" s="706">
        <f t="shared" si="7"/>
        <v>0.27480225988700563</v>
      </c>
      <c r="F215" s="49">
        <f>SUM(F114:F116)</f>
        <v>605</v>
      </c>
      <c r="G215" s="49">
        <f t="shared" ref="G215:N215" si="25">SUM(G114:G116)</f>
        <v>563</v>
      </c>
      <c r="H215" s="49">
        <f t="shared" si="25"/>
        <v>760</v>
      </c>
      <c r="I215" s="49">
        <f t="shared" si="25"/>
        <v>614</v>
      </c>
      <c r="J215" s="49">
        <f t="shared" si="25"/>
        <v>677</v>
      </c>
      <c r="K215" s="49">
        <f t="shared" si="25"/>
        <v>709</v>
      </c>
      <c r="L215" s="49">
        <f t="shared" si="25"/>
        <v>430</v>
      </c>
      <c r="M215" s="49">
        <f t="shared" si="25"/>
        <v>748</v>
      </c>
      <c r="N215" s="49">
        <f t="shared" si="25"/>
        <v>655</v>
      </c>
      <c r="O215" s="82">
        <f>SUM(O114:O116)</f>
        <v>545</v>
      </c>
    </row>
    <row r="216" spans="1:15" ht="13" x14ac:dyDescent="0.3">
      <c r="A216" s="12"/>
      <c r="B216" s="7" t="s">
        <v>698</v>
      </c>
      <c r="C216" s="235">
        <f>SUM(C117:C118)</f>
        <v>1860</v>
      </c>
      <c r="D216" s="322">
        <f>SUM(D117:D118)</f>
        <v>379</v>
      </c>
      <c r="E216" s="706">
        <f t="shared" si="7"/>
        <v>0.20376344086021506</v>
      </c>
      <c r="F216" s="49">
        <f>SUM(F117:F118)</f>
        <v>159</v>
      </c>
      <c r="G216" s="49">
        <f t="shared" ref="G216:N216" si="26">SUM(G117:G118)</f>
        <v>157</v>
      </c>
      <c r="H216" s="49">
        <f t="shared" si="26"/>
        <v>225</v>
      </c>
      <c r="I216" s="49">
        <f t="shared" si="26"/>
        <v>181</v>
      </c>
      <c r="J216" s="49">
        <f t="shared" si="26"/>
        <v>219</v>
      </c>
      <c r="K216" s="49">
        <f t="shared" si="26"/>
        <v>218</v>
      </c>
      <c r="L216" s="49">
        <f t="shared" si="26"/>
        <v>135</v>
      </c>
      <c r="M216" s="49">
        <f t="shared" si="26"/>
        <v>245</v>
      </c>
      <c r="N216" s="49">
        <f t="shared" si="26"/>
        <v>207</v>
      </c>
      <c r="O216" s="82">
        <f>SUM(O117:O118)</f>
        <v>156</v>
      </c>
    </row>
    <row r="217" spans="1:15" ht="13" x14ac:dyDescent="0.3">
      <c r="A217" s="12"/>
      <c r="B217" s="7" t="s">
        <v>699</v>
      </c>
      <c r="C217" s="235">
        <f>SUM(C119:C122)</f>
        <v>4019</v>
      </c>
      <c r="D217" s="322">
        <f>SUM(D119:D122)</f>
        <v>1542</v>
      </c>
      <c r="E217" s="706">
        <f t="shared" si="7"/>
        <v>0.38367753172430952</v>
      </c>
      <c r="F217" s="49">
        <f>SUM(F119:F122)</f>
        <v>474</v>
      </c>
      <c r="G217" s="49">
        <f t="shared" ref="G217:N217" si="27">SUM(G119:G122)</f>
        <v>588</v>
      </c>
      <c r="H217" s="49">
        <f t="shared" si="27"/>
        <v>553</v>
      </c>
      <c r="I217" s="49">
        <f t="shared" si="27"/>
        <v>529</v>
      </c>
      <c r="J217" s="49">
        <f t="shared" si="27"/>
        <v>458</v>
      </c>
      <c r="K217" s="49">
        <f t="shared" si="27"/>
        <v>515</v>
      </c>
      <c r="L217" s="49">
        <f t="shared" si="27"/>
        <v>922</v>
      </c>
      <c r="M217" s="49">
        <f t="shared" si="27"/>
        <v>462</v>
      </c>
      <c r="N217" s="49">
        <f t="shared" si="27"/>
        <v>500</v>
      </c>
      <c r="O217" s="82">
        <f>SUM(O119:O122)</f>
        <v>505</v>
      </c>
    </row>
    <row r="218" spans="1:15" ht="13" x14ac:dyDescent="0.3">
      <c r="A218" s="12"/>
      <c r="B218" s="7" t="s">
        <v>759</v>
      </c>
      <c r="C218" s="235">
        <f>SUM(C123:C127)</f>
        <v>6421</v>
      </c>
      <c r="D218" s="322">
        <f>SUM(D123:D127)</f>
        <v>1725</v>
      </c>
      <c r="E218" s="706">
        <f t="shared" si="7"/>
        <v>0.26864974303068057</v>
      </c>
      <c r="F218" s="49">
        <f>SUM(F123:F127)</f>
        <v>884</v>
      </c>
      <c r="G218" s="49">
        <f t="shared" ref="G218:N218" si="28">SUM(G123:G127)</f>
        <v>842</v>
      </c>
      <c r="H218" s="49">
        <f t="shared" si="28"/>
        <v>884</v>
      </c>
      <c r="I218" s="49">
        <f t="shared" si="28"/>
        <v>845</v>
      </c>
      <c r="J218" s="49">
        <f t="shared" si="28"/>
        <v>805</v>
      </c>
      <c r="K218" s="49">
        <f t="shared" si="28"/>
        <v>903</v>
      </c>
      <c r="L218" s="49">
        <f t="shared" si="28"/>
        <v>788</v>
      </c>
      <c r="M218" s="49">
        <f t="shared" si="28"/>
        <v>877</v>
      </c>
      <c r="N218" s="49">
        <f t="shared" si="28"/>
        <v>813</v>
      </c>
      <c r="O218" s="82">
        <f>SUM(O123:O127)</f>
        <v>740</v>
      </c>
    </row>
    <row r="219" spans="1:15" ht="13" x14ac:dyDescent="0.3">
      <c r="A219" s="12"/>
      <c r="B219" s="7" t="s">
        <v>760</v>
      </c>
      <c r="C219" s="235">
        <f>SUM(C128:C132)</f>
        <v>4366</v>
      </c>
      <c r="D219" s="322">
        <f>SUM(D128:D132)</f>
        <v>785</v>
      </c>
      <c r="E219" s="706">
        <f t="shared" si="7"/>
        <v>0.17979844251030691</v>
      </c>
      <c r="F219" s="49">
        <f>SUM(F128:F132)</f>
        <v>340</v>
      </c>
      <c r="G219" s="49">
        <f t="shared" ref="G219:N219" si="29">SUM(G128:G132)</f>
        <v>345</v>
      </c>
      <c r="H219" s="49">
        <f t="shared" si="29"/>
        <v>415</v>
      </c>
      <c r="I219" s="49">
        <f t="shared" si="29"/>
        <v>360</v>
      </c>
      <c r="J219" s="49">
        <f t="shared" si="29"/>
        <v>419</v>
      </c>
      <c r="K219" s="49">
        <f t="shared" si="29"/>
        <v>396</v>
      </c>
      <c r="L219" s="49">
        <f t="shared" si="29"/>
        <v>312</v>
      </c>
      <c r="M219" s="49">
        <f t="shared" si="29"/>
        <v>447</v>
      </c>
      <c r="N219" s="49">
        <f t="shared" si="29"/>
        <v>406</v>
      </c>
      <c r="O219" s="82">
        <f>SUM(O128:O132)</f>
        <v>338</v>
      </c>
    </row>
    <row r="220" spans="1:15" ht="13" x14ac:dyDescent="0.3">
      <c r="A220" s="12"/>
      <c r="B220" s="7" t="s">
        <v>700</v>
      </c>
      <c r="C220" s="235">
        <f>SUM(C133:C135)</f>
        <v>4149</v>
      </c>
      <c r="D220" s="322">
        <f>SUM(D133:D135)</f>
        <v>1203</v>
      </c>
      <c r="E220" s="706">
        <f t="shared" si="7"/>
        <v>0.28994938539407084</v>
      </c>
      <c r="F220" s="49">
        <f>SUM(F133:F135)</f>
        <v>654</v>
      </c>
      <c r="G220" s="49">
        <f t="shared" ref="G220:N220" si="30">SUM(G133:G135)</f>
        <v>600</v>
      </c>
      <c r="H220" s="49">
        <f t="shared" si="30"/>
        <v>783</v>
      </c>
      <c r="I220" s="49">
        <f t="shared" si="30"/>
        <v>655</v>
      </c>
      <c r="J220" s="49">
        <f t="shared" si="30"/>
        <v>678</v>
      </c>
      <c r="K220" s="49">
        <f t="shared" si="30"/>
        <v>717</v>
      </c>
      <c r="L220" s="49">
        <f t="shared" si="30"/>
        <v>359</v>
      </c>
      <c r="M220" s="49">
        <f t="shared" si="30"/>
        <v>776</v>
      </c>
      <c r="N220" s="49">
        <f t="shared" si="30"/>
        <v>679</v>
      </c>
      <c r="O220" s="82">
        <f>SUM(O133:O135)</f>
        <v>571</v>
      </c>
    </row>
    <row r="221" spans="1:15" ht="13" x14ac:dyDescent="0.3">
      <c r="A221" s="12"/>
      <c r="B221" s="7" t="s">
        <v>701</v>
      </c>
      <c r="C221" s="235">
        <f>SUM(C136:C153)</f>
        <v>19423</v>
      </c>
      <c r="D221" s="322">
        <f>SUM(D136:D153)</f>
        <v>8855</v>
      </c>
      <c r="E221" s="706">
        <f t="shared" si="7"/>
        <v>0.45590279565463626</v>
      </c>
      <c r="F221" s="49">
        <f>SUM(F136:F153)</f>
        <v>4877</v>
      </c>
      <c r="G221" s="49">
        <f t="shared" ref="G221:N221" si="31">SUM(G136:G153)</f>
        <v>4686</v>
      </c>
      <c r="H221" s="49">
        <f t="shared" si="31"/>
        <v>5731</v>
      </c>
      <c r="I221" s="49">
        <f t="shared" si="31"/>
        <v>5026</v>
      </c>
      <c r="J221" s="49">
        <f t="shared" si="31"/>
        <v>5317</v>
      </c>
      <c r="K221" s="49">
        <f t="shared" si="31"/>
        <v>5610</v>
      </c>
      <c r="L221" s="49">
        <f t="shared" si="31"/>
        <v>3336</v>
      </c>
      <c r="M221" s="49">
        <f t="shared" si="31"/>
        <v>5724</v>
      </c>
      <c r="N221" s="49">
        <f t="shared" si="31"/>
        <v>5324</v>
      </c>
      <c r="O221" s="82">
        <f>SUM(O136:O153)</f>
        <v>4715</v>
      </c>
    </row>
    <row r="222" spans="1:15" ht="13" x14ac:dyDescent="0.3">
      <c r="A222" s="12"/>
      <c r="B222" s="7" t="s">
        <v>702</v>
      </c>
      <c r="C222" s="235">
        <f>SUM(C154:C162)</f>
        <v>9946</v>
      </c>
      <c r="D222" s="322">
        <f>SUM(D154:D162)</f>
        <v>3103</v>
      </c>
      <c r="E222" s="706">
        <f t="shared" si="7"/>
        <v>0.31198471747436157</v>
      </c>
      <c r="F222" s="49">
        <f>SUM(F154:F162)</f>
        <v>1467</v>
      </c>
      <c r="G222" s="49">
        <f t="shared" ref="G222:N222" si="32">SUM(G154:G162)</f>
        <v>1393</v>
      </c>
      <c r="H222" s="49">
        <f t="shared" si="32"/>
        <v>1796</v>
      </c>
      <c r="I222" s="49">
        <f t="shared" si="32"/>
        <v>1534</v>
      </c>
      <c r="J222" s="49">
        <f t="shared" si="32"/>
        <v>1756</v>
      </c>
      <c r="K222" s="49">
        <f t="shared" si="32"/>
        <v>1780</v>
      </c>
      <c r="L222" s="49">
        <f t="shared" si="32"/>
        <v>1263</v>
      </c>
      <c r="M222" s="49">
        <f t="shared" si="32"/>
        <v>1847</v>
      </c>
      <c r="N222" s="49">
        <f t="shared" si="32"/>
        <v>1685</v>
      </c>
      <c r="O222" s="82">
        <f>SUM(O154:O162)</f>
        <v>1392</v>
      </c>
    </row>
    <row r="223" spans="1:15" ht="13" x14ac:dyDescent="0.3">
      <c r="A223" s="12"/>
      <c r="B223" s="7" t="s">
        <v>761</v>
      </c>
      <c r="C223" s="235">
        <f>SUM(C163:C174)</f>
        <v>13943</v>
      </c>
      <c r="D223" s="322">
        <f>SUM(D163:D174)</f>
        <v>4600</v>
      </c>
      <c r="E223" s="706">
        <f t="shared" si="7"/>
        <v>0.32991465251380619</v>
      </c>
      <c r="F223" s="49">
        <f>SUM(F163:F174)</f>
        <v>1779</v>
      </c>
      <c r="G223" s="49">
        <f t="shared" ref="G223:N223" si="33">SUM(G163:G174)</f>
        <v>2027</v>
      </c>
      <c r="H223" s="49">
        <f t="shared" si="33"/>
        <v>2001</v>
      </c>
      <c r="I223" s="49">
        <f t="shared" si="33"/>
        <v>1899</v>
      </c>
      <c r="J223" s="49">
        <f t="shared" si="33"/>
        <v>1903</v>
      </c>
      <c r="K223" s="49">
        <f t="shared" si="33"/>
        <v>2026</v>
      </c>
      <c r="L223" s="49">
        <f t="shared" si="33"/>
        <v>2158</v>
      </c>
      <c r="M223" s="49">
        <f t="shared" si="33"/>
        <v>2058</v>
      </c>
      <c r="N223" s="49">
        <f t="shared" si="33"/>
        <v>1957</v>
      </c>
      <c r="O223" s="82">
        <f>SUM(O163:O174)</f>
        <v>1713</v>
      </c>
    </row>
    <row r="224" spans="1:15" ht="13.5" thickBot="1" x14ac:dyDescent="0.35">
      <c r="A224" s="32"/>
      <c r="B224" s="297" t="s">
        <v>753</v>
      </c>
      <c r="C224" s="286">
        <f>SUM(C175:C193)</f>
        <v>20187</v>
      </c>
      <c r="D224" s="323">
        <f>SUM(D175:D193)</f>
        <v>6518</v>
      </c>
      <c r="E224" s="707">
        <f t="shared" si="7"/>
        <v>0.32288106206964878</v>
      </c>
      <c r="F224" s="245">
        <f>SUM(F175:F193)</f>
        <v>2825</v>
      </c>
      <c r="G224" s="245">
        <f t="shared" ref="G224:N224" si="34">SUM(G175:G193)</f>
        <v>2883</v>
      </c>
      <c r="H224" s="245">
        <f t="shared" si="34"/>
        <v>3337</v>
      </c>
      <c r="I224" s="245">
        <f t="shared" si="34"/>
        <v>3045</v>
      </c>
      <c r="J224" s="245">
        <f t="shared" si="34"/>
        <v>3140</v>
      </c>
      <c r="K224" s="245">
        <f t="shared" si="34"/>
        <v>3310</v>
      </c>
      <c r="L224" s="245">
        <f t="shared" si="34"/>
        <v>2789</v>
      </c>
      <c r="M224" s="245">
        <f t="shared" si="34"/>
        <v>3465</v>
      </c>
      <c r="N224" s="245">
        <f t="shared" si="34"/>
        <v>3129</v>
      </c>
      <c r="O224" s="247">
        <f>SUM(O175:O193)</f>
        <v>2669</v>
      </c>
    </row>
    <row r="225" ht="13" thickTop="1" x14ac:dyDescent="0.25"/>
  </sheetData>
  <mergeCells count="3">
    <mergeCell ref="A1:E2"/>
    <mergeCell ref="F1:O1"/>
    <mergeCell ref="F2:O2"/>
  </mergeCells>
  <pageMargins left="0.32" right="0.38" top="0.75" bottom="0.75" header="0.3" footer="0.3"/>
  <pageSetup paperSize="5" orientation="landscape" r:id="rId1"/>
  <headerFooter>
    <oddFooter>&amp;C&amp;"Californian FB,Italic"(Pg. &amp;P of &amp;N)</oddFooter>
  </headerFooter>
  <ignoredErrors>
    <ignoredError sqref="C199:C224 D199:D224 F199:O224" formulaRange="1"/>
    <ignoredError sqref="E198:E224 E19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453"/>
  <sheetViews>
    <sheetView zoomScaleNormal="100" workbookViewId="0">
      <pane xSplit="7070" ySplit="3590" topLeftCell="F5"/>
      <selection sqref="A1:E3"/>
      <selection pane="topRight" activeCell="K1" sqref="K1"/>
      <selection pane="bottomLeft" sqref="A1:E3"/>
      <selection pane="bottomRight" activeCell="AD134" sqref="AD134"/>
    </sheetView>
  </sheetViews>
  <sheetFormatPr defaultColWidth="9.1796875" defaultRowHeight="12.5" x14ac:dyDescent="0.25"/>
  <cols>
    <col min="1" max="1" width="5.54296875" style="2" bestFit="1" customWidth="1"/>
    <col min="2" max="2" width="24.26953125" style="2" bestFit="1" customWidth="1"/>
    <col min="3" max="4" width="10.81640625" style="311" customWidth="1"/>
    <col min="5" max="5" width="9.1796875" style="903"/>
    <col min="6" max="131" width="11.54296875" style="2" customWidth="1"/>
    <col min="132" max="16384" width="9.1796875" style="2"/>
  </cols>
  <sheetData>
    <row r="1" spans="1:132" s="3" customFormat="1" ht="43.5" customHeight="1" thickTop="1" thickBot="1" x14ac:dyDescent="0.3">
      <c r="A1" s="805" t="s">
        <v>847</v>
      </c>
      <c r="B1" s="806"/>
      <c r="C1" s="806"/>
      <c r="D1" s="806"/>
      <c r="E1" s="807"/>
      <c r="F1" s="778" t="s">
        <v>42</v>
      </c>
      <c r="G1" s="779"/>
      <c r="H1" s="779"/>
      <c r="I1" s="779"/>
      <c r="J1" s="779"/>
      <c r="K1" s="750" t="s">
        <v>54</v>
      </c>
      <c r="L1" s="739"/>
      <c r="M1" s="739"/>
      <c r="N1" s="740"/>
      <c r="O1" s="814"/>
      <c r="P1" s="814"/>
      <c r="Q1" s="814"/>
      <c r="R1" s="815"/>
      <c r="S1" s="816"/>
      <c r="T1" s="758" t="s">
        <v>57</v>
      </c>
      <c r="U1" s="759"/>
      <c r="V1" s="759"/>
      <c r="W1" s="759"/>
      <c r="X1" s="760"/>
      <c r="Y1" s="778" t="s">
        <v>43</v>
      </c>
      <c r="Z1" s="779"/>
      <c r="AA1" s="779"/>
      <c r="AB1" s="779"/>
      <c r="AC1" s="780"/>
      <c r="AD1" s="776" t="s">
        <v>44</v>
      </c>
      <c r="AE1" s="776"/>
      <c r="AF1" s="776"/>
      <c r="AG1" s="777"/>
      <c r="AH1" s="739" t="s">
        <v>45</v>
      </c>
      <c r="AI1" s="774"/>
      <c r="AJ1" s="774"/>
      <c r="AK1" s="774"/>
      <c r="AL1" s="774"/>
      <c r="AM1" s="774"/>
      <c r="AN1" s="775"/>
      <c r="AO1" s="751" t="s">
        <v>46</v>
      </c>
      <c r="AP1" s="751"/>
      <c r="AQ1" s="751"/>
      <c r="AR1" s="753"/>
      <c r="AS1" s="739" t="s">
        <v>47</v>
      </c>
      <c r="AT1" s="739"/>
      <c r="AU1" s="739"/>
      <c r="AV1" s="740"/>
      <c r="AW1" s="741"/>
      <c r="AX1" s="739" t="s">
        <v>48</v>
      </c>
      <c r="AY1" s="739"/>
      <c r="AZ1" s="740"/>
      <c r="BA1" s="741"/>
      <c r="BB1" s="750" t="s">
        <v>49</v>
      </c>
      <c r="BC1" s="739"/>
      <c r="BD1" s="739"/>
      <c r="BE1" s="739"/>
      <c r="BF1" s="741"/>
      <c r="BG1" s="751" t="s">
        <v>55</v>
      </c>
      <c r="BH1" s="752"/>
      <c r="BI1" s="752"/>
      <c r="BJ1" s="753"/>
      <c r="BK1" s="758" t="s">
        <v>50</v>
      </c>
      <c r="BL1" s="759"/>
      <c r="BM1" s="759"/>
      <c r="BN1" s="759"/>
      <c r="BO1" s="759"/>
      <c r="BP1" s="760"/>
      <c r="BQ1" s="761" t="s">
        <v>51</v>
      </c>
      <c r="BR1" s="751"/>
      <c r="BS1" s="751"/>
      <c r="BT1" s="762"/>
      <c r="BU1" s="762"/>
      <c r="BV1" s="762"/>
      <c r="BW1" s="762"/>
      <c r="BX1" s="762"/>
      <c r="BY1" s="762"/>
      <c r="BZ1" s="762"/>
      <c r="CA1" s="762"/>
      <c r="CB1" s="762"/>
      <c r="CC1" s="762"/>
      <c r="CD1" s="762"/>
      <c r="CE1" s="762"/>
      <c r="CF1" s="762"/>
      <c r="CG1" s="762"/>
      <c r="CH1" s="762"/>
      <c r="CI1" s="794" t="s">
        <v>56</v>
      </c>
      <c r="CJ1" s="795"/>
      <c r="CK1" s="795"/>
      <c r="CL1" s="795"/>
      <c r="CM1" s="795"/>
      <c r="CN1" s="795"/>
      <c r="CO1" s="796"/>
      <c r="CP1" s="796"/>
      <c r="CQ1" s="796"/>
      <c r="CR1" s="796"/>
      <c r="CS1" s="796"/>
      <c r="CT1" s="796"/>
      <c r="CU1" s="796"/>
      <c r="CV1" s="796"/>
      <c r="CW1" s="797"/>
      <c r="CX1" s="798"/>
      <c r="CY1" s="776" t="s">
        <v>769</v>
      </c>
      <c r="CZ1" s="776"/>
      <c r="DA1" s="776"/>
      <c r="DB1" s="776"/>
      <c r="DC1" s="776"/>
      <c r="DD1" s="776"/>
      <c r="DE1" s="776"/>
      <c r="DF1" s="776"/>
      <c r="DG1" s="776"/>
      <c r="DH1" s="776"/>
      <c r="DI1" s="776"/>
      <c r="DJ1" s="776"/>
      <c r="DK1" s="777"/>
      <c r="DL1" s="759" t="s">
        <v>52</v>
      </c>
      <c r="DM1" s="759"/>
      <c r="DN1" s="759"/>
      <c r="DO1" s="759"/>
      <c r="DP1" s="759"/>
      <c r="DQ1" s="759"/>
      <c r="DR1" s="759"/>
      <c r="DS1" s="760"/>
      <c r="DT1" s="739" t="s">
        <v>53</v>
      </c>
      <c r="DU1" s="740"/>
      <c r="DV1" s="740"/>
      <c r="DW1" s="740"/>
      <c r="DX1" s="740"/>
      <c r="DY1" s="740"/>
      <c r="DZ1" s="740"/>
      <c r="EA1" s="793"/>
      <c r="EB1" s="21"/>
    </row>
    <row r="2" spans="1:132" s="3" customFormat="1" ht="54.75" customHeight="1" thickTop="1" thickBot="1" x14ac:dyDescent="0.3">
      <c r="A2" s="808"/>
      <c r="B2" s="809"/>
      <c r="C2" s="809"/>
      <c r="D2" s="809"/>
      <c r="E2" s="810"/>
      <c r="F2" s="725" t="s">
        <v>869</v>
      </c>
      <c r="G2" s="817" t="s">
        <v>779</v>
      </c>
      <c r="H2" s="719"/>
      <c r="I2" s="719"/>
      <c r="J2" s="720"/>
      <c r="K2" s="725" t="s">
        <v>870</v>
      </c>
      <c r="L2" s="732"/>
      <c r="M2" s="731" t="s">
        <v>871</v>
      </c>
      <c r="N2" s="735" t="s">
        <v>872</v>
      </c>
      <c r="O2" s="737" t="s">
        <v>880</v>
      </c>
      <c r="P2" s="737"/>
      <c r="Q2" s="737"/>
      <c r="R2" s="737"/>
      <c r="S2" s="763"/>
      <c r="T2" s="781" t="s">
        <v>870</v>
      </c>
      <c r="U2" s="737" t="s">
        <v>881</v>
      </c>
      <c r="V2" s="737"/>
      <c r="W2" s="737"/>
      <c r="X2" s="763"/>
      <c r="Y2" s="772" t="s">
        <v>884</v>
      </c>
      <c r="Z2" s="772"/>
      <c r="AA2" s="772"/>
      <c r="AB2" s="772"/>
      <c r="AC2" s="773"/>
      <c r="AD2" s="781" t="s">
        <v>870</v>
      </c>
      <c r="AE2" s="737" t="s">
        <v>971</v>
      </c>
      <c r="AF2" s="737"/>
      <c r="AG2" s="763"/>
      <c r="AH2" s="743" t="s">
        <v>812</v>
      </c>
      <c r="AI2" s="744"/>
      <c r="AJ2" s="744"/>
      <c r="AK2" s="744"/>
      <c r="AL2" s="744"/>
      <c r="AM2" s="744"/>
      <c r="AN2" s="754"/>
      <c r="AO2" s="743" t="s">
        <v>888</v>
      </c>
      <c r="AP2" s="743"/>
      <c r="AQ2" s="743"/>
      <c r="AR2" s="754"/>
      <c r="AS2" s="743" t="s">
        <v>889</v>
      </c>
      <c r="AT2" s="743"/>
      <c r="AU2" s="743"/>
      <c r="AV2" s="744"/>
      <c r="AW2" s="754"/>
      <c r="AX2" s="743" t="s">
        <v>807</v>
      </c>
      <c r="AY2" s="743"/>
      <c r="AZ2" s="744"/>
      <c r="BA2" s="754"/>
      <c r="BB2" s="725" t="s">
        <v>890</v>
      </c>
      <c r="BC2" s="737"/>
      <c r="BD2" s="737"/>
      <c r="BE2" s="737"/>
      <c r="BF2" s="763"/>
      <c r="BG2" s="725" t="s">
        <v>891</v>
      </c>
      <c r="BH2" s="731" t="s">
        <v>892</v>
      </c>
      <c r="BI2" s="737"/>
      <c r="BJ2" s="763"/>
      <c r="BK2" s="725" t="s">
        <v>870</v>
      </c>
      <c r="BL2" s="732"/>
      <c r="BM2" s="731" t="s">
        <v>896</v>
      </c>
      <c r="BN2" s="737"/>
      <c r="BO2" s="737"/>
      <c r="BP2" s="763"/>
      <c r="BQ2" s="725" t="s">
        <v>984</v>
      </c>
      <c r="BR2" s="742" t="s">
        <v>985</v>
      </c>
      <c r="BS2" s="765"/>
      <c r="BT2" s="742" t="s">
        <v>900</v>
      </c>
      <c r="BU2" s="742" t="s">
        <v>901</v>
      </c>
      <c r="BV2" s="742" t="s">
        <v>905</v>
      </c>
      <c r="BW2" s="743"/>
      <c r="BX2" s="743"/>
      <c r="BY2" s="743"/>
      <c r="BZ2" s="744"/>
      <c r="CA2" s="745"/>
      <c r="CB2" s="768" t="s">
        <v>780</v>
      </c>
      <c r="CC2" s="769"/>
      <c r="CD2" s="769"/>
      <c r="CE2" s="769"/>
      <c r="CF2" s="769"/>
      <c r="CG2" s="769"/>
      <c r="CH2" s="769"/>
      <c r="CI2" s="725" t="s">
        <v>919</v>
      </c>
      <c r="CJ2" s="737"/>
      <c r="CK2" s="731" t="s">
        <v>818</v>
      </c>
      <c r="CL2" s="732"/>
      <c r="CM2" s="735" t="s">
        <v>920</v>
      </c>
      <c r="CN2" s="737" t="s">
        <v>921</v>
      </c>
      <c r="CO2" s="742" t="s">
        <v>819</v>
      </c>
      <c r="CP2" s="743"/>
      <c r="CQ2" s="743"/>
      <c r="CR2" s="745"/>
      <c r="CS2" s="789" t="s">
        <v>822</v>
      </c>
      <c r="CT2" s="789"/>
      <c r="CU2" s="790"/>
      <c r="CV2" s="790"/>
      <c r="CW2" s="791"/>
      <c r="CX2" s="792"/>
      <c r="CY2" s="725" t="s">
        <v>986</v>
      </c>
      <c r="CZ2" s="731" t="s">
        <v>818</v>
      </c>
      <c r="DA2" s="735" t="s">
        <v>920</v>
      </c>
      <c r="DB2" s="737" t="s">
        <v>921</v>
      </c>
      <c r="DC2" s="742" t="s">
        <v>936</v>
      </c>
      <c r="DD2" s="743"/>
      <c r="DE2" s="744"/>
      <c r="DF2" s="803"/>
      <c r="DG2" s="799" t="s">
        <v>987</v>
      </c>
      <c r="DH2" s="789"/>
      <c r="DI2" s="800"/>
      <c r="DJ2" s="800"/>
      <c r="DK2" s="801"/>
      <c r="DL2" s="725" t="s">
        <v>942</v>
      </c>
      <c r="DM2" s="731" t="s">
        <v>1132</v>
      </c>
      <c r="DN2" s="737"/>
      <c r="DO2" s="737"/>
      <c r="DP2" s="737"/>
      <c r="DQ2" s="737"/>
      <c r="DR2" s="737"/>
      <c r="DS2" s="763"/>
      <c r="DT2" s="783" t="s">
        <v>828</v>
      </c>
      <c r="DU2" s="784"/>
      <c r="DV2" s="784"/>
      <c r="DW2" s="784"/>
      <c r="DX2" s="784"/>
      <c r="DY2" s="784"/>
      <c r="DZ2" s="784"/>
      <c r="EA2" s="785"/>
      <c r="EB2" s="21"/>
    </row>
    <row r="3" spans="1:132" s="3" customFormat="1" ht="36.75" customHeight="1" thickBot="1" x14ac:dyDescent="0.3">
      <c r="A3" s="811"/>
      <c r="B3" s="812"/>
      <c r="C3" s="812"/>
      <c r="D3" s="812"/>
      <c r="E3" s="813"/>
      <c r="F3" s="726"/>
      <c r="G3" s="30" t="s">
        <v>806</v>
      </c>
      <c r="H3" s="729" t="s">
        <v>867</v>
      </c>
      <c r="I3" s="730"/>
      <c r="J3" s="30" t="s">
        <v>868</v>
      </c>
      <c r="K3" s="726"/>
      <c r="L3" s="734"/>
      <c r="M3" s="733"/>
      <c r="N3" s="736"/>
      <c r="O3" s="738"/>
      <c r="P3" s="738"/>
      <c r="Q3" s="738"/>
      <c r="R3" s="738"/>
      <c r="S3" s="764"/>
      <c r="T3" s="782"/>
      <c r="U3" s="738"/>
      <c r="V3" s="738"/>
      <c r="W3" s="738"/>
      <c r="X3" s="764"/>
      <c r="Y3" s="772"/>
      <c r="Z3" s="772"/>
      <c r="AA3" s="772"/>
      <c r="AB3" s="772"/>
      <c r="AC3" s="773"/>
      <c r="AD3" s="782"/>
      <c r="AE3" s="738"/>
      <c r="AF3" s="738"/>
      <c r="AG3" s="764"/>
      <c r="AH3" s="755"/>
      <c r="AI3" s="756"/>
      <c r="AJ3" s="756"/>
      <c r="AK3" s="756"/>
      <c r="AL3" s="756"/>
      <c r="AM3" s="756"/>
      <c r="AN3" s="757"/>
      <c r="AO3" s="755"/>
      <c r="AP3" s="755"/>
      <c r="AQ3" s="755"/>
      <c r="AR3" s="757"/>
      <c r="AS3" s="755"/>
      <c r="AT3" s="755"/>
      <c r="AU3" s="755"/>
      <c r="AV3" s="756"/>
      <c r="AW3" s="757"/>
      <c r="AX3" s="755"/>
      <c r="AY3" s="755"/>
      <c r="AZ3" s="756"/>
      <c r="BA3" s="757"/>
      <c r="BB3" s="726"/>
      <c r="BC3" s="738"/>
      <c r="BD3" s="738"/>
      <c r="BE3" s="738"/>
      <c r="BF3" s="764"/>
      <c r="BG3" s="726"/>
      <c r="BH3" s="733"/>
      <c r="BI3" s="738"/>
      <c r="BJ3" s="764"/>
      <c r="BK3" s="726"/>
      <c r="BL3" s="734"/>
      <c r="BM3" s="733"/>
      <c r="BN3" s="738"/>
      <c r="BO3" s="738"/>
      <c r="BP3" s="764"/>
      <c r="BQ3" s="726"/>
      <c r="BR3" s="766"/>
      <c r="BS3" s="767"/>
      <c r="BT3" s="766"/>
      <c r="BU3" s="766"/>
      <c r="BV3" s="746"/>
      <c r="BW3" s="747"/>
      <c r="BX3" s="747"/>
      <c r="BY3" s="747"/>
      <c r="BZ3" s="748"/>
      <c r="CA3" s="749"/>
      <c r="CB3" s="770" t="s">
        <v>817</v>
      </c>
      <c r="CC3" s="771"/>
      <c r="CD3" s="727" t="s">
        <v>794</v>
      </c>
      <c r="CE3" s="728"/>
      <c r="CF3" s="729" t="s">
        <v>898</v>
      </c>
      <c r="CG3" s="730"/>
      <c r="CH3" s="30" t="s">
        <v>899</v>
      </c>
      <c r="CI3" s="726"/>
      <c r="CJ3" s="738"/>
      <c r="CK3" s="733"/>
      <c r="CL3" s="734"/>
      <c r="CM3" s="736"/>
      <c r="CN3" s="738"/>
      <c r="CO3" s="746"/>
      <c r="CP3" s="747"/>
      <c r="CQ3" s="747"/>
      <c r="CR3" s="749"/>
      <c r="CS3" s="31" t="s">
        <v>820</v>
      </c>
      <c r="CT3" s="729" t="s">
        <v>821</v>
      </c>
      <c r="CU3" s="730"/>
      <c r="CV3" s="30" t="s">
        <v>823</v>
      </c>
      <c r="CW3" s="729" t="s">
        <v>824</v>
      </c>
      <c r="CX3" s="802"/>
      <c r="CY3" s="726"/>
      <c r="CZ3" s="733"/>
      <c r="DA3" s="736"/>
      <c r="DB3" s="738"/>
      <c r="DC3" s="746"/>
      <c r="DD3" s="747"/>
      <c r="DE3" s="748"/>
      <c r="DF3" s="804"/>
      <c r="DG3" s="729" t="s">
        <v>979</v>
      </c>
      <c r="DH3" s="730"/>
      <c r="DI3" s="30" t="s">
        <v>789</v>
      </c>
      <c r="DJ3" s="30" t="s">
        <v>825</v>
      </c>
      <c r="DK3" s="39" t="s">
        <v>790</v>
      </c>
      <c r="DL3" s="726"/>
      <c r="DM3" s="733"/>
      <c r="DN3" s="738"/>
      <c r="DO3" s="738"/>
      <c r="DP3" s="738"/>
      <c r="DQ3" s="738"/>
      <c r="DR3" s="738"/>
      <c r="DS3" s="764"/>
      <c r="DT3" s="786"/>
      <c r="DU3" s="787"/>
      <c r="DV3" s="787"/>
      <c r="DW3" s="787"/>
      <c r="DX3" s="787"/>
      <c r="DY3" s="787"/>
      <c r="DZ3" s="787"/>
      <c r="EA3" s="788"/>
      <c r="EB3" s="21"/>
    </row>
    <row r="4" spans="1:132" s="3" customFormat="1" ht="32.5" thickTop="1" thickBot="1" x14ac:dyDescent="0.3">
      <c r="A4" s="38" t="s">
        <v>106</v>
      </c>
      <c r="B4" s="38" t="s">
        <v>107</v>
      </c>
      <c r="C4" s="38" t="s">
        <v>108</v>
      </c>
      <c r="D4" s="37" t="s">
        <v>109</v>
      </c>
      <c r="E4" s="36" t="s">
        <v>110</v>
      </c>
      <c r="F4" s="112" t="s">
        <v>943</v>
      </c>
      <c r="G4" s="114" t="s">
        <v>966</v>
      </c>
      <c r="H4" s="113" t="s">
        <v>1093</v>
      </c>
      <c r="I4" s="113" t="s">
        <v>944</v>
      </c>
      <c r="J4" s="113" t="s">
        <v>945</v>
      </c>
      <c r="K4" s="119" t="s">
        <v>874</v>
      </c>
      <c r="L4" s="112" t="s">
        <v>1077</v>
      </c>
      <c r="M4" s="113" t="s">
        <v>875</v>
      </c>
      <c r="N4" s="127" t="s">
        <v>876</v>
      </c>
      <c r="O4" s="113" t="s">
        <v>873</v>
      </c>
      <c r="P4" s="113" t="s">
        <v>878</v>
      </c>
      <c r="Q4" s="113" t="s">
        <v>1078</v>
      </c>
      <c r="R4" s="123" t="s">
        <v>877</v>
      </c>
      <c r="S4" s="115" t="s">
        <v>879</v>
      </c>
      <c r="T4" s="121" t="s">
        <v>1094</v>
      </c>
      <c r="U4" s="112" t="s">
        <v>882</v>
      </c>
      <c r="V4" s="114" t="s">
        <v>883</v>
      </c>
      <c r="W4" s="114" t="s">
        <v>967</v>
      </c>
      <c r="X4" s="129" t="s">
        <v>1095</v>
      </c>
      <c r="Y4" s="116" t="s">
        <v>970</v>
      </c>
      <c r="Z4" s="116" t="s">
        <v>1097</v>
      </c>
      <c r="AA4" s="116" t="s">
        <v>969</v>
      </c>
      <c r="AB4" s="116" t="s">
        <v>1096</v>
      </c>
      <c r="AC4" s="117" t="s">
        <v>968</v>
      </c>
      <c r="AD4" s="119" t="s">
        <v>1079</v>
      </c>
      <c r="AE4" s="112" t="s">
        <v>885</v>
      </c>
      <c r="AF4" s="113" t="s">
        <v>886</v>
      </c>
      <c r="AG4" s="115" t="s">
        <v>887</v>
      </c>
      <c r="AH4" s="112" t="s">
        <v>1102</v>
      </c>
      <c r="AI4" s="114" t="s">
        <v>1098</v>
      </c>
      <c r="AJ4" s="114" t="s">
        <v>1103</v>
      </c>
      <c r="AK4" s="114" t="s">
        <v>1099</v>
      </c>
      <c r="AL4" s="113" t="s">
        <v>1100</v>
      </c>
      <c r="AM4" s="112" t="s">
        <v>1101</v>
      </c>
      <c r="AN4" s="115" t="s">
        <v>1104</v>
      </c>
      <c r="AO4" s="116" t="s">
        <v>1106</v>
      </c>
      <c r="AP4" s="116" t="s">
        <v>1107</v>
      </c>
      <c r="AQ4" s="116" t="s">
        <v>1108</v>
      </c>
      <c r="AR4" s="117" t="s">
        <v>1105</v>
      </c>
      <c r="AS4" s="126" t="s">
        <v>1110</v>
      </c>
      <c r="AT4" s="125" t="s">
        <v>1109</v>
      </c>
      <c r="AU4" s="126" t="s">
        <v>1111</v>
      </c>
      <c r="AV4" s="131" t="s">
        <v>1112</v>
      </c>
      <c r="AW4" s="132" t="s">
        <v>1113</v>
      </c>
      <c r="AX4" s="112" t="s">
        <v>1114</v>
      </c>
      <c r="AY4" s="113" t="s">
        <v>1117</v>
      </c>
      <c r="AZ4" s="113" t="s">
        <v>1115</v>
      </c>
      <c r="BA4" s="115" t="s">
        <v>1116</v>
      </c>
      <c r="BB4" s="119" t="s">
        <v>1121</v>
      </c>
      <c r="BC4" s="116" t="s">
        <v>1118</v>
      </c>
      <c r="BD4" s="112" t="s">
        <v>1120</v>
      </c>
      <c r="BE4" s="113" t="s">
        <v>1119</v>
      </c>
      <c r="BF4" s="114" t="s">
        <v>972</v>
      </c>
      <c r="BG4" s="121" t="s">
        <v>1080</v>
      </c>
      <c r="BH4" s="113" t="s">
        <v>893</v>
      </c>
      <c r="BI4" s="113" t="s">
        <v>894</v>
      </c>
      <c r="BJ4" s="115" t="s">
        <v>895</v>
      </c>
      <c r="BK4" s="112" t="s">
        <v>973</v>
      </c>
      <c r="BL4" s="113" t="s">
        <v>1122</v>
      </c>
      <c r="BM4" s="116" t="s">
        <v>897</v>
      </c>
      <c r="BN4" s="116" t="s">
        <v>1123</v>
      </c>
      <c r="BO4" s="113" t="s">
        <v>1124</v>
      </c>
      <c r="BP4" s="115" t="s">
        <v>1125</v>
      </c>
      <c r="BQ4" s="121" t="s">
        <v>902</v>
      </c>
      <c r="BR4" s="128" t="s">
        <v>903</v>
      </c>
      <c r="BS4" s="123" t="s">
        <v>1081</v>
      </c>
      <c r="BT4" s="127" t="s">
        <v>974</v>
      </c>
      <c r="BU4" s="127" t="s">
        <v>904</v>
      </c>
      <c r="BV4" s="114" t="s">
        <v>906</v>
      </c>
      <c r="BW4" s="114" t="s">
        <v>907</v>
      </c>
      <c r="BX4" s="114" t="s">
        <v>908</v>
      </c>
      <c r="BY4" s="114" t="s">
        <v>909</v>
      </c>
      <c r="BZ4" s="114" t="s">
        <v>910</v>
      </c>
      <c r="CA4" s="114" t="s">
        <v>911</v>
      </c>
      <c r="CB4" s="113" t="s">
        <v>912</v>
      </c>
      <c r="CC4" s="116" t="s">
        <v>913</v>
      </c>
      <c r="CD4" s="116" t="s">
        <v>914</v>
      </c>
      <c r="CE4" s="113" t="s">
        <v>915</v>
      </c>
      <c r="CF4" s="113" t="s">
        <v>916</v>
      </c>
      <c r="CG4" s="113" t="s">
        <v>917</v>
      </c>
      <c r="CH4" s="123" t="s">
        <v>918</v>
      </c>
      <c r="CI4" s="121" t="s">
        <v>922</v>
      </c>
      <c r="CJ4" s="128" t="s">
        <v>923</v>
      </c>
      <c r="CK4" s="123" t="s">
        <v>977</v>
      </c>
      <c r="CL4" s="122" t="s">
        <v>976</v>
      </c>
      <c r="CM4" s="123" t="s">
        <v>924</v>
      </c>
      <c r="CN4" s="122" t="s">
        <v>925</v>
      </c>
      <c r="CO4" s="123" t="s">
        <v>1082</v>
      </c>
      <c r="CP4" s="123" t="s">
        <v>926</v>
      </c>
      <c r="CQ4" s="123" t="s">
        <v>1083</v>
      </c>
      <c r="CR4" s="123" t="s">
        <v>975</v>
      </c>
      <c r="CS4" s="123" t="s">
        <v>928</v>
      </c>
      <c r="CT4" s="123" t="s">
        <v>927</v>
      </c>
      <c r="CU4" s="123" t="s">
        <v>978</v>
      </c>
      <c r="CV4" s="123" t="s">
        <v>929</v>
      </c>
      <c r="CW4" s="123" t="s">
        <v>931</v>
      </c>
      <c r="CX4" s="133" t="s">
        <v>930</v>
      </c>
      <c r="CY4" s="128" t="s">
        <v>932</v>
      </c>
      <c r="CZ4" s="123" t="s">
        <v>933</v>
      </c>
      <c r="DA4" s="123" t="s">
        <v>934</v>
      </c>
      <c r="DB4" s="122" t="s">
        <v>935</v>
      </c>
      <c r="DC4" s="114" t="s">
        <v>937</v>
      </c>
      <c r="DD4" s="114" t="s">
        <v>938</v>
      </c>
      <c r="DE4" s="114" t="s">
        <v>939</v>
      </c>
      <c r="DF4" s="114" t="s">
        <v>940</v>
      </c>
      <c r="DG4" s="113" t="s">
        <v>941</v>
      </c>
      <c r="DH4" s="112" t="s">
        <v>980</v>
      </c>
      <c r="DI4" s="123" t="s">
        <v>826</v>
      </c>
      <c r="DJ4" s="123" t="s">
        <v>827</v>
      </c>
      <c r="DK4" s="129" t="s">
        <v>795</v>
      </c>
      <c r="DL4" s="128" t="s">
        <v>1126</v>
      </c>
      <c r="DM4" s="123" t="s">
        <v>1127</v>
      </c>
      <c r="DN4" s="122" t="s">
        <v>981</v>
      </c>
      <c r="DO4" s="122" t="s">
        <v>1128</v>
      </c>
      <c r="DP4" s="122" t="s">
        <v>1129</v>
      </c>
      <c r="DQ4" s="122" t="s">
        <v>1130</v>
      </c>
      <c r="DR4" s="122" t="s">
        <v>1131</v>
      </c>
      <c r="DS4" s="134" t="s">
        <v>1133</v>
      </c>
      <c r="DT4" s="116" t="s">
        <v>1134</v>
      </c>
      <c r="DU4" s="116" t="s">
        <v>1135</v>
      </c>
      <c r="DV4" s="116" t="s">
        <v>982</v>
      </c>
      <c r="DW4" s="116" t="s">
        <v>983</v>
      </c>
      <c r="DX4" s="116" t="s">
        <v>1136</v>
      </c>
      <c r="DY4" s="116" t="s">
        <v>1137</v>
      </c>
      <c r="DZ4" s="116" t="s">
        <v>1138</v>
      </c>
      <c r="EA4" s="117" t="s">
        <v>1139</v>
      </c>
      <c r="EB4" s="100"/>
    </row>
    <row r="5" spans="1:132" s="12" customFormat="1" ht="12.75" customHeight="1" thickTop="1" x14ac:dyDescent="0.3">
      <c r="A5" s="28">
        <v>2811</v>
      </c>
      <c r="B5" s="29" t="s">
        <v>320</v>
      </c>
      <c r="C5" s="359">
        <v>862</v>
      </c>
      <c r="D5" s="56">
        <v>557</v>
      </c>
      <c r="E5" s="705">
        <f t="shared" ref="E5:E70" si="0">SUM(D5/C5)</f>
        <v>0.64617169373549888</v>
      </c>
      <c r="F5" s="248">
        <v>371</v>
      </c>
      <c r="G5" s="346">
        <v>394</v>
      </c>
      <c r="H5" s="143"/>
      <c r="I5" s="145"/>
      <c r="J5" s="143"/>
      <c r="K5" s="298"/>
      <c r="L5" s="149"/>
      <c r="M5" s="300"/>
      <c r="N5" s="300"/>
      <c r="O5" s="300"/>
      <c r="P5" s="143"/>
      <c r="Q5" s="299"/>
      <c r="R5" s="188"/>
      <c r="S5" s="147"/>
      <c r="T5" s="308"/>
      <c r="U5" s="329"/>
      <c r="V5" s="329"/>
      <c r="W5" s="299"/>
      <c r="X5" s="147"/>
      <c r="Y5" s="143"/>
      <c r="Z5" s="143"/>
      <c r="AA5" s="143"/>
      <c r="AB5" s="143"/>
      <c r="AC5" s="147"/>
      <c r="AD5" s="308"/>
      <c r="AE5" s="143"/>
      <c r="AF5" s="143"/>
      <c r="AG5" s="147"/>
      <c r="AH5" s="143"/>
      <c r="AI5" s="144"/>
      <c r="AJ5" s="144"/>
      <c r="AK5" s="144"/>
      <c r="AL5" s="144"/>
      <c r="AM5" s="144"/>
      <c r="AN5" s="147"/>
      <c r="AO5" s="143"/>
      <c r="AP5" s="143"/>
      <c r="AQ5" s="143"/>
      <c r="AR5" s="147"/>
      <c r="AS5" s="143"/>
      <c r="AT5" s="143"/>
      <c r="AU5" s="143"/>
      <c r="AV5" s="144"/>
      <c r="AW5" s="147"/>
      <c r="AX5" s="143"/>
      <c r="AY5" s="143"/>
      <c r="AZ5" s="144"/>
      <c r="BA5" s="147"/>
      <c r="BB5" s="143"/>
      <c r="BC5" s="143"/>
      <c r="BD5" s="143"/>
      <c r="BE5" s="143"/>
      <c r="BF5" s="143"/>
      <c r="BG5" s="298"/>
      <c r="BH5" s="466"/>
      <c r="BI5" s="144"/>
      <c r="BJ5" s="147"/>
      <c r="BK5" s="298"/>
      <c r="BL5" s="149"/>
      <c r="BM5" s="143"/>
      <c r="BN5" s="143"/>
      <c r="BO5" s="144"/>
      <c r="BP5" s="146"/>
      <c r="BQ5" s="308"/>
      <c r="BR5" s="143"/>
      <c r="BS5" s="145"/>
      <c r="BT5" s="512"/>
      <c r="BU5" s="512"/>
      <c r="BV5" s="143"/>
      <c r="BW5" s="143"/>
      <c r="BX5" s="143"/>
      <c r="BY5" s="143"/>
      <c r="BZ5" s="144"/>
      <c r="CA5" s="145"/>
      <c r="CB5" s="143"/>
      <c r="CC5" s="145"/>
      <c r="CD5" s="143"/>
      <c r="CE5" s="145"/>
      <c r="CF5" s="149"/>
      <c r="CG5" s="149"/>
      <c r="CH5" s="150"/>
      <c r="CI5" s="298"/>
      <c r="CJ5" s="333"/>
      <c r="CK5" s="329"/>
      <c r="CL5" s="333"/>
      <c r="CM5" s="512"/>
      <c r="CN5" s="512"/>
      <c r="CO5" s="143"/>
      <c r="CP5" s="143"/>
      <c r="CQ5" s="144"/>
      <c r="CR5" s="145"/>
      <c r="CS5" s="150"/>
      <c r="CT5" s="300"/>
      <c r="CU5" s="149"/>
      <c r="CV5" s="300"/>
      <c r="CW5" s="300"/>
      <c r="CX5" s="146"/>
      <c r="CY5" s="308"/>
      <c r="CZ5" s="512"/>
      <c r="DA5" s="512"/>
      <c r="DB5" s="512"/>
      <c r="DC5" s="143"/>
      <c r="DD5" s="143"/>
      <c r="DE5" s="144"/>
      <c r="DF5" s="145"/>
      <c r="DG5" s="150"/>
      <c r="DH5" s="150"/>
      <c r="DI5" s="150"/>
      <c r="DJ5" s="150"/>
      <c r="DK5" s="146"/>
      <c r="DL5" s="298"/>
      <c r="DM5" s="300"/>
      <c r="DN5" s="143"/>
      <c r="DO5" s="143"/>
      <c r="DP5" s="143"/>
      <c r="DQ5" s="143"/>
      <c r="DR5" s="143"/>
      <c r="DS5" s="147"/>
      <c r="DT5" s="143"/>
      <c r="DU5" s="144"/>
      <c r="DV5" s="144"/>
      <c r="DW5" s="144"/>
      <c r="DX5" s="144"/>
      <c r="DY5" s="144"/>
      <c r="DZ5" s="144"/>
      <c r="EA5" s="147"/>
      <c r="EB5" s="19"/>
    </row>
    <row r="6" spans="1:132" s="12" customFormat="1" ht="13" x14ac:dyDescent="0.3">
      <c r="A6" s="10">
        <v>2812</v>
      </c>
      <c r="B6" s="11" t="s">
        <v>321</v>
      </c>
      <c r="C6" s="360">
        <v>1043</v>
      </c>
      <c r="D6" s="54">
        <v>490</v>
      </c>
      <c r="E6" s="706">
        <f t="shared" si="0"/>
        <v>0.46979865771812079</v>
      </c>
      <c r="F6" s="249">
        <v>318</v>
      </c>
      <c r="G6" s="220">
        <v>315</v>
      </c>
      <c r="H6" s="153"/>
      <c r="I6" s="155"/>
      <c r="J6" s="153"/>
      <c r="K6" s="162"/>
      <c r="L6" s="160"/>
      <c r="M6" s="223"/>
      <c r="N6" s="223"/>
      <c r="O6" s="223"/>
      <c r="P6" s="153"/>
      <c r="Q6" s="154"/>
      <c r="R6" s="189"/>
      <c r="S6" s="158"/>
      <c r="T6" s="159"/>
      <c r="U6" s="153"/>
      <c r="V6" s="153"/>
      <c r="W6" s="154"/>
      <c r="X6" s="158"/>
      <c r="Y6" s="153"/>
      <c r="Z6" s="153"/>
      <c r="AA6" s="153"/>
      <c r="AB6" s="153"/>
      <c r="AC6" s="158"/>
      <c r="AD6" s="159"/>
      <c r="AE6" s="153"/>
      <c r="AF6" s="153"/>
      <c r="AG6" s="158"/>
      <c r="AH6" s="153"/>
      <c r="AI6" s="154"/>
      <c r="AJ6" s="154"/>
      <c r="AK6" s="154"/>
      <c r="AL6" s="154"/>
      <c r="AM6" s="154"/>
      <c r="AN6" s="158"/>
      <c r="AO6" s="153"/>
      <c r="AP6" s="153"/>
      <c r="AQ6" s="153"/>
      <c r="AR6" s="158"/>
      <c r="AS6" s="153"/>
      <c r="AT6" s="153"/>
      <c r="AU6" s="153"/>
      <c r="AV6" s="154"/>
      <c r="AW6" s="158"/>
      <c r="AX6" s="153"/>
      <c r="AY6" s="153"/>
      <c r="AZ6" s="154"/>
      <c r="BA6" s="158"/>
      <c r="BB6" s="153"/>
      <c r="BC6" s="153"/>
      <c r="BD6" s="153"/>
      <c r="BE6" s="153"/>
      <c r="BF6" s="153"/>
      <c r="BG6" s="162"/>
      <c r="BH6" s="467"/>
      <c r="BI6" s="154"/>
      <c r="BJ6" s="158"/>
      <c r="BK6" s="162"/>
      <c r="BL6" s="160"/>
      <c r="BM6" s="153"/>
      <c r="BN6" s="153"/>
      <c r="BO6" s="154"/>
      <c r="BP6" s="156"/>
      <c r="BQ6" s="159"/>
      <c r="BR6" s="153"/>
      <c r="BS6" s="155"/>
      <c r="BT6" s="161"/>
      <c r="BU6" s="161"/>
      <c r="BV6" s="153"/>
      <c r="BW6" s="153"/>
      <c r="BX6" s="153"/>
      <c r="BY6" s="153"/>
      <c r="BZ6" s="154"/>
      <c r="CA6" s="155"/>
      <c r="CB6" s="153"/>
      <c r="CC6" s="155"/>
      <c r="CD6" s="153"/>
      <c r="CE6" s="155"/>
      <c r="CF6" s="160"/>
      <c r="CG6" s="160"/>
      <c r="CH6" s="161"/>
      <c r="CI6" s="162"/>
      <c r="CJ6" s="155"/>
      <c r="CK6" s="153"/>
      <c r="CL6" s="155"/>
      <c r="CM6" s="161"/>
      <c r="CN6" s="161"/>
      <c r="CO6" s="153"/>
      <c r="CP6" s="153"/>
      <c r="CQ6" s="154"/>
      <c r="CR6" s="155"/>
      <c r="CS6" s="161"/>
      <c r="CT6" s="223"/>
      <c r="CU6" s="160"/>
      <c r="CV6" s="223"/>
      <c r="CW6" s="223"/>
      <c r="CX6" s="156"/>
      <c r="CY6" s="159"/>
      <c r="CZ6" s="161"/>
      <c r="DA6" s="161"/>
      <c r="DB6" s="161"/>
      <c r="DC6" s="153"/>
      <c r="DD6" s="153"/>
      <c r="DE6" s="154"/>
      <c r="DF6" s="155"/>
      <c r="DG6" s="161"/>
      <c r="DH6" s="161"/>
      <c r="DI6" s="161"/>
      <c r="DJ6" s="161"/>
      <c r="DK6" s="156"/>
      <c r="DL6" s="162"/>
      <c r="DM6" s="223"/>
      <c r="DN6" s="153"/>
      <c r="DO6" s="153"/>
      <c r="DP6" s="153"/>
      <c r="DQ6" s="153"/>
      <c r="DR6" s="153"/>
      <c r="DS6" s="158"/>
      <c r="DT6" s="153"/>
      <c r="DU6" s="154"/>
      <c r="DV6" s="154"/>
      <c r="DW6" s="154"/>
      <c r="DX6" s="154"/>
      <c r="DY6" s="154"/>
      <c r="DZ6" s="154"/>
      <c r="EA6" s="158"/>
      <c r="EB6" s="19"/>
    </row>
    <row r="7" spans="1:132" s="12" customFormat="1" ht="12.75" customHeight="1" x14ac:dyDescent="0.3">
      <c r="A7" s="10">
        <v>2821</v>
      </c>
      <c r="B7" s="11" t="s">
        <v>322</v>
      </c>
      <c r="C7" s="360">
        <v>715</v>
      </c>
      <c r="D7" s="54">
        <v>439</v>
      </c>
      <c r="E7" s="706">
        <f t="shared" si="0"/>
        <v>0.61398601398601393</v>
      </c>
      <c r="F7" s="249">
        <v>297</v>
      </c>
      <c r="G7" s="220"/>
      <c r="H7" s="45"/>
      <c r="I7" s="170"/>
      <c r="J7" s="45"/>
      <c r="K7" s="162"/>
      <c r="L7" s="160"/>
      <c r="M7" s="223"/>
      <c r="N7" s="223"/>
      <c r="O7" s="223"/>
      <c r="P7" s="153"/>
      <c r="Q7" s="154"/>
      <c r="R7" s="189"/>
      <c r="S7" s="158"/>
      <c r="T7" s="159"/>
      <c r="U7" s="153"/>
      <c r="V7" s="153"/>
      <c r="W7" s="154"/>
      <c r="X7" s="158"/>
      <c r="Y7" s="153"/>
      <c r="Z7" s="153"/>
      <c r="AA7" s="153"/>
      <c r="AB7" s="153"/>
      <c r="AC7" s="158"/>
      <c r="AD7" s="159"/>
      <c r="AE7" s="153"/>
      <c r="AF7" s="153"/>
      <c r="AG7" s="158"/>
      <c r="AH7" s="153"/>
      <c r="AI7" s="154"/>
      <c r="AJ7" s="154"/>
      <c r="AK7" s="154"/>
      <c r="AL7" s="154"/>
      <c r="AM7" s="154"/>
      <c r="AN7" s="158"/>
      <c r="AO7" s="153"/>
      <c r="AP7" s="153"/>
      <c r="AQ7" s="153"/>
      <c r="AR7" s="158"/>
      <c r="AS7" s="153"/>
      <c r="AT7" s="153"/>
      <c r="AU7" s="153"/>
      <c r="AV7" s="154"/>
      <c r="AW7" s="158"/>
      <c r="AX7" s="153"/>
      <c r="AY7" s="153"/>
      <c r="AZ7" s="154"/>
      <c r="BA7" s="158"/>
      <c r="BB7" s="153"/>
      <c r="BC7" s="153"/>
      <c r="BD7" s="153"/>
      <c r="BE7" s="153"/>
      <c r="BF7" s="153"/>
      <c r="BG7" s="162"/>
      <c r="BH7" s="467"/>
      <c r="BI7" s="154"/>
      <c r="BJ7" s="158"/>
      <c r="BK7" s="162"/>
      <c r="BL7" s="160"/>
      <c r="BM7" s="153"/>
      <c r="BN7" s="153"/>
      <c r="BO7" s="154"/>
      <c r="BP7" s="156"/>
      <c r="BQ7" s="159"/>
      <c r="BR7" s="153"/>
      <c r="BS7" s="155"/>
      <c r="BT7" s="161"/>
      <c r="BU7" s="161"/>
      <c r="BV7" s="153"/>
      <c r="BW7" s="153"/>
      <c r="BX7" s="153"/>
      <c r="BY7" s="153"/>
      <c r="BZ7" s="154"/>
      <c r="CA7" s="155"/>
      <c r="CB7" s="153"/>
      <c r="CC7" s="155"/>
      <c r="CD7" s="153"/>
      <c r="CE7" s="155"/>
      <c r="CF7" s="160"/>
      <c r="CG7" s="160"/>
      <c r="CH7" s="161"/>
      <c r="CI7" s="162"/>
      <c r="CJ7" s="155"/>
      <c r="CK7" s="153"/>
      <c r="CL7" s="155"/>
      <c r="CM7" s="161"/>
      <c r="CN7" s="161"/>
      <c r="CO7" s="153"/>
      <c r="CP7" s="153"/>
      <c r="CQ7" s="154"/>
      <c r="CR7" s="155"/>
      <c r="CS7" s="161"/>
      <c r="CT7" s="223"/>
      <c r="CU7" s="160"/>
      <c r="CV7" s="223"/>
      <c r="CW7" s="223"/>
      <c r="CX7" s="156"/>
      <c r="CY7" s="159"/>
      <c r="CZ7" s="161"/>
      <c r="DA7" s="161"/>
      <c r="DB7" s="161"/>
      <c r="DC7" s="153"/>
      <c r="DD7" s="153"/>
      <c r="DE7" s="154"/>
      <c r="DF7" s="155"/>
      <c r="DG7" s="161"/>
      <c r="DH7" s="161"/>
      <c r="DI7" s="161"/>
      <c r="DJ7" s="161"/>
      <c r="DK7" s="156"/>
      <c r="DL7" s="162"/>
      <c r="DM7" s="223"/>
      <c r="DN7" s="153"/>
      <c r="DO7" s="153"/>
      <c r="DP7" s="153"/>
      <c r="DQ7" s="153"/>
      <c r="DR7" s="153"/>
      <c r="DS7" s="158"/>
      <c r="DT7" s="153"/>
      <c r="DU7" s="154"/>
      <c r="DV7" s="154"/>
      <c r="DW7" s="154"/>
      <c r="DX7" s="154"/>
      <c r="DY7" s="154"/>
      <c r="DZ7" s="154"/>
      <c r="EA7" s="158"/>
      <c r="EB7" s="19"/>
    </row>
    <row r="8" spans="1:132" s="12" customFormat="1" ht="13" x14ac:dyDescent="0.3">
      <c r="A8" s="10">
        <v>2822</v>
      </c>
      <c r="B8" s="11" t="s">
        <v>323</v>
      </c>
      <c r="C8" s="360">
        <v>679</v>
      </c>
      <c r="D8" s="54">
        <v>409</v>
      </c>
      <c r="E8" s="706">
        <f t="shared" si="0"/>
        <v>0.60235640648011779</v>
      </c>
      <c r="F8" s="249">
        <v>265</v>
      </c>
      <c r="G8" s="220"/>
      <c r="H8" s="45"/>
      <c r="I8" s="170"/>
      <c r="J8" s="45"/>
      <c r="K8" s="162"/>
      <c r="L8" s="160"/>
      <c r="M8" s="223"/>
      <c r="N8" s="223"/>
      <c r="O8" s="223"/>
      <c r="P8" s="153"/>
      <c r="Q8" s="154"/>
      <c r="R8" s="189"/>
      <c r="S8" s="158"/>
      <c r="T8" s="159"/>
      <c r="U8" s="153"/>
      <c r="V8" s="153"/>
      <c r="W8" s="154"/>
      <c r="X8" s="158"/>
      <c r="Y8" s="153"/>
      <c r="Z8" s="153"/>
      <c r="AA8" s="153"/>
      <c r="AB8" s="153"/>
      <c r="AC8" s="158"/>
      <c r="AD8" s="159"/>
      <c r="AE8" s="153"/>
      <c r="AF8" s="153"/>
      <c r="AG8" s="158"/>
      <c r="AH8" s="153"/>
      <c r="AI8" s="154"/>
      <c r="AJ8" s="154"/>
      <c r="AK8" s="154"/>
      <c r="AL8" s="154"/>
      <c r="AM8" s="154"/>
      <c r="AN8" s="158"/>
      <c r="AO8" s="153"/>
      <c r="AP8" s="153"/>
      <c r="AQ8" s="153"/>
      <c r="AR8" s="158"/>
      <c r="AS8" s="153"/>
      <c r="AT8" s="153"/>
      <c r="AU8" s="153"/>
      <c r="AV8" s="154"/>
      <c r="AW8" s="158"/>
      <c r="AX8" s="153"/>
      <c r="AY8" s="153"/>
      <c r="AZ8" s="154"/>
      <c r="BA8" s="158"/>
      <c r="BB8" s="153"/>
      <c r="BC8" s="153"/>
      <c r="BD8" s="153"/>
      <c r="BE8" s="153"/>
      <c r="BF8" s="153"/>
      <c r="BG8" s="162"/>
      <c r="BH8" s="467"/>
      <c r="BI8" s="154"/>
      <c r="BJ8" s="158"/>
      <c r="BK8" s="162"/>
      <c r="BL8" s="160"/>
      <c r="BM8" s="153"/>
      <c r="BN8" s="153"/>
      <c r="BO8" s="154"/>
      <c r="BP8" s="156"/>
      <c r="BQ8" s="159"/>
      <c r="BR8" s="153"/>
      <c r="BS8" s="155"/>
      <c r="BT8" s="161"/>
      <c r="BU8" s="161"/>
      <c r="BV8" s="153"/>
      <c r="BW8" s="153"/>
      <c r="BX8" s="153"/>
      <c r="BY8" s="153"/>
      <c r="BZ8" s="154"/>
      <c r="CA8" s="155"/>
      <c r="CB8" s="153"/>
      <c r="CC8" s="155"/>
      <c r="CD8" s="153"/>
      <c r="CE8" s="155"/>
      <c r="CF8" s="160"/>
      <c r="CG8" s="160"/>
      <c r="CH8" s="161"/>
      <c r="CI8" s="162"/>
      <c r="CJ8" s="155"/>
      <c r="CK8" s="153"/>
      <c r="CL8" s="155"/>
      <c r="CM8" s="161"/>
      <c r="CN8" s="161"/>
      <c r="CO8" s="153"/>
      <c r="CP8" s="153"/>
      <c r="CQ8" s="154"/>
      <c r="CR8" s="155"/>
      <c r="CS8" s="161"/>
      <c r="CT8" s="223"/>
      <c r="CU8" s="160"/>
      <c r="CV8" s="223"/>
      <c r="CW8" s="223"/>
      <c r="CX8" s="156"/>
      <c r="CY8" s="159"/>
      <c r="CZ8" s="161"/>
      <c r="DA8" s="161"/>
      <c r="DB8" s="161"/>
      <c r="DC8" s="153"/>
      <c r="DD8" s="153"/>
      <c r="DE8" s="154"/>
      <c r="DF8" s="155"/>
      <c r="DG8" s="161"/>
      <c r="DH8" s="161"/>
      <c r="DI8" s="161"/>
      <c r="DJ8" s="161"/>
      <c r="DK8" s="156"/>
      <c r="DL8" s="162"/>
      <c r="DM8" s="223"/>
      <c r="DN8" s="153"/>
      <c r="DO8" s="153"/>
      <c r="DP8" s="153"/>
      <c r="DQ8" s="153"/>
      <c r="DR8" s="153"/>
      <c r="DS8" s="158"/>
      <c r="DT8" s="153"/>
      <c r="DU8" s="154"/>
      <c r="DV8" s="154"/>
      <c r="DW8" s="154"/>
      <c r="DX8" s="154"/>
      <c r="DY8" s="154"/>
      <c r="DZ8" s="154"/>
      <c r="EA8" s="158"/>
      <c r="EB8" s="19"/>
    </row>
    <row r="9" spans="1:132" s="12" customFormat="1" ht="12.75" customHeight="1" x14ac:dyDescent="0.3">
      <c r="A9" s="10">
        <v>2823</v>
      </c>
      <c r="B9" s="11" t="s">
        <v>324</v>
      </c>
      <c r="C9" s="360">
        <v>1337</v>
      </c>
      <c r="D9" s="54">
        <v>707</v>
      </c>
      <c r="E9" s="706">
        <f t="shared" si="0"/>
        <v>0.52879581151832455</v>
      </c>
      <c r="F9" s="249">
        <v>493</v>
      </c>
      <c r="G9" s="220"/>
      <c r="H9" s="45"/>
      <c r="I9" s="170"/>
      <c r="J9" s="45"/>
      <c r="K9" s="162"/>
      <c r="L9" s="160"/>
      <c r="M9" s="223"/>
      <c r="N9" s="223"/>
      <c r="O9" s="223"/>
      <c r="P9" s="153"/>
      <c r="Q9" s="154"/>
      <c r="R9" s="189"/>
      <c r="S9" s="158"/>
      <c r="T9" s="159"/>
      <c r="U9" s="153"/>
      <c r="V9" s="153"/>
      <c r="W9" s="154"/>
      <c r="X9" s="158"/>
      <c r="Y9" s="153"/>
      <c r="Z9" s="153"/>
      <c r="AA9" s="153"/>
      <c r="AB9" s="153"/>
      <c r="AC9" s="158"/>
      <c r="AD9" s="159"/>
      <c r="AE9" s="153"/>
      <c r="AF9" s="153"/>
      <c r="AG9" s="158"/>
      <c r="AH9" s="153"/>
      <c r="AI9" s="154"/>
      <c r="AJ9" s="154"/>
      <c r="AK9" s="154"/>
      <c r="AL9" s="154"/>
      <c r="AM9" s="154"/>
      <c r="AN9" s="158"/>
      <c r="AO9" s="153"/>
      <c r="AP9" s="153"/>
      <c r="AQ9" s="153"/>
      <c r="AR9" s="158"/>
      <c r="AS9" s="153"/>
      <c r="AT9" s="153"/>
      <c r="AU9" s="153"/>
      <c r="AV9" s="154"/>
      <c r="AW9" s="158"/>
      <c r="AX9" s="153"/>
      <c r="AY9" s="153"/>
      <c r="AZ9" s="154"/>
      <c r="BA9" s="158"/>
      <c r="BB9" s="153"/>
      <c r="BC9" s="153"/>
      <c r="BD9" s="153"/>
      <c r="BE9" s="153"/>
      <c r="BF9" s="153"/>
      <c r="BG9" s="162"/>
      <c r="BH9" s="467"/>
      <c r="BI9" s="154"/>
      <c r="BJ9" s="158"/>
      <c r="BK9" s="162"/>
      <c r="BL9" s="160"/>
      <c r="BM9" s="153"/>
      <c r="BN9" s="153"/>
      <c r="BO9" s="154"/>
      <c r="BP9" s="156"/>
      <c r="BQ9" s="159"/>
      <c r="BR9" s="153"/>
      <c r="BS9" s="155"/>
      <c r="BT9" s="161"/>
      <c r="BU9" s="161"/>
      <c r="BV9" s="153"/>
      <c r="BW9" s="153"/>
      <c r="BX9" s="153"/>
      <c r="BY9" s="153"/>
      <c r="BZ9" s="154"/>
      <c r="CA9" s="155"/>
      <c r="CB9" s="153"/>
      <c r="CC9" s="155"/>
      <c r="CD9" s="153"/>
      <c r="CE9" s="155"/>
      <c r="CF9" s="160"/>
      <c r="CG9" s="160"/>
      <c r="CH9" s="161"/>
      <c r="CI9" s="162"/>
      <c r="CJ9" s="155"/>
      <c r="CK9" s="153"/>
      <c r="CL9" s="155"/>
      <c r="CM9" s="161"/>
      <c r="CN9" s="161"/>
      <c r="CO9" s="153"/>
      <c r="CP9" s="153"/>
      <c r="CQ9" s="154"/>
      <c r="CR9" s="155"/>
      <c r="CS9" s="161"/>
      <c r="CT9" s="223"/>
      <c r="CU9" s="160"/>
      <c r="CV9" s="223"/>
      <c r="CW9" s="223"/>
      <c r="CX9" s="156"/>
      <c r="CY9" s="159"/>
      <c r="CZ9" s="161"/>
      <c r="DA9" s="161"/>
      <c r="DB9" s="161"/>
      <c r="DC9" s="153"/>
      <c r="DD9" s="153"/>
      <c r="DE9" s="154"/>
      <c r="DF9" s="155"/>
      <c r="DG9" s="161"/>
      <c r="DH9" s="161"/>
      <c r="DI9" s="161"/>
      <c r="DJ9" s="161"/>
      <c r="DK9" s="156"/>
      <c r="DL9" s="162"/>
      <c r="DM9" s="223"/>
      <c r="DN9" s="153"/>
      <c r="DO9" s="153"/>
      <c r="DP9" s="153"/>
      <c r="DQ9" s="153"/>
      <c r="DR9" s="153"/>
      <c r="DS9" s="158"/>
      <c r="DT9" s="153"/>
      <c r="DU9" s="154"/>
      <c r="DV9" s="154"/>
      <c r="DW9" s="154"/>
      <c r="DX9" s="154"/>
      <c r="DY9" s="154"/>
      <c r="DZ9" s="154"/>
      <c r="EA9" s="158"/>
      <c r="EB9" s="19"/>
    </row>
    <row r="10" spans="1:132" s="12" customFormat="1" ht="13" x14ac:dyDescent="0.3">
      <c r="A10" s="10">
        <v>2831</v>
      </c>
      <c r="B10" s="11" t="s">
        <v>325</v>
      </c>
      <c r="C10" s="360">
        <v>1033</v>
      </c>
      <c r="D10" s="54">
        <v>588</v>
      </c>
      <c r="E10" s="706">
        <f t="shared" si="0"/>
        <v>0.56921587608906099</v>
      </c>
      <c r="F10" s="249">
        <v>389</v>
      </c>
      <c r="G10" s="220"/>
      <c r="H10" s="171">
        <v>205</v>
      </c>
      <c r="I10" s="174">
        <v>301</v>
      </c>
      <c r="J10" s="171"/>
      <c r="K10" s="162"/>
      <c r="L10" s="160"/>
      <c r="M10" s="223"/>
      <c r="N10" s="223"/>
      <c r="O10" s="223"/>
      <c r="P10" s="153"/>
      <c r="Q10" s="154"/>
      <c r="R10" s="189"/>
      <c r="S10" s="158"/>
      <c r="T10" s="159"/>
      <c r="U10" s="153"/>
      <c r="V10" s="153"/>
      <c r="W10" s="154"/>
      <c r="X10" s="158"/>
      <c r="Y10" s="153"/>
      <c r="Z10" s="153"/>
      <c r="AA10" s="153"/>
      <c r="AB10" s="153"/>
      <c r="AC10" s="158"/>
      <c r="AD10" s="159"/>
      <c r="AE10" s="153"/>
      <c r="AF10" s="153"/>
      <c r="AG10" s="158"/>
      <c r="AH10" s="153"/>
      <c r="AI10" s="154"/>
      <c r="AJ10" s="154"/>
      <c r="AK10" s="154"/>
      <c r="AL10" s="154"/>
      <c r="AM10" s="154"/>
      <c r="AN10" s="158"/>
      <c r="AO10" s="153"/>
      <c r="AP10" s="153"/>
      <c r="AQ10" s="153"/>
      <c r="AR10" s="158"/>
      <c r="AS10" s="153"/>
      <c r="AT10" s="153"/>
      <c r="AU10" s="153"/>
      <c r="AV10" s="154"/>
      <c r="AW10" s="158"/>
      <c r="AX10" s="153"/>
      <c r="AY10" s="153"/>
      <c r="AZ10" s="154"/>
      <c r="BA10" s="158"/>
      <c r="BB10" s="153"/>
      <c r="BC10" s="153"/>
      <c r="BD10" s="153"/>
      <c r="BE10" s="153"/>
      <c r="BF10" s="153"/>
      <c r="BG10" s="162"/>
      <c r="BH10" s="467"/>
      <c r="BI10" s="154"/>
      <c r="BJ10" s="158"/>
      <c r="BK10" s="162"/>
      <c r="BL10" s="160"/>
      <c r="BM10" s="153"/>
      <c r="BN10" s="153"/>
      <c r="BO10" s="154"/>
      <c r="BP10" s="156"/>
      <c r="BQ10" s="159"/>
      <c r="BR10" s="153"/>
      <c r="BS10" s="155"/>
      <c r="BT10" s="161"/>
      <c r="BU10" s="161"/>
      <c r="BV10" s="153"/>
      <c r="BW10" s="153"/>
      <c r="BX10" s="153"/>
      <c r="BY10" s="153"/>
      <c r="BZ10" s="154"/>
      <c r="CA10" s="155"/>
      <c r="CB10" s="153"/>
      <c r="CC10" s="155"/>
      <c r="CD10" s="153"/>
      <c r="CE10" s="155"/>
      <c r="CF10" s="160"/>
      <c r="CG10" s="160"/>
      <c r="CH10" s="161"/>
      <c r="CI10" s="162"/>
      <c r="CJ10" s="155"/>
      <c r="CK10" s="153"/>
      <c r="CL10" s="155"/>
      <c r="CM10" s="161"/>
      <c r="CN10" s="161"/>
      <c r="CO10" s="153"/>
      <c r="CP10" s="153"/>
      <c r="CQ10" s="154"/>
      <c r="CR10" s="155"/>
      <c r="CS10" s="161"/>
      <c r="CT10" s="223"/>
      <c r="CU10" s="160"/>
      <c r="CV10" s="223"/>
      <c r="CW10" s="223"/>
      <c r="CX10" s="156"/>
      <c r="CY10" s="159"/>
      <c r="CZ10" s="161"/>
      <c r="DA10" s="161"/>
      <c r="DB10" s="161"/>
      <c r="DC10" s="153"/>
      <c r="DD10" s="153"/>
      <c r="DE10" s="154"/>
      <c r="DF10" s="155"/>
      <c r="DG10" s="161"/>
      <c r="DH10" s="161"/>
      <c r="DI10" s="161"/>
      <c r="DJ10" s="161"/>
      <c r="DK10" s="156"/>
      <c r="DL10" s="162"/>
      <c r="DM10" s="223"/>
      <c r="DN10" s="153"/>
      <c r="DO10" s="153"/>
      <c r="DP10" s="153"/>
      <c r="DQ10" s="153"/>
      <c r="DR10" s="153"/>
      <c r="DS10" s="158"/>
      <c r="DT10" s="153"/>
      <c r="DU10" s="154"/>
      <c r="DV10" s="154"/>
      <c r="DW10" s="154"/>
      <c r="DX10" s="154"/>
      <c r="DY10" s="154"/>
      <c r="DZ10" s="154"/>
      <c r="EA10" s="158"/>
      <c r="EB10" s="19"/>
    </row>
    <row r="11" spans="1:132" s="12" customFormat="1" ht="12.75" customHeight="1" x14ac:dyDescent="0.3">
      <c r="A11" s="10">
        <v>2832</v>
      </c>
      <c r="B11" s="11" t="s">
        <v>326</v>
      </c>
      <c r="C11" s="360">
        <v>812</v>
      </c>
      <c r="D11" s="54">
        <v>545</v>
      </c>
      <c r="E11" s="706">
        <f t="shared" si="0"/>
        <v>0.6711822660098522</v>
      </c>
      <c r="F11" s="249">
        <v>359</v>
      </c>
      <c r="G11" s="220"/>
      <c r="H11" s="153">
        <v>266</v>
      </c>
      <c r="I11" s="155">
        <v>232</v>
      </c>
      <c r="J11" s="153"/>
      <c r="K11" s="162"/>
      <c r="L11" s="160"/>
      <c r="M11" s="223"/>
      <c r="N11" s="223"/>
      <c r="O11" s="223"/>
      <c r="P11" s="153"/>
      <c r="Q11" s="154"/>
      <c r="R11" s="189"/>
      <c r="S11" s="158"/>
      <c r="T11" s="159"/>
      <c r="U11" s="153"/>
      <c r="V11" s="153"/>
      <c r="W11" s="154"/>
      <c r="X11" s="158"/>
      <c r="Y11" s="153"/>
      <c r="Z11" s="153"/>
      <c r="AA11" s="153"/>
      <c r="AB11" s="153"/>
      <c r="AC11" s="158"/>
      <c r="AD11" s="159"/>
      <c r="AE11" s="153"/>
      <c r="AF11" s="153"/>
      <c r="AG11" s="158"/>
      <c r="AH11" s="153"/>
      <c r="AI11" s="154"/>
      <c r="AJ11" s="154"/>
      <c r="AK11" s="154"/>
      <c r="AL11" s="154"/>
      <c r="AM11" s="154"/>
      <c r="AN11" s="158"/>
      <c r="AO11" s="153"/>
      <c r="AP11" s="153"/>
      <c r="AQ11" s="153"/>
      <c r="AR11" s="158"/>
      <c r="AS11" s="153"/>
      <c r="AT11" s="153"/>
      <c r="AU11" s="153"/>
      <c r="AV11" s="154"/>
      <c r="AW11" s="158"/>
      <c r="AX11" s="153"/>
      <c r="AY11" s="153"/>
      <c r="AZ11" s="154"/>
      <c r="BA11" s="158"/>
      <c r="BB11" s="153"/>
      <c r="BC11" s="153"/>
      <c r="BD11" s="153"/>
      <c r="BE11" s="153"/>
      <c r="BF11" s="153"/>
      <c r="BG11" s="162"/>
      <c r="BH11" s="467"/>
      <c r="BI11" s="154"/>
      <c r="BJ11" s="158"/>
      <c r="BK11" s="162"/>
      <c r="BL11" s="160"/>
      <c r="BM11" s="153"/>
      <c r="BN11" s="153"/>
      <c r="BO11" s="154"/>
      <c r="BP11" s="156"/>
      <c r="BQ11" s="159"/>
      <c r="BR11" s="153"/>
      <c r="BS11" s="155"/>
      <c r="BT11" s="161"/>
      <c r="BU11" s="161"/>
      <c r="BV11" s="153"/>
      <c r="BW11" s="153"/>
      <c r="BX11" s="153"/>
      <c r="BY11" s="153"/>
      <c r="BZ11" s="154"/>
      <c r="CA11" s="155"/>
      <c r="CB11" s="153"/>
      <c r="CC11" s="155"/>
      <c r="CD11" s="153"/>
      <c r="CE11" s="155"/>
      <c r="CF11" s="160"/>
      <c r="CG11" s="160"/>
      <c r="CH11" s="161"/>
      <c r="CI11" s="162"/>
      <c r="CJ11" s="155"/>
      <c r="CK11" s="153"/>
      <c r="CL11" s="155"/>
      <c r="CM11" s="161"/>
      <c r="CN11" s="161"/>
      <c r="CO11" s="153"/>
      <c r="CP11" s="153"/>
      <c r="CQ11" s="154"/>
      <c r="CR11" s="155"/>
      <c r="CS11" s="161"/>
      <c r="CT11" s="223"/>
      <c r="CU11" s="160"/>
      <c r="CV11" s="223"/>
      <c r="CW11" s="223"/>
      <c r="CX11" s="156"/>
      <c r="CY11" s="159"/>
      <c r="CZ11" s="161"/>
      <c r="DA11" s="161"/>
      <c r="DB11" s="161"/>
      <c r="DC11" s="153"/>
      <c r="DD11" s="153"/>
      <c r="DE11" s="154"/>
      <c r="DF11" s="155"/>
      <c r="DG11" s="161"/>
      <c r="DH11" s="161"/>
      <c r="DI11" s="161"/>
      <c r="DJ11" s="161"/>
      <c r="DK11" s="156"/>
      <c r="DL11" s="162"/>
      <c r="DM11" s="223"/>
      <c r="DN11" s="153"/>
      <c r="DO11" s="153"/>
      <c r="DP11" s="153"/>
      <c r="DQ11" s="153"/>
      <c r="DR11" s="153"/>
      <c r="DS11" s="158"/>
      <c r="DT11" s="153"/>
      <c r="DU11" s="154"/>
      <c r="DV11" s="154"/>
      <c r="DW11" s="154"/>
      <c r="DX11" s="154"/>
      <c r="DY11" s="154"/>
      <c r="DZ11" s="154"/>
      <c r="EA11" s="158"/>
      <c r="EB11" s="19"/>
    </row>
    <row r="12" spans="1:132" s="12" customFormat="1" ht="13" x14ac:dyDescent="0.3">
      <c r="A12" s="10">
        <v>2841</v>
      </c>
      <c r="B12" s="11" t="s">
        <v>327</v>
      </c>
      <c r="C12" s="360">
        <v>1038</v>
      </c>
      <c r="D12" s="54">
        <v>500</v>
      </c>
      <c r="E12" s="706">
        <f t="shared" si="0"/>
        <v>0.48169556840077071</v>
      </c>
      <c r="F12" s="249">
        <v>330</v>
      </c>
      <c r="G12" s="220"/>
      <c r="H12" s="153"/>
      <c r="I12" s="155"/>
      <c r="J12" s="153"/>
      <c r="K12" s="162"/>
      <c r="L12" s="160"/>
      <c r="M12" s="223"/>
      <c r="N12" s="223"/>
      <c r="O12" s="223"/>
      <c r="P12" s="153"/>
      <c r="Q12" s="154"/>
      <c r="R12" s="189"/>
      <c r="S12" s="158"/>
      <c r="T12" s="159"/>
      <c r="U12" s="153"/>
      <c r="V12" s="153"/>
      <c r="W12" s="154"/>
      <c r="X12" s="158"/>
      <c r="Y12" s="153"/>
      <c r="Z12" s="153"/>
      <c r="AA12" s="153"/>
      <c r="AB12" s="153"/>
      <c r="AC12" s="158"/>
      <c r="AD12" s="159"/>
      <c r="AE12" s="153"/>
      <c r="AF12" s="153"/>
      <c r="AG12" s="158"/>
      <c r="AH12" s="153"/>
      <c r="AI12" s="154"/>
      <c r="AJ12" s="154"/>
      <c r="AK12" s="154"/>
      <c r="AL12" s="154"/>
      <c r="AM12" s="154"/>
      <c r="AN12" s="158"/>
      <c r="AO12" s="153"/>
      <c r="AP12" s="153"/>
      <c r="AQ12" s="153"/>
      <c r="AR12" s="158"/>
      <c r="AS12" s="153"/>
      <c r="AT12" s="153"/>
      <c r="AU12" s="153"/>
      <c r="AV12" s="154"/>
      <c r="AW12" s="158"/>
      <c r="AX12" s="153"/>
      <c r="AY12" s="153"/>
      <c r="AZ12" s="154"/>
      <c r="BA12" s="158"/>
      <c r="BB12" s="153"/>
      <c r="BC12" s="153"/>
      <c r="BD12" s="153"/>
      <c r="BE12" s="153"/>
      <c r="BF12" s="153"/>
      <c r="BG12" s="162"/>
      <c r="BH12" s="467"/>
      <c r="BI12" s="154"/>
      <c r="BJ12" s="158"/>
      <c r="BK12" s="162"/>
      <c r="BL12" s="160"/>
      <c r="BM12" s="153"/>
      <c r="BN12" s="153"/>
      <c r="BO12" s="154"/>
      <c r="BP12" s="156"/>
      <c r="BQ12" s="159"/>
      <c r="BR12" s="153"/>
      <c r="BS12" s="155"/>
      <c r="BT12" s="161"/>
      <c r="BU12" s="161"/>
      <c r="BV12" s="153"/>
      <c r="BW12" s="153"/>
      <c r="BX12" s="153"/>
      <c r="BY12" s="153"/>
      <c r="BZ12" s="154"/>
      <c r="CA12" s="155"/>
      <c r="CB12" s="153"/>
      <c r="CC12" s="155"/>
      <c r="CD12" s="153"/>
      <c r="CE12" s="155"/>
      <c r="CF12" s="160"/>
      <c r="CG12" s="160"/>
      <c r="CH12" s="161"/>
      <c r="CI12" s="162"/>
      <c r="CJ12" s="155"/>
      <c r="CK12" s="153"/>
      <c r="CL12" s="155"/>
      <c r="CM12" s="161"/>
      <c r="CN12" s="161"/>
      <c r="CO12" s="153"/>
      <c r="CP12" s="153"/>
      <c r="CQ12" s="154"/>
      <c r="CR12" s="155"/>
      <c r="CS12" s="161"/>
      <c r="CT12" s="223"/>
      <c r="CU12" s="160"/>
      <c r="CV12" s="223"/>
      <c r="CW12" s="223"/>
      <c r="CX12" s="156"/>
      <c r="CY12" s="159"/>
      <c r="CZ12" s="161"/>
      <c r="DA12" s="161"/>
      <c r="DB12" s="161"/>
      <c r="DC12" s="153"/>
      <c r="DD12" s="153"/>
      <c r="DE12" s="154"/>
      <c r="DF12" s="155"/>
      <c r="DG12" s="161"/>
      <c r="DH12" s="161"/>
      <c r="DI12" s="161"/>
      <c r="DJ12" s="161"/>
      <c r="DK12" s="156"/>
      <c r="DL12" s="162"/>
      <c r="DM12" s="223"/>
      <c r="DN12" s="153"/>
      <c r="DO12" s="153"/>
      <c r="DP12" s="153"/>
      <c r="DQ12" s="153"/>
      <c r="DR12" s="153"/>
      <c r="DS12" s="158"/>
      <c r="DT12" s="153"/>
      <c r="DU12" s="154"/>
      <c r="DV12" s="154"/>
      <c r="DW12" s="154"/>
      <c r="DX12" s="154"/>
      <c r="DY12" s="154"/>
      <c r="DZ12" s="154"/>
      <c r="EA12" s="158"/>
      <c r="EB12" s="19"/>
    </row>
    <row r="13" spans="1:132" s="12" customFormat="1" ht="12.75" customHeight="1" x14ac:dyDescent="0.3">
      <c r="A13" s="10">
        <v>2842</v>
      </c>
      <c r="B13" s="11" t="s">
        <v>770</v>
      </c>
      <c r="C13" s="360">
        <v>1000</v>
      </c>
      <c r="D13" s="54">
        <v>635</v>
      </c>
      <c r="E13" s="706">
        <f t="shared" si="0"/>
        <v>0.63500000000000001</v>
      </c>
      <c r="F13" s="249">
        <v>411</v>
      </c>
      <c r="G13" s="220"/>
      <c r="H13" s="153"/>
      <c r="I13" s="155"/>
      <c r="J13" s="153"/>
      <c r="K13" s="162"/>
      <c r="L13" s="160"/>
      <c r="M13" s="223"/>
      <c r="N13" s="223"/>
      <c r="O13" s="223"/>
      <c r="P13" s="153"/>
      <c r="Q13" s="154"/>
      <c r="R13" s="189"/>
      <c r="S13" s="158"/>
      <c r="T13" s="159"/>
      <c r="U13" s="153"/>
      <c r="V13" s="153"/>
      <c r="W13" s="154"/>
      <c r="X13" s="158"/>
      <c r="Y13" s="153"/>
      <c r="Z13" s="153"/>
      <c r="AA13" s="153"/>
      <c r="AB13" s="153"/>
      <c r="AC13" s="158"/>
      <c r="AD13" s="159"/>
      <c r="AE13" s="153"/>
      <c r="AF13" s="153"/>
      <c r="AG13" s="158"/>
      <c r="AH13" s="153"/>
      <c r="AI13" s="154"/>
      <c r="AJ13" s="154"/>
      <c r="AK13" s="154"/>
      <c r="AL13" s="154"/>
      <c r="AM13" s="154"/>
      <c r="AN13" s="158"/>
      <c r="AO13" s="153"/>
      <c r="AP13" s="153"/>
      <c r="AQ13" s="153"/>
      <c r="AR13" s="158"/>
      <c r="AS13" s="153"/>
      <c r="AT13" s="153"/>
      <c r="AU13" s="153"/>
      <c r="AV13" s="154"/>
      <c r="AW13" s="158"/>
      <c r="AX13" s="153"/>
      <c r="AY13" s="153"/>
      <c r="AZ13" s="154"/>
      <c r="BA13" s="158"/>
      <c r="BB13" s="153"/>
      <c r="BC13" s="153"/>
      <c r="BD13" s="153"/>
      <c r="BE13" s="153"/>
      <c r="BF13" s="153"/>
      <c r="BG13" s="162"/>
      <c r="BH13" s="467"/>
      <c r="BI13" s="154"/>
      <c r="BJ13" s="158"/>
      <c r="BK13" s="162"/>
      <c r="BL13" s="160"/>
      <c r="BM13" s="153"/>
      <c r="BN13" s="153"/>
      <c r="BO13" s="154"/>
      <c r="BP13" s="156"/>
      <c r="BQ13" s="159"/>
      <c r="BR13" s="153"/>
      <c r="BS13" s="155"/>
      <c r="BT13" s="161"/>
      <c r="BU13" s="161"/>
      <c r="BV13" s="153"/>
      <c r="BW13" s="153"/>
      <c r="BX13" s="153"/>
      <c r="BY13" s="153"/>
      <c r="BZ13" s="154"/>
      <c r="CA13" s="155"/>
      <c r="CB13" s="153"/>
      <c r="CC13" s="155"/>
      <c r="CD13" s="153"/>
      <c r="CE13" s="155"/>
      <c r="CF13" s="160"/>
      <c r="CG13" s="160"/>
      <c r="CH13" s="161"/>
      <c r="CI13" s="162"/>
      <c r="CJ13" s="155"/>
      <c r="CK13" s="153"/>
      <c r="CL13" s="155"/>
      <c r="CM13" s="161"/>
      <c r="CN13" s="161"/>
      <c r="CO13" s="153"/>
      <c r="CP13" s="153"/>
      <c r="CQ13" s="154"/>
      <c r="CR13" s="155"/>
      <c r="CS13" s="161"/>
      <c r="CT13" s="223"/>
      <c r="CU13" s="160"/>
      <c r="CV13" s="223"/>
      <c r="CW13" s="223"/>
      <c r="CX13" s="156"/>
      <c r="CY13" s="159"/>
      <c r="CZ13" s="161"/>
      <c r="DA13" s="161"/>
      <c r="DB13" s="161"/>
      <c r="DC13" s="153"/>
      <c r="DD13" s="153"/>
      <c r="DE13" s="154"/>
      <c r="DF13" s="155"/>
      <c r="DG13" s="161"/>
      <c r="DH13" s="161"/>
      <c r="DI13" s="161"/>
      <c r="DJ13" s="161"/>
      <c r="DK13" s="156"/>
      <c r="DL13" s="162"/>
      <c r="DM13" s="223"/>
      <c r="DN13" s="153"/>
      <c r="DO13" s="153"/>
      <c r="DP13" s="153"/>
      <c r="DQ13" s="153"/>
      <c r="DR13" s="153"/>
      <c r="DS13" s="158"/>
      <c r="DT13" s="153"/>
      <c r="DU13" s="154"/>
      <c r="DV13" s="154"/>
      <c r="DW13" s="154"/>
      <c r="DX13" s="154"/>
      <c r="DY13" s="154"/>
      <c r="DZ13" s="154"/>
      <c r="EA13" s="158"/>
      <c r="EB13" s="19"/>
    </row>
    <row r="14" spans="1:132" s="12" customFormat="1" ht="13" x14ac:dyDescent="0.3">
      <c r="A14" s="10">
        <v>2851</v>
      </c>
      <c r="B14" s="11" t="s">
        <v>328</v>
      </c>
      <c r="C14" s="360">
        <v>1059</v>
      </c>
      <c r="D14" s="54">
        <v>739</v>
      </c>
      <c r="E14" s="706">
        <f t="shared" si="0"/>
        <v>0.69782813975448532</v>
      </c>
      <c r="F14" s="249">
        <v>508</v>
      </c>
      <c r="G14" s="220"/>
      <c r="H14" s="153"/>
      <c r="I14" s="155"/>
      <c r="J14" s="153">
        <v>563</v>
      </c>
      <c r="K14" s="162"/>
      <c r="L14" s="160"/>
      <c r="M14" s="223"/>
      <c r="N14" s="223"/>
      <c r="O14" s="223"/>
      <c r="P14" s="153"/>
      <c r="Q14" s="154"/>
      <c r="R14" s="189"/>
      <c r="S14" s="158"/>
      <c r="T14" s="159"/>
      <c r="U14" s="153"/>
      <c r="V14" s="153"/>
      <c r="W14" s="154"/>
      <c r="X14" s="158"/>
      <c r="Y14" s="153"/>
      <c r="Z14" s="153"/>
      <c r="AA14" s="153"/>
      <c r="AB14" s="153"/>
      <c r="AC14" s="158"/>
      <c r="AD14" s="159"/>
      <c r="AE14" s="153"/>
      <c r="AF14" s="153"/>
      <c r="AG14" s="158"/>
      <c r="AH14" s="153"/>
      <c r="AI14" s="154"/>
      <c r="AJ14" s="154"/>
      <c r="AK14" s="154"/>
      <c r="AL14" s="154"/>
      <c r="AM14" s="154"/>
      <c r="AN14" s="158"/>
      <c r="AO14" s="153"/>
      <c r="AP14" s="153"/>
      <c r="AQ14" s="153"/>
      <c r="AR14" s="158"/>
      <c r="AS14" s="153"/>
      <c r="AT14" s="153"/>
      <c r="AU14" s="153"/>
      <c r="AV14" s="154"/>
      <c r="AW14" s="158"/>
      <c r="AX14" s="153"/>
      <c r="AY14" s="153"/>
      <c r="AZ14" s="154"/>
      <c r="BA14" s="158"/>
      <c r="BB14" s="153"/>
      <c r="BC14" s="153"/>
      <c r="BD14" s="153"/>
      <c r="BE14" s="153"/>
      <c r="BF14" s="153"/>
      <c r="BG14" s="162"/>
      <c r="BH14" s="467"/>
      <c r="BI14" s="154"/>
      <c r="BJ14" s="158"/>
      <c r="BK14" s="162"/>
      <c r="BL14" s="160"/>
      <c r="BM14" s="153"/>
      <c r="BN14" s="153"/>
      <c r="BO14" s="154"/>
      <c r="BP14" s="156"/>
      <c r="BQ14" s="159"/>
      <c r="BR14" s="153"/>
      <c r="BS14" s="155"/>
      <c r="BT14" s="161"/>
      <c r="BU14" s="161"/>
      <c r="BV14" s="153"/>
      <c r="BW14" s="153"/>
      <c r="BX14" s="153"/>
      <c r="BY14" s="153"/>
      <c r="BZ14" s="154"/>
      <c r="CA14" s="155"/>
      <c r="CB14" s="153"/>
      <c r="CC14" s="155"/>
      <c r="CD14" s="153"/>
      <c r="CE14" s="155"/>
      <c r="CF14" s="160"/>
      <c r="CG14" s="160"/>
      <c r="CH14" s="161"/>
      <c r="CI14" s="162"/>
      <c r="CJ14" s="155"/>
      <c r="CK14" s="153"/>
      <c r="CL14" s="155"/>
      <c r="CM14" s="161"/>
      <c r="CN14" s="161"/>
      <c r="CO14" s="153"/>
      <c r="CP14" s="153"/>
      <c r="CQ14" s="154"/>
      <c r="CR14" s="155"/>
      <c r="CS14" s="161"/>
      <c r="CT14" s="223"/>
      <c r="CU14" s="160"/>
      <c r="CV14" s="223"/>
      <c r="CW14" s="223"/>
      <c r="CX14" s="156"/>
      <c r="CY14" s="159"/>
      <c r="CZ14" s="161"/>
      <c r="DA14" s="161"/>
      <c r="DB14" s="161"/>
      <c r="DC14" s="153"/>
      <c r="DD14" s="153"/>
      <c r="DE14" s="154"/>
      <c r="DF14" s="155"/>
      <c r="DG14" s="161"/>
      <c r="DH14" s="161"/>
      <c r="DI14" s="161"/>
      <c r="DJ14" s="161"/>
      <c r="DK14" s="156"/>
      <c r="DL14" s="162"/>
      <c r="DM14" s="223"/>
      <c r="DN14" s="153"/>
      <c r="DO14" s="153"/>
      <c r="DP14" s="153"/>
      <c r="DQ14" s="153"/>
      <c r="DR14" s="153"/>
      <c r="DS14" s="158"/>
      <c r="DT14" s="153"/>
      <c r="DU14" s="154"/>
      <c r="DV14" s="154"/>
      <c r="DW14" s="154"/>
      <c r="DX14" s="154"/>
      <c r="DY14" s="154"/>
      <c r="DZ14" s="154"/>
      <c r="EA14" s="158"/>
      <c r="EB14" s="19"/>
    </row>
    <row r="15" spans="1:132" s="12" customFormat="1" ht="12.75" customHeight="1" x14ac:dyDescent="0.3">
      <c r="A15" s="10">
        <v>2852</v>
      </c>
      <c r="B15" s="11" t="s">
        <v>329</v>
      </c>
      <c r="C15" s="360">
        <v>926</v>
      </c>
      <c r="D15" s="54">
        <v>513</v>
      </c>
      <c r="E15" s="706">
        <f t="shared" si="0"/>
        <v>0.55399568034557234</v>
      </c>
      <c r="F15" s="249">
        <v>344</v>
      </c>
      <c r="G15" s="142"/>
      <c r="H15" s="153"/>
      <c r="I15" s="155"/>
      <c r="J15" s="153">
        <v>356</v>
      </c>
      <c r="K15" s="74"/>
      <c r="L15" s="107"/>
      <c r="M15" s="97"/>
      <c r="N15" s="207"/>
      <c r="O15" s="97"/>
      <c r="P15" s="45"/>
      <c r="Q15" s="154"/>
      <c r="R15" s="189"/>
      <c r="S15" s="158"/>
      <c r="T15" s="159"/>
      <c r="U15" s="153"/>
      <c r="V15" s="153"/>
      <c r="W15" s="154"/>
      <c r="X15" s="158"/>
      <c r="Y15" s="153"/>
      <c r="Z15" s="153"/>
      <c r="AA15" s="153"/>
      <c r="AB15" s="153"/>
      <c r="AC15" s="158"/>
      <c r="AD15" s="159"/>
      <c r="AE15" s="153"/>
      <c r="AF15" s="153"/>
      <c r="AG15" s="158"/>
      <c r="AH15" s="153"/>
      <c r="AI15" s="154"/>
      <c r="AJ15" s="154"/>
      <c r="AK15" s="154"/>
      <c r="AL15" s="154"/>
      <c r="AM15" s="154"/>
      <c r="AN15" s="158"/>
      <c r="AO15" s="153"/>
      <c r="AP15" s="153"/>
      <c r="AQ15" s="153"/>
      <c r="AR15" s="158"/>
      <c r="AS15" s="153"/>
      <c r="AT15" s="153"/>
      <c r="AU15" s="153"/>
      <c r="AV15" s="154"/>
      <c r="AW15" s="158"/>
      <c r="AX15" s="153"/>
      <c r="AY15" s="153"/>
      <c r="AZ15" s="154"/>
      <c r="BA15" s="158"/>
      <c r="BB15" s="153"/>
      <c r="BC15" s="153"/>
      <c r="BD15" s="153"/>
      <c r="BE15" s="153"/>
      <c r="BF15" s="153"/>
      <c r="BG15" s="162"/>
      <c r="BH15" s="467"/>
      <c r="BI15" s="154"/>
      <c r="BJ15" s="158"/>
      <c r="BK15" s="162"/>
      <c r="BL15" s="160"/>
      <c r="BM15" s="153"/>
      <c r="BN15" s="153"/>
      <c r="BO15" s="154"/>
      <c r="BP15" s="156"/>
      <c r="BQ15" s="159"/>
      <c r="BR15" s="153"/>
      <c r="BS15" s="155"/>
      <c r="BT15" s="161"/>
      <c r="BU15" s="161"/>
      <c r="BV15" s="153"/>
      <c r="BW15" s="153"/>
      <c r="BX15" s="153"/>
      <c r="BY15" s="153"/>
      <c r="BZ15" s="154"/>
      <c r="CA15" s="155"/>
      <c r="CB15" s="153"/>
      <c r="CC15" s="155"/>
      <c r="CD15" s="153"/>
      <c r="CE15" s="155"/>
      <c r="CF15" s="160"/>
      <c r="CG15" s="160"/>
      <c r="CH15" s="161"/>
      <c r="CI15" s="162"/>
      <c r="CJ15" s="155"/>
      <c r="CK15" s="153"/>
      <c r="CL15" s="155"/>
      <c r="CM15" s="161"/>
      <c r="CN15" s="161"/>
      <c r="CO15" s="153"/>
      <c r="CP15" s="153"/>
      <c r="CQ15" s="154"/>
      <c r="CR15" s="155"/>
      <c r="CS15" s="161"/>
      <c r="CT15" s="223"/>
      <c r="CU15" s="160"/>
      <c r="CV15" s="223"/>
      <c r="CW15" s="223"/>
      <c r="CX15" s="156"/>
      <c r="CY15" s="159"/>
      <c r="CZ15" s="161"/>
      <c r="DA15" s="161"/>
      <c r="DB15" s="161"/>
      <c r="DC15" s="153"/>
      <c r="DD15" s="153"/>
      <c r="DE15" s="154"/>
      <c r="DF15" s="155"/>
      <c r="DG15" s="161"/>
      <c r="DH15" s="161"/>
      <c r="DI15" s="161"/>
      <c r="DJ15" s="161"/>
      <c r="DK15" s="156"/>
      <c r="DL15" s="162"/>
      <c r="DM15" s="223"/>
      <c r="DN15" s="153"/>
      <c r="DO15" s="153"/>
      <c r="DP15" s="153"/>
      <c r="DQ15" s="153"/>
      <c r="DR15" s="153"/>
      <c r="DS15" s="158"/>
      <c r="DT15" s="153"/>
      <c r="DU15" s="154"/>
      <c r="DV15" s="154"/>
      <c r="DW15" s="154"/>
      <c r="DX15" s="154"/>
      <c r="DY15" s="154"/>
      <c r="DZ15" s="154"/>
      <c r="EA15" s="158"/>
      <c r="EB15" s="19"/>
    </row>
    <row r="16" spans="1:132" s="12" customFormat="1" ht="13" x14ac:dyDescent="0.3">
      <c r="A16" s="10">
        <v>2911</v>
      </c>
      <c r="B16" s="11" t="s">
        <v>330</v>
      </c>
      <c r="C16" s="360">
        <v>1545</v>
      </c>
      <c r="D16" s="54">
        <v>654</v>
      </c>
      <c r="E16" s="706">
        <f t="shared" si="0"/>
        <v>0.42330097087378643</v>
      </c>
      <c r="F16" s="219"/>
      <c r="G16" s="142"/>
      <c r="H16" s="153"/>
      <c r="I16" s="155"/>
      <c r="J16" s="153"/>
      <c r="K16" s="74">
        <v>410</v>
      </c>
      <c r="L16" s="107">
        <v>207</v>
      </c>
      <c r="M16" s="97">
        <v>485</v>
      </c>
      <c r="N16" s="207">
        <v>477</v>
      </c>
      <c r="O16" s="223">
        <v>283</v>
      </c>
      <c r="P16" s="153">
        <v>242</v>
      </c>
      <c r="Q16" s="54">
        <v>263</v>
      </c>
      <c r="R16" s="53">
        <v>332</v>
      </c>
      <c r="S16" s="46">
        <v>280</v>
      </c>
      <c r="T16" s="159"/>
      <c r="U16" s="153"/>
      <c r="V16" s="153"/>
      <c r="W16" s="154"/>
      <c r="X16" s="158"/>
      <c r="Y16" s="153"/>
      <c r="Z16" s="153"/>
      <c r="AA16" s="153"/>
      <c r="AB16" s="153"/>
      <c r="AC16" s="158"/>
      <c r="AD16" s="159"/>
      <c r="AE16" s="153"/>
      <c r="AF16" s="153"/>
      <c r="AG16" s="158"/>
      <c r="AH16" s="153"/>
      <c r="AI16" s="154"/>
      <c r="AJ16" s="154"/>
      <c r="AK16" s="154"/>
      <c r="AL16" s="154"/>
      <c r="AM16" s="154"/>
      <c r="AN16" s="158"/>
      <c r="AO16" s="153"/>
      <c r="AP16" s="153"/>
      <c r="AQ16" s="153"/>
      <c r="AR16" s="158"/>
      <c r="AS16" s="153"/>
      <c r="AT16" s="153"/>
      <c r="AU16" s="153"/>
      <c r="AV16" s="154"/>
      <c r="AW16" s="158"/>
      <c r="AX16" s="153"/>
      <c r="AY16" s="153"/>
      <c r="AZ16" s="154"/>
      <c r="BA16" s="158"/>
      <c r="BB16" s="153"/>
      <c r="BC16" s="153"/>
      <c r="BD16" s="153"/>
      <c r="BE16" s="153"/>
      <c r="BF16" s="153"/>
      <c r="BG16" s="162"/>
      <c r="BH16" s="467"/>
      <c r="BI16" s="154"/>
      <c r="BJ16" s="158"/>
      <c r="BK16" s="162"/>
      <c r="BL16" s="160"/>
      <c r="BM16" s="153"/>
      <c r="BN16" s="153"/>
      <c r="BO16" s="154"/>
      <c r="BP16" s="156"/>
      <c r="BQ16" s="159"/>
      <c r="BR16" s="153"/>
      <c r="BS16" s="155"/>
      <c r="BT16" s="161"/>
      <c r="BU16" s="161"/>
      <c r="BV16" s="153"/>
      <c r="BW16" s="153"/>
      <c r="BX16" s="153"/>
      <c r="BY16" s="153"/>
      <c r="BZ16" s="154"/>
      <c r="CA16" s="155"/>
      <c r="CB16" s="153"/>
      <c r="CC16" s="155"/>
      <c r="CD16" s="153"/>
      <c r="CE16" s="155"/>
      <c r="CF16" s="160"/>
      <c r="CG16" s="160"/>
      <c r="CH16" s="161"/>
      <c r="CI16" s="162"/>
      <c r="CJ16" s="155"/>
      <c r="CK16" s="153"/>
      <c r="CL16" s="155"/>
      <c r="CM16" s="161"/>
      <c r="CN16" s="161"/>
      <c r="CO16" s="153"/>
      <c r="CP16" s="153"/>
      <c r="CQ16" s="154"/>
      <c r="CR16" s="155"/>
      <c r="CS16" s="161"/>
      <c r="CT16" s="223"/>
      <c r="CU16" s="160"/>
      <c r="CV16" s="223"/>
      <c r="CW16" s="223"/>
      <c r="CX16" s="156"/>
      <c r="CY16" s="159"/>
      <c r="CZ16" s="161"/>
      <c r="DA16" s="161"/>
      <c r="DB16" s="161"/>
      <c r="DC16" s="153"/>
      <c r="DD16" s="153"/>
      <c r="DE16" s="154"/>
      <c r="DF16" s="155"/>
      <c r="DG16" s="161"/>
      <c r="DH16" s="161"/>
      <c r="DI16" s="161"/>
      <c r="DJ16" s="161"/>
      <c r="DK16" s="156"/>
      <c r="DL16" s="162"/>
      <c r="DM16" s="223"/>
      <c r="DN16" s="153"/>
      <c r="DO16" s="153"/>
      <c r="DP16" s="153"/>
      <c r="DQ16" s="153"/>
      <c r="DR16" s="153"/>
      <c r="DS16" s="158"/>
      <c r="DT16" s="153"/>
      <c r="DU16" s="154"/>
      <c r="DV16" s="154"/>
      <c r="DW16" s="154"/>
      <c r="DX16" s="154"/>
      <c r="DY16" s="154"/>
      <c r="DZ16" s="154"/>
      <c r="EA16" s="158"/>
      <c r="EB16" s="19"/>
    </row>
    <row r="17" spans="1:132" s="12" customFormat="1" ht="12.75" customHeight="1" x14ac:dyDescent="0.3">
      <c r="A17" s="10">
        <v>2921</v>
      </c>
      <c r="B17" s="11" t="s">
        <v>331</v>
      </c>
      <c r="C17" s="360">
        <v>1476</v>
      </c>
      <c r="D17" s="54">
        <v>660</v>
      </c>
      <c r="E17" s="706">
        <f t="shared" si="0"/>
        <v>0.44715447154471544</v>
      </c>
      <c r="F17" s="219"/>
      <c r="G17" s="347"/>
      <c r="H17" s="153"/>
      <c r="I17" s="155"/>
      <c r="J17" s="153"/>
      <c r="K17" s="74">
        <v>415</v>
      </c>
      <c r="L17" s="107">
        <v>230</v>
      </c>
      <c r="M17" s="97">
        <v>478</v>
      </c>
      <c r="N17" s="207">
        <v>462</v>
      </c>
      <c r="O17" s="328">
        <v>285</v>
      </c>
      <c r="P17" s="171">
        <v>275</v>
      </c>
      <c r="Q17" s="154">
        <v>301</v>
      </c>
      <c r="R17" s="189">
        <v>315</v>
      </c>
      <c r="S17" s="158">
        <v>288</v>
      </c>
      <c r="T17" s="159"/>
      <c r="U17" s="153"/>
      <c r="V17" s="153"/>
      <c r="W17" s="154"/>
      <c r="X17" s="158"/>
      <c r="Y17" s="153"/>
      <c r="Z17" s="153"/>
      <c r="AA17" s="153"/>
      <c r="AB17" s="153"/>
      <c r="AC17" s="158"/>
      <c r="AD17" s="159"/>
      <c r="AE17" s="153"/>
      <c r="AF17" s="153"/>
      <c r="AG17" s="158"/>
      <c r="AH17" s="153"/>
      <c r="AI17" s="154"/>
      <c r="AJ17" s="154"/>
      <c r="AK17" s="154"/>
      <c r="AL17" s="154"/>
      <c r="AM17" s="154"/>
      <c r="AN17" s="158"/>
      <c r="AO17" s="153"/>
      <c r="AP17" s="153"/>
      <c r="AQ17" s="153"/>
      <c r="AR17" s="158"/>
      <c r="AS17" s="153"/>
      <c r="AT17" s="153"/>
      <c r="AU17" s="153"/>
      <c r="AV17" s="154"/>
      <c r="AW17" s="158"/>
      <c r="AX17" s="153"/>
      <c r="AY17" s="153"/>
      <c r="AZ17" s="154"/>
      <c r="BA17" s="158"/>
      <c r="BB17" s="153"/>
      <c r="BC17" s="153"/>
      <c r="BD17" s="153"/>
      <c r="BE17" s="153"/>
      <c r="BF17" s="153"/>
      <c r="BG17" s="162"/>
      <c r="BH17" s="467"/>
      <c r="BI17" s="154"/>
      <c r="BJ17" s="158"/>
      <c r="BK17" s="162"/>
      <c r="BL17" s="160"/>
      <c r="BM17" s="153"/>
      <c r="BN17" s="153"/>
      <c r="BO17" s="154"/>
      <c r="BP17" s="156"/>
      <c r="BQ17" s="159"/>
      <c r="BR17" s="153"/>
      <c r="BS17" s="155"/>
      <c r="BT17" s="161"/>
      <c r="BU17" s="161"/>
      <c r="BV17" s="153"/>
      <c r="BW17" s="153"/>
      <c r="BX17" s="153"/>
      <c r="BY17" s="153"/>
      <c r="BZ17" s="154"/>
      <c r="CA17" s="155"/>
      <c r="CB17" s="153"/>
      <c r="CC17" s="155"/>
      <c r="CD17" s="153"/>
      <c r="CE17" s="155"/>
      <c r="CF17" s="160"/>
      <c r="CG17" s="160"/>
      <c r="CH17" s="161"/>
      <c r="CI17" s="162"/>
      <c r="CJ17" s="155"/>
      <c r="CK17" s="153"/>
      <c r="CL17" s="155"/>
      <c r="CM17" s="161"/>
      <c r="CN17" s="161"/>
      <c r="CO17" s="153"/>
      <c r="CP17" s="153"/>
      <c r="CQ17" s="154"/>
      <c r="CR17" s="155"/>
      <c r="CS17" s="161"/>
      <c r="CT17" s="223"/>
      <c r="CU17" s="160"/>
      <c r="CV17" s="223"/>
      <c r="CW17" s="223"/>
      <c r="CX17" s="156"/>
      <c r="CY17" s="159"/>
      <c r="CZ17" s="161"/>
      <c r="DA17" s="161"/>
      <c r="DB17" s="161"/>
      <c r="DC17" s="153"/>
      <c r="DD17" s="153"/>
      <c r="DE17" s="154"/>
      <c r="DF17" s="155"/>
      <c r="DG17" s="161"/>
      <c r="DH17" s="161"/>
      <c r="DI17" s="161"/>
      <c r="DJ17" s="161"/>
      <c r="DK17" s="156"/>
      <c r="DL17" s="162"/>
      <c r="DM17" s="223"/>
      <c r="DN17" s="153"/>
      <c r="DO17" s="153"/>
      <c r="DP17" s="153"/>
      <c r="DQ17" s="153"/>
      <c r="DR17" s="153"/>
      <c r="DS17" s="158"/>
      <c r="DT17" s="153"/>
      <c r="DU17" s="154"/>
      <c r="DV17" s="154"/>
      <c r="DW17" s="154"/>
      <c r="DX17" s="154"/>
      <c r="DY17" s="154"/>
      <c r="DZ17" s="154"/>
      <c r="EA17" s="158"/>
      <c r="EB17" s="19"/>
    </row>
    <row r="18" spans="1:132" s="12" customFormat="1" ht="13" x14ac:dyDescent="0.3">
      <c r="A18" s="10">
        <v>2931</v>
      </c>
      <c r="B18" s="11" t="s">
        <v>332</v>
      </c>
      <c r="C18" s="360">
        <v>1456</v>
      </c>
      <c r="D18" s="54">
        <v>543</v>
      </c>
      <c r="E18" s="706">
        <f t="shared" si="0"/>
        <v>0.37293956043956045</v>
      </c>
      <c r="F18" s="219"/>
      <c r="G18" s="347"/>
      <c r="H18" s="153"/>
      <c r="I18" s="155"/>
      <c r="J18" s="153"/>
      <c r="K18" s="74">
        <v>380</v>
      </c>
      <c r="L18" s="107">
        <v>143</v>
      </c>
      <c r="M18" s="97">
        <v>410</v>
      </c>
      <c r="N18" s="207">
        <v>405</v>
      </c>
      <c r="O18" s="328">
        <v>250</v>
      </c>
      <c r="P18" s="171">
        <v>161</v>
      </c>
      <c r="Q18" s="154">
        <v>198</v>
      </c>
      <c r="R18" s="189">
        <v>330</v>
      </c>
      <c r="S18" s="158">
        <v>211</v>
      </c>
      <c r="T18" s="159"/>
      <c r="U18" s="153"/>
      <c r="V18" s="153"/>
      <c r="W18" s="154"/>
      <c r="X18" s="158"/>
      <c r="Y18" s="153"/>
      <c r="Z18" s="153"/>
      <c r="AA18" s="153"/>
      <c r="AB18" s="153"/>
      <c r="AC18" s="158"/>
      <c r="AD18" s="159"/>
      <c r="AE18" s="153"/>
      <c r="AF18" s="153"/>
      <c r="AG18" s="158"/>
      <c r="AH18" s="153"/>
      <c r="AI18" s="154"/>
      <c r="AJ18" s="154"/>
      <c r="AK18" s="154"/>
      <c r="AL18" s="154"/>
      <c r="AM18" s="154"/>
      <c r="AN18" s="158"/>
      <c r="AO18" s="153"/>
      <c r="AP18" s="153"/>
      <c r="AQ18" s="153"/>
      <c r="AR18" s="158"/>
      <c r="AS18" s="153"/>
      <c r="AT18" s="153"/>
      <c r="AU18" s="153"/>
      <c r="AV18" s="154"/>
      <c r="AW18" s="158"/>
      <c r="AX18" s="153"/>
      <c r="AY18" s="153"/>
      <c r="AZ18" s="154"/>
      <c r="BA18" s="158"/>
      <c r="BB18" s="153"/>
      <c r="BC18" s="153"/>
      <c r="BD18" s="153"/>
      <c r="BE18" s="153"/>
      <c r="BF18" s="153"/>
      <c r="BG18" s="162"/>
      <c r="BH18" s="467"/>
      <c r="BI18" s="154"/>
      <c r="BJ18" s="158"/>
      <c r="BK18" s="162"/>
      <c r="BL18" s="160"/>
      <c r="BM18" s="153"/>
      <c r="BN18" s="153"/>
      <c r="BO18" s="154"/>
      <c r="BP18" s="156"/>
      <c r="BQ18" s="159"/>
      <c r="BR18" s="153"/>
      <c r="BS18" s="155"/>
      <c r="BT18" s="161"/>
      <c r="BU18" s="161"/>
      <c r="BV18" s="153"/>
      <c r="BW18" s="153"/>
      <c r="BX18" s="153"/>
      <c r="BY18" s="153"/>
      <c r="BZ18" s="154"/>
      <c r="CA18" s="155"/>
      <c r="CB18" s="153"/>
      <c r="CC18" s="155"/>
      <c r="CD18" s="153"/>
      <c r="CE18" s="155"/>
      <c r="CF18" s="160"/>
      <c r="CG18" s="160"/>
      <c r="CH18" s="161"/>
      <c r="CI18" s="162"/>
      <c r="CJ18" s="155"/>
      <c r="CK18" s="153"/>
      <c r="CL18" s="155"/>
      <c r="CM18" s="161"/>
      <c r="CN18" s="161"/>
      <c r="CO18" s="153"/>
      <c r="CP18" s="153"/>
      <c r="CQ18" s="154"/>
      <c r="CR18" s="155"/>
      <c r="CS18" s="161"/>
      <c r="CT18" s="223"/>
      <c r="CU18" s="160"/>
      <c r="CV18" s="223"/>
      <c r="CW18" s="223"/>
      <c r="CX18" s="156"/>
      <c r="CY18" s="159"/>
      <c r="CZ18" s="161"/>
      <c r="DA18" s="161"/>
      <c r="DB18" s="161"/>
      <c r="DC18" s="153"/>
      <c r="DD18" s="153"/>
      <c r="DE18" s="154"/>
      <c r="DF18" s="155"/>
      <c r="DG18" s="161"/>
      <c r="DH18" s="161"/>
      <c r="DI18" s="161"/>
      <c r="DJ18" s="161"/>
      <c r="DK18" s="156"/>
      <c r="DL18" s="162"/>
      <c r="DM18" s="223"/>
      <c r="DN18" s="153"/>
      <c r="DO18" s="153"/>
      <c r="DP18" s="153"/>
      <c r="DQ18" s="153"/>
      <c r="DR18" s="153"/>
      <c r="DS18" s="158"/>
      <c r="DT18" s="153"/>
      <c r="DU18" s="154"/>
      <c r="DV18" s="154"/>
      <c r="DW18" s="154"/>
      <c r="DX18" s="154"/>
      <c r="DY18" s="154"/>
      <c r="DZ18" s="154"/>
      <c r="EA18" s="158"/>
      <c r="EB18" s="19"/>
    </row>
    <row r="19" spans="1:132" s="12" customFormat="1" ht="12.75" customHeight="1" x14ac:dyDescent="0.3">
      <c r="A19" s="10">
        <v>2941</v>
      </c>
      <c r="B19" s="11" t="s">
        <v>333</v>
      </c>
      <c r="C19" s="360">
        <v>1444</v>
      </c>
      <c r="D19" s="54">
        <v>716</v>
      </c>
      <c r="E19" s="706">
        <f t="shared" si="0"/>
        <v>0.49584487534626037</v>
      </c>
      <c r="F19" s="219"/>
      <c r="G19" s="347"/>
      <c r="H19" s="153"/>
      <c r="I19" s="155"/>
      <c r="J19" s="153"/>
      <c r="K19" s="221">
        <v>486</v>
      </c>
      <c r="L19" s="327">
        <v>198</v>
      </c>
      <c r="M19" s="328">
        <v>520</v>
      </c>
      <c r="N19" s="328">
        <v>522</v>
      </c>
      <c r="O19" s="223">
        <v>321</v>
      </c>
      <c r="P19" s="153">
        <v>228</v>
      </c>
      <c r="Q19" s="172">
        <v>235</v>
      </c>
      <c r="R19" s="331">
        <v>419</v>
      </c>
      <c r="S19" s="176">
        <v>282</v>
      </c>
      <c r="T19" s="511"/>
      <c r="U19" s="45"/>
      <c r="V19" s="45"/>
      <c r="W19" s="54"/>
      <c r="X19" s="158"/>
      <c r="Y19" s="153"/>
      <c r="Z19" s="153"/>
      <c r="AA19" s="153"/>
      <c r="AB19" s="153"/>
      <c r="AC19" s="158"/>
      <c r="AD19" s="159"/>
      <c r="AE19" s="153"/>
      <c r="AF19" s="153"/>
      <c r="AG19" s="158"/>
      <c r="AH19" s="153"/>
      <c r="AI19" s="154"/>
      <c r="AJ19" s="154"/>
      <c r="AK19" s="154"/>
      <c r="AL19" s="154"/>
      <c r="AM19" s="154"/>
      <c r="AN19" s="158"/>
      <c r="AO19" s="153"/>
      <c r="AP19" s="153"/>
      <c r="AQ19" s="153"/>
      <c r="AR19" s="158"/>
      <c r="AS19" s="153"/>
      <c r="AT19" s="153"/>
      <c r="AU19" s="153"/>
      <c r="AV19" s="154"/>
      <c r="AW19" s="158"/>
      <c r="AX19" s="153"/>
      <c r="AY19" s="153"/>
      <c r="AZ19" s="154"/>
      <c r="BA19" s="158"/>
      <c r="BB19" s="153"/>
      <c r="BC19" s="153"/>
      <c r="BD19" s="153"/>
      <c r="BE19" s="153"/>
      <c r="BF19" s="153"/>
      <c r="BG19" s="162"/>
      <c r="BH19" s="467"/>
      <c r="BI19" s="154"/>
      <c r="BJ19" s="158"/>
      <c r="BK19" s="162"/>
      <c r="BL19" s="160"/>
      <c r="BM19" s="153"/>
      <c r="BN19" s="153"/>
      <c r="BO19" s="154"/>
      <c r="BP19" s="156"/>
      <c r="BQ19" s="159"/>
      <c r="BR19" s="153"/>
      <c r="BS19" s="155"/>
      <c r="BT19" s="161"/>
      <c r="BU19" s="161"/>
      <c r="BV19" s="153"/>
      <c r="BW19" s="153"/>
      <c r="BX19" s="153"/>
      <c r="BY19" s="153"/>
      <c r="BZ19" s="154"/>
      <c r="CA19" s="155"/>
      <c r="CB19" s="153"/>
      <c r="CC19" s="155"/>
      <c r="CD19" s="153"/>
      <c r="CE19" s="155"/>
      <c r="CF19" s="160"/>
      <c r="CG19" s="160"/>
      <c r="CH19" s="161"/>
      <c r="CI19" s="162"/>
      <c r="CJ19" s="155"/>
      <c r="CK19" s="153"/>
      <c r="CL19" s="155"/>
      <c r="CM19" s="161"/>
      <c r="CN19" s="161"/>
      <c r="CO19" s="153"/>
      <c r="CP19" s="153"/>
      <c r="CQ19" s="154"/>
      <c r="CR19" s="155"/>
      <c r="CS19" s="161"/>
      <c r="CT19" s="223"/>
      <c r="CU19" s="160"/>
      <c r="CV19" s="223"/>
      <c r="CW19" s="223"/>
      <c r="CX19" s="156"/>
      <c r="CY19" s="159"/>
      <c r="CZ19" s="161"/>
      <c r="DA19" s="161"/>
      <c r="DB19" s="161"/>
      <c r="DC19" s="153"/>
      <c r="DD19" s="153"/>
      <c r="DE19" s="154"/>
      <c r="DF19" s="155"/>
      <c r="DG19" s="161"/>
      <c r="DH19" s="161"/>
      <c r="DI19" s="161"/>
      <c r="DJ19" s="161"/>
      <c r="DK19" s="156"/>
      <c r="DL19" s="162"/>
      <c r="DM19" s="223"/>
      <c r="DN19" s="153"/>
      <c r="DO19" s="153"/>
      <c r="DP19" s="153"/>
      <c r="DQ19" s="153"/>
      <c r="DR19" s="153"/>
      <c r="DS19" s="158"/>
      <c r="DT19" s="153"/>
      <c r="DU19" s="154"/>
      <c r="DV19" s="154"/>
      <c r="DW19" s="154"/>
      <c r="DX19" s="154"/>
      <c r="DY19" s="154"/>
      <c r="DZ19" s="154"/>
      <c r="EA19" s="158"/>
      <c r="EB19" s="19"/>
    </row>
    <row r="20" spans="1:132" s="12" customFormat="1" ht="13" x14ac:dyDescent="0.3">
      <c r="A20" s="10">
        <v>3111</v>
      </c>
      <c r="B20" s="11" t="s">
        <v>334</v>
      </c>
      <c r="C20" s="360">
        <v>980</v>
      </c>
      <c r="D20" s="54">
        <v>532</v>
      </c>
      <c r="E20" s="706">
        <f t="shared" si="0"/>
        <v>0.54285714285714282</v>
      </c>
      <c r="F20" s="219"/>
      <c r="G20" s="347"/>
      <c r="H20" s="153"/>
      <c r="I20" s="155"/>
      <c r="J20" s="153"/>
      <c r="K20" s="221"/>
      <c r="L20" s="327"/>
      <c r="M20" s="328"/>
      <c r="N20" s="328"/>
      <c r="O20" s="223"/>
      <c r="P20" s="153"/>
      <c r="Q20" s="172"/>
      <c r="R20" s="331"/>
      <c r="S20" s="176"/>
      <c r="T20" s="511">
        <v>397</v>
      </c>
      <c r="U20" s="45">
        <v>191</v>
      </c>
      <c r="V20" s="45">
        <v>281</v>
      </c>
      <c r="W20" s="54">
        <v>244</v>
      </c>
      <c r="X20" s="158">
        <v>240</v>
      </c>
      <c r="Y20" s="153"/>
      <c r="Z20" s="153"/>
      <c r="AA20" s="153"/>
      <c r="AB20" s="153"/>
      <c r="AC20" s="158"/>
      <c r="AD20" s="159"/>
      <c r="AE20" s="153"/>
      <c r="AF20" s="153"/>
      <c r="AG20" s="158"/>
      <c r="AH20" s="153"/>
      <c r="AI20" s="154"/>
      <c r="AJ20" s="154"/>
      <c r="AK20" s="154"/>
      <c r="AL20" s="154"/>
      <c r="AM20" s="154"/>
      <c r="AN20" s="158"/>
      <c r="AO20" s="153"/>
      <c r="AP20" s="153"/>
      <c r="AQ20" s="153"/>
      <c r="AR20" s="158"/>
      <c r="AS20" s="153"/>
      <c r="AT20" s="153"/>
      <c r="AU20" s="153"/>
      <c r="AV20" s="154"/>
      <c r="AW20" s="158"/>
      <c r="AX20" s="153"/>
      <c r="AY20" s="153"/>
      <c r="AZ20" s="154"/>
      <c r="BA20" s="158"/>
      <c r="BB20" s="153"/>
      <c r="BC20" s="153"/>
      <c r="BD20" s="153"/>
      <c r="BE20" s="153"/>
      <c r="BF20" s="153"/>
      <c r="BG20" s="162"/>
      <c r="BH20" s="467"/>
      <c r="BI20" s="154"/>
      <c r="BJ20" s="158"/>
      <c r="BK20" s="162"/>
      <c r="BL20" s="160"/>
      <c r="BM20" s="153"/>
      <c r="BN20" s="153"/>
      <c r="BO20" s="154"/>
      <c r="BP20" s="156"/>
      <c r="BQ20" s="159"/>
      <c r="BR20" s="153"/>
      <c r="BS20" s="155"/>
      <c r="BT20" s="161"/>
      <c r="BU20" s="161"/>
      <c r="BV20" s="153"/>
      <c r="BW20" s="153"/>
      <c r="BX20" s="153"/>
      <c r="BY20" s="153"/>
      <c r="BZ20" s="154"/>
      <c r="CA20" s="155"/>
      <c r="CB20" s="153"/>
      <c r="CC20" s="155"/>
      <c r="CD20" s="153"/>
      <c r="CE20" s="155"/>
      <c r="CF20" s="160"/>
      <c r="CG20" s="160"/>
      <c r="CH20" s="161"/>
      <c r="CI20" s="162"/>
      <c r="CJ20" s="155"/>
      <c r="CK20" s="153"/>
      <c r="CL20" s="155"/>
      <c r="CM20" s="161"/>
      <c r="CN20" s="161"/>
      <c r="CO20" s="153"/>
      <c r="CP20" s="153"/>
      <c r="CQ20" s="154"/>
      <c r="CR20" s="155"/>
      <c r="CS20" s="161"/>
      <c r="CT20" s="223"/>
      <c r="CU20" s="160"/>
      <c r="CV20" s="223"/>
      <c r="CW20" s="223"/>
      <c r="CX20" s="156"/>
      <c r="CY20" s="159"/>
      <c r="CZ20" s="161"/>
      <c r="DA20" s="161"/>
      <c r="DB20" s="161"/>
      <c r="DC20" s="153"/>
      <c r="DD20" s="153"/>
      <c r="DE20" s="154"/>
      <c r="DF20" s="155"/>
      <c r="DG20" s="161"/>
      <c r="DH20" s="161"/>
      <c r="DI20" s="161"/>
      <c r="DJ20" s="161"/>
      <c r="DK20" s="156"/>
      <c r="DL20" s="162"/>
      <c r="DM20" s="223"/>
      <c r="DN20" s="153"/>
      <c r="DO20" s="153"/>
      <c r="DP20" s="153"/>
      <c r="DQ20" s="153"/>
      <c r="DR20" s="153"/>
      <c r="DS20" s="158"/>
      <c r="DT20" s="153"/>
      <c r="DU20" s="154"/>
      <c r="DV20" s="154"/>
      <c r="DW20" s="154"/>
      <c r="DX20" s="154"/>
      <c r="DY20" s="154"/>
      <c r="DZ20" s="154"/>
      <c r="EA20" s="158"/>
      <c r="EB20" s="19"/>
    </row>
    <row r="21" spans="1:132" s="12" customFormat="1" ht="12.75" customHeight="1" x14ac:dyDescent="0.3">
      <c r="A21" s="10">
        <v>3121</v>
      </c>
      <c r="B21" s="11" t="s">
        <v>335</v>
      </c>
      <c r="C21" s="360">
        <v>965</v>
      </c>
      <c r="D21" s="54">
        <v>599</v>
      </c>
      <c r="E21" s="706">
        <f t="shared" si="0"/>
        <v>0.62072538860103632</v>
      </c>
      <c r="F21" s="219"/>
      <c r="G21" s="347"/>
      <c r="H21" s="153"/>
      <c r="I21" s="155"/>
      <c r="J21" s="153"/>
      <c r="K21" s="221"/>
      <c r="L21" s="327"/>
      <c r="M21" s="328"/>
      <c r="N21" s="328"/>
      <c r="O21" s="223"/>
      <c r="P21" s="153"/>
      <c r="Q21" s="154"/>
      <c r="R21" s="189"/>
      <c r="S21" s="158"/>
      <c r="T21" s="511">
        <v>445</v>
      </c>
      <c r="U21" s="45">
        <v>252</v>
      </c>
      <c r="V21" s="45">
        <v>323</v>
      </c>
      <c r="W21" s="54">
        <v>272</v>
      </c>
      <c r="X21" s="158">
        <v>274</v>
      </c>
      <c r="Y21" s="153"/>
      <c r="Z21" s="153"/>
      <c r="AA21" s="153"/>
      <c r="AB21" s="153"/>
      <c r="AC21" s="158"/>
      <c r="AD21" s="159"/>
      <c r="AE21" s="153"/>
      <c r="AF21" s="153"/>
      <c r="AG21" s="158"/>
      <c r="AH21" s="153"/>
      <c r="AI21" s="154"/>
      <c r="AJ21" s="154"/>
      <c r="AK21" s="154"/>
      <c r="AL21" s="154"/>
      <c r="AM21" s="154"/>
      <c r="AN21" s="158"/>
      <c r="AO21" s="153"/>
      <c r="AP21" s="153"/>
      <c r="AQ21" s="153"/>
      <c r="AR21" s="158"/>
      <c r="AS21" s="153"/>
      <c r="AT21" s="153"/>
      <c r="AU21" s="153"/>
      <c r="AV21" s="154"/>
      <c r="AW21" s="158"/>
      <c r="AX21" s="153"/>
      <c r="AY21" s="153"/>
      <c r="AZ21" s="154"/>
      <c r="BA21" s="158"/>
      <c r="BB21" s="153"/>
      <c r="BC21" s="153"/>
      <c r="BD21" s="153"/>
      <c r="BE21" s="153"/>
      <c r="BF21" s="153"/>
      <c r="BG21" s="162"/>
      <c r="BH21" s="467"/>
      <c r="BI21" s="154"/>
      <c r="BJ21" s="158"/>
      <c r="BK21" s="162"/>
      <c r="BL21" s="160"/>
      <c r="BM21" s="153"/>
      <c r="BN21" s="153"/>
      <c r="BO21" s="154"/>
      <c r="BP21" s="156"/>
      <c r="BQ21" s="159"/>
      <c r="BR21" s="153"/>
      <c r="BS21" s="155"/>
      <c r="BT21" s="161"/>
      <c r="BU21" s="161"/>
      <c r="BV21" s="153"/>
      <c r="BW21" s="153"/>
      <c r="BX21" s="153"/>
      <c r="BY21" s="153"/>
      <c r="BZ21" s="154"/>
      <c r="CA21" s="155"/>
      <c r="CB21" s="153"/>
      <c r="CC21" s="155"/>
      <c r="CD21" s="153"/>
      <c r="CE21" s="155"/>
      <c r="CF21" s="160"/>
      <c r="CG21" s="160"/>
      <c r="CH21" s="161"/>
      <c r="CI21" s="162"/>
      <c r="CJ21" s="155"/>
      <c r="CK21" s="153"/>
      <c r="CL21" s="155"/>
      <c r="CM21" s="161"/>
      <c r="CN21" s="161"/>
      <c r="CO21" s="153"/>
      <c r="CP21" s="153"/>
      <c r="CQ21" s="154"/>
      <c r="CR21" s="155"/>
      <c r="CS21" s="161"/>
      <c r="CT21" s="223"/>
      <c r="CU21" s="160"/>
      <c r="CV21" s="223"/>
      <c r="CW21" s="223"/>
      <c r="CX21" s="156"/>
      <c r="CY21" s="159"/>
      <c r="CZ21" s="161"/>
      <c r="DA21" s="161"/>
      <c r="DB21" s="161"/>
      <c r="DC21" s="153"/>
      <c r="DD21" s="153"/>
      <c r="DE21" s="154"/>
      <c r="DF21" s="155"/>
      <c r="DG21" s="161"/>
      <c r="DH21" s="161"/>
      <c r="DI21" s="161"/>
      <c r="DJ21" s="161"/>
      <c r="DK21" s="156"/>
      <c r="DL21" s="162"/>
      <c r="DM21" s="223"/>
      <c r="DN21" s="153"/>
      <c r="DO21" s="153"/>
      <c r="DP21" s="153"/>
      <c r="DQ21" s="153"/>
      <c r="DR21" s="153"/>
      <c r="DS21" s="158"/>
      <c r="DT21" s="153"/>
      <c r="DU21" s="154"/>
      <c r="DV21" s="154"/>
      <c r="DW21" s="154"/>
      <c r="DX21" s="154"/>
      <c r="DY21" s="154"/>
      <c r="DZ21" s="154"/>
      <c r="EA21" s="158"/>
      <c r="EB21" s="19"/>
    </row>
    <row r="22" spans="1:132" s="12" customFormat="1" ht="13" x14ac:dyDescent="0.3">
      <c r="A22" s="10">
        <v>3131</v>
      </c>
      <c r="B22" s="11" t="s">
        <v>336</v>
      </c>
      <c r="C22" s="360">
        <v>950</v>
      </c>
      <c r="D22" s="54">
        <v>550</v>
      </c>
      <c r="E22" s="706">
        <f t="shared" si="0"/>
        <v>0.57894736842105265</v>
      </c>
      <c r="F22" s="219"/>
      <c r="G22" s="347"/>
      <c r="H22" s="153"/>
      <c r="I22" s="155"/>
      <c r="J22" s="153"/>
      <c r="K22" s="221"/>
      <c r="L22" s="327"/>
      <c r="M22" s="328"/>
      <c r="N22" s="328"/>
      <c r="O22" s="223"/>
      <c r="P22" s="153"/>
      <c r="Q22" s="154"/>
      <c r="R22" s="189"/>
      <c r="S22" s="158"/>
      <c r="T22" s="511">
        <v>391</v>
      </c>
      <c r="U22" s="45">
        <v>176</v>
      </c>
      <c r="V22" s="45">
        <v>275</v>
      </c>
      <c r="W22" s="54">
        <v>305</v>
      </c>
      <c r="X22" s="158">
        <v>221</v>
      </c>
      <c r="Y22" s="153"/>
      <c r="Z22" s="153"/>
      <c r="AA22" s="153"/>
      <c r="AB22" s="153"/>
      <c r="AC22" s="158"/>
      <c r="AD22" s="159"/>
      <c r="AE22" s="153"/>
      <c r="AF22" s="153"/>
      <c r="AG22" s="158"/>
      <c r="AH22" s="153"/>
      <c r="AI22" s="154"/>
      <c r="AJ22" s="154"/>
      <c r="AK22" s="154"/>
      <c r="AL22" s="154"/>
      <c r="AM22" s="154"/>
      <c r="AN22" s="158"/>
      <c r="AO22" s="153"/>
      <c r="AP22" s="153"/>
      <c r="AQ22" s="153"/>
      <c r="AR22" s="158"/>
      <c r="AS22" s="153"/>
      <c r="AT22" s="153"/>
      <c r="AU22" s="153"/>
      <c r="AV22" s="154"/>
      <c r="AW22" s="158"/>
      <c r="AX22" s="153"/>
      <c r="AY22" s="153"/>
      <c r="AZ22" s="154"/>
      <c r="BA22" s="158"/>
      <c r="BB22" s="153"/>
      <c r="BC22" s="153"/>
      <c r="BD22" s="153"/>
      <c r="BE22" s="153"/>
      <c r="BF22" s="153"/>
      <c r="BG22" s="162"/>
      <c r="BH22" s="467"/>
      <c r="BI22" s="154"/>
      <c r="BJ22" s="158"/>
      <c r="BK22" s="162"/>
      <c r="BL22" s="160"/>
      <c r="BM22" s="153"/>
      <c r="BN22" s="153"/>
      <c r="BO22" s="154"/>
      <c r="BP22" s="156"/>
      <c r="BQ22" s="159"/>
      <c r="BR22" s="153"/>
      <c r="BS22" s="155"/>
      <c r="BT22" s="161"/>
      <c r="BU22" s="161"/>
      <c r="BV22" s="153"/>
      <c r="BW22" s="153"/>
      <c r="BX22" s="153"/>
      <c r="BY22" s="153"/>
      <c r="BZ22" s="154"/>
      <c r="CA22" s="155"/>
      <c r="CB22" s="153"/>
      <c r="CC22" s="155"/>
      <c r="CD22" s="153"/>
      <c r="CE22" s="155"/>
      <c r="CF22" s="160"/>
      <c r="CG22" s="160"/>
      <c r="CH22" s="161"/>
      <c r="CI22" s="162"/>
      <c r="CJ22" s="155"/>
      <c r="CK22" s="153"/>
      <c r="CL22" s="155"/>
      <c r="CM22" s="161"/>
      <c r="CN22" s="161"/>
      <c r="CO22" s="153"/>
      <c r="CP22" s="153"/>
      <c r="CQ22" s="154"/>
      <c r="CR22" s="155"/>
      <c r="CS22" s="161"/>
      <c r="CT22" s="223"/>
      <c r="CU22" s="160"/>
      <c r="CV22" s="223"/>
      <c r="CW22" s="223"/>
      <c r="CX22" s="156"/>
      <c r="CY22" s="159"/>
      <c r="CZ22" s="161"/>
      <c r="DA22" s="161"/>
      <c r="DB22" s="161"/>
      <c r="DC22" s="153"/>
      <c r="DD22" s="153"/>
      <c r="DE22" s="154"/>
      <c r="DF22" s="155"/>
      <c r="DG22" s="161"/>
      <c r="DH22" s="161"/>
      <c r="DI22" s="161"/>
      <c r="DJ22" s="161"/>
      <c r="DK22" s="156"/>
      <c r="DL22" s="162"/>
      <c r="DM22" s="223"/>
      <c r="DN22" s="153"/>
      <c r="DO22" s="153"/>
      <c r="DP22" s="153"/>
      <c r="DQ22" s="153"/>
      <c r="DR22" s="153"/>
      <c r="DS22" s="158"/>
      <c r="DT22" s="153"/>
      <c r="DU22" s="154"/>
      <c r="DV22" s="154"/>
      <c r="DW22" s="154"/>
      <c r="DX22" s="154"/>
      <c r="DY22" s="154"/>
      <c r="DZ22" s="154"/>
      <c r="EA22" s="158"/>
      <c r="EB22" s="19"/>
    </row>
    <row r="23" spans="1:132" s="12" customFormat="1" ht="12.75" customHeight="1" x14ac:dyDescent="0.3">
      <c r="A23" s="10">
        <v>3141</v>
      </c>
      <c r="B23" s="11" t="s">
        <v>337</v>
      </c>
      <c r="C23" s="360">
        <v>1098</v>
      </c>
      <c r="D23" s="54">
        <v>576</v>
      </c>
      <c r="E23" s="706">
        <f t="shared" si="0"/>
        <v>0.52459016393442626</v>
      </c>
      <c r="F23" s="219"/>
      <c r="G23" s="347"/>
      <c r="H23" s="153"/>
      <c r="I23" s="155"/>
      <c r="J23" s="153"/>
      <c r="K23" s="221"/>
      <c r="L23" s="327"/>
      <c r="M23" s="328"/>
      <c r="N23" s="328"/>
      <c r="O23" s="223"/>
      <c r="P23" s="153"/>
      <c r="Q23" s="154"/>
      <c r="R23" s="189"/>
      <c r="S23" s="158"/>
      <c r="T23" s="159">
        <v>438</v>
      </c>
      <c r="U23" s="153">
        <v>256</v>
      </c>
      <c r="V23" s="153">
        <v>300</v>
      </c>
      <c r="W23" s="154">
        <v>272</v>
      </c>
      <c r="X23" s="158">
        <v>305</v>
      </c>
      <c r="Y23" s="45"/>
      <c r="Z23" s="45"/>
      <c r="AA23" s="45"/>
      <c r="AB23" s="45"/>
      <c r="AC23" s="46"/>
      <c r="AD23" s="159"/>
      <c r="AE23" s="153"/>
      <c r="AF23" s="153"/>
      <c r="AG23" s="158"/>
      <c r="AH23" s="153"/>
      <c r="AI23" s="154"/>
      <c r="AJ23" s="154"/>
      <c r="AK23" s="154"/>
      <c r="AL23" s="154"/>
      <c r="AM23" s="154"/>
      <c r="AN23" s="158"/>
      <c r="AO23" s="153"/>
      <c r="AP23" s="153"/>
      <c r="AQ23" s="153"/>
      <c r="AR23" s="158"/>
      <c r="AS23" s="153"/>
      <c r="AT23" s="153"/>
      <c r="AU23" s="153"/>
      <c r="AV23" s="154"/>
      <c r="AW23" s="158"/>
      <c r="AX23" s="153"/>
      <c r="AY23" s="153"/>
      <c r="AZ23" s="154"/>
      <c r="BA23" s="158"/>
      <c r="BB23" s="153"/>
      <c r="BC23" s="153"/>
      <c r="BD23" s="153"/>
      <c r="BE23" s="153"/>
      <c r="BF23" s="153"/>
      <c r="BG23" s="162"/>
      <c r="BH23" s="467"/>
      <c r="BI23" s="154"/>
      <c r="BJ23" s="158"/>
      <c r="BK23" s="162"/>
      <c r="BL23" s="160"/>
      <c r="BM23" s="153"/>
      <c r="BN23" s="153"/>
      <c r="BO23" s="154"/>
      <c r="BP23" s="156"/>
      <c r="BQ23" s="159"/>
      <c r="BR23" s="153"/>
      <c r="BS23" s="155"/>
      <c r="BT23" s="161"/>
      <c r="BU23" s="161"/>
      <c r="BV23" s="153"/>
      <c r="BW23" s="153"/>
      <c r="BX23" s="153"/>
      <c r="BY23" s="153"/>
      <c r="BZ23" s="154"/>
      <c r="CA23" s="155"/>
      <c r="CB23" s="153"/>
      <c r="CC23" s="155"/>
      <c r="CD23" s="153"/>
      <c r="CE23" s="155"/>
      <c r="CF23" s="160"/>
      <c r="CG23" s="160"/>
      <c r="CH23" s="161"/>
      <c r="CI23" s="162"/>
      <c r="CJ23" s="155"/>
      <c r="CK23" s="153"/>
      <c r="CL23" s="155"/>
      <c r="CM23" s="161"/>
      <c r="CN23" s="161"/>
      <c r="CO23" s="153"/>
      <c r="CP23" s="153"/>
      <c r="CQ23" s="154"/>
      <c r="CR23" s="155"/>
      <c r="CS23" s="161"/>
      <c r="CT23" s="223"/>
      <c r="CU23" s="160"/>
      <c r="CV23" s="223"/>
      <c r="CW23" s="223"/>
      <c r="CX23" s="156"/>
      <c r="CY23" s="159"/>
      <c r="CZ23" s="161"/>
      <c r="DA23" s="161"/>
      <c r="DB23" s="161"/>
      <c r="DC23" s="153"/>
      <c r="DD23" s="153"/>
      <c r="DE23" s="154"/>
      <c r="DF23" s="155"/>
      <c r="DG23" s="161"/>
      <c r="DH23" s="161"/>
      <c r="DI23" s="161"/>
      <c r="DJ23" s="161"/>
      <c r="DK23" s="156"/>
      <c r="DL23" s="162"/>
      <c r="DM23" s="223"/>
      <c r="DN23" s="153"/>
      <c r="DO23" s="153"/>
      <c r="DP23" s="153"/>
      <c r="DQ23" s="153"/>
      <c r="DR23" s="153"/>
      <c r="DS23" s="158"/>
      <c r="DT23" s="153"/>
      <c r="DU23" s="154"/>
      <c r="DV23" s="154"/>
      <c r="DW23" s="154"/>
      <c r="DX23" s="154"/>
      <c r="DY23" s="154"/>
      <c r="DZ23" s="154"/>
      <c r="EA23" s="158"/>
      <c r="EB23" s="19"/>
    </row>
    <row r="24" spans="1:132" s="12" customFormat="1" ht="13" x14ac:dyDescent="0.3">
      <c r="A24" s="10">
        <v>3201</v>
      </c>
      <c r="B24" s="11" t="s">
        <v>338</v>
      </c>
      <c r="C24" s="360">
        <v>998</v>
      </c>
      <c r="D24" s="54">
        <v>352</v>
      </c>
      <c r="E24" s="706">
        <f t="shared" si="0"/>
        <v>0.35270541082164331</v>
      </c>
      <c r="F24" s="219"/>
      <c r="G24" s="347"/>
      <c r="H24" s="153"/>
      <c r="I24" s="155"/>
      <c r="J24" s="153"/>
      <c r="K24" s="162"/>
      <c r="L24" s="160"/>
      <c r="M24" s="223"/>
      <c r="N24" s="223"/>
      <c r="O24" s="223"/>
      <c r="P24" s="153"/>
      <c r="Q24" s="154"/>
      <c r="R24" s="189"/>
      <c r="S24" s="158"/>
      <c r="T24" s="152"/>
      <c r="U24" s="171"/>
      <c r="V24" s="171"/>
      <c r="W24" s="172"/>
      <c r="X24" s="158"/>
      <c r="Y24" s="45">
        <v>206</v>
      </c>
      <c r="Z24" s="45">
        <v>137</v>
      </c>
      <c r="AA24" s="45">
        <v>217</v>
      </c>
      <c r="AB24" s="45">
        <v>0</v>
      </c>
      <c r="AC24" s="46">
        <v>148</v>
      </c>
      <c r="AD24" s="159"/>
      <c r="AE24" s="153"/>
      <c r="AF24" s="153"/>
      <c r="AG24" s="158"/>
      <c r="AH24" s="153"/>
      <c r="AI24" s="154"/>
      <c r="AJ24" s="154"/>
      <c r="AK24" s="154"/>
      <c r="AL24" s="154"/>
      <c r="AM24" s="154"/>
      <c r="AN24" s="158"/>
      <c r="AO24" s="153"/>
      <c r="AP24" s="153"/>
      <c r="AQ24" s="153"/>
      <c r="AR24" s="158"/>
      <c r="AS24" s="153"/>
      <c r="AT24" s="153"/>
      <c r="AU24" s="153"/>
      <c r="AV24" s="154"/>
      <c r="AW24" s="158"/>
      <c r="AX24" s="153"/>
      <c r="AY24" s="153"/>
      <c r="AZ24" s="154"/>
      <c r="BA24" s="158"/>
      <c r="BB24" s="153"/>
      <c r="BC24" s="153"/>
      <c r="BD24" s="153"/>
      <c r="BE24" s="153"/>
      <c r="BF24" s="153"/>
      <c r="BG24" s="162"/>
      <c r="BH24" s="467"/>
      <c r="BI24" s="154"/>
      <c r="BJ24" s="158"/>
      <c r="BK24" s="162"/>
      <c r="BL24" s="160"/>
      <c r="BM24" s="153"/>
      <c r="BN24" s="153"/>
      <c r="BO24" s="154"/>
      <c r="BP24" s="156"/>
      <c r="BQ24" s="159"/>
      <c r="BR24" s="153"/>
      <c r="BS24" s="155"/>
      <c r="BT24" s="161"/>
      <c r="BU24" s="161"/>
      <c r="BV24" s="153"/>
      <c r="BW24" s="153"/>
      <c r="BX24" s="153"/>
      <c r="BY24" s="153"/>
      <c r="BZ24" s="154"/>
      <c r="CA24" s="155"/>
      <c r="CB24" s="153"/>
      <c r="CC24" s="155"/>
      <c r="CD24" s="153"/>
      <c r="CE24" s="155"/>
      <c r="CF24" s="160"/>
      <c r="CG24" s="160"/>
      <c r="CH24" s="161"/>
      <c r="CI24" s="162"/>
      <c r="CJ24" s="155"/>
      <c r="CK24" s="153"/>
      <c r="CL24" s="155"/>
      <c r="CM24" s="161"/>
      <c r="CN24" s="161"/>
      <c r="CO24" s="153"/>
      <c r="CP24" s="153"/>
      <c r="CQ24" s="154"/>
      <c r="CR24" s="155"/>
      <c r="CS24" s="161"/>
      <c r="CT24" s="223"/>
      <c r="CU24" s="160"/>
      <c r="CV24" s="223"/>
      <c r="CW24" s="223"/>
      <c r="CX24" s="156"/>
      <c r="CY24" s="159"/>
      <c r="CZ24" s="161"/>
      <c r="DA24" s="161"/>
      <c r="DB24" s="161"/>
      <c r="DC24" s="153"/>
      <c r="DD24" s="153"/>
      <c r="DE24" s="154"/>
      <c r="DF24" s="155"/>
      <c r="DG24" s="161"/>
      <c r="DH24" s="161"/>
      <c r="DI24" s="161"/>
      <c r="DJ24" s="161"/>
      <c r="DK24" s="156"/>
      <c r="DL24" s="162"/>
      <c r="DM24" s="223"/>
      <c r="DN24" s="153"/>
      <c r="DO24" s="153"/>
      <c r="DP24" s="153"/>
      <c r="DQ24" s="153"/>
      <c r="DR24" s="153"/>
      <c r="DS24" s="158"/>
      <c r="DT24" s="153"/>
      <c r="DU24" s="154"/>
      <c r="DV24" s="154"/>
      <c r="DW24" s="154"/>
      <c r="DX24" s="154"/>
      <c r="DY24" s="154"/>
      <c r="DZ24" s="154"/>
      <c r="EA24" s="158"/>
      <c r="EB24" s="19"/>
    </row>
    <row r="25" spans="1:132" s="12" customFormat="1" ht="12.75" customHeight="1" x14ac:dyDescent="0.3">
      <c r="A25" s="10">
        <v>3202</v>
      </c>
      <c r="B25" s="11" t="s">
        <v>339</v>
      </c>
      <c r="C25" s="360">
        <v>989</v>
      </c>
      <c r="D25" s="54">
        <v>449</v>
      </c>
      <c r="E25" s="706">
        <f t="shared" si="0"/>
        <v>0.45399393326592519</v>
      </c>
      <c r="F25" s="219"/>
      <c r="G25" s="347"/>
      <c r="H25" s="153"/>
      <c r="I25" s="155"/>
      <c r="J25" s="153"/>
      <c r="K25" s="162"/>
      <c r="L25" s="160"/>
      <c r="M25" s="223"/>
      <c r="N25" s="223"/>
      <c r="O25" s="223"/>
      <c r="P25" s="153"/>
      <c r="Q25" s="154"/>
      <c r="R25" s="189"/>
      <c r="S25" s="158"/>
      <c r="T25" s="152"/>
      <c r="U25" s="171"/>
      <c r="V25" s="171"/>
      <c r="W25" s="172"/>
      <c r="X25" s="158"/>
      <c r="Y25" s="45">
        <v>190</v>
      </c>
      <c r="Z25" s="45">
        <v>183</v>
      </c>
      <c r="AA25" s="45">
        <v>237</v>
      </c>
      <c r="AB25" s="45">
        <v>1</v>
      </c>
      <c r="AC25" s="46">
        <v>162</v>
      </c>
      <c r="AD25" s="159"/>
      <c r="AE25" s="153"/>
      <c r="AF25" s="153"/>
      <c r="AG25" s="158"/>
      <c r="AH25" s="153"/>
      <c r="AI25" s="154"/>
      <c r="AJ25" s="154"/>
      <c r="AK25" s="154"/>
      <c r="AL25" s="154"/>
      <c r="AM25" s="154"/>
      <c r="AN25" s="158"/>
      <c r="AO25" s="153"/>
      <c r="AP25" s="153"/>
      <c r="AQ25" s="153"/>
      <c r="AR25" s="158"/>
      <c r="AS25" s="153"/>
      <c r="AT25" s="153"/>
      <c r="AU25" s="153"/>
      <c r="AV25" s="154"/>
      <c r="AW25" s="158"/>
      <c r="AX25" s="153"/>
      <c r="AY25" s="153"/>
      <c r="AZ25" s="154"/>
      <c r="BA25" s="158"/>
      <c r="BB25" s="153"/>
      <c r="BC25" s="153"/>
      <c r="BD25" s="153"/>
      <c r="BE25" s="153"/>
      <c r="BF25" s="153"/>
      <c r="BG25" s="162"/>
      <c r="BH25" s="467"/>
      <c r="BI25" s="154"/>
      <c r="BJ25" s="158"/>
      <c r="BK25" s="162"/>
      <c r="BL25" s="160"/>
      <c r="BM25" s="153"/>
      <c r="BN25" s="153"/>
      <c r="BO25" s="154"/>
      <c r="BP25" s="156"/>
      <c r="BQ25" s="159"/>
      <c r="BR25" s="153"/>
      <c r="BS25" s="155"/>
      <c r="BT25" s="161"/>
      <c r="BU25" s="161"/>
      <c r="BV25" s="153"/>
      <c r="BW25" s="153"/>
      <c r="BX25" s="153"/>
      <c r="BY25" s="153"/>
      <c r="BZ25" s="154"/>
      <c r="CA25" s="155"/>
      <c r="CB25" s="153"/>
      <c r="CC25" s="155"/>
      <c r="CD25" s="153"/>
      <c r="CE25" s="155"/>
      <c r="CF25" s="160"/>
      <c r="CG25" s="160"/>
      <c r="CH25" s="161"/>
      <c r="CI25" s="162"/>
      <c r="CJ25" s="155"/>
      <c r="CK25" s="153"/>
      <c r="CL25" s="155"/>
      <c r="CM25" s="161"/>
      <c r="CN25" s="161"/>
      <c r="CO25" s="153"/>
      <c r="CP25" s="153"/>
      <c r="CQ25" s="154"/>
      <c r="CR25" s="155"/>
      <c r="CS25" s="161"/>
      <c r="CT25" s="223"/>
      <c r="CU25" s="160"/>
      <c r="CV25" s="223"/>
      <c r="CW25" s="223"/>
      <c r="CX25" s="156"/>
      <c r="CY25" s="159"/>
      <c r="CZ25" s="161"/>
      <c r="DA25" s="161"/>
      <c r="DB25" s="161"/>
      <c r="DC25" s="153"/>
      <c r="DD25" s="153"/>
      <c r="DE25" s="154"/>
      <c r="DF25" s="155"/>
      <c r="DG25" s="161"/>
      <c r="DH25" s="161"/>
      <c r="DI25" s="161"/>
      <c r="DJ25" s="161"/>
      <c r="DK25" s="156"/>
      <c r="DL25" s="162"/>
      <c r="DM25" s="223"/>
      <c r="DN25" s="153"/>
      <c r="DO25" s="153"/>
      <c r="DP25" s="153"/>
      <c r="DQ25" s="153"/>
      <c r="DR25" s="153"/>
      <c r="DS25" s="158"/>
      <c r="DT25" s="153"/>
      <c r="DU25" s="154"/>
      <c r="DV25" s="154"/>
      <c r="DW25" s="154"/>
      <c r="DX25" s="154"/>
      <c r="DY25" s="154"/>
      <c r="DZ25" s="154"/>
      <c r="EA25" s="158"/>
      <c r="EB25" s="19"/>
    </row>
    <row r="26" spans="1:132" s="12" customFormat="1" ht="13" x14ac:dyDescent="0.3">
      <c r="A26" s="10">
        <v>3203</v>
      </c>
      <c r="B26" s="11" t="s">
        <v>340</v>
      </c>
      <c r="C26" s="360">
        <v>987</v>
      </c>
      <c r="D26" s="54">
        <v>365</v>
      </c>
      <c r="E26" s="706">
        <f t="shared" si="0"/>
        <v>0.36980749746707192</v>
      </c>
      <c r="F26" s="219"/>
      <c r="G26" s="347"/>
      <c r="H26" s="153"/>
      <c r="I26" s="155"/>
      <c r="J26" s="153"/>
      <c r="K26" s="162"/>
      <c r="L26" s="160"/>
      <c r="M26" s="223"/>
      <c r="N26" s="223"/>
      <c r="O26" s="223"/>
      <c r="P26" s="153"/>
      <c r="Q26" s="154"/>
      <c r="R26" s="189"/>
      <c r="S26" s="158"/>
      <c r="T26" s="152"/>
      <c r="U26" s="171"/>
      <c r="V26" s="171"/>
      <c r="W26" s="172"/>
      <c r="X26" s="158"/>
      <c r="Y26" s="45">
        <v>196</v>
      </c>
      <c r="Z26" s="45">
        <v>129</v>
      </c>
      <c r="AA26" s="45">
        <v>239</v>
      </c>
      <c r="AB26" s="45">
        <v>0</v>
      </c>
      <c r="AC26" s="46">
        <v>160</v>
      </c>
      <c r="AD26" s="159"/>
      <c r="AE26" s="153"/>
      <c r="AF26" s="153"/>
      <c r="AG26" s="158"/>
      <c r="AH26" s="153"/>
      <c r="AI26" s="154"/>
      <c r="AJ26" s="154"/>
      <c r="AK26" s="154"/>
      <c r="AL26" s="154"/>
      <c r="AM26" s="154"/>
      <c r="AN26" s="158"/>
      <c r="AO26" s="153"/>
      <c r="AP26" s="153"/>
      <c r="AQ26" s="153"/>
      <c r="AR26" s="158"/>
      <c r="AS26" s="153"/>
      <c r="AT26" s="153"/>
      <c r="AU26" s="153"/>
      <c r="AV26" s="154"/>
      <c r="AW26" s="158"/>
      <c r="AX26" s="153"/>
      <c r="AY26" s="153"/>
      <c r="AZ26" s="154"/>
      <c r="BA26" s="158"/>
      <c r="BB26" s="153"/>
      <c r="BC26" s="153"/>
      <c r="BD26" s="153"/>
      <c r="BE26" s="153"/>
      <c r="BF26" s="153"/>
      <c r="BG26" s="162"/>
      <c r="BH26" s="467"/>
      <c r="BI26" s="154"/>
      <c r="BJ26" s="158"/>
      <c r="BK26" s="162"/>
      <c r="BL26" s="160"/>
      <c r="BM26" s="153"/>
      <c r="BN26" s="153"/>
      <c r="BO26" s="154"/>
      <c r="BP26" s="156"/>
      <c r="BQ26" s="159"/>
      <c r="BR26" s="153"/>
      <c r="BS26" s="155"/>
      <c r="BT26" s="161"/>
      <c r="BU26" s="161"/>
      <c r="BV26" s="153"/>
      <c r="BW26" s="153"/>
      <c r="BX26" s="153"/>
      <c r="BY26" s="153"/>
      <c r="BZ26" s="154"/>
      <c r="CA26" s="155"/>
      <c r="CB26" s="153"/>
      <c r="CC26" s="155"/>
      <c r="CD26" s="153"/>
      <c r="CE26" s="155"/>
      <c r="CF26" s="160"/>
      <c r="CG26" s="160"/>
      <c r="CH26" s="161"/>
      <c r="CI26" s="162"/>
      <c r="CJ26" s="155"/>
      <c r="CK26" s="153"/>
      <c r="CL26" s="155"/>
      <c r="CM26" s="161"/>
      <c r="CN26" s="161"/>
      <c r="CO26" s="153"/>
      <c r="CP26" s="153"/>
      <c r="CQ26" s="154"/>
      <c r="CR26" s="155"/>
      <c r="CS26" s="161"/>
      <c r="CT26" s="223"/>
      <c r="CU26" s="160"/>
      <c r="CV26" s="223"/>
      <c r="CW26" s="223"/>
      <c r="CX26" s="156"/>
      <c r="CY26" s="159"/>
      <c r="CZ26" s="161"/>
      <c r="DA26" s="161"/>
      <c r="DB26" s="161"/>
      <c r="DC26" s="153"/>
      <c r="DD26" s="153"/>
      <c r="DE26" s="154"/>
      <c r="DF26" s="155"/>
      <c r="DG26" s="161"/>
      <c r="DH26" s="161"/>
      <c r="DI26" s="161"/>
      <c r="DJ26" s="161"/>
      <c r="DK26" s="156"/>
      <c r="DL26" s="162"/>
      <c r="DM26" s="223"/>
      <c r="DN26" s="153"/>
      <c r="DO26" s="153"/>
      <c r="DP26" s="153"/>
      <c r="DQ26" s="153"/>
      <c r="DR26" s="153"/>
      <c r="DS26" s="158"/>
      <c r="DT26" s="153"/>
      <c r="DU26" s="154"/>
      <c r="DV26" s="154"/>
      <c r="DW26" s="154"/>
      <c r="DX26" s="154"/>
      <c r="DY26" s="154"/>
      <c r="DZ26" s="154"/>
      <c r="EA26" s="158"/>
      <c r="EB26" s="19"/>
    </row>
    <row r="27" spans="1:132" s="12" customFormat="1" ht="12.75" customHeight="1" x14ac:dyDescent="0.3">
      <c r="A27" s="10">
        <v>3204</v>
      </c>
      <c r="B27" s="11" t="s">
        <v>341</v>
      </c>
      <c r="C27" s="360">
        <v>995</v>
      </c>
      <c r="D27" s="54">
        <v>353</v>
      </c>
      <c r="E27" s="706">
        <f t="shared" si="0"/>
        <v>0.35477386934673366</v>
      </c>
      <c r="F27" s="219"/>
      <c r="G27" s="347"/>
      <c r="H27" s="153"/>
      <c r="I27" s="155"/>
      <c r="J27" s="153"/>
      <c r="K27" s="162"/>
      <c r="L27" s="160"/>
      <c r="M27" s="223"/>
      <c r="N27" s="223"/>
      <c r="O27" s="223"/>
      <c r="P27" s="153"/>
      <c r="Q27" s="154"/>
      <c r="R27" s="189"/>
      <c r="S27" s="158"/>
      <c r="T27" s="152"/>
      <c r="U27" s="171"/>
      <c r="V27" s="171"/>
      <c r="W27" s="172"/>
      <c r="X27" s="176"/>
      <c r="Y27" s="45">
        <v>229</v>
      </c>
      <c r="Z27" s="45">
        <v>97</v>
      </c>
      <c r="AA27" s="45">
        <v>221</v>
      </c>
      <c r="AB27" s="45">
        <v>0</v>
      </c>
      <c r="AC27" s="46">
        <v>171</v>
      </c>
      <c r="AD27" s="159"/>
      <c r="AE27" s="153"/>
      <c r="AF27" s="153"/>
      <c r="AG27" s="158"/>
      <c r="AH27" s="153"/>
      <c r="AI27" s="154"/>
      <c r="AJ27" s="154"/>
      <c r="AK27" s="154"/>
      <c r="AL27" s="154"/>
      <c r="AM27" s="154"/>
      <c r="AN27" s="158"/>
      <c r="AO27" s="153"/>
      <c r="AP27" s="153"/>
      <c r="AQ27" s="153"/>
      <c r="AR27" s="158"/>
      <c r="AS27" s="153"/>
      <c r="AT27" s="153"/>
      <c r="AU27" s="153"/>
      <c r="AV27" s="154"/>
      <c r="AW27" s="158"/>
      <c r="AX27" s="153"/>
      <c r="AY27" s="153"/>
      <c r="AZ27" s="154"/>
      <c r="BA27" s="158"/>
      <c r="BB27" s="153"/>
      <c r="BC27" s="153"/>
      <c r="BD27" s="153"/>
      <c r="BE27" s="153"/>
      <c r="BF27" s="153"/>
      <c r="BG27" s="162"/>
      <c r="BH27" s="467"/>
      <c r="BI27" s="154"/>
      <c r="BJ27" s="158"/>
      <c r="BK27" s="162"/>
      <c r="BL27" s="160"/>
      <c r="BM27" s="153"/>
      <c r="BN27" s="153"/>
      <c r="BO27" s="154"/>
      <c r="BP27" s="156"/>
      <c r="BQ27" s="159"/>
      <c r="BR27" s="153"/>
      <c r="BS27" s="155"/>
      <c r="BT27" s="161"/>
      <c r="BU27" s="161"/>
      <c r="BV27" s="153"/>
      <c r="BW27" s="153"/>
      <c r="BX27" s="153"/>
      <c r="BY27" s="153"/>
      <c r="BZ27" s="154"/>
      <c r="CA27" s="155"/>
      <c r="CB27" s="153"/>
      <c r="CC27" s="155"/>
      <c r="CD27" s="153"/>
      <c r="CE27" s="155"/>
      <c r="CF27" s="160"/>
      <c r="CG27" s="160"/>
      <c r="CH27" s="161"/>
      <c r="CI27" s="162"/>
      <c r="CJ27" s="155"/>
      <c r="CK27" s="153"/>
      <c r="CL27" s="155"/>
      <c r="CM27" s="161"/>
      <c r="CN27" s="161"/>
      <c r="CO27" s="153"/>
      <c r="CP27" s="153"/>
      <c r="CQ27" s="154"/>
      <c r="CR27" s="155"/>
      <c r="CS27" s="161"/>
      <c r="CT27" s="223"/>
      <c r="CU27" s="160"/>
      <c r="CV27" s="223"/>
      <c r="CW27" s="223"/>
      <c r="CX27" s="156"/>
      <c r="CY27" s="159"/>
      <c r="CZ27" s="161"/>
      <c r="DA27" s="161"/>
      <c r="DB27" s="161"/>
      <c r="DC27" s="153"/>
      <c r="DD27" s="153"/>
      <c r="DE27" s="154"/>
      <c r="DF27" s="155"/>
      <c r="DG27" s="161"/>
      <c r="DH27" s="161"/>
      <c r="DI27" s="161"/>
      <c r="DJ27" s="161"/>
      <c r="DK27" s="156"/>
      <c r="DL27" s="162"/>
      <c r="DM27" s="223"/>
      <c r="DN27" s="153"/>
      <c r="DO27" s="153"/>
      <c r="DP27" s="153"/>
      <c r="DQ27" s="153"/>
      <c r="DR27" s="153"/>
      <c r="DS27" s="158"/>
      <c r="DT27" s="153"/>
      <c r="DU27" s="154"/>
      <c r="DV27" s="154"/>
      <c r="DW27" s="154"/>
      <c r="DX27" s="154"/>
      <c r="DY27" s="154"/>
      <c r="DZ27" s="154"/>
      <c r="EA27" s="158"/>
      <c r="EB27" s="19"/>
    </row>
    <row r="28" spans="1:132" s="12" customFormat="1" ht="13" x14ac:dyDescent="0.3">
      <c r="A28" s="10">
        <v>3205</v>
      </c>
      <c r="B28" s="11" t="s">
        <v>342</v>
      </c>
      <c r="C28" s="360">
        <v>941</v>
      </c>
      <c r="D28" s="54">
        <v>331</v>
      </c>
      <c r="E28" s="706">
        <f t="shared" si="0"/>
        <v>0.35175345377258238</v>
      </c>
      <c r="F28" s="219"/>
      <c r="G28" s="347"/>
      <c r="H28" s="153"/>
      <c r="I28" s="155"/>
      <c r="J28" s="153"/>
      <c r="K28" s="162"/>
      <c r="L28" s="160"/>
      <c r="M28" s="223"/>
      <c r="N28" s="223"/>
      <c r="O28" s="223"/>
      <c r="P28" s="153"/>
      <c r="Q28" s="154"/>
      <c r="R28" s="189"/>
      <c r="S28" s="158"/>
      <c r="T28" s="159"/>
      <c r="U28" s="153"/>
      <c r="V28" s="153"/>
      <c r="W28" s="154"/>
      <c r="X28" s="158"/>
      <c r="Y28" s="45">
        <v>209</v>
      </c>
      <c r="Z28" s="45">
        <v>145</v>
      </c>
      <c r="AA28" s="45">
        <v>197</v>
      </c>
      <c r="AB28" s="45">
        <v>0</v>
      </c>
      <c r="AC28" s="46">
        <v>145</v>
      </c>
      <c r="AD28" s="159"/>
      <c r="AE28" s="153"/>
      <c r="AF28" s="153"/>
      <c r="AG28" s="158"/>
      <c r="AH28" s="153"/>
      <c r="AI28" s="154"/>
      <c r="AJ28" s="154"/>
      <c r="AK28" s="154"/>
      <c r="AL28" s="154"/>
      <c r="AM28" s="154"/>
      <c r="AN28" s="158"/>
      <c r="AO28" s="153"/>
      <c r="AP28" s="153"/>
      <c r="AQ28" s="153"/>
      <c r="AR28" s="158"/>
      <c r="AS28" s="153"/>
      <c r="AT28" s="153"/>
      <c r="AU28" s="153"/>
      <c r="AV28" s="154"/>
      <c r="AW28" s="158"/>
      <c r="AX28" s="153"/>
      <c r="AY28" s="153"/>
      <c r="AZ28" s="154"/>
      <c r="BA28" s="158"/>
      <c r="BB28" s="153"/>
      <c r="BC28" s="153"/>
      <c r="BD28" s="153"/>
      <c r="BE28" s="153"/>
      <c r="BF28" s="153"/>
      <c r="BG28" s="162"/>
      <c r="BH28" s="467"/>
      <c r="BI28" s="154"/>
      <c r="BJ28" s="158"/>
      <c r="BK28" s="162"/>
      <c r="BL28" s="160"/>
      <c r="BM28" s="153"/>
      <c r="BN28" s="153"/>
      <c r="BO28" s="154"/>
      <c r="BP28" s="156"/>
      <c r="BQ28" s="159"/>
      <c r="BR28" s="153"/>
      <c r="BS28" s="155"/>
      <c r="BT28" s="161"/>
      <c r="BU28" s="161"/>
      <c r="BV28" s="153"/>
      <c r="BW28" s="153"/>
      <c r="BX28" s="153"/>
      <c r="BY28" s="153"/>
      <c r="BZ28" s="154"/>
      <c r="CA28" s="155"/>
      <c r="CB28" s="153"/>
      <c r="CC28" s="155"/>
      <c r="CD28" s="153"/>
      <c r="CE28" s="155"/>
      <c r="CF28" s="160"/>
      <c r="CG28" s="160"/>
      <c r="CH28" s="161"/>
      <c r="CI28" s="162"/>
      <c r="CJ28" s="155"/>
      <c r="CK28" s="153"/>
      <c r="CL28" s="155"/>
      <c r="CM28" s="161"/>
      <c r="CN28" s="161"/>
      <c r="CO28" s="153"/>
      <c r="CP28" s="153"/>
      <c r="CQ28" s="154"/>
      <c r="CR28" s="155"/>
      <c r="CS28" s="161"/>
      <c r="CT28" s="223"/>
      <c r="CU28" s="160"/>
      <c r="CV28" s="223"/>
      <c r="CW28" s="223"/>
      <c r="CX28" s="156"/>
      <c r="CY28" s="159"/>
      <c r="CZ28" s="161"/>
      <c r="DA28" s="161"/>
      <c r="DB28" s="161"/>
      <c r="DC28" s="153"/>
      <c r="DD28" s="153"/>
      <c r="DE28" s="154"/>
      <c r="DF28" s="155"/>
      <c r="DG28" s="161"/>
      <c r="DH28" s="161"/>
      <c r="DI28" s="161"/>
      <c r="DJ28" s="161"/>
      <c r="DK28" s="156"/>
      <c r="DL28" s="162"/>
      <c r="DM28" s="223"/>
      <c r="DN28" s="153"/>
      <c r="DO28" s="153"/>
      <c r="DP28" s="153"/>
      <c r="DQ28" s="153"/>
      <c r="DR28" s="153"/>
      <c r="DS28" s="158"/>
      <c r="DT28" s="153"/>
      <c r="DU28" s="154"/>
      <c r="DV28" s="154"/>
      <c r="DW28" s="154"/>
      <c r="DX28" s="154"/>
      <c r="DY28" s="154"/>
      <c r="DZ28" s="154"/>
      <c r="EA28" s="158"/>
      <c r="EB28" s="19"/>
    </row>
    <row r="29" spans="1:132" s="12" customFormat="1" ht="12.75" customHeight="1" x14ac:dyDescent="0.3">
      <c r="A29" s="10">
        <v>3206</v>
      </c>
      <c r="B29" s="11" t="s">
        <v>343</v>
      </c>
      <c r="C29" s="360">
        <v>563</v>
      </c>
      <c r="D29" s="54">
        <v>216</v>
      </c>
      <c r="E29" s="706">
        <f t="shared" si="0"/>
        <v>0.38365896980461811</v>
      </c>
      <c r="F29" s="219"/>
      <c r="G29" s="347"/>
      <c r="H29" s="153"/>
      <c r="I29" s="155"/>
      <c r="J29" s="153"/>
      <c r="K29" s="162"/>
      <c r="L29" s="160"/>
      <c r="M29" s="223"/>
      <c r="N29" s="223"/>
      <c r="O29" s="223"/>
      <c r="P29" s="153"/>
      <c r="Q29" s="154"/>
      <c r="R29" s="189"/>
      <c r="S29" s="158"/>
      <c r="T29" s="159"/>
      <c r="U29" s="153"/>
      <c r="V29" s="153"/>
      <c r="W29" s="154"/>
      <c r="X29" s="158"/>
      <c r="Y29" s="45">
        <v>137</v>
      </c>
      <c r="Z29" s="45">
        <v>76</v>
      </c>
      <c r="AA29" s="45">
        <v>127</v>
      </c>
      <c r="AB29" s="45">
        <v>0</v>
      </c>
      <c r="AC29" s="46">
        <v>93</v>
      </c>
      <c r="AD29" s="159"/>
      <c r="AE29" s="153"/>
      <c r="AF29" s="153"/>
      <c r="AG29" s="158"/>
      <c r="AH29" s="153"/>
      <c r="AI29" s="154"/>
      <c r="AJ29" s="154"/>
      <c r="AK29" s="154"/>
      <c r="AL29" s="154"/>
      <c r="AM29" s="154"/>
      <c r="AN29" s="158"/>
      <c r="AO29" s="153"/>
      <c r="AP29" s="153"/>
      <c r="AQ29" s="153"/>
      <c r="AR29" s="158"/>
      <c r="AS29" s="153"/>
      <c r="AT29" s="153"/>
      <c r="AU29" s="153"/>
      <c r="AV29" s="154"/>
      <c r="AW29" s="158"/>
      <c r="AX29" s="153"/>
      <c r="AY29" s="153"/>
      <c r="AZ29" s="154"/>
      <c r="BA29" s="158"/>
      <c r="BB29" s="153"/>
      <c r="BC29" s="153"/>
      <c r="BD29" s="153"/>
      <c r="BE29" s="153"/>
      <c r="BF29" s="153"/>
      <c r="BG29" s="162"/>
      <c r="BH29" s="467"/>
      <c r="BI29" s="154"/>
      <c r="BJ29" s="158"/>
      <c r="BK29" s="162"/>
      <c r="BL29" s="160"/>
      <c r="BM29" s="153"/>
      <c r="BN29" s="153"/>
      <c r="BO29" s="154"/>
      <c r="BP29" s="156"/>
      <c r="BQ29" s="159"/>
      <c r="BR29" s="153"/>
      <c r="BS29" s="155"/>
      <c r="BT29" s="161"/>
      <c r="BU29" s="161"/>
      <c r="BV29" s="153"/>
      <c r="BW29" s="153"/>
      <c r="BX29" s="153"/>
      <c r="BY29" s="153"/>
      <c r="BZ29" s="154"/>
      <c r="CA29" s="155"/>
      <c r="CB29" s="153"/>
      <c r="CC29" s="155"/>
      <c r="CD29" s="153"/>
      <c r="CE29" s="155"/>
      <c r="CF29" s="160"/>
      <c r="CG29" s="160"/>
      <c r="CH29" s="161"/>
      <c r="CI29" s="162"/>
      <c r="CJ29" s="155"/>
      <c r="CK29" s="153"/>
      <c r="CL29" s="155"/>
      <c r="CM29" s="161"/>
      <c r="CN29" s="161"/>
      <c r="CO29" s="153"/>
      <c r="CP29" s="153"/>
      <c r="CQ29" s="154"/>
      <c r="CR29" s="155"/>
      <c r="CS29" s="161"/>
      <c r="CT29" s="223"/>
      <c r="CU29" s="160"/>
      <c r="CV29" s="223"/>
      <c r="CW29" s="223"/>
      <c r="CX29" s="156"/>
      <c r="CY29" s="159"/>
      <c r="CZ29" s="161"/>
      <c r="DA29" s="161"/>
      <c r="DB29" s="161"/>
      <c r="DC29" s="153"/>
      <c r="DD29" s="153"/>
      <c r="DE29" s="154"/>
      <c r="DF29" s="155"/>
      <c r="DG29" s="161"/>
      <c r="DH29" s="161"/>
      <c r="DI29" s="161"/>
      <c r="DJ29" s="161"/>
      <c r="DK29" s="156"/>
      <c r="DL29" s="162"/>
      <c r="DM29" s="223"/>
      <c r="DN29" s="153"/>
      <c r="DO29" s="153"/>
      <c r="DP29" s="153"/>
      <c r="DQ29" s="153"/>
      <c r="DR29" s="153"/>
      <c r="DS29" s="158"/>
      <c r="DT29" s="153"/>
      <c r="DU29" s="154"/>
      <c r="DV29" s="154"/>
      <c r="DW29" s="154"/>
      <c r="DX29" s="154"/>
      <c r="DY29" s="154"/>
      <c r="DZ29" s="154"/>
      <c r="EA29" s="158"/>
      <c r="EB29" s="19"/>
    </row>
    <row r="30" spans="1:132" s="12" customFormat="1" ht="13" x14ac:dyDescent="0.3">
      <c r="A30" s="10">
        <v>3207</v>
      </c>
      <c r="B30" s="11" t="s">
        <v>344</v>
      </c>
      <c r="C30" s="360">
        <v>896</v>
      </c>
      <c r="D30" s="54">
        <v>316</v>
      </c>
      <c r="E30" s="706">
        <f t="shared" si="0"/>
        <v>0.35267857142857145</v>
      </c>
      <c r="F30" s="219"/>
      <c r="G30" s="161"/>
      <c r="H30" s="153"/>
      <c r="I30" s="155"/>
      <c r="J30" s="153"/>
      <c r="K30" s="162"/>
      <c r="L30" s="160"/>
      <c r="M30" s="223"/>
      <c r="N30" s="223"/>
      <c r="O30" s="223"/>
      <c r="P30" s="153"/>
      <c r="Q30" s="154"/>
      <c r="R30" s="189"/>
      <c r="S30" s="158"/>
      <c r="T30" s="159"/>
      <c r="U30" s="153"/>
      <c r="V30" s="153"/>
      <c r="W30" s="154"/>
      <c r="X30" s="158"/>
      <c r="Y30" s="45">
        <v>203</v>
      </c>
      <c r="Z30" s="45">
        <v>72</v>
      </c>
      <c r="AA30" s="45">
        <v>229</v>
      </c>
      <c r="AB30" s="45">
        <v>2</v>
      </c>
      <c r="AC30" s="46">
        <v>240</v>
      </c>
      <c r="AD30" s="159"/>
      <c r="AE30" s="153"/>
      <c r="AF30" s="153"/>
      <c r="AG30" s="158"/>
      <c r="AH30" s="153"/>
      <c r="AI30" s="154"/>
      <c r="AJ30" s="154"/>
      <c r="AK30" s="154"/>
      <c r="AL30" s="154"/>
      <c r="AM30" s="154"/>
      <c r="AN30" s="158"/>
      <c r="AO30" s="153"/>
      <c r="AP30" s="153"/>
      <c r="AQ30" s="153"/>
      <c r="AR30" s="158"/>
      <c r="AS30" s="153"/>
      <c r="AT30" s="153"/>
      <c r="AU30" s="153"/>
      <c r="AV30" s="154"/>
      <c r="AW30" s="158"/>
      <c r="AX30" s="153"/>
      <c r="AY30" s="153"/>
      <c r="AZ30" s="154"/>
      <c r="BA30" s="158"/>
      <c r="BB30" s="153"/>
      <c r="BC30" s="153"/>
      <c r="BD30" s="153"/>
      <c r="BE30" s="153"/>
      <c r="BF30" s="153"/>
      <c r="BG30" s="162"/>
      <c r="BH30" s="467"/>
      <c r="BI30" s="154"/>
      <c r="BJ30" s="158"/>
      <c r="BK30" s="162"/>
      <c r="BL30" s="160"/>
      <c r="BM30" s="153"/>
      <c r="BN30" s="153"/>
      <c r="BO30" s="154"/>
      <c r="BP30" s="156"/>
      <c r="BQ30" s="159"/>
      <c r="BR30" s="153"/>
      <c r="BS30" s="155"/>
      <c r="BT30" s="161"/>
      <c r="BU30" s="161"/>
      <c r="BV30" s="153"/>
      <c r="BW30" s="153"/>
      <c r="BX30" s="153"/>
      <c r="BY30" s="153"/>
      <c r="BZ30" s="154"/>
      <c r="CA30" s="155"/>
      <c r="CB30" s="153"/>
      <c r="CC30" s="155"/>
      <c r="CD30" s="153"/>
      <c r="CE30" s="155"/>
      <c r="CF30" s="160"/>
      <c r="CG30" s="160"/>
      <c r="CH30" s="161"/>
      <c r="CI30" s="162"/>
      <c r="CJ30" s="155"/>
      <c r="CK30" s="153"/>
      <c r="CL30" s="155"/>
      <c r="CM30" s="161"/>
      <c r="CN30" s="161"/>
      <c r="CO30" s="153"/>
      <c r="CP30" s="153"/>
      <c r="CQ30" s="154"/>
      <c r="CR30" s="155"/>
      <c r="CS30" s="161"/>
      <c r="CT30" s="223"/>
      <c r="CU30" s="160"/>
      <c r="CV30" s="223"/>
      <c r="CW30" s="223"/>
      <c r="CX30" s="156"/>
      <c r="CY30" s="159"/>
      <c r="CZ30" s="161"/>
      <c r="DA30" s="161"/>
      <c r="DB30" s="161"/>
      <c r="DC30" s="153"/>
      <c r="DD30" s="153"/>
      <c r="DE30" s="154"/>
      <c r="DF30" s="155"/>
      <c r="DG30" s="161"/>
      <c r="DH30" s="161"/>
      <c r="DI30" s="161"/>
      <c r="DJ30" s="161"/>
      <c r="DK30" s="156"/>
      <c r="DL30" s="162"/>
      <c r="DM30" s="223"/>
      <c r="DN30" s="153"/>
      <c r="DO30" s="153"/>
      <c r="DP30" s="153"/>
      <c r="DQ30" s="153"/>
      <c r="DR30" s="153"/>
      <c r="DS30" s="158"/>
      <c r="DT30" s="153"/>
      <c r="DU30" s="154"/>
      <c r="DV30" s="154"/>
      <c r="DW30" s="154"/>
      <c r="DX30" s="154"/>
      <c r="DY30" s="154"/>
      <c r="DZ30" s="154"/>
      <c r="EA30" s="158"/>
      <c r="EB30" s="19"/>
    </row>
    <row r="31" spans="1:132" s="12" customFormat="1" ht="12.75" customHeight="1" x14ac:dyDescent="0.3">
      <c r="A31" s="10">
        <v>3208</v>
      </c>
      <c r="B31" s="11" t="s">
        <v>345</v>
      </c>
      <c r="C31" s="360">
        <v>762</v>
      </c>
      <c r="D31" s="54">
        <v>302</v>
      </c>
      <c r="E31" s="706">
        <f t="shared" si="0"/>
        <v>0.39632545931758528</v>
      </c>
      <c r="F31" s="219"/>
      <c r="G31" s="161"/>
      <c r="H31" s="153"/>
      <c r="I31" s="155"/>
      <c r="J31" s="153"/>
      <c r="K31" s="162"/>
      <c r="L31" s="160"/>
      <c r="M31" s="223"/>
      <c r="N31" s="223"/>
      <c r="O31" s="223"/>
      <c r="P31" s="153"/>
      <c r="Q31" s="154"/>
      <c r="R31" s="189"/>
      <c r="S31" s="158"/>
      <c r="T31" s="159"/>
      <c r="U31" s="153"/>
      <c r="V31" s="153"/>
      <c r="W31" s="154"/>
      <c r="X31" s="158"/>
      <c r="Y31" s="45">
        <v>172</v>
      </c>
      <c r="Z31" s="45">
        <v>83</v>
      </c>
      <c r="AA31" s="45">
        <v>230</v>
      </c>
      <c r="AB31" s="45">
        <v>0</v>
      </c>
      <c r="AC31" s="46">
        <v>172</v>
      </c>
      <c r="AD31" s="159"/>
      <c r="AE31" s="153"/>
      <c r="AF31" s="153"/>
      <c r="AG31" s="158"/>
      <c r="AH31" s="153"/>
      <c r="AI31" s="154"/>
      <c r="AJ31" s="154"/>
      <c r="AK31" s="154"/>
      <c r="AL31" s="154"/>
      <c r="AM31" s="154"/>
      <c r="AN31" s="158"/>
      <c r="AO31" s="153"/>
      <c r="AP31" s="153"/>
      <c r="AQ31" s="153"/>
      <c r="AR31" s="158"/>
      <c r="AS31" s="153"/>
      <c r="AT31" s="153"/>
      <c r="AU31" s="153"/>
      <c r="AV31" s="154"/>
      <c r="AW31" s="158"/>
      <c r="AX31" s="153"/>
      <c r="AY31" s="153"/>
      <c r="AZ31" s="154"/>
      <c r="BA31" s="158"/>
      <c r="BB31" s="153"/>
      <c r="BC31" s="153"/>
      <c r="BD31" s="153"/>
      <c r="BE31" s="153"/>
      <c r="BF31" s="153"/>
      <c r="BG31" s="162"/>
      <c r="BH31" s="467"/>
      <c r="BI31" s="154"/>
      <c r="BJ31" s="158"/>
      <c r="BK31" s="162"/>
      <c r="BL31" s="160"/>
      <c r="BM31" s="153"/>
      <c r="BN31" s="153"/>
      <c r="BO31" s="154"/>
      <c r="BP31" s="156"/>
      <c r="BQ31" s="159"/>
      <c r="BR31" s="153"/>
      <c r="BS31" s="155"/>
      <c r="BT31" s="161"/>
      <c r="BU31" s="161"/>
      <c r="BV31" s="153"/>
      <c r="BW31" s="153"/>
      <c r="BX31" s="153"/>
      <c r="BY31" s="153"/>
      <c r="BZ31" s="154"/>
      <c r="CA31" s="155"/>
      <c r="CB31" s="153"/>
      <c r="CC31" s="155"/>
      <c r="CD31" s="153"/>
      <c r="CE31" s="155"/>
      <c r="CF31" s="160"/>
      <c r="CG31" s="160"/>
      <c r="CH31" s="161"/>
      <c r="CI31" s="162"/>
      <c r="CJ31" s="155"/>
      <c r="CK31" s="153"/>
      <c r="CL31" s="155"/>
      <c r="CM31" s="161"/>
      <c r="CN31" s="161"/>
      <c r="CO31" s="153"/>
      <c r="CP31" s="153"/>
      <c r="CQ31" s="154"/>
      <c r="CR31" s="155"/>
      <c r="CS31" s="161"/>
      <c r="CT31" s="223"/>
      <c r="CU31" s="160"/>
      <c r="CV31" s="223"/>
      <c r="CW31" s="223"/>
      <c r="CX31" s="156"/>
      <c r="CY31" s="159"/>
      <c r="CZ31" s="161"/>
      <c r="DA31" s="161"/>
      <c r="DB31" s="161"/>
      <c r="DC31" s="153"/>
      <c r="DD31" s="153"/>
      <c r="DE31" s="154"/>
      <c r="DF31" s="155"/>
      <c r="DG31" s="161"/>
      <c r="DH31" s="161"/>
      <c r="DI31" s="161"/>
      <c r="DJ31" s="161"/>
      <c r="DK31" s="156"/>
      <c r="DL31" s="162"/>
      <c r="DM31" s="223"/>
      <c r="DN31" s="153"/>
      <c r="DO31" s="153"/>
      <c r="DP31" s="153"/>
      <c r="DQ31" s="153"/>
      <c r="DR31" s="153"/>
      <c r="DS31" s="158"/>
      <c r="DT31" s="153"/>
      <c r="DU31" s="154"/>
      <c r="DV31" s="154"/>
      <c r="DW31" s="154"/>
      <c r="DX31" s="154"/>
      <c r="DY31" s="154"/>
      <c r="DZ31" s="154"/>
      <c r="EA31" s="158"/>
      <c r="EB31" s="19"/>
    </row>
    <row r="32" spans="1:132" s="12" customFormat="1" ht="13" x14ac:dyDescent="0.3">
      <c r="A32" s="10">
        <v>3209</v>
      </c>
      <c r="B32" s="11" t="s">
        <v>346</v>
      </c>
      <c r="C32" s="360">
        <v>988</v>
      </c>
      <c r="D32" s="54">
        <v>462</v>
      </c>
      <c r="E32" s="706">
        <f t="shared" si="0"/>
        <v>0.46761133603238869</v>
      </c>
      <c r="F32" s="219"/>
      <c r="G32" s="161"/>
      <c r="H32" s="153"/>
      <c r="I32" s="155"/>
      <c r="J32" s="153"/>
      <c r="K32" s="162"/>
      <c r="L32" s="160"/>
      <c r="M32" s="223"/>
      <c r="N32" s="223"/>
      <c r="O32" s="223"/>
      <c r="P32" s="153"/>
      <c r="Q32" s="154"/>
      <c r="R32" s="189"/>
      <c r="S32" s="158"/>
      <c r="T32" s="159"/>
      <c r="U32" s="153"/>
      <c r="V32" s="153"/>
      <c r="W32" s="154"/>
      <c r="X32" s="158"/>
      <c r="Y32" s="45">
        <v>287</v>
      </c>
      <c r="Z32" s="45">
        <v>193</v>
      </c>
      <c r="AA32" s="45">
        <v>288</v>
      </c>
      <c r="AB32" s="45">
        <v>1</v>
      </c>
      <c r="AC32" s="46">
        <v>226</v>
      </c>
      <c r="AD32" s="159"/>
      <c r="AE32" s="153"/>
      <c r="AF32" s="153"/>
      <c r="AG32" s="158"/>
      <c r="AH32" s="153"/>
      <c r="AI32" s="154"/>
      <c r="AJ32" s="154"/>
      <c r="AK32" s="154"/>
      <c r="AL32" s="154"/>
      <c r="AM32" s="154"/>
      <c r="AN32" s="158"/>
      <c r="AO32" s="153"/>
      <c r="AP32" s="153"/>
      <c r="AQ32" s="153"/>
      <c r="AR32" s="158"/>
      <c r="AS32" s="153"/>
      <c r="AT32" s="153"/>
      <c r="AU32" s="153"/>
      <c r="AV32" s="154"/>
      <c r="AW32" s="158"/>
      <c r="AX32" s="153"/>
      <c r="AY32" s="153"/>
      <c r="AZ32" s="154"/>
      <c r="BA32" s="158"/>
      <c r="BB32" s="153"/>
      <c r="BC32" s="153"/>
      <c r="BD32" s="153"/>
      <c r="BE32" s="153"/>
      <c r="BF32" s="153"/>
      <c r="BG32" s="162"/>
      <c r="BH32" s="467"/>
      <c r="BI32" s="154"/>
      <c r="BJ32" s="158"/>
      <c r="BK32" s="162"/>
      <c r="BL32" s="160"/>
      <c r="BM32" s="153"/>
      <c r="BN32" s="153"/>
      <c r="BO32" s="154"/>
      <c r="BP32" s="156"/>
      <c r="BQ32" s="159"/>
      <c r="BR32" s="153"/>
      <c r="BS32" s="155"/>
      <c r="BT32" s="161"/>
      <c r="BU32" s="161"/>
      <c r="BV32" s="153"/>
      <c r="BW32" s="153"/>
      <c r="BX32" s="153"/>
      <c r="BY32" s="153"/>
      <c r="BZ32" s="154"/>
      <c r="CA32" s="155"/>
      <c r="CB32" s="153"/>
      <c r="CC32" s="155"/>
      <c r="CD32" s="153"/>
      <c r="CE32" s="155"/>
      <c r="CF32" s="160"/>
      <c r="CG32" s="160"/>
      <c r="CH32" s="161"/>
      <c r="CI32" s="162"/>
      <c r="CJ32" s="155"/>
      <c r="CK32" s="153"/>
      <c r="CL32" s="155"/>
      <c r="CM32" s="161"/>
      <c r="CN32" s="161"/>
      <c r="CO32" s="153"/>
      <c r="CP32" s="153"/>
      <c r="CQ32" s="154"/>
      <c r="CR32" s="155"/>
      <c r="CS32" s="161"/>
      <c r="CT32" s="223"/>
      <c r="CU32" s="160"/>
      <c r="CV32" s="223"/>
      <c r="CW32" s="223"/>
      <c r="CX32" s="156"/>
      <c r="CY32" s="159"/>
      <c r="CZ32" s="161"/>
      <c r="DA32" s="161"/>
      <c r="DB32" s="161"/>
      <c r="DC32" s="153"/>
      <c r="DD32" s="153"/>
      <c r="DE32" s="154"/>
      <c r="DF32" s="155"/>
      <c r="DG32" s="161"/>
      <c r="DH32" s="161"/>
      <c r="DI32" s="161"/>
      <c r="DJ32" s="161"/>
      <c r="DK32" s="156"/>
      <c r="DL32" s="162"/>
      <c r="DM32" s="223"/>
      <c r="DN32" s="153"/>
      <c r="DO32" s="153"/>
      <c r="DP32" s="153"/>
      <c r="DQ32" s="153"/>
      <c r="DR32" s="153"/>
      <c r="DS32" s="158"/>
      <c r="DT32" s="153"/>
      <c r="DU32" s="154"/>
      <c r="DV32" s="154"/>
      <c r="DW32" s="154"/>
      <c r="DX32" s="154"/>
      <c r="DY32" s="154"/>
      <c r="DZ32" s="154"/>
      <c r="EA32" s="158"/>
      <c r="EB32" s="19"/>
    </row>
    <row r="33" spans="1:132" s="12" customFormat="1" ht="12.75" customHeight="1" x14ac:dyDescent="0.3">
      <c r="A33" s="10">
        <v>3210</v>
      </c>
      <c r="B33" s="11" t="s">
        <v>347</v>
      </c>
      <c r="C33" s="360">
        <v>869</v>
      </c>
      <c r="D33" s="54">
        <v>366</v>
      </c>
      <c r="E33" s="706">
        <f t="shared" si="0"/>
        <v>0.42117376294591485</v>
      </c>
      <c r="F33" s="219"/>
      <c r="G33" s="161"/>
      <c r="H33" s="153"/>
      <c r="I33" s="155"/>
      <c r="J33" s="153"/>
      <c r="K33" s="162"/>
      <c r="L33" s="160"/>
      <c r="M33" s="223"/>
      <c r="N33" s="223"/>
      <c r="O33" s="223"/>
      <c r="P33" s="153"/>
      <c r="Q33" s="154"/>
      <c r="R33" s="189"/>
      <c r="S33" s="158"/>
      <c r="T33" s="159"/>
      <c r="U33" s="153"/>
      <c r="V33" s="153"/>
      <c r="W33" s="154"/>
      <c r="X33" s="158"/>
      <c r="Y33" s="45">
        <v>186</v>
      </c>
      <c r="Z33" s="45">
        <v>169</v>
      </c>
      <c r="AA33" s="45">
        <v>237</v>
      </c>
      <c r="AB33" s="45">
        <v>1</v>
      </c>
      <c r="AC33" s="46">
        <v>186</v>
      </c>
      <c r="AD33" s="159"/>
      <c r="AE33" s="153"/>
      <c r="AF33" s="153"/>
      <c r="AG33" s="158"/>
      <c r="AH33" s="153"/>
      <c r="AI33" s="154"/>
      <c r="AJ33" s="154"/>
      <c r="AK33" s="154"/>
      <c r="AL33" s="154"/>
      <c r="AM33" s="154"/>
      <c r="AN33" s="158"/>
      <c r="AO33" s="153"/>
      <c r="AP33" s="153"/>
      <c r="AQ33" s="153"/>
      <c r="AR33" s="158"/>
      <c r="AS33" s="153"/>
      <c r="AT33" s="153"/>
      <c r="AU33" s="153"/>
      <c r="AV33" s="154"/>
      <c r="AW33" s="158"/>
      <c r="AX33" s="153"/>
      <c r="AY33" s="153"/>
      <c r="AZ33" s="154"/>
      <c r="BA33" s="158"/>
      <c r="BB33" s="153"/>
      <c r="BC33" s="153"/>
      <c r="BD33" s="153"/>
      <c r="BE33" s="153"/>
      <c r="BF33" s="153"/>
      <c r="BG33" s="162"/>
      <c r="BH33" s="467"/>
      <c r="BI33" s="154"/>
      <c r="BJ33" s="158"/>
      <c r="BK33" s="162"/>
      <c r="BL33" s="160"/>
      <c r="BM33" s="153"/>
      <c r="BN33" s="153"/>
      <c r="BO33" s="154"/>
      <c r="BP33" s="156"/>
      <c r="BQ33" s="159"/>
      <c r="BR33" s="153"/>
      <c r="BS33" s="155"/>
      <c r="BT33" s="161"/>
      <c r="BU33" s="161"/>
      <c r="BV33" s="153"/>
      <c r="BW33" s="153"/>
      <c r="BX33" s="153"/>
      <c r="BY33" s="153"/>
      <c r="BZ33" s="154"/>
      <c r="CA33" s="155"/>
      <c r="CB33" s="153"/>
      <c r="CC33" s="155"/>
      <c r="CD33" s="153"/>
      <c r="CE33" s="155"/>
      <c r="CF33" s="160"/>
      <c r="CG33" s="160"/>
      <c r="CH33" s="161"/>
      <c r="CI33" s="162"/>
      <c r="CJ33" s="155"/>
      <c r="CK33" s="153"/>
      <c r="CL33" s="155"/>
      <c r="CM33" s="161"/>
      <c r="CN33" s="161"/>
      <c r="CO33" s="153"/>
      <c r="CP33" s="153"/>
      <c r="CQ33" s="154"/>
      <c r="CR33" s="155"/>
      <c r="CS33" s="161"/>
      <c r="CT33" s="223"/>
      <c r="CU33" s="160"/>
      <c r="CV33" s="223"/>
      <c r="CW33" s="223"/>
      <c r="CX33" s="156"/>
      <c r="CY33" s="159"/>
      <c r="CZ33" s="161"/>
      <c r="DA33" s="161"/>
      <c r="DB33" s="161"/>
      <c r="DC33" s="153"/>
      <c r="DD33" s="153"/>
      <c r="DE33" s="154"/>
      <c r="DF33" s="155"/>
      <c r="DG33" s="161"/>
      <c r="DH33" s="161"/>
      <c r="DI33" s="161"/>
      <c r="DJ33" s="161"/>
      <c r="DK33" s="156"/>
      <c r="DL33" s="162"/>
      <c r="DM33" s="223"/>
      <c r="DN33" s="153"/>
      <c r="DO33" s="153"/>
      <c r="DP33" s="153"/>
      <c r="DQ33" s="153"/>
      <c r="DR33" s="153"/>
      <c r="DS33" s="158"/>
      <c r="DT33" s="153"/>
      <c r="DU33" s="154"/>
      <c r="DV33" s="154"/>
      <c r="DW33" s="154"/>
      <c r="DX33" s="154"/>
      <c r="DY33" s="154"/>
      <c r="DZ33" s="154"/>
      <c r="EA33" s="158"/>
      <c r="EB33" s="19"/>
    </row>
    <row r="34" spans="1:132" s="12" customFormat="1" ht="13" x14ac:dyDescent="0.3">
      <c r="A34" s="10">
        <v>3211</v>
      </c>
      <c r="B34" s="11" t="s">
        <v>348</v>
      </c>
      <c r="C34" s="360">
        <v>1145</v>
      </c>
      <c r="D34" s="54">
        <v>294</v>
      </c>
      <c r="E34" s="706">
        <f t="shared" si="0"/>
        <v>0.25676855895196504</v>
      </c>
      <c r="F34" s="219"/>
      <c r="G34" s="161"/>
      <c r="H34" s="153"/>
      <c r="I34" s="155"/>
      <c r="J34" s="153"/>
      <c r="K34" s="162"/>
      <c r="L34" s="160"/>
      <c r="M34" s="223"/>
      <c r="N34" s="223"/>
      <c r="O34" s="223"/>
      <c r="P34" s="153"/>
      <c r="Q34" s="154"/>
      <c r="R34" s="189"/>
      <c r="S34" s="158"/>
      <c r="T34" s="159"/>
      <c r="U34" s="153"/>
      <c r="V34" s="153"/>
      <c r="W34" s="154"/>
      <c r="X34" s="158"/>
      <c r="Y34" s="45">
        <v>204</v>
      </c>
      <c r="Z34" s="45">
        <v>72</v>
      </c>
      <c r="AA34" s="45">
        <v>181</v>
      </c>
      <c r="AB34" s="45">
        <v>0</v>
      </c>
      <c r="AC34" s="46">
        <v>138</v>
      </c>
      <c r="AD34" s="159"/>
      <c r="AE34" s="153"/>
      <c r="AF34" s="153"/>
      <c r="AG34" s="158"/>
      <c r="AH34" s="153"/>
      <c r="AI34" s="154"/>
      <c r="AJ34" s="154"/>
      <c r="AK34" s="154"/>
      <c r="AL34" s="154"/>
      <c r="AM34" s="154"/>
      <c r="AN34" s="158"/>
      <c r="AO34" s="153"/>
      <c r="AP34" s="153"/>
      <c r="AQ34" s="153"/>
      <c r="AR34" s="158"/>
      <c r="AS34" s="153"/>
      <c r="AT34" s="153"/>
      <c r="AU34" s="153"/>
      <c r="AV34" s="154"/>
      <c r="AW34" s="158"/>
      <c r="AX34" s="153"/>
      <c r="AY34" s="153"/>
      <c r="AZ34" s="154"/>
      <c r="BA34" s="158"/>
      <c r="BB34" s="153"/>
      <c r="BC34" s="153"/>
      <c r="BD34" s="153"/>
      <c r="BE34" s="153"/>
      <c r="BF34" s="153"/>
      <c r="BG34" s="162"/>
      <c r="BH34" s="467"/>
      <c r="BI34" s="154"/>
      <c r="BJ34" s="158"/>
      <c r="BK34" s="162"/>
      <c r="BL34" s="160"/>
      <c r="BM34" s="153"/>
      <c r="BN34" s="153"/>
      <c r="BO34" s="154"/>
      <c r="BP34" s="156"/>
      <c r="BQ34" s="159"/>
      <c r="BR34" s="153"/>
      <c r="BS34" s="155"/>
      <c r="BT34" s="161"/>
      <c r="BU34" s="161"/>
      <c r="BV34" s="153"/>
      <c r="BW34" s="153"/>
      <c r="BX34" s="153"/>
      <c r="BY34" s="153"/>
      <c r="BZ34" s="154"/>
      <c r="CA34" s="155"/>
      <c r="CB34" s="153"/>
      <c r="CC34" s="155"/>
      <c r="CD34" s="153"/>
      <c r="CE34" s="155"/>
      <c r="CF34" s="160"/>
      <c r="CG34" s="160"/>
      <c r="CH34" s="161"/>
      <c r="CI34" s="162"/>
      <c r="CJ34" s="155"/>
      <c r="CK34" s="153"/>
      <c r="CL34" s="155"/>
      <c r="CM34" s="161"/>
      <c r="CN34" s="161"/>
      <c r="CO34" s="153"/>
      <c r="CP34" s="153"/>
      <c r="CQ34" s="154"/>
      <c r="CR34" s="155"/>
      <c r="CS34" s="161"/>
      <c r="CT34" s="223"/>
      <c r="CU34" s="160"/>
      <c r="CV34" s="223"/>
      <c r="CW34" s="223"/>
      <c r="CX34" s="156"/>
      <c r="CY34" s="159"/>
      <c r="CZ34" s="161"/>
      <c r="DA34" s="161"/>
      <c r="DB34" s="161"/>
      <c r="DC34" s="153"/>
      <c r="DD34" s="153"/>
      <c r="DE34" s="154"/>
      <c r="DF34" s="155"/>
      <c r="DG34" s="161"/>
      <c r="DH34" s="161"/>
      <c r="DI34" s="161"/>
      <c r="DJ34" s="161"/>
      <c r="DK34" s="156"/>
      <c r="DL34" s="162"/>
      <c r="DM34" s="223"/>
      <c r="DN34" s="153"/>
      <c r="DO34" s="153"/>
      <c r="DP34" s="153"/>
      <c r="DQ34" s="153"/>
      <c r="DR34" s="153"/>
      <c r="DS34" s="158"/>
      <c r="DT34" s="153"/>
      <c r="DU34" s="154"/>
      <c r="DV34" s="154"/>
      <c r="DW34" s="154"/>
      <c r="DX34" s="154"/>
      <c r="DY34" s="154"/>
      <c r="DZ34" s="154"/>
      <c r="EA34" s="158"/>
      <c r="EB34" s="19"/>
    </row>
    <row r="35" spans="1:132" s="12" customFormat="1" ht="12.75" customHeight="1" x14ac:dyDescent="0.3">
      <c r="A35" s="10">
        <v>3212</v>
      </c>
      <c r="B35" s="11" t="s">
        <v>349</v>
      </c>
      <c r="C35" s="360">
        <v>1060</v>
      </c>
      <c r="D35" s="54">
        <v>411</v>
      </c>
      <c r="E35" s="706">
        <f t="shared" si="0"/>
        <v>0.3877358490566038</v>
      </c>
      <c r="F35" s="219"/>
      <c r="G35" s="161"/>
      <c r="H35" s="153"/>
      <c r="I35" s="155"/>
      <c r="J35" s="153"/>
      <c r="K35" s="162"/>
      <c r="L35" s="160"/>
      <c r="M35" s="223"/>
      <c r="N35" s="223"/>
      <c r="O35" s="223"/>
      <c r="P35" s="153"/>
      <c r="Q35" s="154"/>
      <c r="R35" s="189"/>
      <c r="S35" s="158"/>
      <c r="T35" s="159"/>
      <c r="U35" s="153"/>
      <c r="V35" s="153"/>
      <c r="W35" s="154"/>
      <c r="X35" s="158"/>
      <c r="Y35" s="45">
        <v>228</v>
      </c>
      <c r="Z35" s="45">
        <v>132</v>
      </c>
      <c r="AA35" s="45">
        <v>237</v>
      </c>
      <c r="AB35" s="45">
        <v>0</v>
      </c>
      <c r="AC35" s="46">
        <v>203</v>
      </c>
      <c r="AD35" s="159"/>
      <c r="AE35" s="153"/>
      <c r="AF35" s="153"/>
      <c r="AG35" s="158"/>
      <c r="AH35" s="153"/>
      <c r="AI35" s="154"/>
      <c r="AJ35" s="154"/>
      <c r="AK35" s="154"/>
      <c r="AL35" s="154"/>
      <c r="AM35" s="154"/>
      <c r="AN35" s="158"/>
      <c r="AO35" s="153"/>
      <c r="AP35" s="153"/>
      <c r="AQ35" s="153"/>
      <c r="AR35" s="158"/>
      <c r="AS35" s="153"/>
      <c r="AT35" s="153"/>
      <c r="AU35" s="153"/>
      <c r="AV35" s="154"/>
      <c r="AW35" s="158"/>
      <c r="AX35" s="153"/>
      <c r="AY35" s="153"/>
      <c r="AZ35" s="154"/>
      <c r="BA35" s="158"/>
      <c r="BB35" s="153"/>
      <c r="BC35" s="153"/>
      <c r="BD35" s="153"/>
      <c r="BE35" s="153"/>
      <c r="BF35" s="153"/>
      <c r="BG35" s="162"/>
      <c r="BH35" s="467"/>
      <c r="BI35" s="154"/>
      <c r="BJ35" s="158"/>
      <c r="BK35" s="162"/>
      <c r="BL35" s="160"/>
      <c r="BM35" s="153"/>
      <c r="BN35" s="153"/>
      <c r="BO35" s="154"/>
      <c r="BP35" s="156"/>
      <c r="BQ35" s="159"/>
      <c r="BR35" s="153"/>
      <c r="BS35" s="155"/>
      <c r="BT35" s="161"/>
      <c r="BU35" s="161"/>
      <c r="BV35" s="153"/>
      <c r="BW35" s="153"/>
      <c r="BX35" s="153"/>
      <c r="BY35" s="153"/>
      <c r="BZ35" s="154"/>
      <c r="CA35" s="155"/>
      <c r="CB35" s="153"/>
      <c r="CC35" s="155"/>
      <c r="CD35" s="153"/>
      <c r="CE35" s="155"/>
      <c r="CF35" s="160"/>
      <c r="CG35" s="160"/>
      <c r="CH35" s="161"/>
      <c r="CI35" s="162"/>
      <c r="CJ35" s="155"/>
      <c r="CK35" s="153"/>
      <c r="CL35" s="155"/>
      <c r="CM35" s="161"/>
      <c r="CN35" s="161"/>
      <c r="CO35" s="153"/>
      <c r="CP35" s="153"/>
      <c r="CQ35" s="154"/>
      <c r="CR35" s="155"/>
      <c r="CS35" s="161"/>
      <c r="CT35" s="223"/>
      <c r="CU35" s="160"/>
      <c r="CV35" s="223"/>
      <c r="CW35" s="223"/>
      <c r="CX35" s="156"/>
      <c r="CY35" s="159"/>
      <c r="CZ35" s="161"/>
      <c r="DA35" s="161"/>
      <c r="DB35" s="161"/>
      <c r="DC35" s="153"/>
      <c r="DD35" s="153"/>
      <c r="DE35" s="154"/>
      <c r="DF35" s="155"/>
      <c r="DG35" s="161"/>
      <c r="DH35" s="161"/>
      <c r="DI35" s="161"/>
      <c r="DJ35" s="161"/>
      <c r="DK35" s="156"/>
      <c r="DL35" s="162"/>
      <c r="DM35" s="223"/>
      <c r="DN35" s="153"/>
      <c r="DO35" s="153"/>
      <c r="DP35" s="153"/>
      <c r="DQ35" s="153"/>
      <c r="DR35" s="153"/>
      <c r="DS35" s="158"/>
      <c r="DT35" s="153"/>
      <c r="DU35" s="154"/>
      <c r="DV35" s="154"/>
      <c r="DW35" s="154"/>
      <c r="DX35" s="154"/>
      <c r="DY35" s="154"/>
      <c r="DZ35" s="154"/>
      <c r="EA35" s="158"/>
      <c r="EB35" s="19"/>
    </row>
    <row r="36" spans="1:132" s="12" customFormat="1" ht="13" x14ac:dyDescent="0.3">
      <c r="A36" s="10">
        <v>3213</v>
      </c>
      <c r="B36" s="11" t="s">
        <v>350</v>
      </c>
      <c r="C36" s="360">
        <v>1118</v>
      </c>
      <c r="D36" s="54">
        <v>398</v>
      </c>
      <c r="E36" s="706">
        <f t="shared" si="0"/>
        <v>0.35599284436493739</v>
      </c>
      <c r="F36" s="219"/>
      <c r="G36" s="161"/>
      <c r="H36" s="153"/>
      <c r="I36" s="155"/>
      <c r="J36" s="153"/>
      <c r="K36" s="162"/>
      <c r="L36" s="160"/>
      <c r="M36" s="223"/>
      <c r="N36" s="223"/>
      <c r="O36" s="223"/>
      <c r="P36" s="153"/>
      <c r="Q36" s="154"/>
      <c r="R36" s="189"/>
      <c r="S36" s="158"/>
      <c r="T36" s="159"/>
      <c r="U36" s="153"/>
      <c r="V36" s="153"/>
      <c r="W36" s="154"/>
      <c r="X36" s="158"/>
      <c r="Y36" s="171">
        <v>194</v>
      </c>
      <c r="Z36" s="171">
        <v>125</v>
      </c>
      <c r="AA36" s="171">
        <v>255</v>
      </c>
      <c r="AB36" s="171">
        <v>0</v>
      </c>
      <c r="AC36" s="176">
        <v>163</v>
      </c>
      <c r="AD36" s="101"/>
      <c r="AE36" s="45"/>
      <c r="AF36" s="45"/>
      <c r="AG36" s="46"/>
      <c r="AH36" s="153"/>
      <c r="AI36" s="154"/>
      <c r="AJ36" s="154"/>
      <c r="AK36" s="154"/>
      <c r="AL36" s="154"/>
      <c r="AM36" s="154"/>
      <c r="AN36" s="158"/>
      <c r="AO36" s="153"/>
      <c r="AP36" s="153"/>
      <c r="AQ36" s="153"/>
      <c r="AR36" s="158"/>
      <c r="AS36" s="153"/>
      <c r="AT36" s="153"/>
      <c r="AU36" s="153"/>
      <c r="AV36" s="154"/>
      <c r="AW36" s="158"/>
      <c r="AX36" s="153"/>
      <c r="AY36" s="153"/>
      <c r="AZ36" s="154"/>
      <c r="BA36" s="158"/>
      <c r="BB36" s="153"/>
      <c r="BC36" s="153"/>
      <c r="BD36" s="153"/>
      <c r="BE36" s="153"/>
      <c r="BF36" s="153"/>
      <c r="BG36" s="162"/>
      <c r="BH36" s="467"/>
      <c r="BI36" s="154"/>
      <c r="BJ36" s="158"/>
      <c r="BK36" s="162"/>
      <c r="BL36" s="160"/>
      <c r="BM36" s="153"/>
      <c r="BN36" s="153"/>
      <c r="BO36" s="154"/>
      <c r="BP36" s="156"/>
      <c r="BQ36" s="159"/>
      <c r="BR36" s="153"/>
      <c r="BS36" s="155"/>
      <c r="BT36" s="161"/>
      <c r="BU36" s="161"/>
      <c r="BV36" s="153"/>
      <c r="BW36" s="153"/>
      <c r="BX36" s="153"/>
      <c r="BY36" s="153"/>
      <c r="BZ36" s="154"/>
      <c r="CA36" s="155"/>
      <c r="CB36" s="153"/>
      <c r="CC36" s="155"/>
      <c r="CD36" s="153"/>
      <c r="CE36" s="155"/>
      <c r="CF36" s="160"/>
      <c r="CG36" s="160"/>
      <c r="CH36" s="161"/>
      <c r="CI36" s="162"/>
      <c r="CJ36" s="155"/>
      <c r="CK36" s="153"/>
      <c r="CL36" s="155"/>
      <c r="CM36" s="161"/>
      <c r="CN36" s="161"/>
      <c r="CO36" s="153"/>
      <c r="CP36" s="153"/>
      <c r="CQ36" s="154"/>
      <c r="CR36" s="155"/>
      <c r="CS36" s="161"/>
      <c r="CT36" s="223"/>
      <c r="CU36" s="160"/>
      <c r="CV36" s="223"/>
      <c r="CW36" s="223"/>
      <c r="CX36" s="156"/>
      <c r="CY36" s="159"/>
      <c r="CZ36" s="161"/>
      <c r="DA36" s="161"/>
      <c r="DB36" s="161"/>
      <c r="DC36" s="153"/>
      <c r="DD36" s="153"/>
      <c r="DE36" s="154"/>
      <c r="DF36" s="155"/>
      <c r="DG36" s="161"/>
      <c r="DH36" s="161"/>
      <c r="DI36" s="161"/>
      <c r="DJ36" s="161"/>
      <c r="DK36" s="156"/>
      <c r="DL36" s="162"/>
      <c r="DM36" s="223"/>
      <c r="DN36" s="153"/>
      <c r="DO36" s="153"/>
      <c r="DP36" s="153"/>
      <c r="DQ36" s="153"/>
      <c r="DR36" s="153"/>
      <c r="DS36" s="158"/>
      <c r="DT36" s="153"/>
      <c r="DU36" s="154"/>
      <c r="DV36" s="154"/>
      <c r="DW36" s="154"/>
      <c r="DX36" s="154"/>
      <c r="DY36" s="154"/>
      <c r="DZ36" s="154"/>
      <c r="EA36" s="158"/>
      <c r="EB36" s="19"/>
    </row>
    <row r="37" spans="1:132" s="12" customFormat="1" ht="12.75" customHeight="1" x14ac:dyDescent="0.3">
      <c r="A37" s="10">
        <v>3401</v>
      </c>
      <c r="B37" s="11" t="s">
        <v>351</v>
      </c>
      <c r="C37" s="360">
        <v>1454</v>
      </c>
      <c r="D37" s="54">
        <v>564</v>
      </c>
      <c r="E37" s="706">
        <f t="shared" si="0"/>
        <v>0.38789546079779919</v>
      </c>
      <c r="F37" s="219"/>
      <c r="G37" s="161"/>
      <c r="H37" s="153"/>
      <c r="I37" s="155"/>
      <c r="J37" s="153"/>
      <c r="K37" s="162"/>
      <c r="L37" s="160"/>
      <c r="M37" s="223"/>
      <c r="N37" s="223"/>
      <c r="O37" s="223"/>
      <c r="P37" s="153"/>
      <c r="Q37" s="154"/>
      <c r="R37" s="189"/>
      <c r="S37" s="158"/>
      <c r="T37" s="159"/>
      <c r="U37" s="153"/>
      <c r="V37" s="153"/>
      <c r="W37" s="154"/>
      <c r="X37" s="158"/>
      <c r="Y37" s="171"/>
      <c r="Z37" s="171"/>
      <c r="AA37" s="171"/>
      <c r="AB37" s="171"/>
      <c r="AC37" s="176"/>
      <c r="AD37" s="101">
        <v>442</v>
      </c>
      <c r="AE37" s="45">
        <v>242</v>
      </c>
      <c r="AF37" s="45">
        <v>323</v>
      </c>
      <c r="AG37" s="46">
        <v>266</v>
      </c>
      <c r="AH37" s="153"/>
      <c r="AI37" s="154"/>
      <c r="AJ37" s="154"/>
      <c r="AK37" s="154"/>
      <c r="AL37" s="154"/>
      <c r="AM37" s="154"/>
      <c r="AN37" s="158"/>
      <c r="AO37" s="153"/>
      <c r="AP37" s="153"/>
      <c r="AQ37" s="153"/>
      <c r="AR37" s="158"/>
      <c r="AS37" s="153"/>
      <c r="AT37" s="153"/>
      <c r="AU37" s="153"/>
      <c r="AV37" s="154"/>
      <c r="AW37" s="158"/>
      <c r="AX37" s="153"/>
      <c r="AY37" s="153"/>
      <c r="AZ37" s="154"/>
      <c r="BA37" s="158"/>
      <c r="BB37" s="153"/>
      <c r="BC37" s="153"/>
      <c r="BD37" s="153"/>
      <c r="BE37" s="153"/>
      <c r="BF37" s="153"/>
      <c r="BG37" s="162"/>
      <c r="BH37" s="467"/>
      <c r="BI37" s="154"/>
      <c r="BJ37" s="158"/>
      <c r="BK37" s="162"/>
      <c r="BL37" s="160"/>
      <c r="BM37" s="153"/>
      <c r="BN37" s="153"/>
      <c r="BO37" s="154"/>
      <c r="BP37" s="156"/>
      <c r="BQ37" s="159"/>
      <c r="BR37" s="153"/>
      <c r="BS37" s="155"/>
      <c r="BT37" s="161"/>
      <c r="BU37" s="161"/>
      <c r="BV37" s="153"/>
      <c r="BW37" s="153"/>
      <c r="BX37" s="153"/>
      <c r="BY37" s="153"/>
      <c r="BZ37" s="154"/>
      <c r="CA37" s="155"/>
      <c r="CB37" s="153"/>
      <c r="CC37" s="155"/>
      <c r="CD37" s="153"/>
      <c r="CE37" s="155"/>
      <c r="CF37" s="160"/>
      <c r="CG37" s="160"/>
      <c r="CH37" s="161"/>
      <c r="CI37" s="162"/>
      <c r="CJ37" s="155"/>
      <c r="CK37" s="153"/>
      <c r="CL37" s="155"/>
      <c r="CM37" s="161"/>
      <c r="CN37" s="161"/>
      <c r="CO37" s="153"/>
      <c r="CP37" s="153"/>
      <c r="CQ37" s="154"/>
      <c r="CR37" s="155"/>
      <c r="CS37" s="161"/>
      <c r="CT37" s="223"/>
      <c r="CU37" s="160"/>
      <c r="CV37" s="223"/>
      <c r="CW37" s="223"/>
      <c r="CX37" s="156"/>
      <c r="CY37" s="159"/>
      <c r="CZ37" s="161"/>
      <c r="DA37" s="161"/>
      <c r="DB37" s="161"/>
      <c r="DC37" s="153"/>
      <c r="DD37" s="153"/>
      <c r="DE37" s="154"/>
      <c r="DF37" s="155"/>
      <c r="DG37" s="161"/>
      <c r="DH37" s="161"/>
      <c r="DI37" s="161"/>
      <c r="DJ37" s="161"/>
      <c r="DK37" s="156"/>
      <c r="DL37" s="162"/>
      <c r="DM37" s="223"/>
      <c r="DN37" s="153"/>
      <c r="DO37" s="153"/>
      <c r="DP37" s="153"/>
      <c r="DQ37" s="153"/>
      <c r="DR37" s="153"/>
      <c r="DS37" s="158"/>
      <c r="DT37" s="153"/>
      <c r="DU37" s="154"/>
      <c r="DV37" s="154"/>
      <c r="DW37" s="154"/>
      <c r="DX37" s="154"/>
      <c r="DY37" s="154"/>
      <c r="DZ37" s="154"/>
      <c r="EA37" s="158"/>
      <c r="EB37" s="19"/>
    </row>
    <row r="38" spans="1:132" s="12" customFormat="1" ht="13" x14ac:dyDescent="0.3">
      <c r="A38" s="10">
        <v>3402</v>
      </c>
      <c r="B38" s="11" t="s">
        <v>352</v>
      </c>
      <c r="C38" s="360">
        <v>1466</v>
      </c>
      <c r="D38" s="54">
        <v>530</v>
      </c>
      <c r="E38" s="706">
        <f t="shared" si="0"/>
        <v>0.36152796725784447</v>
      </c>
      <c r="F38" s="219"/>
      <c r="G38" s="161"/>
      <c r="H38" s="153"/>
      <c r="I38" s="155"/>
      <c r="J38" s="153"/>
      <c r="K38" s="162"/>
      <c r="L38" s="160"/>
      <c r="M38" s="223"/>
      <c r="N38" s="223"/>
      <c r="O38" s="223"/>
      <c r="P38" s="153"/>
      <c r="Q38" s="154"/>
      <c r="R38" s="189"/>
      <c r="S38" s="158"/>
      <c r="T38" s="159"/>
      <c r="U38" s="153"/>
      <c r="V38" s="153"/>
      <c r="W38" s="154"/>
      <c r="X38" s="158"/>
      <c r="Y38" s="171"/>
      <c r="Z38" s="171"/>
      <c r="AA38" s="171"/>
      <c r="AB38" s="171"/>
      <c r="AC38" s="176"/>
      <c r="AD38" s="101">
        <v>407</v>
      </c>
      <c r="AE38" s="45">
        <v>248</v>
      </c>
      <c r="AF38" s="45">
        <v>264</v>
      </c>
      <c r="AG38" s="46">
        <v>267</v>
      </c>
      <c r="AH38" s="153"/>
      <c r="AI38" s="154"/>
      <c r="AJ38" s="154"/>
      <c r="AK38" s="154"/>
      <c r="AL38" s="154"/>
      <c r="AM38" s="154"/>
      <c r="AN38" s="158"/>
      <c r="AO38" s="153"/>
      <c r="AP38" s="153"/>
      <c r="AQ38" s="153"/>
      <c r="AR38" s="158"/>
      <c r="AS38" s="153"/>
      <c r="AT38" s="153"/>
      <c r="AU38" s="153"/>
      <c r="AV38" s="154"/>
      <c r="AW38" s="158"/>
      <c r="AX38" s="153"/>
      <c r="AY38" s="153"/>
      <c r="AZ38" s="154"/>
      <c r="BA38" s="158"/>
      <c r="BB38" s="153"/>
      <c r="BC38" s="153"/>
      <c r="BD38" s="153"/>
      <c r="BE38" s="153"/>
      <c r="BF38" s="153"/>
      <c r="BG38" s="162"/>
      <c r="BH38" s="467"/>
      <c r="BI38" s="154"/>
      <c r="BJ38" s="158"/>
      <c r="BK38" s="162"/>
      <c r="BL38" s="160"/>
      <c r="BM38" s="153"/>
      <c r="BN38" s="153"/>
      <c r="BO38" s="154"/>
      <c r="BP38" s="156"/>
      <c r="BQ38" s="159"/>
      <c r="BR38" s="153"/>
      <c r="BS38" s="155"/>
      <c r="BT38" s="161"/>
      <c r="BU38" s="161"/>
      <c r="BV38" s="153"/>
      <c r="BW38" s="153"/>
      <c r="BX38" s="153"/>
      <c r="BY38" s="153"/>
      <c r="BZ38" s="154"/>
      <c r="CA38" s="155"/>
      <c r="CB38" s="153"/>
      <c r="CC38" s="155"/>
      <c r="CD38" s="153"/>
      <c r="CE38" s="155"/>
      <c r="CF38" s="160"/>
      <c r="CG38" s="160"/>
      <c r="CH38" s="161"/>
      <c r="CI38" s="162"/>
      <c r="CJ38" s="155"/>
      <c r="CK38" s="153"/>
      <c r="CL38" s="155"/>
      <c r="CM38" s="161"/>
      <c r="CN38" s="161"/>
      <c r="CO38" s="153"/>
      <c r="CP38" s="153"/>
      <c r="CQ38" s="154"/>
      <c r="CR38" s="155"/>
      <c r="CS38" s="161"/>
      <c r="CT38" s="223"/>
      <c r="CU38" s="160"/>
      <c r="CV38" s="223"/>
      <c r="CW38" s="223"/>
      <c r="CX38" s="156"/>
      <c r="CY38" s="159"/>
      <c r="CZ38" s="161"/>
      <c r="DA38" s="161"/>
      <c r="DB38" s="161"/>
      <c r="DC38" s="153"/>
      <c r="DD38" s="153"/>
      <c r="DE38" s="154"/>
      <c r="DF38" s="155"/>
      <c r="DG38" s="161"/>
      <c r="DH38" s="161"/>
      <c r="DI38" s="161"/>
      <c r="DJ38" s="161"/>
      <c r="DK38" s="156"/>
      <c r="DL38" s="162"/>
      <c r="DM38" s="223"/>
      <c r="DN38" s="153"/>
      <c r="DO38" s="153"/>
      <c r="DP38" s="153"/>
      <c r="DQ38" s="153"/>
      <c r="DR38" s="153"/>
      <c r="DS38" s="158"/>
      <c r="DT38" s="153"/>
      <c r="DU38" s="154"/>
      <c r="DV38" s="154"/>
      <c r="DW38" s="154"/>
      <c r="DX38" s="154"/>
      <c r="DY38" s="154"/>
      <c r="DZ38" s="154"/>
      <c r="EA38" s="158"/>
      <c r="EB38" s="19"/>
    </row>
    <row r="39" spans="1:132" s="12" customFormat="1" ht="12.75" customHeight="1" x14ac:dyDescent="0.3">
      <c r="A39" s="10">
        <v>3403</v>
      </c>
      <c r="B39" s="11" t="s">
        <v>353</v>
      </c>
      <c r="C39" s="360">
        <v>1661</v>
      </c>
      <c r="D39" s="54">
        <v>712</v>
      </c>
      <c r="E39" s="706">
        <f t="shared" si="0"/>
        <v>0.42865743527995182</v>
      </c>
      <c r="F39" s="219"/>
      <c r="G39" s="161"/>
      <c r="H39" s="153"/>
      <c r="I39" s="155"/>
      <c r="J39" s="153"/>
      <c r="K39" s="162"/>
      <c r="L39" s="160"/>
      <c r="M39" s="223"/>
      <c r="N39" s="223"/>
      <c r="O39" s="223"/>
      <c r="P39" s="153"/>
      <c r="Q39" s="154"/>
      <c r="R39" s="189"/>
      <c r="S39" s="158"/>
      <c r="T39" s="159"/>
      <c r="U39" s="153"/>
      <c r="V39" s="153"/>
      <c r="W39" s="154"/>
      <c r="X39" s="158"/>
      <c r="Y39" s="171"/>
      <c r="Z39" s="171"/>
      <c r="AA39" s="171"/>
      <c r="AB39" s="171"/>
      <c r="AC39" s="176"/>
      <c r="AD39" s="101">
        <v>558</v>
      </c>
      <c r="AE39" s="45">
        <v>335</v>
      </c>
      <c r="AF39" s="45">
        <v>380</v>
      </c>
      <c r="AG39" s="46">
        <v>372</v>
      </c>
      <c r="AH39" s="153"/>
      <c r="AI39" s="154"/>
      <c r="AJ39" s="154"/>
      <c r="AK39" s="154"/>
      <c r="AL39" s="154"/>
      <c r="AM39" s="154"/>
      <c r="AN39" s="158"/>
      <c r="AO39" s="153"/>
      <c r="AP39" s="153"/>
      <c r="AQ39" s="153"/>
      <c r="AR39" s="158"/>
      <c r="AS39" s="153"/>
      <c r="AT39" s="153"/>
      <c r="AU39" s="153"/>
      <c r="AV39" s="154"/>
      <c r="AW39" s="158"/>
      <c r="AX39" s="153"/>
      <c r="AY39" s="153"/>
      <c r="AZ39" s="154"/>
      <c r="BA39" s="158"/>
      <c r="BB39" s="153"/>
      <c r="BC39" s="153"/>
      <c r="BD39" s="153"/>
      <c r="BE39" s="153"/>
      <c r="BF39" s="153"/>
      <c r="BG39" s="162"/>
      <c r="BH39" s="467"/>
      <c r="BI39" s="154"/>
      <c r="BJ39" s="158"/>
      <c r="BK39" s="162"/>
      <c r="BL39" s="160"/>
      <c r="BM39" s="153"/>
      <c r="BN39" s="153"/>
      <c r="BO39" s="154"/>
      <c r="BP39" s="156"/>
      <c r="BQ39" s="159"/>
      <c r="BR39" s="153"/>
      <c r="BS39" s="155"/>
      <c r="BT39" s="161"/>
      <c r="BU39" s="161"/>
      <c r="BV39" s="153"/>
      <c r="BW39" s="153"/>
      <c r="BX39" s="153"/>
      <c r="BY39" s="153"/>
      <c r="BZ39" s="154"/>
      <c r="CA39" s="155"/>
      <c r="CB39" s="153"/>
      <c r="CC39" s="155"/>
      <c r="CD39" s="153"/>
      <c r="CE39" s="155"/>
      <c r="CF39" s="160"/>
      <c r="CG39" s="160"/>
      <c r="CH39" s="161"/>
      <c r="CI39" s="162"/>
      <c r="CJ39" s="155"/>
      <c r="CK39" s="153"/>
      <c r="CL39" s="155"/>
      <c r="CM39" s="161"/>
      <c r="CN39" s="161"/>
      <c r="CO39" s="153"/>
      <c r="CP39" s="153"/>
      <c r="CQ39" s="154"/>
      <c r="CR39" s="155"/>
      <c r="CS39" s="161"/>
      <c r="CT39" s="223"/>
      <c r="CU39" s="160"/>
      <c r="CV39" s="223"/>
      <c r="CW39" s="223"/>
      <c r="CX39" s="156"/>
      <c r="CY39" s="159"/>
      <c r="CZ39" s="161"/>
      <c r="DA39" s="161"/>
      <c r="DB39" s="161"/>
      <c r="DC39" s="153"/>
      <c r="DD39" s="153"/>
      <c r="DE39" s="154"/>
      <c r="DF39" s="155"/>
      <c r="DG39" s="161"/>
      <c r="DH39" s="161"/>
      <c r="DI39" s="161"/>
      <c r="DJ39" s="161"/>
      <c r="DK39" s="156"/>
      <c r="DL39" s="162"/>
      <c r="DM39" s="223"/>
      <c r="DN39" s="153"/>
      <c r="DO39" s="153"/>
      <c r="DP39" s="153"/>
      <c r="DQ39" s="153"/>
      <c r="DR39" s="153"/>
      <c r="DS39" s="158"/>
      <c r="DT39" s="153"/>
      <c r="DU39" s="154"/>
      <c r="DV39" s="154"/>
      <c r="DW39" s="154"/>
      <c r="DX39" s="154"/>
      <c r="DY39" s="154"/>
      <c r="DZ39" s="154"/>
      <c r="EA39" s="158"/>
      <c r="EB39" s="19"/>
    </row>
    <row r="40" spans="1:132" s="12" customFormat="1" ht="13" x14ac:dyDescent="0.3">
      <c r="A40" s="10">
        <v>3404</v>
      </c>
      <c r="B40" s="11" t="s">
        <v>354</v>
      </c>
      <c r="C40" s="360">
        <v>1359</v>
      </c>
      <c r="D40" s="54">
        <v>721</v>
      </c>
      <c r="E40" s="706">
        <f t="shared" si="0"/>
        <v>0.53053715967623249</v>
      </c>
      <c r="F40" s="219"/>
      <c r="G40" s="161"/>
      <c r="H40" s="153"/>
      <c r="I40" s="155"/>
      <c r="J40" s="153"/>
      <c r="K40" s="162"/>
      <c r="L40" s="160"/>
      <c r="M40" s="223"/>
      <c r="N40" s="223"/>
      <c r="O40" s="223"/>
      <c r="P40" s="153"/>
      <c r="Q40" s="154"/>
      <c r="R40" s="189"/>
      <c r="S40" s="158"/>
      <c r="T40" s="159"/>
      <c r="U40" s="153"/>
      <c r="V40" s="153"/>
      <c r="W40" s="154"/>
      <c r="X40" s="158"/>
      <c r="Y40" s="171"/>
      <c r="Z40" s="171"/>
      <c r="AA40" s="171"/>
      <c r="AB40" s="171"/>
      <c r="AC40" s="176"/>
      <c r="AD40" s="101">
        <v>559</v>
      </c>
      <c r="AE40" s="45">
        <v>361</v>
      </c>
      <c r="AF40" s="45">
        <v>398</v>
      </c>
      <c r="AG40" s="46">
        <v>402</v>
      </c>
      <c r="AH40" s="153"/>
      <c r="AI40" s="154"/>
      <c r="AJ40" s="154"/>
      <c r="AK40" s="154"/>
      <c r="AL40" s="154"/>
      <c r="AM40" s="154"/>
      <c r="AN40" s="158"/>
      <c r="AO40" s="153"/>
      <c r="AP40" s="153"/>
      <c r="AQ40" s="153"/>
      <c r="AR40" s="158"/>
      <c r="AS40" s="153"/>
      <c r="AT40" s="153"/>
      <c r="AU40" s="153"/>
      <c r="AV40" s="154"/>
      <c r="AW40" s="158"/>
      <c r="AX40" s="153"/>
      <c r="AY40" s="153"/>
      <c r="AZ40" s="154"/>
      <c r="BA40" s="158"/>
      <c r="BB40" s="153"/>
      <c r="BC40" s="153"/>
      <c r="BD40" s="153"/>
      <c r="BE40" s="153"/>
      <c r="BF40" s="153"/>
      <c r="BG40" s="162"/>
      <c r="BH40" s="467"/>
      <c r="BI40" s="154"/>
      <c r="BJ40" s="158"/>
      <c r="BK40" s="162"/>
      <c r="BL40" s="160"/>
      <c r="BM40" s="153"/>
      <c r="BN40" s="153"/>
      <c r="BO40" s="154"/>
      <c r="BP40" s="156"/>
      <c r="BQ40" s="159"/>
      <c r="BR40" s="153"/>
      <c r="BS40" s="155"/>
      <c r="BT40" s="161"/>
      <c r="BU40" s="161"/>
      <c r="BV40" s="153"/>
      <c r="BW40" s="153"/>
      <c r="BX40" s="153"/>
      <c r="BY40" s="153"/>
      <c r="BZ40" s="154"/>
      <c r="CA40" s="155"/>
      <c r="CB40" s="153"/>
      <c r="CC40" s="155"/>
      <c r="CD40" s="153"/>
      <c r="CE40" s="155"/>
      <c r="CF40" s="160"/>
      <c r="CG40" s="160"/>
      <c r="CH40" s="161"/>
      <c r="CI40" s="162"/>
      <c r="CJ40" s="155"/>
      <c r="CK40" s="153"/>
      <c r="CL40" s="155"/>
      <c r="CM40" s="161"/>
      <c r="CN40" s="161"/>
      <c r="CO40" s="153"/>
      <c r="CP40" s="153"/>
      <c r="CQ40" s="154"/>
      <c r="CR40" s="155"/>
      <c r="CS40" s="161"/>
      <c r="CT40" s="223"/>
      <c r="CU40" s="160"/>
      <c r="CV40" s="223"/>
      <c r="CW40" s="223"/>
      <c r="CX40" s="156"/>
      <c r="CY40" s="159"/>
      <c r="CZ40" s="161"/>
      <c r="DA40" s="161"/>
      <c r="DB40" s="161"/>
      <c r="DC40" s="153"/>
      <c r="DD40" s="153"/>
      <c r="DE40" s="154"/>
      <c r="DF40" s="155"/>
      <c r="DG40" s="161"/>
      <c r="DH40" s="161"/>
      <c r="DI40" s="161"/>
      <c r="DJ40" s="161"/>
      <c r="DK40" s="156"/>
      <c r="DL40" s="162"/>
      <c r="DM40" s="223"/>
      <c r="DN40" s="153"/>
      <c r="DO40" s="153"/>
      <c r="DP40" s="153"/>
      <c r="DQ40" s="153"/>
      <c r="DR40" s="153"/>
      <c r="DS40" s="158"/>
      <c r="DT40" s="153"/>
      <c r="DU40" s="154"/>
      <c r="DV40" s="154"/>
      <c r="DW40" s="154"/>
      <c r="DX40" s="154"/>
      <c r="DY40" s="154"/>
      <c r="DZ40" s="154"/>
      <c r="EA40" s="158"/>
      <c r="EB40" s="19"/>
    </row>
    <row r="41" spans="1:132" s="12" customFormat="1" ht="12.75" customHeight="1" x14ac:dyDescent="0.3">
      <c r="A41" s="10">
        <v>3405</v>
      </c>
      <c r="B41" s="11" t="s">
        <v>355</v>
      </c>
      <c r="C41" s="360">
        <v>1441</v>
      </c>
      <c r="D41" s="54">
        <v>740</v>
      </c>
      <c r="E41" s="706">
        <f t="shared" si="0"/>
        <v>0.51353226925746009</v>
      </c>
      <c r="F41" s="219"/>
      <c r="G41" s="161"/>
      <c r="H41" s="153"/>
      <c r="I41" s="155"/>
      <c r="J41" s="153"/>
      <c r="K41" s="162"/>
      <c r="L41" s="160"/>
      <c r="M41" s="223"/>
      <c r="N41" s="223"/>
      <c r="O41" s="223"/>
      <c r="P41" s="153"/>
      <c r="Q41" s="154"/>
      <c r="R41" s="189"/>
      <c r="S41" s="158"/>
      <c r="T41" s="159"/>
      <c r="U41" s="153"/>
      <c r="V41" s="153"/>
      <c r="W41" s="154"/>
      <c r="X41" s="158"/>
      <c r="Y41" s="153"/>
      <c r="Z41" s="153"/>
      <c r="AA41" s="153"/>
      <c r="AB41" s="153"/>
      <c r="AC41" s="158"/>
      <c r="AD41" s="101">
        <v>556</v>
      </c>
      <c r="AE41" s="45">
        <v>367</v>
      </c>
      <c r="AF41" s="45">
        <v>407</v>
      </c>
      <c r="AG41" s="46">
        <v>401</v>
      </c>
      <c r="AH41" s="165"/>
      <c r="AI41" s="173"/>
      <c r="AJ41" s="173"/>
      <c r="AK41" s="173"/>
      <c r="AL41" s="173"/>
      <c r="AM41" s="173"/>
      <c r="AN41" s="167"/>
      <c r="AO41" s="153"/>
      <c r="AP41" s="153"/>
      <c r="AQ41" s="153"/>
      <c r="AR41" s="158"/>
      <c r="AS41" s="153"/>
      <c r="AT41" s="153"/>
      <c r="AU41" s="153"/>
      <c r="AV41" s="154"/>
      <c r="AW41" s="158"/>
      <c r="AX41" s="153"/>
      <c r="AY41" s="153"/>
      <c r="AZ41" s="154"/>
      <c r="BA41" s="158"/>
      <c r="BB41" s="153"/>
      <c r="BC41" s="153"/>
      <c r="BD41" s="153"/>
      <c r="BE41" s="153"/>
      <c r="BF41" s="153"/>
      <c r="BG41" s="162"/>
      <c r="BH41" s="467"/>
      <c r="BI41" s="154"/>
      <c r="BJ41" s="158"/>
      <c r="BK41" s="162"/>
      <c r="BL41" s="160"/>
      <c r="BM41" s="153"/>
      <c r="BN41" s="153"/>
      <c r="BO41" s="154"/>
      <c r="BP41" s="156"/>
      <c r="BQ41" s="159"/>
      <c r="BR41" s="153"/>
      <c r="BS41" s="155"/>
      <c r="BT41" s="161"/>
      <c r="BU41" s="161"/>
      <c r="BV41" s="153"/>
      <c r="BW41" s="153"/>
      <c r="BX41" s="153"/>
      <c r="BY41" s="153"/>
      <c r="BZ41" s="154"/>
      <c r="CA41" s="155"/>
      <c r="CB41" s="153"/>
      <c r="CC41" s="155"/>
      <c r="CD41" s="153"/>
      <c r="CE41" s="155"/>
      <c r="CF41" s="160"/>
      <c r="CG41" s="160"/>
      <c r="CH41" s="161"/>
      <c r="CI41" s="162"/>
      <c r="CJ41" s="155"/>
      <c r="CK41" s="153"/>
      <c r="CL41" s="155"/>
      <c r="CM41" s="161"/>
      <c r="CN41" s="161"/>
      <c r="CO41" s="153"/>
      <c r="CP41" s="153"/>
      <c r="CQ41" s="154"/>
      <c r="CR41" s="155"/>
      <c r="CS41" s="161"/>
      <c r="CT41" s="223"/>
      <c r="CU41" s="160"/>
      <c r="CV41" s="223"/>
      <c r="CW41" s="223"/>
      <c r="CX41" s="156"/>
      <c r="CY41" s="159"/>
      <c r="CZ41" s="161"/>
      <c r="DA41" s="161"/>
      <c r="DB41" s="161"/>
      <c r="DC41" s="153"/>
      <c r="DD41" s="153"/>
      <c r="DE41" s="154"/>
      <c r="DF41" s="155"/>
      <c r="DG41" s="161"/>
      <c r="DH41" s="161"/>
      <c r="DI41" s="161"/>
      <c r="DJ41" s="161"/>
      <c r="DK41" s="156"/>
      <c r="DL41" s="162"/>
      <c r="DM41" s="223"/>
      <c r="DN41" s="153"/>
      <c r="DO41" s="153"/>
      <c r="DP41" s="153"/>
      <c r="DQ41" s="153"/>
      <c r="DR41" s="153"/>
      <c r="DS41" s="158"/>
      <c r="DT41" s="153"/>
      <c r="DU41" s="154"/>
      <c r="DV41" s="154"/>
      <c r="DW41" s="154"/>
      <c r="DX41" s="154"/>
      <c r="DY41" s="154"/>
      <c r="DZ41" s="154"/>
      <c r="EA41" s="158"/>
      <c r="EB41" s="19"/>
    </row>
    <row r="42" spans="1:132" s="12" customFormat="1" ht="13" x14ac:dyDescent="0.3">
      <c r="A42" s="10">
        <v>3406</v>
      </c>
      <c r="B42" s="11" t="s">
        <v>752</v>
      </c>
      <c r="C42" s="360">
        <v>1455</v>
      </c>
      <c r="D42" s="54">
        <v>806</v>
      </c>
      <c r="E42" s="706">
        <f t="shared" si="0"/>
        <v>0.55395189003436429</v>
      </c>
      <c r="F42" s="219"/>
      <c r="G42" s="161"/>
      <c r="H42" s="153"/>
      <c r="I42" s="155"/>
      <c r="J42" s="153"/>
      <c r="K42" s="162"/>
      <c r="L42" s="160"/>
      <c r="M42" s="223"/>
      <c r="N42" s="223"/>
      <c r="O42" s="223"/>
      <c r="P42" s="153"/>
      <c r="Q42" s="154"/>
      <c r="R42" s="189"/>
      <c r="S42" s="158"/>
      <c r="T42" s="159"/>
      <c r="U42" s="153"/>
      <c r="V42" s="153"/>
      <c r="W42" s="154"/>
      <c r="X42" s="158"/>
      <c r="Y42" s="153"/>
      <c r="Z42" s="153"/>
      <c r="AA42" s="153"/>
      <c r="AB42" s="153"/>
      <c r="AC42" s="158"/>
      <c r="AD42" s="152">
        <v>623</v>
      </c>
      <c r="AE42" s="171">
        <v>491</v>
      </c>
      <c r="AF42" s="171">
        <v>461</v>
      </c>
      <c r="AG42" s="176">
        <v>453</v>
      </c>
      <c r="AH42" s="45"/>
      <c r="AI42" s="54"/>
      <c r="AJ42" s="54"/>
      <c r="AK42" s="54"/>
      <c r="AL42" s="54"/>
      <c r="AM42" s="54"/>
      <c r="AN42" s="46"/>
      <c r="AO42" s="153"/>
      <c r="AP42" s="153"/>
      <c r="AQ42" s="153"/>
      <c r="AR42" s="158"/>
      <c r="AS42" s="153"/>
      <c r="AT42" s="153"/>
      <c r="AU42" s="153"/>
      <c r="AV42" s="154"/>
      <c r="AW42" s="158"/>
      <c r="AX42" s="153"/>
      <c r="AY42" s="153"/>
      <c r="AZ42" s="154"/>
      <c r="BA42" s="158"/>
      <c r="BB42" s="153"/>
      <c r="BC42" s="153"/>
      <c r="BD42" s="153"/>
      <c r="BE42" s="153"/>
      <c r="BF42" s="153"/>
      <c r="BG42" s="162"/>
      <c r="BH42" s="467"/>
      <c r="BI42" s="154"/>
      <c r="BJ42" s="158"/>
      <c r="BK42" s="162"/>
      <c r="BL42" s="160"/>
      <c r="BM42" s="153"/>
      <c r="BN42" s="153"/>
      <c r="BO42" s="154"/>
      <c r="BP42" s="156"/>
      <c r="BQ42" s="159"/>
      <c r="BR42" s="153"/>
      <c r="BS42" s="155"/>
      <c r="BT42" s="161"/>
      <c r="BU42" s="161"/>
      <c r="BV42" s="153"/>
      <c r="BW42" s="153"/>
      <c r="BX42" s="153"/>
      <c r="BY42" s="153"/>
      <c r="BZ42" s="154"/>
      <c r="CA42" s="155"/>
      <c r="CB42" s="153"/>
      <c r="CC42" s="155"/>
      <c r="CD42" s="153"/>
      <c r="CE42" s="155"/>
      <c r="CF42" s="160"/>
      <c r="CG42" s="160"/>
      <c r="CH42" s="161"/>
      <c r="CI42" s="162"/>
      <c r="CJ42" s="155"/>
      <c r="CK42" s="153"/>
      <c r="CL42" s="155"/>
      <c r="CM42" s="161"/>
      <c r="CN42" s="161"/>
      <c r="CO42" s="153"/>
      <c r="CP42" s="153"/>
      <c r="CQ42" s="154"/>
      <c r="CR42" s="155"/>
      <c r="CS42" s="161"/>
      <c r="CT42" s="223"/>
      <c r="CU42" s="160"/>
      <c r="CV42" s="223"/>
      <c r="CW42" s="223"/>
      <c r="CX42" s="156"/>
      <c r="CY42" s="159"/>
      <c r="CZ42" s="161"/>
      <c r="DA42" s="161"/>
      <c r="DB42" s="161"/>
      <c r="DC42" s="153"/>
      <c r="DD42" s="153"/>
      <c r="DE42" s="154"/>
      <c r="DF42" s="155"/>
      <c r="DG42" s="161"/>
      <c r="DH42" s="161"/>
      <c r="DI42" s="161"/>
      <c r="DJ42" s="161"/>
      <c r="DK42" s="156"/>
      <c r="DL42" s="162"/>
      <c r="DM42" s="223"/>
      <c r="DN42" s="153"/>
      <c r="DO42" s="153"/>
      <c r="DP42" s="153"/>
      <c r="DQ42" s="153"/>
      <c r="DR42" s="153"/>
      <c r="DS42" s="158"/>
      <c r="DT42" s="153"/>
      <c r="DU42" s="154"/>
      <c r="DV42" s="154"/>
      <c r="DW42" s="154"/>
      <c r="DX42" s="154"/>
      <c r="DY42" s="154"/>
      <c r="DZ42" s="154"/>
      <c r="EA42" s="158"/>
      <c r="EB42" s="19"/>
    </row>
    <row r="43" spans="1:132" s="12" customFormat="1" ht="13" x14ac:dyDescent="0.3">
      <c r="A43" s="10">
        <v>3407</v>
      </c>
      <c r="B43" s="11" t="s">
        <v>803</v>
      </c>
      <c r="C43" s="360">
        <v>591</v>
      </c>
      <c r="D43" s="54">
        <v>307</v>
      </c>
      <c r="E43" s="706">
        <f t="shared" si="0"/>
        <v>0.51945854483925546</v>
      </c>
      <c r="F43" s="219"/>
      <c r="G43" s="161"/>
      <c r="H43" s="153"/>
      <c r="I43" s="155"/>
      <c r="J43" s="153"/>
      <c r="K43" s="162"/>
      <c r="L43" s="160"/>
      <c r="M43" s="223"/>
      <c r="N43" s="223"/>
      <c r="O43" s="223"/>
      <c r="P43" s="153"/>
      <c r="Q43" s="154"/>
      <c r="R43" s="189"/>
      <c r="S43" s="158"/>
      <c r="T43" s="159"/>
      <c r="U43" s="153"/>
      <c r="V43" s="153"/>
      <c r="W43" s="154"/>
      <c r="X43" s="158"/>
      <c r="Y43" s="153"/>
      <c r="Z43" s="153"/>
      <c r="AA43" s="153"/>
      <c r="AB43" s="153"/>
      <c r="AC43" s="158"/>
      <c r="AD43" s="152">
        <v>232</v>
      </c>
      <c r="AE43" s="171">
        <v>162</v>
      </c>
      <c r="AF43" s="171">
        <v>162</v>
      </c>
      <c r="AG43" s="176">
        <v>164</v>
      </c>
      <c r="AH43" s="45"/>
      <c r="AI43" s="54"/>
      <c r="AJ43" s="54"/>
      <c r="AK43" s="54"/>
      <c r="AL43" s="54"/>
      <c r="AM43" s="54"/>
      <c r="AN43" s="46"/>
      <c r="AO43" s="153"/>
      <c r="AP43" s="153"/>
      <c r="AQ43" s="153"/>
      <c r="AR43" s="158"/>
      <c r="AS43" s="153"/>
      <c r="AT43" s="153"/>
      <c r="AU43" s="153"/>
      <c r="AV43" s="154"/>
      <c r="AW43" s="158"/>
      <c r="AX43" s="153"/>
      <c r="AY43" s="153"/>
      <c r="AZ43" s="154"/>
      <c r="BA43" s="158"/>
      <c r="BB43" s="153"/>
      <c r="BC43" s="153"/>
      <c r="BD43" s="153"/>
      <c r="BE43" s="153"/>
      <c r="BF43" s="153"/>
      <c r="BG43" s="162"/>
      <c r="BH43" s="467"/>
      <c r="BI43" s="154"/>
      <c r="BJ43" s="158"/>
      <c r="BK43" s="162"/>
      <c r="BL43" s="160"/>
      <c r="BM43" s="153"/>
      <c r="BN43" s="153"/>
      <c r="BO43" s="154"/>
      <c r="BP43" s="156"/>
      <c r="BQ43" s="159"/>
      <c r="BR43" s="153"/>
      <c r="BS43" s="155"/>
      <c r="BT43" s="161"/>
      <c r="BU43" s="161"/>
      <c r="BV43" s="153"/>
      <c r="BW43" s="153"/>
      <c r="BX43" s="153"/>
      <c r="BY43" s="153"/>
      <c r="BZ43" s="154"/>
      <c r="CA43" s="155"/>
      <c r="CB43" s="153"/>
      <c r="CC43" s="155"/>
      <c r="CD43" s="153"/>
      <c r="CE43" s="155"/>
      <c r="CF43" s="160"/>
      <c r="CG43" s="160"/>
      <c r="CH43" s="161"/>
      <c r="CI43" s="162"/>
      <c r="CJ43" s="155"/>
      <c r="CK43" s="153"/>
      <c r="CL43" s="155"/>
      <c r="CM43" s="161"/>
      <c r="CN43" s="161"/>
      <c r="CO43" s="153"/>
      <c r="CP43" s="153"/>
      <c r="CQ43" s="154"/>
      <c r="CR43" s="155"/>
      <c r="CS43" s="161"/>
      <c r="CT43" s="223"/>
      <c r="CU43" s="160"/>
      <c r="CV43" s="223"/>
      <c r="CW43" s="223"/>
      <c r="CX43" s="156"/>
      <c r="CY43" s="159"/>
      <c r="CZ43" s="161"/>
      <c r="DA43" s="161"/>
      <c r="DB43" s="161"/>
      <c r="DC43" s="153"/>
      <c r="DD43" s="153"/>
      <c r="DE43" s="154"/>
      <c r="DF43" s="155"/>
      <c r="DG43" s="161"/>
      <c r="DH43" s="161"/>
      <c r="DI43" s="161"/>
      <c r="DJ43" s="161"/>
      <c r="DK43" s="156"/>
      <c r="DL43" s="162"/>
      <c r="DM43" s="223"/>
      <c r="DN43" s="153"/>
      <c r="DO43" s="153"/>
      <c r="DP43" s="153"/>
      <c r="DQ43" s="153"/>
      <c r="DR43" s="153"/>
      <c r="DS43" s="158"/>
      <c r="DT43" s="153"/>
      <c r="DU43" s="154"/>
      <c r="DV43" s="154"/>
      <c r="DW43" s="154"/>
      <c r="DX43" s="154"/>
      <c r="DY43" s="154"/>
      <c r="DZ43" s="154"/>
      <c r="EA43" s="158"/>
      <c r="EB43" s="19"/>
    </row>
    <row r="44" spans="1:132" s="12" customFormat="1" ht="12.75" customHeight="1" x14ac:dyDescent="0.3">
      <c r="A44" s="10">
        <v>3501</v>
      </c>
      <c r="B44" s="11" t="s">
        <v>356</v>
      </c>
      <c r="C44" s="360">
        <v>703</v>
      </c>
      <c r="D44" s="54">
        <v>430</v>
      </c>
      <c r="E44" s="706">
        <f t="shared" si="0"/>
        <v>0.61166429587482218</v>
      </c>
      <c r="F44" s="219"/>
      <c r="G44" s="161"/>
      <c r="H44" s="153"/>
      <c r="I44" s="155"/>
      <c r="J44" s="153"/>
      <c r="K44" s="162"/>
      <c r="L44" s="160"/>
      <c r="M44" s="223"/>
      <c r="N44" s="223"/>
      <c r="O44" s="223"/>
      <c r="P44" s="153"/>
      <c r="Q44" s="154"/>
      <c r="R44" s="189"/>
      <c r="S44" s="158"/>
      <c r="T44" s="159"/>
      <c r="U44" s="153"/>
      <c r="V44" s="153"/>
      <c r="W44" s="154"/>
      <c r="X44" s="158"/>
      <c r="Y44" s="153"/>
      <c r="Z44" s="153"/>
      <c r="AA44" s="153"/>
      <c r="AB44" s="153"/>
      <c r="AC44" s="158"/>
      <c r="AD44" s="152"/>
      <c r="AE44" s="171"/>
      <c r="AF44" s="171"/>
      <c r="AG44" s="176"/>
      <c r="AH44" s="45">
        <v>190</v>
      </c>
      <c r="AI44" s="54">
        <v>196</v>
      </c>
      <c r="AJ44" s="54">
        <v>192</v>
      </c>
      <c r="AK44" s="54">
        <v>223</v>
      </c>
      <c r="AL44" s="54">
        <v>212</v>
      </c>
      <c r="AM44" s="54">
        <v>180</v>
      </c>
      <c r="AN44" s="46">
        <v>193</v>
      </c>
      <c r="AO44" s="153"/>
      <c r="AP44" s="153"/>
      <c r="AQ44" s="153"/>
      <c r="AR44" s="158"/>
      <c r="AS44" s="153"/>
      <c r="AT44" s="153"/>
      <c r="AU44" s="153"/>
      <c r="AV44" s="154"/>
      <c r="AW44" s="158"/>
      <c r="AX44" s="153"/>
      <c r="AY44" s="153"/>
      <c r="AZ44" s="154"/>
      <c r="BA44" s="158"/>
      <c r="BB44" s="153"/>
      <c r="BC44" s="153"/>
      <c r="BD44" s="153"/>
      <c r="BE44" s="153"/>
      <c r="BF44" s="153"/>
      <c r="BG44" s="162"/>
      <c r="BH44" s="467"/>
      <c r="BI44" s="154"/>
      <c r="BJ44" s="158"/>
      <c r="BK44" s="162"/>
      <c r="BL44" s="160"/>
      <c r="BM44" s="153"/>
      <c r="BN44" s="153"/>
      <c r="BO44" s="154"/>
      <c r="BP44" s="156"/>
      <c r="BQ44" s="159"/>
      <c r="BR44" s="153"/>
      <c r="BS44" s="155"/>
      <c r="BT44" s="161"/>
      <c r="BU44" s="161"/>
      <c r="BV44" s="153"/>
      <c r="BW44" s="153"/>
      <c r="BX44" s="153"/>
      <c r="BY44" s="153"/>
      <c r="BZ44" s="154"/>
      <c r="CA44" s="155"/>
      <c r="CB44" s="153"/>
      <c r="CC44" s="155"/>
      <c r="CD44" s="153"/>
      <c r="CE44" s="155"/>
      <c r="CF44" s="160"/>
      <c r="CG44" s="160"/>
      <c r="CH44" s="161"/>
      <c r="CI44" s="162"/>
      <c r="CJ44" s="155"/>
      <c r="CK44" s="153"/>
      <c r="CL44" s="155"/>
      <c r="CM44" s="161"/>
      <c r="CN44" s="161"/>
      <c r="CO44" s="153"/>
      <c r="CP44" s="153"/>
      <c r="CQ44" s="154"/>
      <c r="CR44" s="155"/>
      <c r="CS44" s="161"/>
      <c r="CT44" s="223"/>
      <c r="CU44" s="160"/>
      <c r="CV44" s="223"/>
      <c r="CW44" s="223"/>
      <c r="CX44" s="156"/>
      <c r="CY44" s="159"/>
      <c r="CZ44" s="161"/>
      <c r="DA44" s="161"/>
      <c r="DB44" s="161"/>
      <c r="DC44" s="153"/>
      <c r="DD44" s="153"/>
      <c r="DE44" s="154"/>
      <c r="DF44" s="155"/>
      <c r="DG44" s="161"/>
      <c r="DH44" s="161"/>
      <c r="DI44" s="161"/>
      <c r="DJ44" s="161"/>
      <c r="DK44" s="156"/>
      <c r="DL44" s="162"/>
      <c r="DM44" s="223"/>
      <c r="DN44" s="153"/>
      <c r="DO44" s="153"/>
      <c r="DP44" s="153"/>
      <c r="DQ44" s="153"/>
      <c r="DR44" s="153"/>
      <c r="DS44" s="158"/>
      <c r="DT44" s="153"/>
      <c r="DU44" s="154"/>
      <c r="DV44" s="154"/>
      <c r="DW44" s="154"/>
      <c r="DX44" s="154"/>
      <c r="DY44" s="154"/>
      <c r="DZ44" s="154"/>
      <c r="EA44" s="158"/>
      <c r="EB44" s="19"/>
    </row>
    <row r="45" spans="1:132" s="12" customFormat="1" ht="13" x14ac:dyDescent="0.3">
      <c r="A45" s="10">
        <v>3502</v>
      </c>
      <c r="B45" s="11" t="s">
        <v>357</v>
      </c>
      <c r="C45" s="360">
        <v>1179</v>
      </c>
      <c r="D45" s="54">
        <v>695</v>
      </c>
      <c r="E45" s="706">
        <f t="shared" si="0"/>
        <v>0.58948261238337574</v>
      </c>
      <c r="F45" s="219"/>
      <c r="G45" s="161"/>
      <c r="H45" s="153"/>
      <c r="I45" s="155"/>
      <c r="J45" s="153"/>
      <c r="K45" s="162"/>
      <c r="L45" s="160"/>
      <c r="M45" s="223"/>
      <c r="N45" s="223"/>
      <c r="O45" s="223"/>
      <c r="P45" s="153"/>
      <c r="Q45" s="154"/>
      <c r="R45" s="189"/>
      <c r="S45" s="158"/>
      <c r="T45" s="159"/>
      <c r="U45" s="153"/>
      <c r="V45" s="153"/>
      <c r="W45" s="154"/>
      <c r="X45" s="158"/>
      <c r="Y45" s="153"/>
      <c r="Z45" s="153"/>
      <c r="AA45" s="153"/>
      <c r="AB45" s="153"/>
      <c r="AC45" s="158"/>
      <c r="AD45" s="152"/>
      <c r="AE45" s="171"/>
      <c r="AF45" s="171"/>
      <c r="AG45" s="176"/>
      <c r="AH45" s="45">
        <v>332</v>
      </c>
      <c r="AI45" s="54">
        <v>351</v>
      </c>
      <c r="AJ45" s="54">
        <v>299</v>
      </c>
      <c r="AK45" s="54">
        <v>367</v>
      </c>
      <c r="AL45" s="54">
        <v>354</v>
      </c>
      <c r="AM45" s="54">
        <v>306</v>
      </c>
      <c r="AN45" s="46">
        <v>303</v>
      </c>
      <c r="AO45" s="153"/>
      <c r="AP45" s="153"/>
      <c r="AQ45" s="153"/>
      <c r="AR45" s="158"/>
      <c r="AS45" s="153"/>
      <c r="AT45" s="153"/>
      <c r="AU45" s="153"/>
      <c r="AV45" s="154"/>
      <c r="AW45" s="158"/>
      <c r="AX45" s="153"/>
      <c r="AY45" s="153"/>
      <c r="AZ45" s="154"/>
      <c r="BA45" s="158"/>
      <c r="BB45" s="153"/>
      <c r="BC45" s="153"/>
      <c r="BD45" s="153"/>
      <c r="BE45" s="153"/>
      <c r="BF45" s="153"/>
      <c r="BG45" s="162"/>
      <c r="BH45" s="467"/>
      <c r="BI45" s="154"/>
      <c r="BJ45" s="158"/>
      <c r="BK45" s="162"/>
      <c r="BL45" s="160"/>
      <c r="BM45" s="153"/>
      <c r="BN45" s="153"/>
      <c r="BO45" s="154"/>
      <c r="BP45" s="156"/>
      <c r="BQ45" s="159"/>
      <c r="BR45" s="153"/>
      <c r="BS45" s="155"/>
      <c r="BT45" s="161"/>
      <c r="BU45" s="161"/>
      <c r="BV45" s="153"/>
      <c r="BW45" s="153"/>
      <c r="BX45" s="153"/>
      <c r="BY45" s="153"/>
      <c r="BZ45" s="154"/>
      <c r="CA45" s="155"/>
      <c r="CB45" s="153"/>
      <c r="CC45" s="155"/>
      <c r="CD45" s="153"/>
      <c r="CE45" s="155"/>
      <c r="CF45" s="160"/>
      <c r="CG45" s="160"/>
      <c r="CH45" s="161"/>
      <c r="CI45" s="162"/>
      <c r="CJ45" s="155"/>
      <c r="CK45" s="153"/>
      <c r="CL45" s="155"/>
      <c r="CM45" s="161"/>
      <c r="CN45" s="161"/>
      <c r="CO45" s="153"/>
      <c r="CP45" s="153"/>
      <c r="CQ45" s="154"/>
      <c r="CR45" s="155"/>
      <c r="CS45" s="161"/>
      <c r="CT45" s="223"/>
      <c r="CU45" s="160"/>
      <c r="CV45" s="223"/>
      <c r="CW45" s="223"/>
      <c r="CX45" s="156"/>
      <c r="CY45" s="159"/>
      <c r="CZ45" s="161"/>
      <c r="DA45" s="161"/>
      <c r="DB45" s="161"/>
      <c r="DC45" s="153"/>
      <c r="DD45" s="153"/>
      <c r="DE45" s="154"/>
      <c r="DF45" s="155"/>
      <c r="DG45" s="161"/>
      <c r="DH45" s="161"/>
      <c r="DI45" s="161"/>
      <c r="DJ45" s="161"/>
      <c r="DK45" s="156"/>
      <c r="DL45" s="162"/>
      <c r="DM45" s="223"/>
      <c r="DN45" s="153"/>
      <c r="DO45" s="153"/>
      <c r="DP45" s="153"/>
      <c r="DQ45" s="153"/>
      <c r="DR45" s="153"/>
      <c r="DS45" s="158"/>
      <c r="DT45" s="153"/>
      <c r="DU45" s="154"/>
      <c r="DV45" s="154"/>
      <c r="DW45" s="154"/>
      <c r="DX45" s="154"/>
      <c r="DY45" s="154"/>
      <c r="DZ45" s="154"/>
      <c r="EA45" s="158"/>
      <c r="EB45" s="19"/>
    </row>
    <row r="46" spans="1:132" s="12" customFormat="1" ht="12.75" customHeight="1" x14ac:dyDescent="0.3">
      <c r="A46" s="10">
        <v>3503</v>
      </c>
      <c r="B46" s="11" t="s">
        <v>358</v>
      </c>
      <c r="C46" s="360">
        <v>874</v>
      </c>
      <c r="D46" s="54">
        <v>521</v>
      </c>
      <c r="E46" s="706">
        <f t="shared" si="0"/>
        <v>0.59610983981693366</v>
      </c>
      <c r="F46" s="219"/>
      <c r="G46" s="161"/>
      <c r="H46" s="153"/>
      <c r="I46" s="155"/>
      <c r="J46" s="153"/>
      <c r="K46" s="162"/>
      <c r="L46" s="160"/>
      <c r="M46" s="223"/>
      <c r="N46" s="223"/>
      <c r="O46" s="223"/>
      <c r="P46" s="153"/>
      <c r="Q46" s="154"/>
      <c r="R46" s="189"/>
      <c r="S46" s="158"/>
      <c r="T46" s="159"/>
      <c r="U46" s="153"/>
      <c r="V46" s="153"/>
      <c r="W46" s="154"/>
      <c r="X46" s="158"/>
      <c r="Y46" s="153"/>
      <c r="Z46" s="153"/>
      <c r="AA46" s="153"/>
      <c r="AB46" s="153"/>
      <c r="AC46" s="158"/>
      <c r="AD46" s="152"/>
      <c r="AE46" s="171"/>
      <c r="AF46" s="171"/>
      <c r="AG46" s="176"/>
      <c r="AH46" s="45">
        <v>213</v>
      </c>
      <c r="AI46" s="54">
        <v>233</v>
      </c>
      <c r="AJ46" s="54">
        <v>205</v>
      </c>
      <c r="AK46" s="54">
        <v>267</v>
      </c>
      <c r="AL46" s="54">
        <v>259</v>
      </c>
      <c r="AM46" s="54">
        <v>197</v>
      </c>
      <c r="AN46" s="46">
        <v>206</v>
      </c>
      <c r="AO46" s="153"/>
      <c r="AP46" s="153"/>
      <c r="AQ46" s="153"/>
      <c r="AR46" s="158"/>
      <c r="AS46" s="153"/>
      <c r="AT46" s="153"/>
      <c r="AU46" s="153"/>
      <c r="AV46" s="154"/>
      <c r="AW46" s="158"/>
      <c r="AX46" s="153"/>
      <c r="AY46" s="153"/>
      <c r="AZ46" s="154"/>
      <c r="BA46" s="158"/>
      <c r="BB46" s="153"/>
      <c r="BC46" s="153"/>
      <c r="BD46" s="153"/>
      <c r="BE46" s="153"/>
      <c r="BF46" s="153"/>
      <c r="BG46" s="162"/>
      <c r="BH46" s="467"/>
      <c r="BI46" s="154"/>
      <c r="BJ46" s="158"/>
      <c r="BK46" s="162"/>
      <c r="BL46" s="160"/>
      <c r="BM46" s="153"/>
      <c r="BN46" s="153"/>
      <c r="BO46" s="154"/>
      <c r="BP46" s="156"/>
      <c r="BQ46" s="159"/>
      <c r="BR46" s="153"/>
      <c r="BS46" s="155"/>
      <c r="BT46" s="161"/>
      <c r="BU46" s="161"/>
      <c r="BV46" s="153"/>
      <c r="BW46" s="153"/>
      <c r="BX46" s="153"/>
      <c r="BY46" s="153"/>
      <c r="BZ46" s="154"/>
      <c r="CA46" s="155"/>
      <c r="CB46" s="153"/>
      <c r="CC46" s="155"/>
      <c r="CD46" s="153"/>
      <c r="CE46" s="155"/>
      <c r="CF46" s="160"/>
      <c r="CG46" s="160"/>
      <c r="CH46" s="161"/>
      <c r="CI46" s="162"/>
      <c r="CJ46" s="155"/>
      <c r="CK46" s="153"/>
      <c r="CL46" s="155"/>
      <c r="CM46" s="161"/>
      <c r="CN46" s="161"/>
      <c r="CO46" s="153"/>
      <c r="CP46" s="153"/>
      <c r="CQ46" s="154"/>
      <c r="CR46" s="155"/>
      <c r="CS46" s="161"/>
      <c r="CT46" s="223"/>
      <c r="CU46" s="160"/>
      <c r="CV46" s="223"/>
      <c r="CW46" s="223"/>
      <c r="CX46" s="156"/>
      <c r="CY46" s="159"/>
      <c r="CZ46" s="161"/>
      <c r="DA46" s="161"/>
      <c r="DB46" s="161"/>
      <c r="DC46" s="153"/>
      <c r="DD46" s="153"/>
      <c r="DE46" s="154"/>
      <c r="DF46" s="155"/>
      <c r="DG46" s="161"/>
      <c r="DH46" s="161"/>
      <c r="DI46" s="161"/>
      <c r="DJ46" s="161"/>
      <c r="DK46" s="156"/>
      <c r="DL46" s="162"/>
      <c r="DM46" s="223"/>
      <c r="DN46" s="153"/>
      <c r="DO46" s="153"/>
      <c r="DP46" s="153"/>
      <c r="DQ46" s="153"/>
      <c r="DR46" s="153"/>
      <c r="DS46" s="158"/>
      <c r="DT46" s="153"/>
      <c r="DU46" s="154"/>
      <c r="DV46" s="154"/>
      <c r="DW46" s="154"/>
      <c r="DX46" s="154"/>
      <c r="DY46" s="154"/>
      <c r="DZ46" s="154"/>
      <c r="EA46" s="158"/>
      <c r="EB46" s="19"/>
    </row>
    <row r="47" spans="1:132" s="12" customFormat="1" ht="13" x14ac:dyDescent="0.3">
      <c r="A47" s="10">
        <v>3504</v>
      </c>
      <c r="B47" s="11" t="s">
        <v>359</v>
      </c>
      <c r="C47" s="360">
        <v>721</v>
      </c>
      <c r="D47" s="54">
        <v>429</v>
      </c>
      <c r="E47" s="706">
        <f t="shared" si="0"/>
        <v>0.59500693481276001</v>
      </c>
      <c r="F47" s="219"/>
      <c r="G47" s="161"/>
      <c r="H47" s="153"/>
      <c r="I47" s="155"/>
      <c r="J47" s="153"/>
      <c r="K47" s="162"/>
      <c r="L47" s="160"/>
      <c r="M47" s="223"/>
      <c r="N47" s="223"/>
      <c r="O47" s="223"/>
      <c r="P47" s="153"/>
      <c r="Q47" s="154"/>
      <c r="R47" s="189"/>
      <c r="S47" s="158"/>
      <c r="T47" s="159"/>
      <c r="U47" s="153"/>
      <c r="V47" s="153"/>
      <c r="W47" s="154"/>
      <c r="X47" s="158"/>
      <c r="Y47" s="153"/>
      <c r="Z47" s="153"/>
      <c r="AA47" s="153"/>
      <c r="AB47" s="153"/>
      <c r="AC47" s="158"/>
      <c r="AD47" s="159"/>
      <c r="AE47" s="153"/>
      <c r="AF47" s="153"/>
      <c r="AG47" s="158"/>
      <c r="AH47" s="45">
        <v>179</v>
      </c>
      <c r="AI47" s="54">
        <v>190</v>
      </c>
      <c r="AJ47" s="54">
        <v>171</v>
      </c>
      <c r="AK47" s="54">
        <v>201</v>
      </c>
      <c r="AL47" s="54">
        <v>204</v>
      </c>
      <c r="AM47" s="54">
        <v>171</v>
      </c>
      <c r="AN47" s="46">
        <v>180</v>
      </c>
      <c r="AO47" s="153"/>
      <c r="AP47" s="153"/>
      <c r="AQ47" s="153"/>
      <c r="AR47" s="158"/>
      <c r="AS47" s="153"/>
      <c r="AT47" s="153"/>
      <c r="AU47" s="153"/>
      <c r="AV47" s="154"/>
      <c r="AW47" s="158"/>
      <c r="AX47" s="153"/>
      <c r="AY47" s="153"/>
      <c r="AZ47" s="154"/>
      <c r="BA47" s="158"/>
      <c r="BB47" s="153"/>
      <c r="BC47" s="153"/>
      <c r="BD47" s="153"/>
      <c r="BE47" s="153"/>
      <c r="BF47" s="153"/>
      <c r="BG47" s="162"/>
      <c r="BH47" s="467"/>
      <c r="BI47" s="154"/>
      <c r="BJ47" s="158"/>
      <c r="BK47" s="162"/>
      <c r="BL47" s="160"/>
      <c r="BM47" s="153"/>
      <c r="BN47" s="153"/>
      <c r="BO47" s="154"/>
      <c r="BP47" s="156"/>
      <c r="BQ47" s="159"/>
      <c r="BR47" s="153"/>
      <c r="BS47" s="155"/>
      <c r="BT47" s="161"/>
      <c r="BU47" s="161"/>
      <c r="BV47" s="153"/>
      <c r="BW47" s="153"/>
      <c r="BX47" s="153"/>
      <c r="BY47" s="153"/>
      <c r="BZ47" s="154"/>
      <c r="CA47" s="155"/>
      <c r="CB47" s="153"/>
      <c r="CC47" s="155"/>
      <c r="CD47" s="153"/>
      <c r="CE47" s="155"/>
      <c r="CF47" s="160"/>
      <c r="CG47" s="160"/>
      <c r="CH47" s="161"/>
      <c r="CI47" s="162"/>
      <c r="CJ47" s="155"/>
      <c r="CK47" s="153"/>
      <c r="CL47" s="155"/>
      <c r="CM47" s="161"/>
      <c r="CN47" s="161"/>
      <c r="CO47" s="153"/>
      <c r="CP47" s="153"/>
      <c r="CQ47" s="154"/>
      <c r="CR47" s="155"/>
      <c r="CS47" s="161"/>
      <c r="CT47" s="223"/>
      <c r="CU47" s="160"/>
      <c r="CV47" s="223"/>
      <c r="CW47" s="223"/>
      <c r="CX47" s="156"/>
      <c r="CY47" s="159"/>
      <c r="CZ47" s="161"/>
      <c r="DA47" s="161"/>
      <c r="DB47" s="161"/>
      <c r="DC47" s="153"/>
      <c r="DD47" s="153"/>
      <c r="DE47" s="154"/>
      <c r="DF47" s="155"/>
      <c r="DG47" s="161"/>
      <c r="DH47" s="161"/>
      <c r="DI47" s="161"/>
      <c r="DJ47" s="161"/>
      <c r="DK47" s="156"/>
      <c r="DL47" s="162"/>
      <c r="DM47" s="223"/>
      <c r="DN47" s="153"/>
      <c r="DO47" s="153"/>
      <c r="DP47" s="153"/>
      <c r="DQ47" s="153"/>
      <c r="DR47" s="153"/>
      <c r="DS47" s="158"/>
      <c r="DT47" s="153"/>
      <c r="DU47" s="154"/>
      <c r="DV47" s="154"/>
      <c r="DW47" s="154"/>
      <c r="DX47" s="154"/>
      <c r="DY47" s="154"/>
      <c r="DZ47" s="154"/>
      <c r="EA47" s="158"/>
      <c r="EB47" s="19"/>
    </row>
    <row r="48" spans="1:132" s="12" customFormat="1" ht="12.75" customHeight="1" x14ac:dyDescent="0.3">
      <c r="A48" s="10">
        <v>3505</v>
      </c>
      <c r="B48" s="11" t="s">
        <v>360</v>
      </c>
      <c r="C48" s="360">
        <v>1073</v>
      </c>
      <c r="D48" s="54">
        <v>565</v>
      </c>
      <c r="E48" s="706">
        <f t="shared" si="0"/>
        <v>0.52656104380242308</v>
      </c>
      <c r="F48" s="219"/>
      <c r="G48" s="161"/>
      <c r="H48" s="153"/>
      <c r="I48" s="155"/>
      <c r="J48" s="153"/>
      <c r="K48" s="162"/>
      <c r="L48" s="160"/>
      <c r="M48" s="223"/>
      <c r="N48" s="223"/>
      <c r="O48" s="223"/>
      <c r="P48" s="153"/>
      <c r="Q48" s="154"/>
      <c r="R48" s="189"/>
      <c r="S48" s="158"/>
      <c r="T48" s="159"/>
      <c r="U48" s="153"/>
      <c r="V48" s="153"/>
      <c r="W48" s="154"/>
      <c r="X48" s="158"/>
      <c r="Y48" s="153"/>
      <c r="Z48" s="153"/>
      <c r="AA48" s="153"/>
      <c r="AB48" s="153"/>
      <c r="AC48" s="158"/>
      <c r="AD48" s="159"/>
      <c r="AE48" s="153"/>
      <c r="AF48" s="153"/>
      <c r="AG48" s="158"/>
      <c r="AH48" s="45">
        <v>242</v>
      </c>
      <c r="AI48" s="54">
        <v>229</v>
      </c>
      <c r="AJ48" s="54">
        <v>211</v>
      </c>
      <c r="AK48" s="54">
        <v>287</v>
      </c>
      <c r="AL48" s="54">
        <v>236</v>
      </c>
      <c r="AM48" s="54">
        <v>214</v>
      </c>
      <c r="AN48" s="46">
        <v>261</v>
      </c>
      <c r="AO48" s="165"/>
      <c r="AP48" s="165"/>
      <c r="AQ48" s="165"/>
      <c r="AR48" s="167"/>
      <c r="AS48" s="153"/>
      <c r="AT48" s="153"/>
      <c r="AU48" s="153"/>
      <c r="AV48" s="154"/>
      <c r="AW48" s="158"/>
      <c r="AX48" s="153"/>
      <c r="AY48" s="153"/>
      <c r="AZ48" s="154"/>
      <c r="BA48" s="158"/>
      <c r="BB48" s="153"/>
      <c r="BC48" s="153"/>
      <c r="BD48" s="153"/>
      <c r="BE48" s="153"/>
      <c r="BF48" s="153"/>
      <c r="BG48" s="162"/>
      <c r="BH48" s="467"/>
      <c r="BI48" s="154"/>
      <c r="BJ48" s="158"/>
      <c r="BK48" s="162"/>
      <c r="BL48" s="160"/>
      <c r="BM48" s="153"/>
      <c r="BN48" s="153"/>
      <c r="BO48" s="154"/>
      <c r="BP48" s="156"/>
      <c r="BQ48" s="159"/>
      <c r="BR48" s="153"/>
      <c r="BS48" s="155"/>
      <c r="BT48" s="161"/>
      <c r="BU48" s="161"/>
      <c r="BV48" s="153"/>
      <c r="BW48" s="153"/>
      <c r="BX48" s="153"/>
      <c r="BY48" s="153"/>
      <c r="BZ48" s="154"/>
      <c r="CA48" s="155"/>
      <c r="CB48" s="153"/>
      <c r="CC48" s="155"/>
      <c r="CD48" s="153"/>
      <c r="CE48" s="155"/>
      <c r="CF48" s="160"/>
      <c r="CG48" s="160"/>
      <c r="CH48" s="161"/>
      <c r="CI48" s="162"/>
      <c r="CJ48" s="155"/>
      <c r="CK48" s="153"/>
      <c r="CL48" s="155"/>
      <c r="CM48" s="161"/>
      <c r="CN48" s="161"/>
      <c r="CO48" s="153"/>
      <c r="CP48" s="153"/>
      <c r="CQ48" s="154"/>
      <c r="CR48" s="155"/>
      <c r="CS48" s="161"/>
      <c r="CT48" s="223"/>
      <c r="CU48" s="160"/>
      <c r="CV48" s="223"/>
      <c r="CW48" s="223"/>
      <c r="CX48" s="156"/>
      <c r="CY48" s="159"/>
      <c r="CZ48" s="161"/>
      <c r="DA48" s="161"/>
      <c r="DB48" s="161"/>
      <c r="DC48" s="153"/>
      <c r="DD48" s="153"/>
      <c r="DE48" s="154"/>
      <c r="DF48" s="155"/>
      <c r="DG48" s="161"/>
      <c r="DH48" s="161"/>
      <c r="DI48" s="161"/>
      <c r="DJ48" s="161"/>
      <c r="DK48" s="156"/>
      <c r="DL48" s="162"/>
      <c r="DM48" s="223"/>
      <c r="DN48" s="153"/>
      <c r="DO48" s="153"/>
      <c r="DP48" s="153"/>
      <c r="DQ48" s="153"/>
      <c r="DR48" s="153"/>
      <c r="DS48" s="158"/>
      <c r="DT48" s="153"/>
      <c r="DU48" s="154"/>
      <c r="DV48" s="154"/>
      <c r="DW48" s="154"/>
      <c r="DX48" s="154"/>
      <c r="DY48" s="154"/>
      <c r="DZ48" s="154"/>
      <c r="EA48" s="158"/>
      <c r="EB48" s="19"/>
    </row>
    <row r="49" spans="1:132" s="12" customFormat="1" ht="13" x14ac:dyDescent="0.3">
      <c r="A49" s="10">
        <v>3506</v>
      </c>
      <c r="B49" s="11" t="s">
        <v>361</v>
      </c>
      <c r="C49" s="360">
        <v>712</v>
      </c>
      <c r="D49" s="54">
        <v>439</v>
      </c>
      <c r="E49" s="706">
        <f t="shared" si="0"/>
        <v>0.6165730337078652</v>
      </c>
      <c r="F49" s="219"/>
      <c r="G49" s="161"/>
      <c r="H49" s="153"/>
      <c r="I49" s="155"/>
      <c r="J49" s="153"/>
      <c r="K49" s="162"/>
      <c r="L49" s="160"/>
      <c r="M49" s="223"/>
      <c r="N49" s="223"/>
      <c r="O49" s="223"/>
      <c r="P49" s="153"/>
      <c r="Q49" s="154"/>
      <c r="R49" s="189"/>
      <c r="S49" s="158"/>
      <c r="T49" s="159"/>
      <c r="U49" s="153"/>
      <c r="V49" s="153"/>
      <c r="W49" s="154"/>
      <c r="X49" s="158"/>
      <c r="Y49" s="153"/>
      <c r="Z49" s="153"/>
      <c r="AA49" s="153"/>
      <c r="AB49" s="153"/>
      <c r="AC49" s="158"/>
      <c r="AD49" s="159"/>
      <c r="AE49" s="153"/>
      <c r="AF49" s="153"/>
      <c r="AG49" s="158"/>
      <c r="AH49" s="171">
        <v>184</v>
      </c>
      <c r="AI49" s="172">
        <v>206</v>
      </c>
      <c r="AJ49" s="172">
        <v>170</v>
      </c>
      <c r="AK49" s="172">
        <v>217</v>
      </c>
      <c r="AL49" s="172">
        <v>215</v>
      </c>
      <c r="AM49" s="172">
        <v>168</v>
      </c>
      <c r="AN49" s="176">
        <v>186</v>
      </c>
      <c r="AO49" s="45"/>
      <c r="AP49" s="45"/>
      <c r="AQ49" s="45"/>
      <c r="AR49" s="46"/>
      <c r="AS49" s="153"/>
      <c r="AT49" s="153"/>
      <c r="AU49" s="153"/>
      <c r="AV49" s="154"/>
      <c r="AW49" s="158"/>
      <c r="AX49" s="153"/>
      <c r="AY49" s="153"/>
      <c r="AZ49" s="154"/>
      <c r="BA49" s="158"/>
      <c r="BB49" s="153"/>
      <c r="BC49" s="153"/>
      <c r="BD49" s="153"/>
      <c r="BE49" s="153"/>
      <c r="BF49" s="153"/>
      <c r="BG49" s="162"/>
      <c r="BH49" s="467"/>
      <c r="BI49" s="154"/>
      <c r="BJ49" s="158"/>
      <c r="BK49" s="162"/>
      <c r="BL49" s="160"/>
      <c r="BM49" s="153"/>
      <c r="BN49" s="153"/>
      <c r="BO49" s="154"/>
      <c r="BP49" s="156"/>
      <c r="BQ49" s="159"/>
      <c r="BR49" s="153"/>
      <c r="BS49" s="155"/>
      <c r="BT49" s="161"/>
      <c r="BU49" s="161"/>
      <c r="BV49" s="153"/>
      <c r="BW49" s="153"/>
      <c r="BX49" s="153"/>
      <c r="BY49" s="153"/>
      <c r="BZ49" s="154"/>
      <c r="CA49" s="155"/>
      <c r="CB49" s="153"/>
      <c r="CC49" s="155"/>
      <c r="CD49" s="153"/>
      <c r="CE49" s="155"/>
      <c r="CF49" s="160"/>
      <c r="CG49" s="160"/>
      <c r="CH49" s="161"/>
      <c r="CI49" s="162"/>
      <c r="CJ49" s="155"/>
      <c r="CK49" s="153"/>
      <c r="CL49" s="155"/>
      <c r="CM49" s="161"/>
      <c r="CN49" s="161"/>
      <c r="CO49" s="153"/>
      <c r="CP49" s="153"/>
      <c r="CQ49" s="154"/>
      <c r="CR49" s="155"/>
      <c r="CS49" s="161"/>
      <c r="CT49" s="223"/>
      <c r="CU49" s="160"/>
      <c r="CV49" s="223"/>
      <c r="CW49" s="223"/>
      <c r="CX49" s="156"/>
      <c r="CY49" s="159"/>
      <c r="CZ49" s="161"/>
      <c r="DA49" s="161"/>
      <c r="DB49" s="161"/>
      <c r="DC49" s="153"/>
      <c r="DD49" s="153"/>
      <c r="DE49" s="154"/>
      <c r="DF49" s="155"/>
      <c r="DG49" s="161"/>
      <c r="DH49" s="161"/>
      <c r="DI49" s="161"/>
      <c r="DJ49" s="161"/>
      <c r="DK49" s="156"/>
      <c r="DL49" s="162"/>
      <c r="DM49" s="223"/>
      <c r="DN49" s="153"/>
      <c r="DO49" s="153"/>
      <c r="DP49" s="153"/>
      <c r="DQ49" s="153"/>
      <c r="DR49" s="153"/>
      <c r="DS49" s="158"/>
      <c r="DT49" s="153"/>
      <c r="DU49" s="154"/>
      <c r="DV49" s="154"/>
      <c r="DW49" s="154"/>
      <c r="DX49" s="154"/>
      <c r="DY49" s="154"/>
      <c r="DZ49" s="154"/>
      <c r="EA49" s="158"/>
      <c r="EB49" s="19"/>
    </row>
    <row r="50" spans="1:132" s="12" customFormat="1" ht="12.75" customHeight="1" x14ac:dyDescent="0.3">
      <c r="A50" s="10">
        <v>3701</v>
      </c>
      <c r="B50" s="11" t="s">
        <v>362</v>
      </c>
      <c r="C50" s="360">
        <v>742</v>
      </c>
      <c r="D50" s="54">
        <v>503</v>
      </c>
      <c r="E50" s="706">
        <f t="shared" si="0"/>
        <v>0.67789757412398921</v>
      </c>
      <c r="F50" s="219"/>
      <c r="G50" s="161"/>
      <c r="H50" s="153"/>
      <c r="I50" s="155"/>
      <c r="J50" s="153"/>
      <c r="K50" s="162"/>
      <c r="L50" s="160"/>
      <c r="M50" s="223"/>
      <c r="N50" s="223"/>
      <c r="O50" s="223"/>
      <c r="P50" s="153"/>
      <c r="Q50" s="154"/>
      <c r="R50" s="189"/>
      <c r="S50" s="158"/>
      <c r="T50" s="159"/>
      <c r="U50" s="153"/>
      <c r="V50" s="153"/>
      <c r="W50" s="154"/>
      <c r="X50" s="158"/>
      <c r="Y50" s="153"/>
      <c r="Z50" s="153"/>
      <c r="AA50" s="153"/>
      <c r="AB50" s="153"/>
      <c r="AC50" s="158"/>
      <c r="AD50" s="159"/>
      <c r="AE50" s="153"/>
      <c r="AF50" s="153"/>
      <c r="AG50" s="158"/>
      <c r="AH50" s="171"/>
      <c r="AI50" s="172"/>
      <c r="AJ50" s="172"/>
      <c r="AK50" s="172"/>
      <c r="AL50" s="172"/>
      <c r="AM50" s="172"/>
      <c r="AN50" s="176"/>
      <c r="AO50" s="45">
        <v>293</v>
      </c>
      <c r="AP50" s="45">
        <v>254</v>
      </c>
      <c r="AQ50" s="45">
        <v>242</v>
      </c>
      <c r="AR50" s="46">
        <v>155</v>
      </c>
      <c r="AS50" s="153"/>
      <c r="AT50" s="153"/>
      <c r="AU50" s="153"/>
      <c r="AV50" s="154"/>
      <c r="AW50" s="158"/>
      <c r="AX50" s="153"/>
      <c r="AY50" s="153"/>
      <c r="AZ50" s="154"/>
      <c r="BA50" s="158"/>
      <c r="BB50" s="153"/>
      <c r="BC50" s="153"/>
      <c r="BD50" s="153"/>
      <c r="BE50" s="153"/>
      <c r="BF50" s="153"/>
      <c r="BG50" s="162"/>
      <c r="BH50" s="467"/>
      <c r="BI50" s="154"/>
      <c r="BJ50" s="158"/>
      <c r="BK50" s="162"/>
      <c r="BL50" s="160"/>
      <c r="BM50" s="153"/>
      <c r="BN50" s="153"/>
      <c r="BO50" s="154"/>
      <c r="BP50" s="156"/>
      <c r="BQ50" s="159"/>
      <c r="BR50" s="153"/>
      <c r="BS50" s="155"/>
      <c r="BT50" s="161"/>
      <c r="BU50" s="161"/>
      <c r="BV50" s="153"/>
      <c r="BW50" s="153"/>
      <c r="BX50" s="153"/>
      <c r="BY50" s="153"/>
      <c r="BZ50" s="154"/>
      <c r="CA50" s="155"/>
      <c r="CB50" s="153"/>
      <c r="CC50" s="155"/>
      <c r="CD50" s="153"/>
      <c r="CE50" s="155"/>
      <c r="CF50" s="160"/>
      <c r="CG50" s="160"/>
      <c r="CH50" s="161"/>
      <c r="CI50" s="162"/>
      <c r="CJ50" s="155"/>
      <c r="CK50" s="153"/>
      <c r="CL50" s="155"/>
      <c r="CM50" s="161"/>
      <c r="CN50" s="161"/>
      <c r="CO50" s="153"/>
      <c r="CP50" s="153"/>
      <c r="CQ50" s="154"/>
      <c r="CR50" s="155"/>
      <c r="CS50" s="161"/>
      <c r="CT50" s="223"/>
      <c r="CU50" s="160"/>
      <c r="CV50" s="223"/>
      <c r="CW50" s="223"/>
      <c r="CX50" s="156"/>
      <c r="CY50" s="159"/>
      <c r="CZ50" s="161"/>
      <c r="DA50" s="161"/>
      <c r="DB50" s="161"/>
      <c r="DC50" s="153"/>
      <c r="DD50" s="153"/>
      <c r="DE50" s="154"/>
      <c r="DF50" s="155"/>
      <c r="DG50" s="161"/>
      <c r="DH50" s="161"/>
      <c r="DI50" s="161"/>
      <c r="DJ50" s="161"/>
      <c r="DK50" s="156"/>
      <c r="DL50" s="162"/>
      <c r="DM50" s="223"/>
      <c r="DN50" s="153"/>
      <c r="DO50" s="153"/>
      <c r="DP50" s="153"/>
      <c r="DQ50" s="153"/>
      <c r="DR50" s="153"/>
      <c r="DS50" s="158"/>
      <c r="DT50" s="153"/>
      <c r="DU50" s="154"/>
      <c r="DV50" s="154"/>
      <c r="DW50" s="154"/>
      <c r="DX50" s="154"/>
      <c r="DY50" s="154"/>
      <c r="DZ50" s="154"/>
      <c r="EA50" s="158"/>
      <c r="EB50" s="19"/>
    </row>
    <row r="51" spans="1:132" s="12" customFormat="1" ht="13" x14ac:dyDescent="0.3">
      <c r="A51" s="10">
        <v>3702</v>
      </c>
      <c r="B51" s="11" t="s">
        <v>363</v>
      </c>
      <c r="C51" s="360">
        <v>1507</v>
      </c>
      <c r="D51" s="54">
        <v>714</v>
      </c>
      <c r="E51" s="706">
        <f t="shared" si="0"/>
        <v>0.47378898473788983</v>
      </c>
      <c r="F51" s="219"/>
      <c r="G51" s="161"/>
      <c r="H51" s="153"/>
      <c r="I51" s="155"/>
      <c r="J51" s="153"/>
      <c r="K51" s="162"/>
      <c r="L51" s="160"/>
      <c r="M51" s="223"/>
      <c r="N51" s="223"/>
      <c r="O51" s="223"/>
      <c r="P51" s="153"/>
      <c r="Q51" s="154"/>
      <c r="R51" s="189"/>
      <c r="S51" s="158"/>
      <c r="T51" s="159"/>
      <c r="U51" s="153"/>
      <c r="V51" s="153"/>
      <c r="W51" s="154"/>
      <c r="X51" s="158"/>
      <c r="Y51" s="153"/>
      <c r="Z51" s="153"/>
      <c r="AA51" s="153"/>
      <c r="AB51" s="153"/>
      <c r="AC51" s="158"/>
      <c r="AD51" s="159"/>
      <c r="AE51" s="153"/>
      <c r="AF51" s="153"/>
      <c r="AG51" s="158"/>
      <c r="AH51" s="171"/>
      <c r="AI51" s="172"/>
      <c r="AJ51" s="172"/>
      <c r="AK51" s="172"/>
      <c r="AL51" s="172"/>
      <c r="AM51" s="172"/>
      <c r="AN51" s="176"/>
      <c r="AO51" s="45">
        <v>410</v>
      </c>
      <c r="AP51" s="45">
        <v>325</v>
      </c>
      <c r="AQ51" s="45">
        <v>287</v>
      </c>
      <c r="AR51" s="46">
        <v>220</v>
      </c>
      <c r="AS51" s="153"/>
      <c r="AT51" s="153"/>
      <c r="AU51" s="153"/>
      <c r="AV51" s="154"/>
      <c r="AW51" s="158"/>
      <c r="AX51" s="153"/>
      <c r="AY51" s="153"/>
      <c r="AZ51" s="154"/>
      <c r="BA51" s="158"/>
      <c r="BB51" s="153"/>
      <c r="BC51" s="153"/>
      <c r="BD51" s="153"/>
      <c r="BE51" s="153"/>
      <c r="BF51" s="153"/>
      <c r="BG51" s="162"/>
      <c r="BH51" s="467"/>
      <c r="BI51" s="154"/>
      <c r="BJ51" s="158"/>
      <c r="BK51" s="162"/>
      <c r="BL51" s="160"/>
      <c r="BM51" s="153"/>
      <c r="BN51" s="153"/>
      <c r="BO51" s="154"/>
      <c r="BP51" s="156"/>
      <c r="BQ51" s="159"/>
      <c r="BR51" s="153"/>
      <c r="BS51" s="155"/>
      <c r="BT51" s="161"/>
      <c r="BU51" s="161"/>
      <c r="BV51" s="153"/>
      <c r="BW51" s="153"/>
      <c r="BX51" s="153"/>
      <c r="BY51" s="153"/>
      <c r="BZ51" s="154"/>
      <c r="CA51" s="155"/>
      <c r="CB51" s="153"/>
      <c r="CC51" s="155"/>
      <c r="CD51" s="153"/>
      <c r="CE51" s="155"/>
      <c r="CF51" s="160"/>
      <c r="CG51" s="160"/>
      <c r="CH51" s="161"/>
      <c r="CI51" s="162"/>
      <c r="CJ51" s="155"/>
      <c r="CK51" s="153"/>
      <c r="CL51" s="155"/>
      <c r="CM51" s="161"/>
      <c r="CN51" s="161"/>
      <c r="CO51" s="153"/>
      <c r="CP51" s="153"/>
      <c r="CQ51" s="154"/>
      <c r="CR51" s="155"/>
      <c r="CS51" s="161"/>
      <c r="CT51" s="223"/>
      <c r="CU51" s="160"/>
      <c r="CV51" s="223"/>
      <c r="CW51" s="223"/>
      <c r="CX51" s="156"/>
      <c r="CY51" s="159"/>
      <c r="CZ51" s="161"/>
      <c r="DA51" s="161"/>
      <c r="DB51" s="161"/>
      <c r="DC51" s="153"/>
      <c r="DD51" s="153"/>
      <c r="DE51" s="154"/>
      <c r="DF51" s="155"/>
      <c r="DG51" s="161"/>
      <c r="DH51" s="161"/>
      <c r="DI51" s="161"/>
      <c r="DJ51" s="161"/>
      <c r="DK51" s="156"/>
      <c r="DL51" s="162"/>
      <c r="DM51" s="223"/>
      <c r="DN51" s="153"/>
      <c r="DO51" s="153"/>
      <c r="DP51" s="153"/>
      <c r="DQ51" s="153"/>
      <c r="DR51" s="153"/>
      <c r="DS51" s="158"/>
      <c r="DT51" s="153"/>
      <c r="DU51" s="154"/>
      <c r="DV51" s="154"/>
      <c r="DW51" s="154"/>
      <c r="DX51" s="154"/>
      <c r="DY51" s="154"/>
      <c r="DZ51" s="154"/>
      <c r="EA51" s="158"/>
      <c r="EB51" s="19"/>
    </row>
    <row r="52" spans="1:132" s="12" customFormat="1" ht="12.75" customHeight="1" x14ac:dyDescent="0.3">
      <c r="A52" s="10">
        <v>3703</v>
      </c>
      <c r="B52" s="11" t="s">
        <v>364</v>
      </c>
      <c r="C52" s="360">
        <v>1089</v>
      </c>
      <c r="D52" s="54">
        <v>594</v>
      </c>
      <c r="E52" s="706">
        <f t="shared" si="0"/>
        <v>0.54545454545454541</v>
      </c>
      <c r="F52" s="219"/>
      <c r="G52" s="161"/>
      <c r="H52" s="153"/>
      <c r="I52" s="155"/>
      <c r="J52" s="153"/>
      <c r="K52" s="162"/>
      <c r="L52" s="160"/>
      <c r="M52" s="223"/>
      <c r="N52" s="223"/>
      <c r="O52" s="223"/>
      <c r="P52" s="153"/>
      <c r="Q52" s="154"/>
      <c r="R52" s="189"/>
      <c r="S52" s="158"/>
      <c r="T52" s="159"/>
      <c r="U52" s="153"/>
      <c r="V52" s="153"/>
      <c r="W52" s="154"/>
      <c r="X52" s="158"/>
      <c r="Y52" s="153"/>
      <c r="Z52" s="153"/>
      <c r="AA52" s="153"/>
      <c r="AB52" s="153"/>
      <c r="AC52" s="158"/>
      <c r="AD52" s="159"/>
      <c r="AE52" s="153"/>
      <c r="AF52" s="153"/>
      <c r="AG52" s="158"/>
      <c r="AH52" s="171"/>
      <c r="AI52" s="172"/>
      <c r="AJ52" s="172"/>
      <c r="AK52" s="172"/>
      <c r="AL52" s="172"/>
      <c r="AM52" s="172"/>
      <c r="AN52" s="176"/>
      <c r="AO52" s="45">
        <v>269</v>
      </c>
      <c r="AP52" s="45">
        <v>229</v>
      </c>
      <c r="AQ52" s="45">
        <v>220</v>
      </c>
      <c r="AR52" s="46">
        <v>195</v>
      </c>
      <c r="AS52" s="153"/>
      <c r="AT52" s="153"/>
      <c r="AU52" s="153"/>
      <c r="AV52" s="154"/>
      <c r="AW52" s="158"/>
      <c r="AX52" s="153"/>
      <c r="AY52" s="153"/>
      <c r="AZ52" s="154"/>
      <c r="BA52" s="158"/>
      <c r="BB52" s="153"/>
      <c r="BC52" s="153"/>
      <c r="BD52" s="153"/>
      <c r="BE52" s="153"/>
      <c r="BF52" s="153"/>
      <c r="BG52" s="162"/>
      <c r="BH52" s="467"/>
      <c r="BI52" s="154"/>
      <c r="BJ52" s="158"/>
      <c r="BK52" s="162"/>
      <c r="BL52" s="160"/>
      <c r="BM52" s="153"/>
      <c r="BN52" s="153"/>
      <c r="BO52" s="154"/>
      <c r="BP52" s="156"/>
      <c r="BQ52" s="159"/>
      <c r="BR52" s="153"/>
      <c r="BS52" s="155"/>
      <c r="BT52" s="161"/>
      <c r="BU52" s="161"/>
      <c r="BV52" s="153"/>
      <c r="BW52" s="153"/>
      <c r="BX52" s="153"/>
      <c r="BY52" s="153"/>
      <c r="BZ52" s="154"/>
      <c r="CA52" s="155"/>
      <c r="CB52" s="153"/>
      <c r="CC52" s="155"/>
      <c r="CD52" s="153"/>
      <c r="CE52" s="155"/>
      <c r="CF52" s="160"/>
      <c r="CG52" s="160"/>
      <c r="CH52" s="161"/>
      <c r="CI52" s="162"/>
      <c r="CJ52" s="155"/>
      <c r="CK52" s="153"/>
      <c r="CL52" s="155"/>
      <c r="CM52" s="161"/>
      <c r="CN52" s="161"/>
      <c r="CO52" s="153"/>
      <c r="CP52" s="153"/>
      <c r="CQ52" s="154"/>
      <c r="CR52" s="155"/>
      <c r="CS52" s="161"/>
      <c r="CT52" s="223"/>
      <c r="CU52" s="160"/>
      <c r="CV52" s="223"/>
      <c r="CW52" s="223"/>
      <c r="CX52" s="156"/>
      <c r="CY52" s="159"/>
      <c r="CZ52" s="161"/>
      <c r="DA52" s="161"/>
      <c r="DB52" s="161"/>
      <c r="DC52" s="153"/>
      <c r="DD52" s="153"/>
      <c r="DE52" s="154"/>
      <c r="DF52" s="155"/>
      <c r="DG52" s="161"/>
      <c r="DH52" s="161"/>
      <c r="DI52" s="161"/>
      <c r="DJ52" s="161"/>
      <c r="DK52" s="156"/>
      <c r="DL52" s="162"/>
      <c r="DM52" s="223"/>
      <c r="DN52" s="153"/>
      <c r="DO52" s="153"/>
      <c r="DP52" s="153"/>
      <c r="DQ52" s="153"/>
      <c r="DR52" s="153"/>
      <c r="DS52" s="158"/>
      <c r="DT52" s="153"/>
      <c r="DU52" s="154"/>
      <c r="DV52" s="154"/>
      <c r="DW52" s="154"/>
      <c r="DX52" s="154"/>
      <c r="DY52" s="154"/>
      <c r="DZ52" s="154"/>
      <c r="EA52" s="158"/>
      <c r="EB52" s="19"/>
    </row>
    <row r="53" spans="1:132" s="12" customFormat="1" ht="13" x14ac:dyDescent="0.3">
      <c r="A53" s="10">
        <v>3704</v>
      </c>
      <c r="B53" s="11" t="s">
        <v>365</v>
      </c>
      <c r="C53" s="360">
        <v>1008</v>
      </c>
      <c r="D53" s="54">
        <v>441</v>
      </c>
      <c r="E53" s="706">
        <f t="shared" si="0"/>
        <v>0.4375</v>
      </c>
      <c r="F53" s="219"/>
      <c r="G53" s="161"/>
      <c r="H53" s="153"/>
      <c r="I53" s="155"/>
      <c r="J53" s="153"/>
      <c r="K53" s="162"/>
      <c r="L53" s="160"/>
      <c r="M53" s="223"/>
      <c r="N53" s="223"/>
      <c r="O53" s="223"/>
      <c r="P53" s="153"/>
      <c r="Q53" s="154"/>
      <c r="R53" s="189"/>
      <c r="S53" s="158"/>
      <c r="T53" s="159"/>
      <c r="U53" s="153"/>
      <c r="V53" s="153"/>
      <c r="W53" s="154"/>
      <c r="X53" s="158"/>
      <c r="Y53" s="153"/>
      <c r="Z53" s="153"/>
      <c r="AA53" s="153"/>
      <c r="AB53" s="153"/>
      <c r="AC53" s="158"/>
      <c r="AD53" s="159"/>
      <c r="AE53" s="153"/>
      <c r="AF53" s="153"/>
      <c r="AG53" s="158"/>
      <c r="AH53" s="153"/>
      <c r="AI53" s="154"/>
      <c r="AJ53" s="154"/>
      <c r="AK53" s="154"/>
      <c r="AL53" s="154"/>
      <c r="AM53" s="154"/>
      <c r="AN53" s="158"/>
      <c r="AO53" s="45">
        <v>220</v>
      </c>
      <c r="AP53" s="45">
        <v>208</v>
      </c>
      <c r="AQ53" s="45">
        <v>163</v>
      </c>
      <c r="AR53" s="46">
        <v>153</v>
      </c>
      <c r="AS53" s="153"/>
      <c r="AT53" s="153"/>
      <c r="AU53" s="153"/>
      <c r="AV53" s="154"/>
      <c r="AW53" s="158"/>
      <c r="AX53" s="153"/>
      <c r="AY53" s="153"/>
      <c r="AZ53" s="154"/>
      <c r="BA53" s="158"/>
      <c r="BB53" s="153"/>
      <c r="BC53" s="153"/>
      <c r="BD53" s="153"/>
      <c r="BE53" s="153"/>
      <c r="BF53" s="153"/>
      <c r="BG53" s="162"/>
      <c r="BH53" s="467"/>
      <c r="BI53" s="154"/>
      <c r="BJ53" s="158"/>
      <c r="BK53" s="162"/>
      <c r="BL53" s="160"/>
      <c r="BM53" s="153"/>
      <c r="BN53" s="153"/>
      <c r="BO53" s="154"/>
      <c r="BP53" s="156"/>
      <c r="BQ53" s="159"/>
      <c r="BR53" s="153"/>
      <c r="BS53" s="155"/>
      <c r="BT53" s="161"/>
      <c r="BU53" s="161"/>
      <c r="BV53" s="153"/>
      <c r="BW53" s="153"/>
      <c r="BX53" s="153"/>
      <c r="BY53" s="153"/>
      <c r="BZ53" s="154"/>
      <c r="CA53" s="155"/>
      <c r="CB53" s="153"/>
      <c r="CC53" s="155"/>
      <c r="CD53" s="153"/>
      <c r="CE53" s="155"/>
      <c r="CF53" s="160"/>
      <c r="CG53" s="160"/>
      <c r="CH53" s="161"/>
      <c r="CI53" s="162"/>
      <c r="CJ53" s="155"/>
      <c r="CK53" s="153"/>
      <c r="CL53" s="155"/>
      <c r="CM53" s="161"/>
      <c r="CN53" s="161"/>
      <c r="CO53" s="153"/>
      <c r="CP53" s="153"/>
      <c r="CQ53" s="154"/>
      <c r="CR53" s="155"/>
      <c r="CS53" s="161"/>
      <c r="CT53" s="223"/>
      <c r="CU53" s="160"/>
      <c r="CV53" s="223"/>
      <c r="CW53" s="223"/>
      <c r="CX53" s="156"/>
      <c r="CY53" s="159"/>
      <c r="CZ53" s="161"/>
      <c r="DA53" s="161"/>
      <c r="DB53" s="161"/>
      <c r="DC53" s="153"/>
      <c r="DD53" s="153"/>
      <c r="DE53" s="154"/>
      <c r="DF53" s="155"/>
      <c r="DG53" s="161"/>
      <c r="DH53" s="161"/>
      <c r="DI53" s="161"/>
      <c r="DJ53" s="161"/>
      <c r="DK53" s="156"/>
      <c r="DL53" s="162"/>
      <c r="DM53" s="223"/>
      <c r="DN53" s="153"/>
      <c r="DO53" s="153"/>
      <c r="DP53" s="153"/>
      <c r="DQ53" s="153"/>
      <c r="DR53" s="153"/>
      <c r="DS53" s="158"/>
      <c r="DT53" s="153"/>
      <c r="DU53" s="154"/>
      <c r="DV53" s="154"/>
      <c r="DW53" s="154"/>
      <c r="DX53" s="154"/>
      <c r="DY53" s="154"/>
      <c r="DZ53" s="154"/>
      <c r="EA53" s="158"/>
      <c r="EB53" s="19"/>
    </row>
    <row r="54" spans="1:132" s="12" customFormat="1" ht="12.75" customHeight="1" x14ac:dyDescent="0.3">
      <c r="A54" s="10">
        <v>3705</v>
      </c>
      <c r="B54" s="11" t="s">
        <v>366</v>
      </c>
      <c r="C54" s="360">
        <v>1008</v>
      </c>
      <c r="D54" s="54">
        <v>625</v>
      </c>
      <c r="E54" s="706">
        <f t="shared" si="0"/>
        <v>0.62003968253968256</v>
      </c>
      <c r="F54" s="219"/>
      <c r="G54" s="161"/>
      <c r="H54" s="153"/>
      <c r="I54" s="155"/>
      <c r="J54" s="153"/>
      <c r="K54" s="162"/>
      <c r="L54" s="160"/>
      <c r="M54" s="223"/>
      <c r="N54" s="223"/>
      <c r="O54" s="223"/>
      <c r="P54" s="153"/>
      <c r="Q54" s="154"/>
      <c r="R54" s="189"/>
      <c r="S54" s="158"/>
      <c r="T54" s="159"/>
      <c r="U54" s="153"/>
      <c r="V54" s="153"/>
      <c r="W54" s="154"/>
      <c r="X54" s="158"/>
      <c r="Y54" s="153"/>
      <c r="Z54" s="153"/>
      <c r="AA54" s="153"/>
      <c r="AB54" s="153"/>
      <c r="AC54" s="158"/>
      <c r="AD54" s="159"/>
      <c r="AE54" s="153"/>
      <c r="AF54" s="153"/>
      <c r="AG54" s="158"/>
      <c r="AH54" s="153"/>
      <c r="AI54" s="154"/>
      <c r="AJ54" s="154"/>
      <c r="AK54" s="154"/>
      <c r="AL54" s="154"/>
      <c r="AM54" s="154"/>
      <c r="AN54" s="158"/>
      <c r="AO54" s="45">
        <v>329</v>
      </c>
      <c r="AP54" s="45">
        <v>275</v>
      </c>
      <c r="AQ54" s="45">
        <v>237</v>
      </c>
      <c r="AR54" s="46">
        <v>168</v>
      </c>
      <c r="AS54" s="153"/>
      <c r="AT54" s="153"/>
      <c r="AU54" s="153"/>
      <c r="AV54" s="154"/>
      <c r="AW54" s="158"/>
      <c r="AX54" s="153"/>
      <c r="AY54" s="153"/>
      <c r="AZ54" s="154"/>
      <c r="BA54" s="158"/>
      <c r="BB54" s="153"/>
      <c r="BC54" s="153"/>
      <c r="BD54" s="153"/>
      <c r="BE54" s="153"/>
      <c r="BF54" s="153"/>
      <c r="BG54" s="162"/>
      <c r="BH54" s="467"/>
      <c r="BI54" s="154"/>
      <c r="BJ54" s="158"/>
      <c r="BK54" s="162"/>
      <c r="BL54" s="160"/>
      <c r="BM54" s="153"/>
      <c r="BN54" s="153"/>
      <c r="BO54" s="154"/>
      <c r="BP54" s="156"/>
      <c r="BQ54" s="159"/>
      <c r="BR54" s="153"/>
      <c r="BS54" s="155"/>
      <c r="BT54" s="161"/>
      <c r="BU54" s="161"/>
      <c r="BV54" s="153"/>
      <c r="BW54" s="153"/>
      <c r="BX54" s="153"/>
      <c r="BY54" s="153"/>
      <c r="BZ54" s="154"/>
      <c r="CA54" s="155"/>
      <c r="CB54" s="153"/>
      <c r="CC54" s="155"/>
      <c r="CD54" s="153"/>
      <c r="CE54" s="155"/>
      <c r="CF54" s="160"/>
      <c r="CG54" s="160"/>
      <c r="CH54" s="161"/>
      <c r="CI54" s="162"/>
      <c r="CJ54" s="155"/>
      <c r="CK54" s="153"/>
      <c r="CL54" s="155"/>
      <c r="CM54" s="161"/>
      <c r="CN54" s="161"/>
      <c r="CO54" s="153"/>
      <c r="CP54" s="153"/>
      <c r="CQ54" s="154"/>
      <c r="CR54" s="155"/>
      <c r="CS54" s="161"/>
      <c r="CT54" s="223"/>
      <c r="CU54" s="160"/>
      <c r="CV54" s="223"/>
      <c r="CW54" s="223"/>
      <c r="CX54" s="156"/>
      <c r="CY54" s="159"/>
      <c r="CZ54" s="161"/>
      <c r="DA54" s="161"/>
      <c r="DB54" s="161"/>
      <c r="DC54" s="153"/>
      <c r="DD54" s="153"/>
      <c r="DE54" s="154"/>
      <c r="DF54" s="155"/>
      <c r="DG54" s="161"/>
      <c r="DH54" s="161"/>
      <c r="DI54" s="161"/>
      <c r="DJ54" s="161"/>
      <c r="DK54" s="156"/>
      <c r="DL54" s="162"/>
      <c r="DM54" s="223"/>
      <c r="DN54" s="153"/>
      <c r="DO54" s="153"/>
      <c r="DP54" s="153"/>
      <c r="DQ54" s="153"/>
      <c r="DR54" s="153"/>
      <c r="DS54" s="158"/>
      <c r="DT54" s="153"/>
      <c r="DU54" s="154"/>
      <c r="DV54" s="154"/>
      <c r="DW54" s="154"/>
      <c r="DX54" s="154"/>
      <c r="DY54" s="154"/>
      <c r="DZ54" s="154"/>
      <c r="EA54" s="158"/>
      <c r="EB54" s="19"/>
    </row>
    <row r="55" spans="1:132" s="12" customFormat="1" ht="13" x14ac:dyDescent="0.3">
      <c r="A55" s="10">
        <v>3706</v>
      </c>
      <c r="B55" s="11" t="s">
        <v>367</v>
      </c>
      <c r="C55" s="360">
        <v>782</v>
      </c>
      <c r="D55" s="54">
        <v>454</v>
      </c>
      <c r="E55" s="706">
        <f t="shared" si="0"/>
        <v>0.58056265984654731</v>
      </c>
      <c r="F55" s="219"/>
      <c r="G55" s="161"/>
      <c r="H55" s="153"/>
      <c r="I55" s="155"/>
      <c r="J55" s="153"/>
      <c r="K55" s="162"/>
      <c r="L55" s="160"/>
      <c r="M55" s="223"/>
      <c r="N55" s="223"/>
      <c r="O55" s="223"/>
      <c r="P55" s="153"/>
      <c r="Q55" s="154"/>
      <c r="R55" s="189"/>
      <c r="S55" s="158"/>
      <c r="T55" s="159"/>
      <c r="U55" s="153"/>
      <c r="V55" s="153"/>
      <c r="W55" s="154"/>
      <c r="X55" s="158"/>
      <c r="Y55" s="153"/>
      <c r="Z55" s="153"/>
      <c r="AA55" s="153"/>
      <c r="AB55" s="153"/>
      <c r="AC55" s="158"/>
      <c r="AD55" s="159"/>
      <c r="AE55" s="153"/>
      <c r="AF55" s="153"/>
      <c r="AG55" s="158"/>
      <c r="AH55" s="153"/>
      <c r="AI55" s="154"/>
      <c r="AJ55" s="154"/>
      <c r="AK55" s="154"/>
      <c r="AL55" s="154"/>
      <c r="AM55" s="154"/>
      <c r="AN55" s="158"/>
      <c r="AO55" s="45">
        <v>242</v>
      </c>
      <c r="AP55" s="45">
        <v>195</v>
      </c>
      <c r="AQ55" s="45">
        <v>177</v>
      </c>
      <c r="AR55" s="46">
        <v>158</v>
      </c>
      <c r="AS55" s="165"/>
      <c r="AT55" s="165"/>
      <c r="AU55" s="165"/>
      <c r="AV55" s="173"/>
      <c r="AW55" s="167"/>
      <c r="AX55" s="153"/>
      <c r="AY55" s="153"/>
      <c r="AZ55" s="154"/>
      <c r="BA55" s="158"/>
      <c r="BB55" s="153"/>
      <c r="BC55" s="153"/>
      <c r="BD55" s="153"/>
      <c r="BE55" s="153"/>
      <c r="BF55" s="153"/>
      <c r="BG55" s="162"/>
      <c r="BH55" s="467"/>
      <c r="BI55" s="154"/>
      <c r="BJ55" s="158"/>
      <c r="BK55" s="162"/>
      <c r="BL55" s="160"/>
      <c r="BM55" s="153"/>
      <c r="BN55" s="153"/>
      <c r="BO55" s="154"/>
      <c r="BP55" s="156"/>
      <c r="BQ55" s="159"/>
      <c r="BR55" s="153"/>
      <c r="BS55" s="155"/>
      <c r="BT55" s="161"/>
      <c r="BU55" s="161"/>
      <c r="BV55" s="153"/>
      <c r="BW55" s="153"/>
      <c r="BX55" s="153"/>
      <c r="BY55" s="153"/>
      <c r="BZ55" s="154"/>
      <c r="CA55" s="155"/>
      <c r="CB55" s="153"/>
      <c r="CC55" s="155"/>
      <c r="CD55" s="153"/>
      <c r="CE55" s="155"/>
      <c r="CF55" s="160"/>
      <c r="CG55" s="160"/>
      <c r="CH55" s="161"/>
      <c r="CI55" s="162"/>
      <c r="CJ55" s="155"/>
      <c r="CK55" s="153"/>
      <c r="CL55" s="155"/>
      <c r="CM55" s="161"/>
      <c r="CN55" s="161"/>
      <c r="CO55" s="153"/>
      <c r="CP55" s="153"/>
      <c r="CQ55" s="154"/>
      <c r="CR55" s="155"/>
      <c r="CS55" s="161"/>
      <c r="CT55" s="223"/>
      <c r="CU55" s="160"/>
      <c r="CV55" s="223"/>
      <c r="CW55" s="223"/>
      <c r="CX55" s="156"/>
      <c r="CY55" s="159"/>
      <c r="CZ55" s="161"/>
      <c r="DA55" s="161"/>
      <c r="DB55" s="161"/>
      <c r="DC55" s="153"/>
      <c r="DD55" s="153"/>
      <c r="DE55" s="154"/>
      <c r="DF55" s="155"/>
      <c r="DG55" s="161"/>
      <c r="DH55" s="161"/>
      <c r="DI55" s="161"/>
      <c r="DJ55" s="161"/>
      <c r="DK55" s="156"/>
      <c r="DL55" s="162"/>
      <c r="DM55" s="223"/>
      <c r="DN55" s="153"/>
      <c r="DO55" s="153"/>
      <c r="DP55" s="153"/>
      <c r="DQ55" s="153"/>
      <c r="DR55" s="153"/>
      <c r="DS55" s="158"/>
      <c r="DT55" s="153"/>
      <c r="DU55" s="154"/>
      <c r="DV55" s="154"/>
      <c r="DW55" s="154"/>
      <c r="DX55" s="154"/>
      <c r="DY55" s="154"/>
      <c r="DZ55" s="154"/>
      <c r="EA55" s="158"/>
      <c r="EB55" s="19"/>
    </row>
    <row r="56" spans="1:132" s="12" customFormat="1" ht="12.75" customHeight="1" x14ac:dyDescent="0.3">
      <c r="A56" s="10">
        <v>3707</v>
      </c>
      <c r="B56" s="11" t="s">
        <v>368</v>
      </c>
      <c r="C56" s="360">
        <v>626</v>
      </c>
      <c r="D56" s="54">
        <v>434</v>
      </c>
      <c r="E56" s="706">
        <f t="shared" si="0"/>
        <v>0.69329073482428116</v>
      </c>
      <c r="F56" s="219"/>
      <c r="G56" s="161"/>
      <c r="H56" s="153"/>
      <c r="I56" s="155"/>
      <c r="J56" s="153"/>
      <c r="K56" s="162"/>
      <c r="L56" s="160"/>
      <c r="M56" s="223"/>
      <c r="N56" s="223"/>
      <c r="O56" s="223"/>
      <c r="P56" s="153"/>
      <c r="Q56" s="154"/>
      <c r="R56" s="189"/>
      <c r="S56" s="158"/>
      <c r="T56" s="159"/>
      <c r="U56" s="153"/>
      <c r="V56" s="153"/>
      <c r="W56" s="154"/>
      <c r="X56" s="158"/>
      <c r="Y56" s="153"/>
      <c r="Z56" s="153"/>
      <c r="AA56" s="153"/>
      <c r="AB56" s="153"/>
      <c r="AC56" s="158"/>
      <c r="AD56" s="159"/>
      <c r="AE56" s="153"/>
      <c r="AF56" s="153"/>
      <c r="AG56" s="158"/>
      <c r="AH56" s="153"/>
      <c r="AI56" s="154"/>
      <c r="AJ56" s="154"/>
      <c r="AK56" s="154"/>
      <c r="AL56" s="154"/>
      <c r="AM56" s="154"/>
      <c r="AN56" s="158"/>
      <c r="AO56" s="171">
        <v>236</v>
      </c>
      <c r="AP56" s="171">
        <v>210</v>
      </c>
      <c r="AQ56" s="171">
        <v>184</v>
      </c>
      <c r="AR56" s="176">
        <v>132</v>
      </c>
      <c r="AS56" s="45"/>
      <c r="AT56" s="45"/>
      <c r="AU56" s="45"/>
      <c r="AV56" s="54"/>
      <c r="AW56" s="46"/>
      <c r="AX56" s="153"/>
      <c r="AY56" s="153"/>
      <c r="AZ56" s="154"/>
      <c r="BA56" s="158"/>
      <c r="BB56" s="153"/>
      <c r="BC56" s="153"/>
      <c r="BD56" s="153"/>
      <c r="BE56" s="153"/>
      <c r="BF56" s="153"/>
      <c r="BG56" s="162"/>
      <c r="BH56" s="467"/>
      <c r="BI56" s="154"/>
      <c r="BJ56" s="158"/>
      <c r="BK56" s="162"/>
      <c r="BL56" s="160"/>
      <c r="BM56" s="153"/>
      <c r="BN56" s="153"/>
      <c r="BO56" s="154"/>
      <c r="BP56" s="156"/>
      <c r="BQ56" s="159"/>
      <c r="BR56" s="153"/>
      <c r="BS56" s="155"/>
      <c r="BT56" s="161"/>
      <c r="BU56" s="161"/>
      <c r="BV56" s="153"/>
      <c r="BW56" s="153"/>
      <c r="BX56" s="153"/>
      <c r="BY56" s="153"/>
      <c r="BZ56" s="154"/>
      <c r="CA56" s="155"/>
      <c r="CB56" s="153"/>
      <c r="CC56" s="155"/>
      <c r="CD56" s="153"/>
      <c r="CE56" s="155"/>
      <c r="CF56" s="160"/>
      <c r="CG56" s="160"/>
      <c r="CH56" s="161"/>
      <c r="CI56" s="162"/>
      <c r="CJ56" s="155"/>
      <c r="CK56" s="153"/>
      <c r="CL56" s="155"/>
      <c r="CM56" s="161"/>
      <c r="CN56" s="161"/>
      <c r="CO56" s="153"/>
      <c r="CP56" s="153"/>
      <c r="CQ56" s="154"/>
      <c r="CR56" s="155"/>
      <c r="CS56" s="161"/>
      <c r="CT56" s="223"/>
      <c r="CU56" s="160"/>
      <c r="CV56" s="223"/>
      <c r="CW56" s="223"/>
      <c r="CX56" s="156"/>
      <c r="CY56" s="159"/>
      <c r="CZ56" s="161"/>
      <c r="DA56" s="161"/>
      <c r="DB56" s="161"/>
      <c r="DC56" s="153"/>
      <c r="DD56" s="153"/>
      <c r="DE56" s="154"/>
      <c r="DF56" s="155"/>
      <c r="DG56" s="161"/>
      <c r="DH56" s="161"/>
      <c r="DI56" s="161"/>
      <c r="DJ56" s="161"/>
      <c r="DK56" s="156"/>
      <c r="DL56" s="162"/>
      <c r="DM56" s="223"/>
      <c r="DN56" s="153"/>
      <c r="DO56" s="153"/>
      <c r="DP56" s="153"/>
      <c r="DQ56" s="153"/>
      <c r="DR56" s="153"/>
      <c r="DS56" s="158"/>
      <c r="DT56" s="153"/>
      <c r="DU56" s="154"/>
      <c r="DV56" s="154"/>
      <c r="DW56" s="154"/>
      <c r="DX56" s="154"/>
      <c r="DY56" s="154"/>
      <c r="DZ56" s="154"/>
      <c r="EA56" s="158"/>
      <c r="EB56" s="19"/>
    </row>
    <row r="57" spans="1:132" s="12" customFormat="1" ht="13" x14ac:dyDescent="0.3">
      <c r="A57" s="10">
        <v>3801</v>
      </c>
      <c r="B57" s="11" t="s">
        <v>369</v>
      </c>
      <c r="C57" s="360">
        <v>1130</v>
      </c>
      <c r="D57" s="54">
        <v>790</v>
      </c>
      <c r="E57" s="706">
        <f t="shared" si="0"/>
        <v>0.69911504424778759</v>
      </c>
      <c r="F57" s="219"/>
      <c r="G57" s="161"/>
      <c r="H57" s="153"/>
      <c r="I57" s="155"/>
      <c r="J57" s="153"/>
      <c r="K57" s="162"/>
      <c r="L57" s="160"/>
      <c r="M57" s="223"/>
      <c r="N57" s="223"/>
      <c r="O57" s="223"/>
      <c r="P57" s="153"/>
      <c r="Q57" s="154"/>
      <c r="R57" s="189"/>
      <c r="S57" s="158"/>
      <c r="T57" s="159"/>
      <c r="U57" s="153"/>
      <c r="V57" s="153"/>
      <c r="W57" s="154"/>
      <c r="X57" s="158"/>
      <c r="Y57" s="153"/>
      <c r="Z57" s="153"/>
      <c r="AA57" s="153"/>
      <c r="AB57" s="153"/>
      <c r="AC57" s="158"/>
      <c r="AD57" s="159"/>
      <c r="AE57" s="153"/>
      <c r="AF57" s="153"/>
      <c r="AG57" s="158"/>
      <c r="AH57" s="153"/>
      <c r="AI57" s="154"/>
      <c r="AJ57" s="154"/>
      <c r="AK57" s="154"/>
      <c r="AL57" s="154"/>
      <c r="AM57" s="154"/>
      <c r="AN57" s="158"/>
      <c r="AO57" s="171"/>
      <c r="AP57" s="171"/>
      <c r="AQ57" s="171"/>
      <c r="AR57" s="176"/>
      <c r="AS57" s="45">
        <v>195</v>
      </c>
      <c r="AT57" s="45">
        <v>164</v>
      </c>
      <c r="AU57" s="45">
        <v>513</v>
      </c>
      <c r="AV57" s="54">
        <v>495</v>
      </c>
      <c r="AW57" s="45">
        <v>619</v>
      </c>
      <c r="AX57" s="153"/>
      <c r="AY57" s="153"/>
      <c r="AZ57" s="154"/>
      <c r="BA57" s="158"/>
      <c r="BB57" s="153"/>
      <c r="BC57" s="153"/>
      <c r="BD57" s="153"/>
      <c r="BE57" s="153"/>
      <c r="BF57" s="153"/>
      <c r="BG57" s="162"/>
      <c r="BH57" s="467"/>
      <c r="BI57" s="154"/>
      <c r="BJ57" s="158"/>
      <c r="BK57" s="162"/>
      <c r="BL57" s="160"/>
      <c r="BM57" s="153"/>
      <c r="BN57" s="153"/>
      <c r="BO57" s="154"/>
      <c r="BP57" s="156"/>
      <c r="BQ57" s="159"/>
      <c r="BR57" s="153"/>
      <c r="BS57" s="155"/>
      <c r="BT57" s="161"/>
      <c r="BU57" s="161"/>
      <c r="BV57" s="153"/>
      <c r="BW57" s="153"/>
      <c r="BX57" s="153"/>
      <c r="BY57" s="153"/>
      <c r="BZ57" s="154"/>
      <c r="CA57" s="155"/>
      <c r="CB57" s="153"/>
      <c r="CC57" s="155"/>
      <c r="CD57" s="153"/>
      <c r="CE57" s="155"/>
      <c r="CF57" s="160"/>
      <c r="CG57" s="160"/>
      <c r="CH57" s="161"/>
      <c r="CI57" s="162"/>
      <c r="CJ57" s="155"/>
      <c r="CK57" s="153"/>
      <c r="CL57" s="155"/>
      <c r="CM57" s="161"/>
      <c r="CN57" s="161"/>
      <c r="CO57" s="153"/>
      <c r="CP57" s="153"/>
      <c r="CQ57" s="154"/>
      <c r="CR57" s="155"/>
      <c r="CS57" s="161"/>
      <c r="CT57" s="223"/>
      <c r="CU57" s="160"/>
      <c r="CV57" s="223"/>
      <c r="CW57" s="223"/>
      <c r="CX57" s="156"/>
      <c r="CY57" s="159"/>
      <c r="CZ57" s="161"/>
      <c r="DA57" s="161"/>
      <c r="DB57" s="161"/>
      <c r="DC57" s="153"/>
      <c r="DD57" s="153"/>
      <c r="DE57" s="154"/>
      <c r="DF57" s="155"/>
      <c r="DG57" s="161"/>
      <c r="DH57" s="161"/>
      <c r="DI57" s="161"/>
      <c r="DJ57" s="161"/>
      <c r="DK57" s="156"/>
      <c r="DL57" s="162"/>
      <c r="DM57" s="223"/>
      <c r="DN57" s="153"/>
      <c r="DO57" s="153"/>
      <c r="DP57" s="153"/>
      <c r="DQ57" s="153"/>
      <c r="DR57" s="153"/>
      <c r="DS57" s="158"/>
      <c r="DT57" s="153"/>
      <c r="DU57" s="154"/>
      <c r="DV57" s="154"/>
      <c r="DW57" s="154"/>
      <c r="DX57" s="154"/>
      <c r="DY57" s="154"/>
      <c r="DZ57" s="154"/>
      <c r="EA57" s="158"/>
      <c r="EB57" s="19"/>
    </row>
    <row r="58" spans="1:132" s="12" customFormat="1" ht="12.75" customHeight="1" x14ac:dyDescent="0.3">
      <c r="A58" s="10">
        <v>3802</v>
      </c>
      <c r="B58" s="11" t="s">
        <v>370</v>
      </c>
      <c r="C58" s="360">
        <v>840</v>
      </c>
      <c r="D58" s="54">
        <v>531</v>
      </c>
      <c r="E58" s="706">
        <f t="shared" si="0"/>
        <v>0.63214285714285712</v>
      </c>
      <c r="F58" s="219"/>
      <c r="G58" s="161"/>
      <c r="H58" s="153"/>
      <c r="I58" s="155"/>
      <c r="J58" s="153"/>
      <c r="K58" s="162"/>
      <c r="L58" s="160"/>
      <c r="M58" s="223"/>
      <c r="N58" s="223"/>
      <c r="O58" s="223"/>
      <c r="P58" s="153"/>
      <c r="Q58" s="154"/>
      <c r="R58" s="189"/>
      <c r="S58" s="158"/>
      <c r="T58" s="159"/>
      <c r="U58" s="153"/>
      <c r="V58" s="153"/>
      <c r="W58" s="154"/>
      <c r="X58" s="158"/>
      <c r="Y58" s="153"/>
      <c r="Z58" s="153"/>
      <c r="AA58" s="153"/>
      <c r="AB58" s="153"/>
      <c r="AC58" s="158"/>
      <c r="AD58" s="159"/>
      <c r="AE58" s="153"/>
      <c r="AF58" s="153"/>
      <c r="AG58" s="158"/>
      <c r="AH58" s="153"/>
      <c r="AI58" s="154"/>
      <c r="AJ58" s="154"/>
      <c r="AK58" s="154"/>
      <c r="AL58" s="154"/>
      <c r="AM58" s="154"/>
      <c r="AN58" s="158"/>
      <c r="AO58" s="171"/>
      <c r="AP58" s="171"/>
      <c r="AQ58" s="171"/>
      <c r="AR58" s="176"/>
      <c r="AS58" s="45">
        <v>181</v>
      </c>
      <c r="AT58" s="45">
        <v>173</v>
      </c>
      <c r="AU58" s="45">
        <v>291</v>
      </c>
      <c r="AV58" s="54">
        <v>266</v>
      </c>
      <c r="AW58" s="45">
        <v>377</v>
      </c>
      <c r="AX58" s="153"/>
      <c r="AY58" s="153"/>
      <c r="AZ58" s="154"/>
      <c r="BA58" s="158"/>
      <c r="BB58" s="153"/>
      <c r="BC58" s="153"/>
      <c r="BD58" s="153"/>
      <c r="BE58" s="153"/>
      <c r="BF58" s="153"/>
      <c r="BG58" s="162"/>
      <c r="BH58" s="467"/>
      <c r="BI58" s="154"/>
      <c r="BJ58" s="158"/>
      <c r="BK58" s="162"/>
      <c r="BL58" s="160"/>
      <c r="BM58" s="153"/>
      <c r="BN58" s="153"/>
      <c r="BO58" s="154"/>
      <c r="BP58" s="156"/>
      <c r="BQ58" s="159"/>
      <c r="BR58" s="153"/>
      <c r="BS58" s="155"/>
      <c r="BT58" s="161"/>
      <c r="BU58" s="161"/>
      <c r="BV58" s="153"/>
      <c r="BW58" s="153"/>
      <c r="BX58" s="153"/>
      <c r="BY58" s="153"/>
      <c r="BZ58" s="154"/>
      <c r="CA58" s="155"/>
      <c r="CB58" s="153"/>
      <c r="CC58" s="155"/>
      <c r="CD58" s="153"/>
      <c r="CE58" s="155"/>
      <c r="CF58" s="160"/>
      <c r="CG58" s="160"/>
      <c r="CH58" s="161"/>
      <c r="CI58" s="162"/>
      <c r="CJ58" s="155"/>
      <c r="CK58" s="153"/>
      <c r="CL58" s="155"/>
      <c r="CM58" s="161"/>
      <c r="CN58" s="161"/>
      <c r="CO58" s="153"/>
      <c r="CP58" s="153"/>
      <c r="CQ58" s="154"/>
      <c r="CR58" s="155"/>
      <c r="CS58" s="161"/>
      <c r="CT58" s="223"/>
      <c r="CU58" s="160"/>
      <c r="CV58" s="223"/>
      <c r="CW58" s="223"/>
      <c r="CX58" s="156"/>
      <c r="CY58" s="159"/>
      <c r="CZ58" s="161"/>
      <c r="DA58" s="161"/>
      <c r="DB58" s="161"/>
      <c r="DC58" s="153"/>
      <c r="DD58" s="153"/>
      <c r="DE58" s="154"/>
      <c r="DF58" s="155"/>
      <c r="DG58" s="161"/>
      <c r="DH58" s="161"/>
      <c r="DI58" s="161"/>
      <c r="DJ58" s="161"/>
      <c r="DK58" s="156"/>
      <c r="DL58" s="162"/>
      <c r="DM58" s="223"/>
      <c r="DN58" s="153"/>
      <c r="DO58" s="153"/>
      <c r="DP58" s="153"/>
      <c r="DQ58" s="153"/>
      <c r="DR58" s="153"/>
      <c r="DS58" s="158"/>
      <c r="DT58" s="153"/>
      <c r="DU58" s="154"/>
      <c r="DV58" s="154"/>
      <c r="DW58" s="154"/>
      <c r="DX58" s="154"/>
      <c r="DY58" s="154"/>
      <c r="DZ58" s="154"/>
      <c r="EA58" s="158"/>
      <c r="EB58" s="19"/>
    </row>
    <row r="59" spans="1:132" s="12" customFormat="1" ht="13" x14ac:dyDescent="0.3">
      <c r="A59" s="10">
        <v>3803</v>
      </c>
      <c r="B59" s="11" t="s">
        <v>371</v>
      </c>
      <c r="C59" s="360">
        <v>823</v>
      </c>
      <c r="D59" s="54">
        <v>607</v>
      </c>
      <c r="E59" s="706">
        <f t="shared" si="0"/>
        <v>0.73754556500607538</v>
      </c>
      <c r="F59" s="219"/>
      <c r="G59" s="161"/>
      <c r="H59" s="153"/>
      <c r="I59" s="155"/>
      <c r="J59" s="153"/>
      <c r="K59" s="162"/>
      <c r="L59" s="160"/>
      <c r="M59" s="223"/>
      <c r="N59" s="223"/>
      <c r="O59" s="223"/>
      <c r="P59" s="153"/>
      <c r="Q59" s="154"/>
      <c r="R59" s="189"/>
      <c r="S59" s="158"/>
      <c r="T59" s="159"/>
      <c r="U59" s="153"/>
      <c r="V59" s="153"/>
      <c r="W59" s="154"/>
      <c r="X59" s="158"/>
      <c r="Y59" s="153"/>
      <c r="Z59" s="153"/>
      <c r="AA59" s="153"/>
      <c r="AB59" s="153"/>
      <c r="AC59" s="158"/>
      <c r="AD59" s="159"/>
      <c r="AE59" s="153"/>
      <c r="AF59" s="153"/>
      <c r="AG59" s="158"/>
      <c r="AH59" s="153"/>
      <c r="AI59" s="154"/>
      <c r="AJ59" s="154"/>
      <c r="AK59" s="154"/>
      <c r="AL59" s="154"/>
      <c r="AM59" s="154"/>
      <c r="AN59" s="158"/>
      <c r="AO59" s="171"/>
      <c r="AP59" s="171"/>
      <c r="AQ59" s="171"/>
      <c r="AR59" s="176"/>
      <c r="AS59" s="45">
        <v>189</v>
      </c>
      <c r="AT59" s="45">
        <v>153</v>
      </c>
      <c r="AU59" s="45">
        <v>362</v>
      </c>
      <c r="AV59" s="54">
        <v>326</v>
      </c>
      <c r="AW59" s="45">
        <v>433</v>
      </c>
      <c r="AX59" s="153"/>
      <c r="AY59" s="153"/>
      <c r="AZ59" s="154"/>
      <c r="BA59" s="158"/>
      <c r="BB59" s="153"/>
      <c r="BC59" s="153"/>
      <c r="BD59" s="153"/>
      <c r="BE59" s="153"/>
      <c r="BF59" s="153"/>
      <c r="BG59" s="162"/>
      <c r="BH59" s="467"/>
      <c r="BI59" s="154"/>
      <c r="BJ59" s="158"/>
      <c r="BK59" s="162"/>
      <c r="BL59" s="160"/>
      <c r="BM59" s="153"/>
      <c r="BN59" s="153"/>
      <c r="BO59" s="154"/>
      <c r="BP59" s="156"/>
      <c r="BQ59" s="159"/>
      <c r="BR59" s="153"/>
      <c r="BS59" s="155"/>
      <c r="BT59" s="161"/>
      <c r="BU59" s="161"/>
      <c r="BV59" s="153"/>
      <c r="BW59" s="153"/>
      <c r="BX59" s="153"/>
      <c r="BY59" s="153"/>
      <c r="BZ59" s="154"/>
      <c r="CA59" s="155"/>
      <c r="CB59" s="153"/>
      <c r="CC59" s="155"/>
      <c r="CD59" s="153"/>
      <c r="CE59" s="155"/>
      <c r="CF59" s="160"/>
      <c r="CG59" s="160"/>
      <c r="CH59" s="161"/>
      <c r="CI59" s="162"/>
      <c r="CJ59" s="155"/>
      <c r="CK59" s="153"/>
      <c r="CL59" s="155"/>
      <c r="CM59" s="161"/>
      <c r="CN59" s="161"/>
      <c r="CO59" s="153"/>
      <c r="CP59" s="153"/>
      <c r="CQ59" s="154"/>
      <c r="CR59" s="155"/>
      <c r="CS59" s="161"/>
      <c r="CT59" s="223"/>
      <c r="CU59" s="160"/>
      <c r="CV59" s="223"/>
      <c r="CW59" s="223"/>
      <c r="CX59" s="156"/>
      <c r="CY59" s="159"/>
      <c r="CZ59" s="161"/>
      <c r="DA59" s="161"/>
      <c r="DB59" s="161"/>
      <c r="DC59" s="153"/>
      <c r="DD59" s="153"/>
      <c r="DE59" s="154"/>
      <c r="DF59" s="155"/>
      <c r="DG59" s="161"/>
      <c r="DH59" s="161"/>
      <c r="DI59" s="161"/>
      <c r="DJ59" s="161"/>
      <c r="DK59" s="156"/>
      <c r="DL59" s="162"/>
      <c r="DM59" s="223"/>
      <c r="DN59" s="153"/>
      <c r="DO59" s="153"/>
      <c r="DP59" s="153"/>
      <c r="DQ59" s="153"/>
      <c r="DR59" s="153"/>
      <c r="DS59" s="158"/>
      <c r="DT59" s="153"/>
      <c r="DU59" s="154"/>
      <c r="DV59" s="154"/>
      <c r="DW59" s="154"/>
      <c r="DX59" s="154"/>
      <c r="DY59" s="154"/>
      <c r="DZ59" s="154"/>
      <c r="EA59" s="158"/>
      <c r="EB59" s="19"/>
    </row>
    <row r="60" spans="1:132" s="12" customFormat="1" ht="12.75" customHeight="1" x14ac:dyDescent="0.3">
      <c r="A60" s="10">
        <v>3804</v>
      </c>
      <c r="B60" s="11" t="s">
        <v>372</v>
      </c>
      <c r="C60" s="360">
        <v>1215</v>
      </c>
      <c r="D60" s="54">
        <v>899</v>
      </c>
      <c r="E60" s="706">
        <f t="shared" si="0"/>
        <v>0.73991769547325104</v>
      </c>
      <c r="F60" s="219"/>
      <c r="G60" s="161"/>
      <c r="H60" s="153"/>
      <c r="I60" s="155"/>
      <c r="J60" s="153"/>
      <c r="K60" s="162"/>
      <c r="L60" s="160"/>
      <c r="M60" s="223"/>
      <c r="N60" s="223"/>
      <c r="O60" s="223"/>
      <c r="P60" s="153"/>
      <c r="Q60" s="154"/>
      <c r="R60" s="189"/>
      <c r="S60" s="158"/>
      <c r="T60" s="159"/>
      <c r="U60" s="153"/>
      <c r="V60" s="153"/>
      <c r="W60" s="154"/>
      <c r="X60" s="158"/>
      <c r="Y60" s="153"/>
      <c r="Z60" s="153"/>
      <c r="AA60" s="153"/>
      <c r="AB60" s="153"/>
      <c r="AC60" s="158"/>
      <c r="AD60" s="159"/>
      <c r="AE60" s="153"/>
      <c r="AF60" s="153"/>
      <c r="AG60" s="158"/>
      <c r="AH60" s="153"/>
      <c r="AI60" s="154"/>
      <c r="AJ60" s="154"/>
      <c r="AK60" s="154"/>
      <c r="AL60" s="154"/>
      <c r="AM60" s="154"/>
      <c r="AN60" s="158"/>
      <c r="AO60" s="171"/>
      <c r="AP60" s="171"/>
      <c r="AQ60" s="171"/>
      <c r="AR60" s="176"/>
      <c r="AS60" s="45">
        <v>258</v>
      </c>
      <c r="AT60" s="45">
        <v>223</v>
      </c>
      <c r="AU60" s="45">
        <v>531</v>
      </c>
      <c r="AV60" s="54">
        <v>508</v>
      </c>
      <c r="AW60" s="45">
        <v>699</v>
      </c>
      <c r="AX60" s="153"/>
      <c r="AY60" s="153"/>
      <c r="AZ60" s="154"/>
      <c r="BA60" s="158"/>
      <c r="BB60" s="153"/>
      <c r="BC60" s="153"/>
      <c r="BD60" s="153"/>
      <c r="BE60" s="153"/>
      <c r="BF60" s="153"/>
      <c r="BG60" s="162"/>
      <c r="BH60" s="467"/>
      <c r="BI60" s="154"/>
      <c r="BJ60" s="158"/>
      <c r="BK60" s="162"/>
      <c r="BL60" s="160"/>
      <c r="BM60" s="153"/>
      <c r="BN60" s="153"/>
      <c r="BO60" s="154"/>
      <c r="BP60" s="156"/>
      <c r="BQ60" s="159"/>
      <c r="BR60" s="153"/>
      <c r="BS60" s="155"/>
      <c r="BT60" s="161"/>
      <c r="BU60" s="161"/>
      <c r="BV60" s="153"/>
      <c r="BW60" s="153"/>
      <c r="BX60" s="153"/>
      <c r="BY60" s="153"/>
      <c r="BZ60" s="154"/>
      <c r="CA60" s="155"/>
      <c r="CB60" s="153"/>
      <c r="CC60" s="155"/>
      <c r="CD60" s="153"/>
      <c r="CE60" s="155"/>
      <c r="CF60" s="160"/>
      <c r="CG60" s="160"/>
      <c r="CH60" s="161"/>
      <c r="CI60" s="162"/>
      <c r="CJ60" s="155"/>
      <c r="CK60" s="153"/>
      <c r="CL60" s="155"/>
      <c r="CM60" s="161"/>
      <c r="CN60" s="161"/>
      <c r="CO60" s="153"/>
      <c r="CP60" s="153"/>
      <c r="CQ60" s="154"/>
      <c r="CR60" s="155"/>
      <c r="CS60" s="161"/>
      <c r="CT60" s="223"/>
      <c r="CU60" s="160"/>
      <c r="CV60" s="223"/>
      <c r="CW60" s="223"/>
      <c r="CX60" s="156"/>
      <c r="CY60" s="159"/>
      <c r="CZ60" s="161"/>
      <c r="DA60" s="161"/>
      <c r="DB60" s="161"/>
      <c r="DC60" s="153"/>
      <c r="DD60" s="153"/>
      <c r="DE60" s="154"/>
      <c r="DF60" s="155"/>
      <c r="DG60" s="161"/>
      <c r="DH60" s="161"/>
      <c r="DI60" s="161"/>
      <c r="DJ60" s="161"/>
      <c r="DK60" s="156"/>
      <c r="DL60" s="162"/>
      <c r="DM60" s="223"/>
      <c r="DN60" s="153"/>
      <c r="DO60" s="153"/>
      <c r="DP60" s="153"/>
      <c r="DQ60" s="153"/>
      <c r="DR60" s="153"/>
      <c r="DS60" s="158"/>
      <c r="DT60" s="153"/>
      <c r="DU60" s="154"/>
      <c r="DV60" s="154"/>
      <c r="DW60" s="154"/>
      <c r="DX60" s="154"/>
      <c r="DY60" s="154"/>
      <c r="DZ60" s="154"/>
      <c r="EA60" s="158"/>
      <c r="EB60" s="19"/>
    </row>
    <row r="61" spans="1:132" s="12" customFormat="1" ht="13" x14ac:dyDescent="0.3">
      <c r="A61" s="10">
        <v>3805</v>
      </c>
      <c r="B61" s="11" t="s">
        <v>373</v>
      </c>
      <c r="C61" s="360">
        <v>643</v>
      </c>
      <c r="D61" s="54">
        <v>420</v>
      </c>
      <c r="E61" s="706">
        <f t="shared" si="0"/>
        <v>0.65318818040435456</v>
      </c>
      <c r="F61" s="219"/>
      <c r="G61" s="161"/>
      <c r="H61" s="153"/>
      <c r="I61" s="155"/>
      <c r="J61" s="153"/>
      <c r="K61" s="162"/>
      <c r="L61" s="160"/>
      <c r="M61" s="223"/>
      <c r="N61" s="223"/>
      <c r="O61" s="223"/>
      <c r="P61" s="153"/>
      <c r="Q61" s="154"/>
      <c r="R61" s="189"/>
      <c r="S61" s="158"/>
      <c r="T61" s="159"/>
      <c r="U61" s="153"/>
      <c r="V61" s="153"/>
      <c r="W61" s="154"/>
      <c r="X61" s="158"/>
      <c r="Y61" s="153"/>
      <c r="Z61" s="153"/>
      <c r="AA61" s="153"/>
      <c r="AB61" s="153"/>
      <c r="AC61" s="158"/>
      <c r="AD61" s="159"/>
      <c r="AE61" s="153"/>
      <c r="AF61" s="153"/>
      <c r="AG61" s="158"/>
      <c r="AH61" s="153"/>
      <c r="AI61" s="154"/>
      <c r="AJ61" s="154"/>
      <c r="AK61" s="154"/>
      <c r="AL61" s="154"/>
      <c r="AM61" s="154"/>
      <c r="AN61" s="158"/>
      <c r="AO61" s="171"/>
      <c r="AP61" s="171"/>
      <c r="AQ61" s="171"/>
      <c r="AR61" s="176"/>
      <c r="AS61" s="45">
        <v>100</v>
      </c>
      <c r="AT61" s="45">
        <v>102</v>
      </c>
      <c r="AU61" s="45">
        <v>285</v>
      </c>
      <c r="AV61" s="54">
        <v>239</v>
      </c>
      <c r="AW61" s="45">
        <v>311</v>
      </c>
      <c r="AX61" s="153"/>
      <c r="AY61" s="153"/>
      <c r="AZ61" s="154"/>
      <c r="BA61" s="158"/>
      <c r="BB61" s="153"/>
      <c r="BC61" s="153"/>
      <c r="BD61" s="153"/>
      <c r="BE61" s="153"/>
      <c r="BF61" s="153"/>
      <c r="BG61" s="162"/>
      <c r="BH61" s="467"/>
      <c r="BI61" s="154"/>
      <c r="BJ61" s="158"/>
      <c r="BK61" s="162"/>
      <c r="BL61" s="160"/>
      <c r="BM61" s="153"/>
      <c r="BN61" s="153"/>
      <c r="BO61" s="154"/>
      <c r="BP61" s="156"/>
      <c r="BQ61" s="159"/>
      <c r="BR61" s="153"/>
      <c r="BS61" s="155"/>
      <c r="BT61" s="161"/>
      <c r="BU61" s="161"/>
      <c r="BV61" s="153"/>
      <c r="BW61" s="153"/>
      <c r="BX61" s="153"/>
      <c r="BY61" s="153"/>
      <c r="BZ61" s="154"/>
      <c r="CA61" s="155"/>
      <c r="CB61" s="153"/>
      <c r="CC61" s="155"/>
      <c r="CD61" s="153"/>
      <c r="CE61" s="155"/>
      <c r="CF61" s="160"/>
      <c r="CG61" s="160"/>
      <c r="CH61" s="161"/>
      <c r="CI61" s="162"/>
      <c r="CJ61" s="155"/>
      <c r="CK61" s="153"/>
      <c r="CL61" s="155"/>
      <c r="CM61" s="161"/>
      <c r="CN61" s="161"/>
      <c r="CO61" s="153"/>
      <c r="CP61" s="153"/>
      <c r="CQ61" s="154"/>
      <c r="CR61" s="155"/>
      <c r="CS61" s="161"/>
      <c r="CT61" s="223"/>
      <c r="CU61" s="160"/>
      <c r="CV61" s="223"/>
      <c r="CW61" s="223"/>
      <c r="CX61" s="156"/>
      <c r="CY61" s="159"/>
      <c r="CZ61" s="161"/>
      <c r="DA61" s="161"/>
      <c r="DB61" s="161"/>
      <c r="DC61" s="153"/>
      <c r="DD61" s="153"/>
      <c r="DE61" s="154"/>
      <c r="DF61" s="155"/>
      <c r="DG61" s="161"/>
      <c r="DH61" s="161"/>
      <c r="DI61" s="161"/>
      <c r="DJ61" s="161"/>
      <c r="DK61" s="156"/>
      <c r="DL61" s="162"/>
      <c r="DM61" s="223"/>
      <c r="DN61" s="153"/>
      <c r="DO61" s="153"/>
      <c r="DP61" s="153"/>
      <c r="DQ61" s="153"/>
      <c r="DR61" s="153"/>
      <c r="DS61" s="158"/>
      <c r="DT61" s="153"/>
      <c r="DU61" s="154"/>
      <c r="DV61" s="154"/>
      <c r="DW61" s="154"/>
      <c r="DX61" s="154"/>
      <c r="DY61" s="154"/>
      <c r="DZ61" s="154"/>
      <c r="EA61" s="158"/>
      <c r="EB61" s="19"/>
    </row>
    <row r="62" spans="1:132" s="12" customFormat="1" ht="12.75" customHeight="1" x14ac:dyDescent="0.3">
      <c r="A62" s="10">
        <v>3806</v>
      </c>
      <c r="B62" s="11" t="s">
        <v>374</v>
      </c>
      <c r="C62" s="360">
        <v>1167</v>
      </c>
      <c r="D62" s="54">
        <v>793</v>
      </c>
      <c r="E62" s="706">
        <f t="shared" si="0"/>
        <v>0.67952013710368464</v>
      </c>
      <c r="F62" s="219"/>
      <c r="G62" s="161"/>
      <c r="H62" s="153"/>
      <c r="I62" s="155"/>
      <c r="J62" s="153"/>
      <c r="K62" s="162"/>
      <c r="L62" s="160"/>
      <c r="M62" s="223"/>
      <c r="N62" s="223"/>
      <c r="O62" s="223"/>
      <c r="P62" s="153"/>
      <c r="Q62" s="154"/>
      <c r="R62" s="189"/>
      <c r="S62" s="158"/>
      <c r="T62" s="159"/>
      <c r="U62" s="153"/>
      <c r="V62" s="153"/>
      <c r="W62" s="154"/>
      <c r="X62" s="158"/>
      <c r="Y62" s="153"/>
      <c r="Z62" s="153"/>
      <c r="AA62" s="153"/>
      <c r="AB62" s="153"/>
      <c r="AC62" s="158"/>
      <c r="AD62" s="159"/>
      <c r="AE62" s="153"/>
      <c r="AF62" s="153"/>
      <c r="AG62" s="158"/>
      <c r="AH62" s="153"/>
      <c r="AI62" s="154"/>
      <c r="AJ62" s="154"/>
      <c r="AK62" s="154"/>
      <c r="AL62" s="154"/>
      <c r="AM62" s="154"/>
      <c r="AN62" s="158"/>
      <c r="AO62" s="153"/>
      <c r="AP62" s="153"/>
      <c r="AQ62" s="153"/>
      <c r="AR62" s="158"/>
      <c r="AS62" s="45">
        <v>222</v>
      </c>
      <c r="AT62" s="45">
        <v>212</v>
      </c>
      <c r="AU62" s="45">
        <v>490</v>
      </c>
      <c r="AV62" s="54">
        <v>448</v>
      </c>
      <c r="AW62" s="45">
        <v>598</v>
      </c>
      <c r="AX62" s="153"/>
      <c r="AY62" s="153"/>
      <c r="AZ62" s="154"/>
      <c r="BA62" s="158"/>
      <c r="BB62" s="153"/>
      <c r="BC62" s="153"/>
      <c r="BD62" s="153"/>
      <c r="BE62" s="153"/>
      <c r="BF62" s="153"/>
      <c r="BG62" s="162"/>
      <c r="BH62" s="467"/>
      <c r="BI62" s="154"/>
      <c r="BJ62" s="158"/>
      <c r="BK62" s="162"/>
      <c r="BL62" s="160"/>
      <c r="BM62" s="153"/>
      <c r="BN62" s="153"/>
      <c r="BO62" s="154"/>
      <c r="BP62" s="156"/>
      <c r="BQ62" s="159"/>
      <c r="BR62" s="153"/>
      <c r="BS62" s="155"/>
      <c r="BT62" s="161"/>
      <c r="BU62" s="161"/>
      <c r="BV62" s="153"/>
      <c r="BW62" s="153"/>
      <c r="BX62" s="153"/>
      <c r="BY62" s="153"/>
      <c r="BZ62" s="154"/>
      <c r="CA62" s="155"/>
      <c r="CB62" s="153"/>
      <c r="CC62" s="155"/>
      <c r="CD62" s="153"/>
      <c r="CE62" s="155"/>
      <c r="CF62" s="160"/>
      <c r="CG62" s="160"/>
      <c r="CH62" s="161"/>
      <c r="CI62" s="162"/>
      <c r="CJ62" s="155"/>
      <c r="CK62" s="153"/>
      <c r="CL62" s="155"/>
      <c r="CM62" s="161"/>
      <c r="CN62" s="161"/>
      <c r="CO62" s="153"/>
      <c r="CP62" s="153"/>
      <c r="CQ62" s="154"/>
      <c r="CR62" s="155"/>
      <c r="CS62" s="161"/>
      <c r="CT62" s="223"/>
      <c r="CU62" s="160"/>
      <c r="CV62" s="223"/>
      <c r="CW62" s="223"/>
      <c r="CX62" s="156"/>
      <c r="CY62" s="159"/>
      <c r="CZ62" s="161"/>
      <c r="DA62" s="161"/>
      <c r="DB62" s="161"/>
      <c r="DC62" s="153"/>
      <c r="DD62" s="153"/>
      <c r="DE62" s="154"/>
      <c r="DF62" s="155"/>
      <c r="DG62" s="161"/>
      <c r="DH62" s="161"/>
      <c r="DI62" s="161"/>
      <c r="DJ62" s="161"/>
      <c r="DK62" s="156"/>
      <c r="DL62" s="162"/>
      <c r="DM62" s="223"/>
      <c r="DN62" s="153"/>
      <c r="DO62" s="153"/>
      <c r="DP62" s="153"/>
      <c r="DQ62" s="153"/>
      <c r="DR62" s="153"/>
      <c r="DS62" s="158"/>
      <c r="DT62" s="153"/>
      <c r="DU62" s="154"/>
      <c r="DV62" s="154"/>
      <c r="DW62" s="154"/>
      <c r="DX62" s="154"/>
      <c r="DY62" s="154"/>
      <c r="DZ62" s="154"/>
      <c r="EA62" s="158"/>
      <c r="EB62" s="19"/>
    </row>
    <row r="63" spans="1:132" s="12" customFormat="1" ht="13" x14ac:dyDescent="0.3">
      <c r="A63" s="10">
        <v>3807</v>
      </c>
      <c r="B63" s="11" t="s">
        <v>375</v>
      </c>
      <c r="C63" s="360">
        <v>684</v>
      </c>
      <c r="D63" s="54">
        <v>483</v>
      </c>
      <c r="E63" s="706">
        <f t="shared" si="0"/>
        <v>0.70614035087719296</v>
      </c>
      <c r="F63" s="219"/>
      <c r="G63" s="161"/>
      <c r="H63" s="153"/>
      <c r="I63" s="155"/>
      <c r="J63" s="153"/>
      <c r="K63" s="162"/>
      <c r="L63" s="160"/>
      <c r="M63" s="223"/>
      <c r="N63" s="223"/>
      <c r="O63" s="223"/>
      <c r="P63" s="153"/>
      <c r="Q63" s="154"/>
      <c r="R63" s="189"/>
      <c r="S63" s="158"/>
      <c r="T63" s="159"/>
      <c r="U63" s="153"/>
      <c r="V63" s="153"/>
      <c r="W63" s="154"/>
      <c r="X63" s="158"/>
      <c r="Y63" s="153"/>
      <c r="Z63" s="153"/>
      <c r="AA63" s="153"/>
      <c r="AB63" s="153"/>
      <c r="AC63" s="158"/>
      <c r="AD63" s="159"/>
      <c r="AE63" s="153"/>
      <c r="AF63" s="153"/>
      <c r="AG63" s="158"/>
      <c r="AH63" s="153"/>
      <c r="AI63" s="154"/>
      <c r="AJ63" s="154"/>
      <c r="AK63" s="154"/>
      <c r="AL63" s="154"/>
      <c r="AM63" s="154"/>
      <c r="AN63" s="158"/>
      <c r="AO63" s="153"/>
      <c r="AP63" s="153"/>
      <c r="AQ63" s="153"/>
      <c r="AR63" s="158"/>
      <c r="AS63" s="45">
        <v>132</v>
      </c>
      <c r="AT63" s="45">
        <v>120</v>
      </c>
      <c r="AU63" s="45">
        <v>267</v>
      </c>
      <c r="AV63" s="54">
        <v>268</v>
      </c>
      <c r="AW63" s="45">
        <v>377</v>
      </c>
      <c r="AX63" s="153"/>
      <c r="AY63" s="153"/>
      <c r="AZ63" s="154"/>
      <c r="BA63" s="158"/>
      <c r="BB63" s="165"/>
      <c r="BC63" s="165"/>
      <c r="BD63" s="165"/>
      <c r="BE63" s="165"/>
      <c r="BF63" s="165"/>
      <c r="BG63" s="162"/>
      <c r="BH63" s="467"/>
      <c r="BI63" s="154"/>
      <c r="BJ63" s="158"/>
      <c r="BK63" s="162"/>
      <c r="BL63" s="160"/>
      <c r="BM63" s="153"/>
      <c r="BN63" s="153"/>
      <c r="BO63" s="154"/>
      <c r="BP63" s="156"/>
      <c r="BQ63" s="159"/>
      <c r="BR63" s="153"/>
      <c r="BS63" s="155"/>
      <c r="BT63" s="161"/>
      <c r="BU63" s="161"/>
      <c r="BV63" s="153"/>
      <c r="BW63" s="153"/>
      <c r="BX63" s="153"/>
      <c r="BY63" s="153"/>
      <c r="BZ63" s="154"/>
      <c r="CA63" s="155"/>
      <c r="CB63" s="153"/>
      <c r="CC63" s="155"/>
      <c r="CD63" s="153"/>
      <c r="CE63" s="155"/>
      <c r="CF63" s="160"/>
      <c r="CG63" s="160"/>
      <c r="CH63" s="161"/>
      <c r="CI63" s="162"/>
      <c r="CJ63" s="155"/>
      <c r="CK63" s="153"/>
      <c r="CL63" s="155"/>
      <c r="CM63" s="161"/>
      <c r="CN63" s="161"/>
      <c r="CO63" s="153"/>
      <c r="CP63" s="153"/>
      <c r="CQ63" s="154"/>
      <c r="CR63" s="155"/>
      <c r="CS63" s="161"/>
      <c r="CT63" s="223"/>
      <c r="CU63" s="160"/>
      <c r="CV63" s="223"/>
      <c r="CW63" s="223"/>
      <c r="CX63" s="156"/>
      <c r="CY63" s="159"/>
      <c r="CZ63" s="161"/>
      <c r="DA63" s="161"/>
      <c r="DB63" s="161"/>
      <c r="DC63" s="153"/>
      <c r="DD63" s="153"/>
      <c r="DE63" s="154"/>
      <c r="DF63" s="155"/>
      <c r="DG63" s="161"/>
      <c r="DH63" s="161"/>
      <c r="DI63" s="161"/>
      <c r="DJ63" s="161"/>
      <c r="DK63" s="156"/>
      <c r="DL63" s="162"/>
      <c r="DM63" s="223"/>
      <c r="DN63" s="153"/>
      <c r="DO63" s="153"/>
      <c r="DP63" s="153"/>
      <c r="DQ63" s="153"/>
      <c r="DR63" s="153"/>
      <c r="DS63" s="158"/>
      <c r="DT63" s="153"/>
      <c r="DU63" s="154"/>
      <c r="DV63" s="154"/>
      <c r="DW63" s="154"/>
      <c r="DX63" s="154"/>
      <c r="DY63" s="154"/>
      <c r="DZ63" s="154"/>
      <c r="EA63" s="158"/>
      <c r="EB63" s="19"/>
    </row>
    <row r="64" spans="1:132" s="12" customFormat="1" ht="12.75" customHeight="1" x14ac:dyDescent="0.3">
      <c r="A64" s="10">
        <v>3808</v>
      </c>
      <c r="B64" s="11" t="s">
        <v>376</v>
      </c>
      <c r="C64" s="360">
        <v>815</v>
      </c>
      <c r="D64" s="54">
        <v>574</v>
      </c>
      <c r="E64" s="706">
        <f t="shared" si="0"/>
        <v>0.7042944785276074</v>
      </c>
      <c r="F64" s="219"/>
      <c r="G64" s="161"/>
      <c r="H64" s="153"/>
      <c r="I64" s="155"/>
      <c r="J64" s="153"/>
      <c r="K64" s="162"/>
      <c r="L64" s="160"/>
      <c r="M64" s="223"/>
      <c r="N64" s="223"/>
      <c r="O64" s="223"/>
      <c r="P64" s="153"/>
      <c r="Q64" s="154"/>
      <c r="R64" s="189"/>
      <c r="S64" s="158"/>
      <c r="T64" s="159"/>
      <c r="U64" s="153"/>
      <c r="V64" s="153"/>
      <c r="W64" s="154"/>
      <c r="X64" s="158"/>
      <c r="Y64" s="153"/>
      <c r="Z64" s="153"/>
      <c r="AA64" s="153"/>
      <c r="AB64" s="153"/>
      <c r="AC64" s="158"/>
      <c r="AD64" s="159"/>
      <c r="AE64" s="153"/>
      <c r="AF64" s="153"/>
      <c r="AG64" s="158"/>
      <c r="AH64" s="153"/>
      <c r="AI64" s="154"/>
      <c r="AJ64" s="154"/>
      <c r="AK64" s="154"/>
      <c r="AL64" s="154"/>
      <c r="AM64" s="154"/>
      <c r="AN64" s="158"/>
      <c r="AO64" s="153"/>
      <c r="AP64" s="153"/>
      <c r="AQ64" s="153"/>
      <c r="AR64" s="158"/>
      <c r="AS64" s="171">
        <v>155</v>
      </c>
      <c r="AT64" s="171">
        <v>136</v>
      </c>
      <c r="AU64" s="171">
        <v>352</v>
      </c>
      <c r="AV64" s="172">
        <v>346</v>
      </c>
      <c r="AW64" s="171">
        <v>426</v>
      </c>
      <c r="AX64" s="153"/>
      <c r="AY64" s="153"/>
      <c r="AZ64" s="154"/>
      <c r="BA64" s="158"/>
      <c r="BB64" s="45"/>
      <c r="BC64" s="45"/>
      <c r="BD64" s="45"/>
      <c r="BE64" s="45"/>
      <c r="BF64" s="45"/>
      <c r="BG64" s="162"/>
      <c r="BH64" s="467"/>
      <c r="BI64" s="154"/>
      <c r="BJ64" s="158"/>
      <c r="BK64" s="162"/>
      <c r="BL64" s="160"/>
      <c r="BM64" s="153"/>
      <c r="BN64" s="153"/>
      <c r="BO64" s="154"/>
      <c r="BP64" s="156"/>
      <c r="BQ64" s="159"/>
      <c r="BR64" s="153"/>
      <c r="BS64" s="155"/>
      <c r="BT64" s="161"/>
      <c r="BU64" s="161"/>
      <c r="BV64" s="153"/>
      <c r="BW64" s="153"/>
      <c r="BX64" s="153"/>
      <c r="BY64" s="153"/>
      <c r="BZ64" s="154"/>
      <c r="CA64" s="155"/>
      <c r="CB64" s="153"/>
      <c r="CC64" s="155"/>
      <c r="CD64" s="153"/>
      <c r="CE64" s="155"/>
      <c r="CF64" s="160"/>
      <c r="CG64" s="160"/>
      <c r="CH64" s="161"/>
      <c r="CI64" s="162"/>
      <c r="CJ64" s="155"/>
      <c r="CK64" s="153"/>
      <c r="CL64" s="155"/>
      <c r="CM64" s="161"/>
      <c r="CN64" s="161"/>
      <c r="CO64" s="153"/>
      <c r="CP64" s="153"/>
      <c r="CQ64" s="154"/>
      <c r="CR64" s="155"/>
      <c r="CS64" s="161"/>
      <c r="CT64" s="223"/>
      <c r="CU64" s="160"/>
      <c r="CV64" s="223"/>
      <c r="CW64" s="223"/>
      <c r="CX64" s="156"/>
      <c r="CY64" s="159"/>
      <c r="CZ64" s="161"/>
      <c r="DA64" s="161"/>
      <c r="DB64" s="161"/>
      <c r="DC64" s="153"/>
      <c r="DD64" s="153"/>
      <c r="DE64" s="154"/>
      <c r="DF64" s="155"/>
      <c r="DG64" s="161"/>
      <c r="DH64" s="161"/>
      <c r="DI64" s="161"/>
      <c r="DJ64" s="161"/>
      <c r="DK64" s="156"/>
      <c r="DL64" s="162"/>
      <c r="DM64" s="223"/>
      <c r="DN64" s="153"/>
      <c r="DO64" s="153"/>
      <c r="DP64" s="153"/>
      <c r="DQ64" s="153"/>
      <c r="DR64" s="153"/>
      <c r="DS64" s="158"/>
      <c r="DT64" s="153"/>
      <c r="DU64" s="154"/>
      <c r="DV64" s="154"/>
      <c r="DW64" s="154"/>
      <c r="DX64" s="154"/>
      <c r="DY64" s="154"/>
      <c r="DZ64" s="154"/>
      <c r="EA64" s="158"/>
      <c r="EB64" s="19"/>
    </row>
    <row r="65" spans="1:132" s="12" customFormat="1" ht="12.75" customHeight="1" x14ac:dyDescent="0.3">
      <c r="A65" s="10">
        <v>3901</v>
      </c>
      <c r="B65" s="11" t="s">
        <v>831</v>
      </c>
      <c r="C65" s="360">
        <v>19</v>
      </c>
      <c r="D65" s="54">
        <v>12</v>
      </c>
      <c r="E65" s="706">
        <f t="shared" ref="E65" si="1">SUM(D65/C65)</f>
        <v>0.63157894736842102</v>
      </c>
      <c r="F65" s="219"/>
      <c r="G65" s="161"/>
      <c r="H65" s="153"/>
      <c r="I65" s="155"/>
      <c r="J65" s="153"/>
      <c r="K65" s="162"/>
      <c r="L65" s="160"/>
      <c r="M65" s="223"/>
      <c r="N65" s="223"/>
      <c r="O65" s="223"/>
      <c r="P65" s="153"/>
      <c r="Q65" s="154"/>
      <c r="R65" s="189"/>
      <c r="S65" s="158"/>
      <c r="T65" s="159"/>
      <c r="U65" s="153"/>
      <c r="V65" s="153"/>
      <c r="W65" s="154"/>
      <c r="X65" s="158"/>
      <c r="Y65" s="153"/>
      <c r="Z65" s="153"/>
      <c r="AA65" s="153"/>
      <c r="AB65" s="153"/>
      <c r="AC65" s="158"/>
      <c r="AD65" s="159"/>
      <c r="AE65" s="153"/>
      <c r="AF65" s="153"/>
      <c r="AG65" s="158"/>
      <c r="AH65" s="153"/>
      <c r="AI65" s="154"/>
      <c r="AJ65" s="154"/>
      <c r="AK65" s="154"/>
      <c r="AL65" s="154"/>
      <c r="AM65" s="154"/>
      <c r="AN65" s="158"/>
      <c r="AO65" s="153"/>
      <c r="AP65" s="153"/>
      <c r="AQ65" s="153"/>
      <c r="AR65" s="158"/>
      <c r="AS65" s="171"/>
      <c r="AT65" s="171"/>
      <c r="AU65" s="171"/>
      <c r="AV65" s="172"/>
      <c r="AW65" s="176"/>
      <c r="AX65" s="153">
        <v>4</v>
      </c>
      <c r="AY65" s="153">
        <v>3</v>
      </c>
      <c r="AZ65" s="154">
        <v>5</v>
      </c>
      <c r="BA65" s="158">
        <v>5</v>
      </c>
      <c r="BB65" s="45"/>
      <c r="BC65" s="45"/>
      <c r="BD65" s="45"/>
      <c r="BE65" s="45"/>
      <c r="BF65" s="45"/>
      <c r="BG65" s="162"/>
      <c r="BH65" s="467"/>
      <c r="BI65" s="154"/>
      <c r="BJ65" s="158"/>
      <c r="BK65" s="162"/>
      <c r="BL65" s="160"/>
      <c r="BM65" s="153"/>
      <c r="BN65" s="153"/>
      <c r="BO65" s="154"/>
      <c r="BP65" s="156"/>
      <c r="BQ65" s="159"/>
      <c r="BR65" s="153"/>
      <c r="BS65" s="155"/>
      <c r="BT65" s="161"/>
      <c r="BU65" s="161"/>
      <c r="BV65" s="153"/>
      <c r="BW65" s="153"/>
      <c r="BX65" s="153"/>
      <c r="BY65" s="153"/>
      <c r="BZ65" s="154"/>
      <c r="CA65" s="155"/>
      <c r="CB65" s="153"/>
      <c r="CC65" s="155"/>
      <c r="CD65" s="153"/>
      <c r="CE65" s="155"/>
      <c r="CF65" s="160"/>
      <c r="CG65" s="160"/>
      <c r="CH65" s="161"/>
      <c r="CI65" s="162"/>
      <c r="CJ65" s="155"/>
      <c r="CK65" s="153"/>
      <c r="CL65" s="155"/>
      <c r="CM65" s="161"/>
      <c r="CN65" s="161"/>
      <c r="CO65" s="153"/>
      <c r="CP65" s="153"/>
      <c r="CQ65" s="154"/>
      <c r="CR65" s="155"/>
      <c r="CS65" s="161"/>
      <c r="CT65" s="223"/>
      <c r="CU65" s="160"/>
      <c r="CV65" s="223"/>
      <c r="CW65" s="223"/>
      <c r="CX65" s="156"/>
      <c r="CY65" s="159"/>
      <c r="CZ65" s="161"/>
      <c r="DA65" s="161"/>
      <c r="DB65" s="161"/>
      <c r="DC65" s="153"/>
      <c r="DD65" s="153"/>
      <c r="DE65" s="154"/>
      <c r="DF65" s="155"/>
      <c r="DG65" s="161"/>
      <c r="DH65" s="161"/>
      <c r="DI65" s="161"/>
      <c r="DJ65" s="161"/>
      <c r="DK65" s="156"/>
      <c r="DL65" s="162"/>
      <c r="DM65" s="223"/>
      <c r="DN65" s="153"/>
      <c r="DO65" s="153"/>
      <c r="DP65" s="153"/>
      <c r="DQ65" s="153"/>
      <c r="DR65" s="153"/>
      <c r="DS65" s="158"/>
      <c r="DT65" s="153"/>
      <c r="DU65" s="154"/>
      <c r="DV65" s="154"/>
      <c r="DW65" s="154"/>
      <c r="DX65" s="154"/>
      <c r="DY65" s="154"/>
      <c r="DZ65" s="154"/>
      <c r="EA65" s="158"/>
      <c r="EB65" s="19"/>
    </row>
    <row r="66" spans="1:132" s="12" customFormat="1" ht="13" x14ac:dyDescent="0.3">
      <c r="A66" s="10">
        <v>4001</v>
      </c>
      <c r="B66" s="11" t="s">
        <v>377</v>
      </c>
      <c r="C66" s="360">
        <v>1275</v>
      </c>
      <c r="D66" s="54">
        <v>854</v>
      </c>
      <c r="E66" s="706">
        <f t="shared" si="0"/>
        <v>0.66980392156862745</v>
      </c>
      <c r="F66" s="219"/>
      <c r="G66" s="161"/>
      <c r="H66" s="153"/>
      <c r="I66" s="155"/>
      <c r="J66" s="153"/>
      <c r="K66" s="162"/>
      <c r="L66" s="160"/>
      <c r="M66" s="223"/>
      <c r="N66" s="223"/>
      <c r="O66" s="223"/>
      <c r="P66" s="153"/>
      <c r="Q66" s="154"/>
      <c r="R66" s="189"/>
      <c r="S66" s="158"/>
      <c r="T66" s="159"/>
      <c r="U66" s="153"/>
      <c r="V66" s="153"/>
      <c r="W66" s="154"/>
      <c r="X66" s="158"/>
      <c r="Y66" s="153"/>
      <c r="Z66" s="153"/>
      <c r="AA66" s="153"/>
      <c r="AB66" s="153"/>
      <c r="AC66" s="158"/>
      <c r="AD66" s="159"/>
      <c r="AE66" s="153"/>
      <c r="AF66" s="153"/>
      <c r="AG66" s="158"/>
      <c r="AH66" s="153"/>
      <c r="AI66" s="154"/>
      <c r="AJ66" s="154"/>
      <c r="AK66" s="154"/>
      <c r="AL66" s="154"/>
      <c r="AM66" s="154"/>
      <c r="AN66" s="158"/>
      <c r="AO66" s="153"/>
      <c r="AP66" s="153"/>
      <c r="AQ66" s="153"/>
      <c r="AR66" s="158"/>
      <c r="AS66" s="171"/>
      <c r="AT66" s="171"/>
      <c r="AU66" s="171"/>
      <c r="AV66" s="172"/>
      <c r="AW66" s="176"/>
      <c r="AX66" s="153"/>
      <c r="AY66" s="153"/>
      <c r="AZ66" s="154"/>
      <c r="BA66" s="158"/>
      <c r="BB66" s="45">
        <v>409</v>
      </c>
      <c r="BC66" s="45">
        <v>317</v>
      </c>
      <c r="BD66" s="45">
        <v>181</v>
      </c>
      <c r="BE66" s="45">
        <v>130</v>
      </c>
      <c r="BF66" s="45">
        <v>460</v>
      </c>
      <c r="BG66" s="162"/>
      <c r="BH66" s="467"/>
      <c r="BI66" s="154"/>
      <c r="BJ66" s="158"/>
      <c r="BK66" s="162"/>
      <c r="BL66" s="160"/>
      <c r="BM66" s="153"/>
      <c r="BN66" s="153"/>
      <c r="BO66" s="154"/>
      <c r="BP66" s="156"/>
      <c r="BQ66" s="159"/>
      <c r="BR66" s="153"/>
      <c r="BS66" s="155"/>
      <c r="BT66" s="161"/>
      <c r="BU66" s="161"/>
      <c r="BV66" s="153"/>
      <c r="BW66" s="153"/>
      <c r="BX66" s="153"/>
      <c r="BY66" s="153"/>
      <c r="BZ66" s="154"/>
      <c r="CA66" s="155"/>
      <c r="CB66" s="153"/>
      <c r="CC66" s="155"/>
      <c r="CD66" s="153"/>
      <c r="CE66" s="155"/>
      <c r="CF66" s="160"/>
      <c r="CG66" s="160"/>
      <c r="CH66" s="161"/>
      <c r="CI66" s="162"/>
      <c r="CJ66" s="155"/>
      <c r="CK66" s="153"/>
      <c r="CL66" s="155"/>
      <c r="CM66" s="161"/>
      <c r="CN66" s="161"/>
      <c r="CO66" s="153"/>
      <c r="CP66" s="153"/>
      <c r="CQ66" s="154"/>
      <c r="CR66" s="155"/>
      <c r="CS66" s="161"/>
      <c r="CT66" s="223"/>
      <c r="CU66" s="160"/>
      <c r="CV66" s="223"/>
      <c r="CW66" s="223"/>
      <c r="CX66" s="156"/>
      <c r="CY66" s="159"/>
      <c r="CZ66" s="161"/>
      <c r="DA66" s="161"/>
      <c r="DB66" s="161"/>
      <c r="DC66" s="153"/>
      <c r="DD66" s="153"/>
      <c r="DE66" s="154"/>
      <c r="DF66" s="155"/>
      <c r="DG66" s="161"/>
      <c r="DH66" s="161"/>
      <c r="DI66" s="161"/>
      <c r="DJ66" s="161"/>
      <c r="DK66" s="156"/>
      <c r="DL66" s="162"/>
      <c r="DM66" s="223"/>
      <c r="DN66" s="153"/>
      <c r="DO66" s="153"/>
      <c r="DP66" s="153"/>
      <c r="DQ66" s="153"/>
      <c r="DR66" s="153"/>
      <c r="DS66" s="158"/>
      <c r="DT66" s="153"/>
      <c r="DU66" s="154"/>
      <c r="DV66" s="154"/>
      <c r="DW66" s="154"/>
      <c r="DX66" s="154"/>
      <c r="DY66" s="154"/>
      <c r="DZ66" s="154"/>
      <c r="EA66" s="158"/>
      <c r="EB66" s="19"/>
    </row>
    <row r="67" spans="1:132" s="12" customFormat="1" ht="12.75" customHeight="1" x14ac:dyDescent="0.3">
      <c r="A67" s="10">
        <v>4002</v>
      </c>
      <c r="B67" s="11" t="s">
        <v>378</v>
      </c>
      <c r="C67" s="360">
        <v>1170</v>
      </c>
      <c r="D67" s="54">
        <v>794</v>
      </c>
      <c r="E67" s="706">
        <f t="shared" si="0"/>
        <v>0.67863247863247866</v>
      </c>
      <c r="F67" s="219"/>
      <c r="G67" s="161"/>
      <c r="H67" s="153"/>
      <c r="I67" s="155"/>
      <c r="J67" s="153"/>
      <c r="K67" s="162"/>
      <c r="L67" s="160"/>
      <c r="M67" s="223"/>
      <c r="N67" s="223"/>
      <c r="O67" s="223"/>
      <c r="P67" s="153"/>
      <c r="Q67" s="154"/>
      <c r="R67" s="189"/>
      <c r="S67" s="158"/>
      <c r="T67" s="159"/>
      <c r="U67" s="153"/>
      <c r="V67" s="153"/>
      <c r="W67" s="154"/>
      <c r="X67" s="158"/>
      <c r="Y67" s="153"/>
      <c r="Z67" s="153"/>
      <c r="AA67" s="153"/>
      <c r="AB67" s="153"/>
      <c r="AC67" s="158"/>
      <c r="AD67" s="159"/>
      <c r="AE67" s="153"/>
      <c r="AF67" s="153"/>
      <c r="AG67" s="158"/>
      <c r="AH67" s="153"/>
      <c r="AI67" s="154"/>
      <c r="AJ67" s="154"/>
      <c r="AK67" s="154"/>
      <c r="AL67" s="154"/>
      <c r="AM67" s="154"/>
      <c r="AN67" s="158"/>
      <c r="AO67" s="153"/>
      <c r="AP67" s="153"/>
      <c r="AQ67" s="153"/>
      <c r="AR67" s="158"/>
      <c r="AS67" s="171"/>
      <c r="AT67" s="171"/>
      <c r="AU67" s="171"/>
      <c r="AV67" s="172"/>
      <c r="AW67" s="176"/>
      <c r="AX67" s="153"/>
      <c r="AY67" s="153"/>
      <c r="AZ67" s="154"/>
      <c r="BA67" s="158"/>
      <c r="BB67" s="45">
        <v>368</v>
      </c>
      <c r="BC67" s="45">
        <v>329</v>
      </c>
      <c r="BD67" s="45">
        <v>199</v>
      </c>
      <c r="BE67" s="45">
        <v>142</v>
      </c>
      <c r="BF67" s="45">
        <v>410</v>
      </c>
      <c r="BG67" s="162"/>
      <c r="BH67" s="467"/>
      <c r="BI67" s="154"/>
      <c r="BJ67" s="158"/>
      <c r="BK67" s="162"/>
      <c r="BL67" s="160"/>
      <c r="BM67" s="153"/>
      <c r="BN67" s="153"/>
      <c r="BO67" s="154"/>
      <c r="BP67" s="156"/>
      <c r="BQ67" s="159"/>
      <c r="BR67" s="153"/>
      <c r="BS67" s="155"/>
      <c r="BT67" s="161"/>
      <c r="BU67" s="161"/>
      <c r="BV67" s="153"/>
      <c r="BW67" s="153"/>
      <c r="BX67" s="153"/>
      <c r="BY67" s="153"/>
      <c r="BZ67" s="154"/>
      <c r="CA67" s="155"/>
      <c r="CB67" s="153"/>
      <c r="CC67" s="155"/>
      <c r="CD67" s="153"/>
      <c r="CE67" s="155"/>
      <c r="CF67" s="160"/>
      <c r="CG67" s="160"/>
      <c r="CH67" s="161"/>
      <c r="CI67" s="162"/>
      <c r="CJ67" s="155"/>
      <c r="CK67" s="153"/>
      <c r="CL67" s="155"/>
      <c r="CM67" s="161"/>
      <c r="CN67" s="161"/>
      <c r="CO67" s="153"/>
      <c r="CP67" s="153"/>
      <c r="CQ67" s="154"/>
      <c r="CR67" s="155"/>
      <c r="CS67" s="161"/>
      <c r="CT67" s="223"/>
      <c r="CU67" s="160"/>
      <c r="CV67" s="223"/>
      <c r="CW67" s="223"/>
      <c r="CX67" s="156"/>
      <c r="CY67" s="159"/>
      <c r="CZ67" s="161"/>
      <c r="DA67" s="161"/>
      <c r="DB67" s="161"/>
      <c r="DC67" s="153"/>
      <c r="DD67" s="153"/>
      <c r="DE67" s="154"/>
      <c r="DF67" s="155"/>
      <c r="DG67" s="161"/>
      <c r="DH67" s="161"/>
      <c r="DI67" s="161"/>
      <c r="DJ67" s="161"/>
      <c r="DK67" s="156"/>
      <c r="DL67" s="162"/>
      <c r="DM67" s="223"/>
      <c r="DN67" s="153"/>
      <c r="DO67" s="153"/>
      <c r="DP67" s="153"/>
      <c r="DQ67" s="153"/>
      <c r="DR67" s="153"/>
      <c r="DS67" s="158"/>
      <c r="DT67" s="153"/>
      <c r="DU67" s="154"/>
      <c r="DV67" s="154"/>
      <c r="DW67" s="154"/>
      <c r="DX67" s="154"/>
      <c r="DY67" s="154"/>
      <c r="DZ67" s="154"/>
      <c r="EA67" s="158"/>
      <c r="EB67" s="19"/>
    </row>
    <row r="68" spans="1:132" s="12" customFormat="1" ht="13" x14ac:dyDescent="0.3">
      <c r="A68" s="10">
        <v>4003</v>
      </c>
      <c r="B68" s="11" t="s">
        <v>379</v>
      </c>
      <c r="C68" s="360">
        <v>1315</v>
      </c>
      <c r="D68" s="54">
        <v>866</v>
      </c>
      <c r="E68" s="706">
        <f t="shared" si="0"/>
        <v>0.65855513307984792</v>
      </c>
      <c r="F68" s="219"/>
      <c r="G68" s="161"/>
      <c r="H68" s="153"/>
      <c r="I68" s="155"/>
      <c r="J68" s="153"/>
      <c r="K68" s="162"/>
      <c r="L68" s="160"/>
      <c r="M68" s="223"/>
      <c r="N68" s="223"/>
      <c r="O68" s="223"/>
      <c r="P68" s="153"/>
      <c r="Q68" s="154"/>
      <c r="R68" s="189"/>
      <c r="S68" s="158"/>
      <c r="T68" s="159"/>
      <c r="U68" s="153"/>
      <c r="V68" s="153"/>
      <c r="W68" s="154"/>
      <c r="X68" s="158"/>
      <c r="Y68" s="153"/>
      <c r="Z68" s="153"/>
      <c r="AA68" s="153"/>
      <c r="AB68" s="153"/>
      <c r="AC68" s="158"/>
      <c r="AD68" s="159"/>
      <c r="AE68" s="153"/>
      <c r="AF68" s="153"/>
      <c r="AG68" s="158"/>
      <c r="AH68" s="153"/>
      <c r="AI68" s="154"/>
      <c r="AJ68" s="154"/>
      <c r="AK68" s="154"/>
      <c r="AL68" s="154"/>
      <c r="AM68" s="154"/>
      <c r="AN68" s="158"/>
      <c r="AO68" s="153"/>
      <c r="AP68" s="153"/>
      <c r="AQ68" s="153"/>
      <c r="AR68" s="158"/>
      <c r="AS68" s="171"/>
      <c r="AT68" s="171"/>
      <c r="AU68" s="171"/>
      <c r="AV68" s="172"/>
      <c r="AW68" s="176"/>
      <c r="AX68" s="153"/>
      <c r="AY68" s="153"/>
      <c r="AZ68" s="154"/>
      <c r="BA68" s="158"/>
      <c r="BB68" s="45">
        <v>392</v>
      </c>
      <c r="BC68" s="45">
        <v>282</v>
      </c>
      <c r="BD68" s="45">
        <v>290</v>
      </c>
      <c r="BE68" s="45">
        <v>138</v>
      </c>
      <c r="BF68" s="45">
        <v>395</v>
      </c>
      <c r="BG68" s="162"/>
      <c r="BH68" s="467"/>
      <c r="BI68" s="154"/>
      <c r="BJ68" s="158"/>
      <c r="BK68" s="162"/>
      <c r="BL68" s="160"/>
      <c r="BM68" s="153"/>
      <c r="BN68" s="153"/>
      <c r="BO68" s="154"/>
      <c r="BP68" s="156"/>
      <c r="BQ68" s="159"/>
      <c r="BR68" s="153"/>
      <c r="BS68" s="155"/>
      <c r="BT68" s="161"/>
      <c r="BU68" s="161"/>
      <c r="BV68" s="153"/>
      <c r="BW68" s="153"/>
      <c r="BX68" s="153"/>
      <c r="BY68" s="153"/>
      <c r="BZ68" s="154"/>
      <c r="CA68" s="155"/>
      <c r="CB68" s="153"/>
      <c r="CC68" s="155"/>
      <c r="CD68" s="153"/>
      <c r="CE68" s="155"/>
      <c r="CF68" s="160"/>
      <c r="CG68" s="160"/>
      <c r="CH68" s="161"/>
      <c r="CI68" s="162"/>
      <c r="CJ68" s="155"/>
      <c r="CK68" s="153"/>
      <c r="CL68" s="155"/>
      <c r="CM68" s="161"/>
      <c r="CN68" s="161"/>
      <c r="CO68" s="153"/>
      <c r="CP68" s="153"/>
      <c r="CQ68" s="154"/>
      <c r="CR68" s="155"/>
      <c r="CS68" s="161"/>
      <c r="CT68" s="223"/>
      <c r="CU68" s="160"/>
      <c r="CV68" s="223"/>
      <c r="CW68" s="223"/>
      <c r="CX68" s="156"/>
      <c r="CY68" s="159"/>
      <c r="CZ68" s="161"/>
      <c r="DA68" s="161"/>
      <c r="DB68" s="161"/>
      <c r="DC68" s="153"/>
      <c r="DD68" s="153"/>
      <c r="DE68" s="154"/>
      <c r="DF68" s="155"/>
      <c r="DG68" s="161"/>
      <c r="DH68" s="161"/>
      <c r="DI68" s="161"/>
      <c r="DJ68" s="161"/>
      <c r="DK68" s="156"/>
      <c r="DL68" s="162"/>
      <c r="DM68" s="223"/>
      <c r="DN68" s="153"/>
      <c r="DO68" s="153"/>
      <c r="DP68" s="153"/>
      <c r="DQ68" s="153"/>
      <c r="DR68" s="153"/>
      <c r="DS68" s="158"/>
      <c r="DT68" s="153"/>
      <c r="DU68" s="154"/>
      <c r="DV68" s="154"/>
      <c r="DW68" s="154"/>
      <c r="DX68" s="154"/>
      <c r="DY68" s="154"/>
      <c r="DZ68" s="154"/>
      <c r="EA68" s="158"/>
      <c r="EB68" s="19"/>
    </row>
    <row r="69" spans="1:132" s="12" customFormat="1" ht="12.75" customHeight="1" x14ac:dyDescent="0.3">
      <c r="A69" s="10">
        <v>4004</v>
      </c>
      <c r="B69" s="11" t="s">
        <v>380</v>
      </c>
      <c r="C69" s="360">
        <v>641</v>
      </c>
      <c r="D69" s="54">
        <v>420</v>
      </c>
      <c r="E69" s="706">
        <f t="shared" si="0"/>
        <v>0.65522620904836193</v>
      </c>
      <c r="F69" s="219"/>
      <c r="G69" s="161"/>
      <c r="H69" s="153"/>
      <c r="I69" s="155"/>
      <c r="J69" s="153"/>
      <c r="K69" s="162"/>
      <c r="L69" s="160"/>
      <c r="M69" s="223"/>
      <c r="N69" s="223"/>
      <c r="O69" s="223"/>
      <c r="P69" s="153"/>
      <c r="Q69" s="154"/>
      <c r="R69" s="189"/>
      <c r="S69" s="158"/>
      <c r="T69" s="159"/>
      <c r="U69" s="153"/>
      <c r="V69" s="153"/>
      <c r="W69" s="154"/>
      <c r="X69" s="158"/>
      <c r="Y69" s="153"/>
      <c r="Z69" s="153"/>
      <c r="AA69" s="153"/>
      <c r="AB69" s="153"/>
      <c r="AC69" s="158"/>
      <c r="AD69" s="159"/>
      <c r="AE69" s="153"/>
      <c r="AF69" s="153"/>
      <c r="AG69" s="158"/>
      <c r="AH69" s="153"/>
      <c r="AI69" s="154"/>
      <c r="AJ69" s="154"/>
      <c r="AK69" s="154"/>
      <c r="AL69" s="154"/>
      <c r="AM69" s="154"/>
      <c r="AN69" s="158"/>
      <c r="AO69" s="153"/>
      <c r="AP69" s="153"/>
      <c r="AQ69" s="153"/>
      <c r="AR69" s="158"/>
      <c r="AS69" s="171"/>
      <c r="AT69" s="171"/>
      <c r="AU69" s="171"/>
      <c r="AV69" s="172"/>
      <c r="AW69" s="176"/>
      <c r="AX69" s="153"/>
      <c r="AY69" s="153"/>
      <c r="AZ69" s="154"/>
      <c r="BA69" s="158"/>
      <c r="BB69" s="45">
        <v>213</v>
      </c>
      <c r="BC69" s="45">
        <v>123</v>
      </c>
      <c r="BD69" s="45">
        <v>96</v>
      </c>
      <c r="BE69" s="45">
        <v>59</v>
      </c>
      <c r="BF69" s="45">
        <v>235</v>
      </c>
      <c r="BG69" s="162"/>
      <c r="BH69" s="467"/>
      <c r="BI69" s="154"/>
      <c r="BJ69" s="158"/>
      <c r="BK69" s="162"/>
      <c r="BL69" s="160"/>
      <c r="BM69" s="153"/>
      <c r="BN69" s="153"/>
      <c r="BO69" s="154"/>
      <c r="BP69" s="156"/>
      <c r="BQ69" s="159"/>
      <c r="BR69" s="153"/>
      <c r="BS69" s="155"/>
      <c r="BT69" s="161"/>
      <c r="BU69" s="161"/>
      <c r="BV69" s="153"/>
      <c r="BW69" s="153"/>
      <c r="BX69" s="153"/>
      <c r="BY69" s="153"/>
      <c r="BZ69" s="154"/>
      <c r="CA69" s="155"/>
      <c r="CB69" s="153"/>
      <c r="CC69" s="155"/>
      <c r="CD69" s="153"/>
      <c r="CE69" s="155"/>
      <c r="CF69" s="160"/>
      <c r="CG69" s="160"/>
      <c r="CH69" s="161"/>
      <c r="CI69" s="162"/>
      <c r="CJ69" s="155"/>
      <c r="CK69" s="153"/>
      <c r="CL69" s="155"/>
      <c r="CM69" s="161"/>
      <c r="CN69" s="161"/>
      <c r="CO69" s="153"/>
      <c r="CP69" s="153"/>
      <c r="CQ69" s="154"/>
      <c r="CR69" s="155"/>
      <c r="CS69" s="161"/>
      <c r="CT69" s="223"/>
      <c r="CU69" s="160"/>
      <c r="CV69" s="223"/>
      <c r="CW69" s="223"/>
      <c r="CX69" s="156"/>
      <c r="CY69" s="159"/>
      <c r="CZ69" s="161"/>
      <c r="DA69" s="161"/>
      <c r="DB69" s="161"/>
      <c r="DC69" s="153"/>
      <c r="DD69" s="153"/>
      <c r="DE69" s="154"/>
      <c r="DF69" s="155"/>
      <c r="DG69" s="161"/>
      <c r="DH69" s="161"/>
      <c r="DI69" s="161"/>
      <c r="DJ69" s="161"/>
      <c r="DK69" s="156"/>
      <c r="DL69" s="162"/>
      <c r="DM69" s="223"/>
      <c r="DN69" s="153"/>
      <c r="DO69" s="153"/>
      <c r="DP69" s="153"/>
      <c r="DQ69" s="153"/>
      <c r="DR69" s="153"/>
      <c r="DS69" s="158"/>
      <c r="DT69" s="153"/>
      <c r="DU69" s="154"/>
      <c r="DV69" s="154"/>
      <c r="DW69" s="154"/>
      <c r="DX69" s="154"/>
      <c r="DY69" s="154"/>
      <c r="DZ69" s="154"/>
      <c r="EA69" s="158"/>
      <c r="EB69" s="19"/>
    </row>
    <row r="70" spans="1:132" s="12" customFormat="1" ht="13" x14ac:dyDescent="0.3">
      <c r="A70" s="10">
        <v>4005</v>
      </c>
      <c r="B70" s="11" t="s">
        <v>381</v>
      </c>
      <c r="C70" s="360">
        <v>683</v>
      </c>
      <c r="D70" s="54">
        <v>422</v>
      </c>
      <c r="E70" s="706">
        <f t="shared" si="0"/>
        <v>0.61786237188872617</v>
      </c>
      <c r="F70" s="219"/>
      <c r="G70" s="161"/>
      <c r="H70" s="153"/>
      <c r="I70" s="155"/>
      <c r="J70" s="153"/>
      <c r="K70" s="162"/>
      <c r="L70" s="160"/>
      <c r="M70" s="223"/>
      <c r="N70" s="223"/>
      <c r="O70" s="223"/>
      <c r="P70" s="153"/>
      <c r="Q70" s="154"/>
      <c r="R70" s="189"/>
      <c r="S70" s="158"/>
      <c r="T70" s="159"/>
      <c r="U70" s="153"/>
      <c r="V70" s="153"/>
      <c r="W70" s="154"/>
      <c r="X70" s="158"/>
      <c r="Y70" s="153"/>
      <c r="Z70" s="153"/>
      <c r="AA70" s="153"/>
      <c r="AB70" s="153"/>
      <c r="AC70" s="158"/>
      <c r="AD70" s="159"/>
      <c r="AE70" s="153"/>
      <c r="AF70" s="153"/>
      <c r="AG70" s="158"/>
      <c r="AH70" s="153"/>
      <c r="AI70" s="154"/>
      <c r="AJ70" s="154"/>
      <c r="AK70" s="154"/>
      <c r="AL70" s="154"/>
      <c r="AM70" s="154"/>
      <c r="AN70" s="158"/>
      <c r="AO70" s="153"/>
      <c r="AP70" s="153"/>
      <c r="AQ70" s="153"/>
      <c r="AR70" s="158"/>
      <c r="AS70" s="171"/>
      <c r="AT70" s="171"/>
      <c r="AU70" s="171"/>
      <c r="AV70" s="172"/>
      <c r="AW70" s="176"/>
      <c r="AX70" s="153"/>
      <c r="AY70" s="153"/>
      <c r="AZ70" s="154"/>
      <c r="BA70" s="158"/>
      <c r="BB70" s="45">
        <v>168</v>
      </c>
      <c r="BC70" s="45">
        <v>137</v>
      </c>
      <c r="BD70" s="45">
        <v>103</v>
      </c>
      <c r="BE70" s="45">
        <v>92</v>
      </c>
      <c r="BF70" s="45">
        <v>219</v>
      </c>
      <c r="BG70" s="162"/>
      <c r="BH70" s="467"/>
      <c r="BI70" s="154"/>
      <c r="BJ70" s="158"/>
      <c r="BK70" s="162"/>
      <c r="BL70" s="160"/>
      <c r="BM70" s="153"/>
      <c r="BN70" s="153"/>
      <c r="BO70" s="154"/>
      <c r="BP70" s="156"/>
      <c r="BQ70" s="159"/>
      <c r="BR70" s="153"/>
      <c r="BS70" s="155"/>
      <c r="BT70" s="161"/>
      <c r="BU70" s="161"/>
      <c r="BV70" s="153"/>
      <c r="BW70" s="153"/>
      <c r="BX70" s="153"/>
      <c r="BY70" s="153"/>
      <c r="BZ70" s="154"/>
      <c r="CA70" s="155"/>
      <c r="CB70" s="153"/>
      <c r="CC70" s="155"/>
      <c r="CD70" s="153"/>
      <c r="CE70" s="155"/>
      <c r="CF70" s="160"/>
      <c r="CG70" s="160"/>
      <c r="CH70" s="161"/>
      <c r="CI70" s="162"/>
      <c r="CJ70" s="155"/>
      <c r="CK70" s="153"/>
      <c r="CL70" s="155"/>
      <c r="CM70" s="161"/>
      <c r="CN70" s="161"/>
      <c r="CO70" s="153"/>
      <c r="CP70" s="153"/>
      <c r="CQ70" s="154"/>
      <c r="CR70" s="155"/>
      <c r="CS70" s="161"/>
      <c r="CT70" s="223"/>
      <c r="CU70" s="160"/>
      <c r="CV70" s="223"/>
      <c r="CW70" s="223"/>
      <c r="CX70" s="156"/>
      <c r="CY70" s="159"/>
      <c r="CZ70" s="161"/>
      <c r="DA70" s="161"/>
      <c r="DB70" s="161"/>
      <c r="DC70" s="153"/>
      <c r="DD70" s="153"/>
      <c r="DE70" s="154"/>
      <c r="DF70" s="155"/>
      <c r="DG70" s="161"/>
      <c r="DH70" s="161"/>
      <c r="DI70" s="161"/>
      <c r="DJ70" s="161"/>
      <c r="DK70" s="156"/>
      <c r="DL70" s="162"/>
      <c r="DM70" s="223"/>
      <c r="DN70" s="153"/>
      <c r="DO70" s="153"/>
      <c r="DP70" s="153"/>
      <c r="DQ70" s="153"/>
      <c r="DR70" s="153"/>
      <c r="DS70" s="158"/>
      <c r="DT70" s="153"/>
      <c r="DU70" s="154"/>
      <c r="DV70" s="154"/>
      <c r="DW70" s="154"/>
      <c r="DX70" s="154"/>
      <c r="DY70" s="154"/>
      <c r="DZ70" s="154"/>
      <c r="EA70" s="158"/>
      <c r="EB70" s="19"/>
    </row>
    <row r="71" spans="1:132" s="12" customFormat="1" ht="12.75" customHeight="1" x14ac:dyDescent="0.3">
      <c r="A71" s="10">
        <v>4006</v>
      </c>
      <c r="B71" s="11" t="s">
        <v>382</v>
      </c>
      <c r="C71" s="360">
        <v>1044</v>
      </c>
      <c r="D71" s="54">
        <v>683</v>
      </c>
      <c r="E71" s="706">
        <f t="shared" ref="E71:E125" si="2">SUM(D71/C71)</f>
        <v>0.65421455938697315</v>
      </c>
      <c r="F71" s="219"/>
      <c r="G71" s="161"/>
      <c r="H71" s="153"/>
      <c r="I71" s="155"/>
      <c r="J71" s="153"/>
      <c r="K71" s="162"/>
      <c r="L71" s="160"/>
      <c r="M71" s="223"/>
      <c r="N71" s="223"/>
      <c r="O71" s="223"/>
      <c r="P71" s="153"/>
      <c r="Q71" s="154"/>
      <c r="R71" s="189"/>
      <c r="S71" s="158"/>
      <c r="T71" s="159"/>
      <c r="U71" s="153"/>
      <c r="V71" s="153"/>
      <c r="W71" s="154"/>
      <c r="X71" s="158"/>
      <c r="Y71" s="153"/>
      <c r="Z71" s="153"/>
      <c r="AA71" s="153"/>
      <c r="AB71" s="153"/>
      <c r="AC71" s="158"/>
      <c r="AD71" s="159"/>
      <c r="AE71" s="153"/>
      <c r="AF71" s="153"/>
      <c r="AG71" s="158"/>
      <c r="AH71" s="153"/>
      <c r="AI71" s="154"/>
      <c r="AJ71" s="154"/>
      <c r="AK71" s="154"/>
      <c r="AL71" s="154"/>
      <c r="AM71" s="154"/>
      <c r="AN71" s="158"/>
      <c r="AO71" s="153"/>
      <c r="AP71" s="153"/>
      <c r="AQ71" s="153"/>
      <c r="AR71" s="158"/>
      <c r="AS71" s="171"/>
      <c r="AT71" s="171"/>
      <c r="AU71" s="171"/>
      <c r="AV71" s="172"/>
      <c r="AW71" s="176"/>
      <c r="AX71" s="153"/>
      <c r="AY71" s="153"/>
      <c r="AZ71" s="154"/>
      <c r="BA71" s="158"/>
      <c r="BB71" s="45">
        <v>328</v>
      </c>
      <c r="BC71" s="45">
        <v>176</v>
      </c>
      <c r="BD71" s="45">
        <v>188</v>
      </c>
      <c r="BE71" s="45">
        <v>90</v>
      </c>
      <c r="BF71" s="45">
        <v>351</v>
      </c>
      <c r="BG71" s="162"/>
      <c r="BH71" s="467"/>
      <c r="BI71" s="154"/>
      <c r="BJ71" s="158"/>
      <c r="BK71" s="162"/>
      <c r="BL71" s="160"/>
      <c r="BM71" s="153"/>
      <c r="BN71" s="153"/>
      <c r="BO71" s="154"/>
      <c r="BP71" s="156"/>
      <c r="BQ71" s="159"/>
      <c r="BR71" s="153"/>
      <c r="BS71" s="155"/>
      <c r="BT71" s="161"/>
      <c r="BU71" s="161"/>
      <c r="BV71" s="153"/>
      <c r="BW71" s="153"/>
      <c r="BX71" s="153"/>
      <c r="BY71" s="153"/>
      <c r="BZ71" s="154"/>
      <c r="CA71" s="155"/>
      <c r="CB71" s="153"/>
      <c r="CC71" s="155"/>
      <c r="CD71" s="153"/>
      <c r="CE71" s="155"/>
      <c r="CF71" s="160"/>
      <c r="CG71" s="160"/>
      <c r="CH71" s="161"/>
      <c r="CI71" s="162"/>
      <c r="CJ71" s="155"/>
      <c r="CK71" s="153"/>
      <c r="CL71" s="155"/>
      <c r="CM71" s="161"/>
      <c r="CN71" s="161"/>
      <c r="CO71" s="153"/>
      <c r="CP71" s="153"/>
      <c r="CQ71" s="154"/>
      <c r="CR71" s="155"/>
      <c r="CS71" s="161"/>
      <c r="CT71" s="223"/>
      <c r="CU71" s="160"/>
      <c r="CV71" s="223"/>
      <c r="CW71" s="223"/>
      <c r="CX71" s="156"/>
      <c r="CY71" s="159"/>
      <c r="CZ71" s="161"/>
      <c r="DA71" s="161"/>
      <c r="DB71" s="161"/>
      <c r="DC71" s="153"/>
      <c r="DD71" s="153"/>
      <c r="DE71" s="154"/>
      <c r="DF71" s="155"/>
      <c r="DG71" s="161"/>
      <c r="DH71" s="161"/>
      <c r="DI71" s="161"/>
      <c r="DJ71" s="161"/>
      <c r="DK71" s="156"/>
      <c r="DL71" s="162"/>
      <c r="DM71" s="223"/>
      <c r="DN71" s="153"/>
      <c r="DO71" s="153"/>
      <c r="DP71" s="153"/>
      <c r="DQ71" s="153"/>
      <c r="DR71" s="153"/>
      <c r="DS71" s="158"/>
      <c r="DT71" s="153"/>
      <c r="DU71" s="154"/>
      <c r="DV71" s="154"/>
      <c r="DW71" s="154"/>
      <c r="DX71" s="154"/>
      <c r="DY71" s="154"/>
      <c r="DZ71" s="154"/>
      <c r="EA71" s="158"/>
      <c r="EB71" s="19"/>
    </row>
    <row r="72" spans="1:132" s="12" customFormat="1" ht="13" x14ac:dyDescent="0.3">
      <c r="A72" s="10">
        <v>4007</v>
      </c>
      <c r="B72" s="11" t="s">
        <v>383</v>
      </c>
      <c r="C72" s="360">
        <v>630</v>
      </c>
      <c r="D72" s="54">
        <v>442</v>
      </c>
      <c r="E72" s="706">
        <f t="shared" si="2"/>
        <v>0.70158730158730154</v>
      </c>
      <c r="F72" s="219"/>
      <c r="G72" s="161"/>
      <c r="H72" s="153"/>
      <c r="I72" s="155"/>
      <c r="J72" s="153"/>
      <c r="K72" s="162"/>
      <c r="L72" s="160"/>
      <c r="M72" s="223"/>
      <c r="N72" s="223"/>
      <c r="O72" s="223"/>
      <c r="P72" s="153"/>
      <c r="Q72" s="154"/>
      <c r="R72" s="189"/>
      <c r="S72" s="158"/>
      <c r="T72" s="159"/>
      <c r="U72" s="153"/>
      <c r="V72" s="153"/>
      <c r="W72" s="154"/>
      <c r="X72" s="158"/>
      <c r="Y72" s="153"/>
      <c r="Z72" s="153"/>
      <c r="AA72" s="153"/>
      <c r="AB72" s="153"/>
      <c r="AC72" s="158"/>
      <c r="AD72" s="159"/>
      <c r="AE72" s="153"/>
      <c r="AF72" s="153"/>
      <c r="AG72" s="158"/>
      <c r="AH72" s="153"/>
      <c r="AI72" s="154"/>
      <c r="AJ72" s="154"/>
      <c r="AK72" s="154"/>
      <c r="AL72" s="154"/>
      <c r="AM72" s="154"/>
      <c r="AN72" s="158"/>
      <c r="AO72" s="153"/>
      <c r="AP72" s="153"/>
      <c r="AQ72" s="153"/>
      <c r="AR72" s="158"/>
      <c r="AS72" s="153"/>
      <c r="AT72" s="153"/>
      <c r="AU72" s="153"/>
      <c r="AV72" s="154"/>
      <c r="AW72" s="158"/>
      <c r="AX72" s="153"/>
      <c r="AY72" s="153"/>
      <c r="AZ72" s="154"/>
      <c r="BA72" s="158"/>
      <c r="BB72" s="45">
        <v>199</v>
      </c>
      <c r="BC72" s="45">
        <v>161</v>
      </c>
      <c r="BD72" s="45">
        <v>94</v>
      </c>
      <c r="BE72" s="45">
        <v>77</v>
      </c>
      <c r="BF72" s="45">
        <v>241</v>
      </c>
      <c r="BG72" s="162"/>
      <c r="BH72" s="467"/>
      <c r="BI72" s="154"/>
      <c r="BJ72" s="158"/>
      <c r="BK72" s="162"/>
      <c r="BL72" s="160"/>
      <c r="BM72" s="153"/>
      <c r="BN72" s="153"/>
      <c r="BO72" s="154"/>
      <c r="BP72" s="156"/>
      <c r="BQ72" s="159"/>
      <c r="BR72" s="153"/>
      <c r="BS72" s="155"/>
      <c r="BT72" s="161"/>
      <c r="BU72" s="161"/>
      <c r="BV72" s="153"/>
      <c r="BW72" s="153"/>
      <c r="BX72" s="153"/>
      <c r="BY72" s="153"/>
      <c r="BZ72" s="154"/>
      <c r="CA72" s="155"/>
      <c r="CB72" s="153"/>
      <c r="CC72" s="155"/>
      <c r="CD72" s="153"/>
      <c r="CE72" s="155"/>
      <c r="CF72" s="160"/>
      <c r="CG72" s="160"/>
      <c r="CH72" s="161"/>
      <c r="CI72" s="162"/>
      <c r="CJ72" s="155"/>
      <c r="CK72" s="153"/>
      <c r="CL72" s="155"/>
      <c r="CM72" s="161"/>
      <c r="CN72" s="161"/>
      <c r="CO72" s="153"/>
      <c r="CP72" s="153"/>
      <c r="CQ72" s="154"/>
      <c r="CR72" s="155"/>
      <c r="CS72" s="161"/>
      <c r="CT72" s="223"/>
      <c r="CU72" s="160"/>
      <c r="CV72" s="223"/>
      <c r="CW72" s="223"/>
      <c r="CX72" s="156"/>
      <c r="CY72" s="159"/>
      <c r="CZ72" s="161"/>
      <c r="DA72" s="161"/>
      <c r="DB72" s="161"/>
      <c r="DC72" s="153"/>
      <c r="DD72" s="153"/>
      <c r="DE72" s="154"/>
      <c r="DF72" s="155"/>
      <c r="DG72" s="161"/>
      <c r="DH72" s="161"/>
      <c r="DI72" s="161"/>
      <c r="DJ72" s="161"/>
      <c r="DK72" s="156"/>
      <c r="DL72" s="162"/>
      <c r="DM72" s="223"/>
      <c r="DN72" s="153"/>
      <c r="DO72" s="153"/>
      <c r="DP72" s="153"/>
      <c r="DQ72" s="153"/>
      <c r="DR72" s="153"/>
      <c r="DS72" s="158"/>
      <c r="DT72" s="153"/>
      <c r="DU72" s="154"/>
      <c r="DV72" s="154"/>
      <c r="DW72" s="154"/>
      <c r="DX72" s="154"/>
      <c r="DY72" s="154"/>
      <c r="DZ72" s="154"/>
      <c r="EA72" s="158"/>
      <c r="EB72" s="19"/>
    </row>
    <row r="73" spans="1:132" s="12" customFormat="1" ht="12.75" customHeight="1" x14ac:dyDescent="0.3">
      <c r="A73" s="10">
        <v>4008</v>
      </c>
      <c r="B73" s="11" t="s">
        <v>384</v>
      </c>
      <c r="C73" s="360">
        <v>1079</v>
      </c>
      <c r="D73" s="54">
        <v>682</v>
      </c>
      <c r="E73" s="706">
        <f t="shared" si="2"/>
        <v>0.63206672845227063</v>
      </c>
      <c r="F73" s="219"/>
      <c r="G73" s="161"/>
      <c r="H73" s="153"/>
      <c r="I73" s="155"/>
      <c r="J73" s="153"/>
      <c r="K73" s="162"/>
      <c r="L73" s="160"/>
      <c r="M73" s="223"/>
      <c r="N73" s="223"/>
      <c r="O73" s="223"/>
      <c r="P73" s="153"/>
      <c r="Q73" s="154"/>
      <c r="R73" s="189"/>
      <c r="S73" s="158"/>
      <c r="T73" s="159"/>
      <c r="U73" s="153"/>
      <c r="V73" s="153"/>
      <c r="W73" s="154"/>
      <c r="X73" s="158"/>
      <c r="Y73" s="153"/>
      <c r="Z73" s="153"/>
      <c r="AA73" s="153"/>
      <c r="AB73" s="153"/>
      <c r="AC73" s="158"/>
      <c r="AD73" s="159"/>
      <c r="AE73" s="153"/>
      <c r="AF73" s="153"/>
      <c r="AG73" s="158"/>
      <c r="AH73" s="153"/>
      <c r="AI73" s="154"/>
      <c r="AJ73" s="154"/>
      <c r="AK73" s="154"/>
      <c r="AL73" s="154"/>
      <c r="AM73" s="154"/>
      <c r="AN73" s="158"/>
      <c r="AO73" s="153"/>
      <c r="AP73" s="153"/>
      <c r="AQ73" s="153"/>
      <c r="AR73" s="158"/>
      <c r="AS73" s="153"/>
      <c r="AT73" s="153"/>
      <c r="AU73" s="153"/>
      <c r="AV73" s="154"/>
      <c r="AW73" s="158"/>
      <c r="AX73" s="153"/>
      <c r="AY73" s="153"/>
      <c r="AZ73" s="154"/>
      <c r="BA73" s="158"/>
      <c r="BB73" s="45">
        <v>336</v>
      </c>
      <c r="BC73" s="45">
        <v>182</v>
      </c>
      <c r="BD73" s="45">
        <v>144</v>
      </c>
      <c r="BE73" s="45">
        <v>131</v>
      </c>
      <c r="BF73" s="45">
        <v>367</v>
      </c>
      <c r="BG73" s="169"/>
      <c r="BH73" s="208"/>
      <c r="BI73" s="173"/>
      <c r="BJ73" s="167"/>
      <c r="BK73" s="169"/>
      <c r="BL73" s="160"/>
      <c r="BM73" s="153"/>
      <c r="BN73" s="153"/>
      <c r="BO73" s="154"/>
      <c r="BP73" s="156"/>
      <c r="BQ73" s="159"/>
      <c r="BR73" s="153"/>
      <c r="BS73" s="155"/>
      <c r="BT73" s="161"/>
      <c r="BU73" s="161"/>
      <c r="BV73" s="153"/>
      <c r="BW73" s="153"/>
      <c r="BX73" s="153"/>
      <c r="BY73" s="153"/>
      <c r="BZ73" s="154"/>
      <c r="CA73" s="155"/>
      <c r="CB73" s="153"/>
      <c r="CC73" s="155"/>
      <c r="CD73" s="153"/>
      <c r="CE73" s="155"/>
      <c r="CF73" s="160"/>
      <c r="CG73" s="160"/>
      <c r="CH73" s="161"/>
      <c r="CI73" s="162"/>
      <c r="CJ73" s="155"/>
      <c r="CK73" s="153"/>
      <c r="CL73" s="155"/>
      <c r="CM73" s="161"/>
      <c r="CN73" s="161"/>
      <c r="CO73" s="153"/>
      <c r="CP73" s="153"/>
      <c r="CQ73" s="154"/>
      <c r="CR73" s="155"/>
      <c r="CS73" s="161"/>
      <c r="CT73" s="223"/>
      <c r="CU73" s="160"/>
      <c r="CV73" s="223"/>
      <c r="CW73" s="223"/>
      <c r="CX73" s="156"/>
      <c r="CY73" s="159"/>
      <c r="CZ73" s="161"/>
      <c r="DA73" s="161"/>
      <c r="DB73" s="161"/>
      <c r="DC73" s="153"/>
      <c r="DD73" s="153"/>
      <c r="DE73" s="154"/>
      <c r="DF73" s="155"/>
      <c r="DG73" s="161"/>
      <c r="DH73" s="161"/>
      <c r="DI73" s="161"/>
      <c r="DJ73" s="161"/>
      <c r="DK73" s="156"/>
      <c r="DL73" s="162"/>
      <c r="DM73" s="223"/>
      <c r="DN73" s="153"/>
      <c r="DO73" s="153"/>
      <c r="DP73" s="153"/>
      <c r="DQ73" s="153"/>
      <c r="DR73" s="153"/>
      <c r="DS73" s="158"/>
      <c r="DT73" s="153"/>
      <c r="DU73" s="154"/>
      <c r="DV73" s="154"/>
      <c r="DW73" s="154"/>
      <c r="DX73" s="154"/>
      <c r="DY73" s="154"/>
      <c r="DZ73" s="154"/>
      <c r="EA73" s="158"/>
      <c r="EB73" s="19"/>
    </row>
    <row r="74" spans="1:132" s="12" customFormat="1" ht="13" x14ac:dyDescent="0.3">
      <c r="A74" s="10">
        <v>4009</v>
      </c>
      <c r="B74" s="11" t="s">
        <v>385</v>
      </c>
      <c r="C74" s="360">
        <v>1102</v>
      </c>
      <c r="D74" s="54">
        <v>694</v>
      </c>
      <c r="E74" s="706">
        <f t="shared" si="2"/>
        <v>0.62976406533575313</v>
      </c>
      <c r="F74" s="219"/>
      <c r="G74" s="161"/>
      <c r="H74" s="153"/>
      <c r="I74" s="155"/>
      <c r="J74" s="153"/>
      <c r="K74" s="162"/>
      <c r="L74" s="160"/>
      <c r="M74" s="223"/>
      <c r="N74" s="223"/>
      <c r="O74" s="223"/>
      <c r="P74" s="153"/>
      <c r="Q74" s="154"/>
      <c r="R74" s="189"/>
      <c r="S74" s="158"/>
      <c r="T74" s="159"/>
      <c r="U74" s="153"/>
      <c r="V74" s="153"/>
      <c r="W74" s="154"/>
      <c r="X74" s="158"/>
      <c r="Y74" s="153"/>
      <c r="Z74" s="153"/>
      <c r="AA74" s="153"/>
      <c r="AB74" s="153"/>
      <c r="AC74" s="158"/>
      <c r="AD74" s="159"/>
      <c r="AE74" s="153"/>
      <c r="AF74" s="153"/>
      <c r="AG74" s="158"/>
      <c r="AH74" s="153"/>
      <c r="AI74" s="154"/>
      <c r="AJ74" s="154"/>
      <c r="AK74" s="154"/>
      <c r="AL74" s="154"/>
      <c r="AM74" s="154"/>
      <c r="AN74" s="158"/>
      <c r="AO74" s="153"/>
      <c r="AP74" s="153"/>
      <c r="AQ74" s="153"/>
      <c r="AR74" s="158"/>
      <c r="AS74" s="153"/>
      <c r="AT74" s="153"/>
      <c r="AU74" s="153"/>
      <c r="AV74" s="154"/>
      <c r="AW74" s="158"/>
      <c r="AX74" s="153"/>
      <c r="AY74" s="153"/>
      <c r="AZ74" s="154"/>
      <c r="BA74" s="158"/>
      <c r="BB74" s="171">
        <v>362</v>
      </c>
      <c r="BC74" s="171">
        <v>257</v>
      </c>
      <c r="BD74" s="171">
        <v>137</v>
      </c>
      <c r="BE74" s="171">
        <v>137</v>
      </c>
      <c r="BF74" s="171">
        <v>384</v>
      </c>
      <c r="BG74" s="74"/>
      <c r="BH74" s="468"/>
      <c r="BI74" s="54"/>
      <c r="BJ74" s="46"/>
      <c r="BK74" s="74"/>
      <c r="BL74" s="160"/>
      <c r="BM74" s="153"/>
      <c r="BN74" s="153"/>
      <c r="BO74" s="154"/>
      <c r="BP74" s="156"/>
      <c r="BQ74" s="159"/>
      <c r="BR74" s="153"/>
      <c r="BS74" s="155"/>
      <c r="BT74" s="161"/>
      <c r="BU74" s="161"/>
      <c r="BV74" s="153"/>
      <c r="BW74" s="153"/>
      <c r="BX74" s="153"/>
      <c r="BY74" s="153"/>
      <c r="BZ74" s="154"/>
      <c r="CA74" s="155"/>
      <c r="CB74" s="153"/>
      <c r="CC74" s="155"/>
      <c r="CD74" s="153"/>
      <c r="CE74" s="155"/>
      <c r="CF74" s="160"/>
      <c r="CG74" s="160"/>
      <c r="CH74" s="161"/>
      <c r="CI74" s="162"/>
      <c r="CJ74" s="155"/>
      <c r="CK74" s="153"/>
      <c r="CL74" s="155"/>
      <c r="CM74" s="161"/>
      <c r="CN74" s="161"/>
      <c r="CO74" s="153"/>
      <c r="CP74" s="153"/>
      <c r="CQ74" s="154"/>
      <c r="CR74" s="155"/>
      <c r="CS74" s="161"/>
      <c r="CT74" s="223"/>
      <c r="CU74" s="160"/>
      <c r="CV74" s="223"/>
      <c r="CW74" s="223"/>
      <c r="CX74" s="156"/>
      <c r="CY74" s="159"/>
      <c r="CZ74" s="161"/>
      <c r="DA74" s="161"/>
      <c r="DB74" s="161"/>
      <c r="DC74" s="153"/>
      <c r="DD74" s="153"/>
      <c r="DE74" s="154"/>
      <c r="DF74" s="155"/>
      <c r="DG74" s="161"/>
      <c r="DH74" s="161"/>
      <c r="DI74" s="161"/>
      <c r="DJ74" s="161"/>
      <c r="DK74" s="156"/>
      <c r="DL74" s="162"/>
      <c r="DM74" s="223"/>
      <c r="DN74" s="153"/>
      <c r="DO74" s="153"/>
      <c r="DP74" s="153"/>
      <c r="DQ74" s="153"/>
      <c r="DR74" s="153"/>
      <c r="DS74" s="158"/>
      <c r="DT74" s="153"/>
      <c r="DU74" s="154"/>
      <c r="DV74" s="154"/>
      <c r="DW74" s="154"/>
      <c r="DX74" s="154"/>
      <c r="DY74" s="154"/>
      <c r="DZ74" s="154"/>
      <c r="EA74" s="158"/>
      <c r="EB74" s="19"/>
    </row>
    <row r="75" spans="1:132" s="12" customFormat="1" ht="12.75" customHeight="1" x14ac:dyDescent="0.3">
      <c r="A75" s="10">
        <v>4111</v>
      </c>
      <c r="B75" s="11" t="s">
        <v>386</v>
      </c>
      <c r="C75" s="360">
        <v>1482</v>
      </c>
      <c r="D75" s="54">
        <v>499</v>
      </c>
      <c r="E75" s="706">
        <f t="shared" si="2"/>
        <v>0.33670715249662619</v>
      </c>
      <c r="F75" s="219"/>
      <c r="G75" s="161"/>
      <c r="H75" s="153"/>
      <c r="I75" s="155"/>
      <c r="J75" s="153"/>
      <c r="K75" s="162"/>
      <c r="L75" s="160"/>
      <c r="M75" s="223"/>
      <c r="N75" s="223"/>
      <c r="O75" s="223"/>
      <c r="P75" s="153"/>
      <c r="Q75" s="154"/>
      <c r="R75" s="189"/>
      <c r="S75" s="158"/>
      <c r="T75" s="159"/>
      <c r="U75" s="153"/>
      <c r="V75" s="153"/>
      <c r="W75" s="154"/>
      <c r="X75" s="158"/>
      <c r="Y75" s="153"/>
      <c r="Z75" s="153"/>
      <c r="AA75" s="153"/>
      <c r="AB75" s="153"/>
      <c r="AC75" s="158"/>
      <c r="AD75" s="159"/>
      <c r="AE75" s="153"/>
      <c r="AF75" s="153"/>
      <c r="AG75" s="158"/>
      <c r="AH75" s="153"/>
      <c r="AI75" s="154"/>
      <c r="AJ75" s="154"/>
      <c r="AK75" s="154"/>
      <c r="AL75" s="154"/>
      <c r="AM75" s="154"/>
      <c r="AN75" s="158"/>
      <c r="AO75" s="153"/>
      <c r="AP75" s="153"/>
      <c r="AQ75" s="153"/>
      <c r="AR75" s="158"/>
      <c r="AS75" s="153"/>
      <c r="AT75" s="153"/>
      <c r="AU75" s="153"/>
      <c r="AV75" s="154"/>
      <c r="AW75" s="158"/>
      <c r="AX75" s="153"/>
      <c r="AY75" s="153"/>
      <c r="AZ75" s="154"/>
      <c r="BA75" s="158"/>
      <c r="BB75" s="171"/>
      <c r="BC75" s="171"/>
      <c r="BD75" s="171"/>
      <c r="BE75" s="171"/>
      <c r="BF75" s="171"/>
      <c r="BG75" s="74">
        <v>348</v>
      </c>
      <c r="BH75" s="468">
        <v>341</v>
      </c>
      <c r="BI75" s="54">
        <v>141</v>
      </c>
      <c r="BJ75" s="46">
        <v>146</v>
      </c>
      <c r="BK75" s="74"/>
      <c r="BL75" s="160"/>
      <c r="BM75" s="153"/>
      <c r="BN75" s="153"/>
      <c r="BO75" s="154"/>
      <c r="BP75" s="156"/>
      <c r="BQ75" s="159"/>
      <c r="BR75" s="153"/>
      <c r="BS75" s="155"/>
      <c r="BT75" s="161"/>
      <c r="BU75" s="161"/>
      <c r="BV75" s="153"/>
      <c r="BW75" s="153"/>
      <c r="BX75" s="153"/>
      <c r="BY75" s="153"/>
      <c r="BZ75" s="154"/>
      <c r="CA75" s="155"/>
      <c r="CB75" s="153"/>
      <c r="CC75" s="155"/>
      <c r="CD75" s="153"/>
      <c r="CE75" s="155"/>
      <c r="CF75" s="160"/>
      <c r="CG75" s="160"/>
      <c r="CH75" s="161"/>
      <c r="CI75" s="162"/>
      <c r="CJ75" s="155"/>
      <c r="CK75" s="153"/>
      <c r="CL75" s="155"/>
      <c r="CM75" s="161"/>
      <c r="CN75" s="161"/>
      <c r="CO75" s="153"/>
      <c r="CP75" s="153"/>
      <c r="CQ75" s="154"/>
      <c r="CR75" s="155"/>
      <c r="CS75" s="161"/>
      <c r="CT75" s="223"/>
      <c r="CU75" s="160"/>
      <c r="CV75" s="223"/>
      <c r="CW75" s="223"/>
      <c r="CX75" s="156"/>
      <c r="CY75" s="159"/>
      <c r="CZ75" s="161"/>
      <c r="DA75" s="161"/>
      <c r="DB75" s="161"/>
      <c r="DC75" s="153"/>
      <c r="DD75" s="153"/>
      <c r="DE75" s="154"/>
      <c r="DF75" s="155"/>
      <c r="DG75" s="161"/>
      <c r="DH75" s="161"/>
      <c r="DI75" s="161"/>
      <c r="DJ75" s="161"/>
      <c r="DK75" s="156"/>
      <c r="DL75" s="162"/>
      <c r="DM75" s="223"/>
      <c r="DN75" s="153"/>
      <c r="DO75" s="153"/>
      <c r="DP75" s="153"/>
      <c r="DQ75" s="153"/>
      <c r="DR75" s="153"/>
      <c r="DS75" s="158"/>
      <c r="DT75" s="153"/>
      <c r="DU75" s="154"/>
      <c r="DV75" s="154"/>
      <c r="DW75" s="154"/>
      <c r="DX75" s="154"/>
      <c r="DY75" s="154"/>
      <c r="DZ75" s="154"/>
      <c r="EA75" s="158"/>
      <c r="EB75" s="19"/>
    </row>
    <row r="76" spans="1:132" s="12" customFormat="1" ht="13" x14ac:dyDescent="0.3">
      <c r="A76" s="10">
        <v>4121</v>
      </c>
      <c r="B76" s="11" t="s">
        <v>387</v>
      </c>
      <c r="C76" s="360">
        <v>1023</v>
      </c>
      <c r="D76" s="54">
        <v>477</v>
      </c>
      <c r="E76" s="706">
        <f t="shared" si="2"/>
        <v>0.4662756598240469</v>
      </c>
      <c r="F76" s="219"/>
      <c r="G76" s="161"/>
      <c r="H76" s="153"/>
      <c r="I76" s="155"/>
      <c r="J76" s="153"/>
      <c r="K76" s="162"/>
      <c r="L76" s="160"/>
      <c r="M76" s="223"/>
      <c r="N76" s="223"/>
      <c r="O76" s="223"/>
      <c r="P76" s="153"/>
      <c r="Q76" s="154"/>
      <c r="R76" s="189"/>
      <c r="S76" s="158"/>
      <c r="T76" s="159"/>
      <c r="U76" s="153"/>
      <c r="V76" s="153"/>
      <c r="W76" s="154"/>
      <c r="X76" s="158"/>
      <c r="Y76" s="153"/>
      <c r="Z76" s="153"/>
      <c r="AA76" s="153"/>
      <c r="AB76" s="153"/>
      <c r="AC76" s="158"/>
      <c r="AD76" s="159"/>
      <c r="AE76" s="153"/>
      <c r="AF76" s="153"/>
      <c r="AG76" s="158"/>
      <c r="AH76" s="153"/>
      <c r="AI76" s="154"/>
      <c r="AJ76" s="154"/>
      <c r="AK76" s="154"/>
      <c r="AL76" s="154"/>
      <c r="AM76" s="154"/>
      <c r="AN76" s="158"/>
      <c r="AO76" s="153"/>
      <c r="AP76" s="153"/>
      <c r="AQ76" s="153"/>
      <c r="AR76" s="158"/>
      <c r="AS76" s="153"/>
      <c r="AT76" s="153"/>
      <c r="AU76" s="153"/>
      <c r="AV76" s="154"/>
      <c r="AW76" s="158"/>
      <c r="AX76" s="153"/>
      <c r="AY76" s="153"/>
      <c r="AZ76" s="154"/>
      <c r="BA76" s="158"/>
      <c r="BB76" s="171"/>
      <c r="BC76" s="171"/>
      <c r="BD76" s="171"/>
      <c r="BE76" s="171"/>
      <c r="BF76" s="171"/>
      <c r="BG76" s="74">
        <v>328</v>
      </c>
      <c r="BH76" s="468">
        <v>260</v>
      </c>
      <c r="BI76" s="54">
        <v>157</v>
      </c>
      <c r="BJ76" s="46">
        <v>185</v>
      </c>
      <c r="BK76" s="74"/>
      <c r="BL76" s="160"/>
      <c r="BM76" s="153"/>
      <c r="BN76" s="153"/>
      <c r="BO76" s="154"/>
      <c r="BP76" s="156"/>
      <c r="BQ76" s="159"/>
      <c r="BR76" s="153"/>
      <c r="BS76" s="155"/>
      <c r="BT76" s="161"/>
      <c r="BU76" s="161"/>
      <c r="BV76" s="153"/>
      <c r="BW76" s="153"/>
      <c r="BX76" s="153"/>
      <c r="BY76" s="153"/>
      <c r="BZ76" s="154"/>
      <c r="CA76" s="155"/>
      <c r="CB76" s="153"/>
      <c r="CC76" s="155"/>
      <c r="CD76" s="153"/>
      <c r="CE76" s="155"/>
      <c r="CF76" s="160"/>
      <c r="CG76" s="160"/>
      <c r="CH76" s="161"/>
      <c r="CI76" s="162"/>
      <c r="CJ76" s="155"/>
      <c r="CK76" s="153"/>
      <c r="CL76" s="155"/>
      <c r="CM76" s="161"/>
      <c r="CN76" s="161"/>
      <c r="CO76" s="153"/>
      <c r="CP76" s="153"/>
      <c r="CQ76" s="154"/>
      <c r="CR76" s="155"/>
      <c r="CS76" s="161"/>
      <c r="CT76" s="223"/>
      <c r="CU76" s="160"/>
      <c r="CV76" s="223"/>
      <c r="CW76" s="223"/>
      <c r="CX76" s="156"/>
      <c r="CY76" s="159"/>
      <c r="CZ76" s="161"/>
      <c r="DA76" s="161"/>
      <c r="DB76" s="161"/>
      <c r="DC76" s="153"/>
      <c r="DD76" s="153"/>
      <c r="DE76" s="154"/>
      <c r="DF76" s="155"/>
      <c r="DG76" s="161"/>
      <c r="DH76" s="161"/>
      <c r="DI76" s="161"/>
      <c r="DJ76" s="161"/>
      <c r="DK76" s="156"/>
      <c r="DL76" s="162"/>
      <c r="DM76" s="223"/>
      <c r="DN76" s="153"/>
      <c r="DO76" s="153"/>
      <c r="DP76" s="153"/>
      <c r="DQ76" s="153"/>
      <c r="DR76" s="153"/>
      <c r="DS76" s="158"/>
      <c r="DT76" s="153"/>
      <c r="DU76" s="154"/>
      <c r="DV76" s="154"/>
      <c r="DW76" s="154"/>
      <c r="DX76" s="154"/>
      <c r="DY76" s="154"/>
      <c r="DZ76" s="154"/>
      <c r="EA76" s="158"/>
      <c r="EB76" s="19"/>
    </row>
    <row r="77" spans="1:132" s="12" customFormat="1" ht="12.75" customHeight="1" x14ac:dyDescent="0.3">
      <c r="A77" s="10">
        <v>4131</v>
      </c>
      <c r="B77" s="11" t="s">
        <v>388</v>
      </c>
      <c r="C77" s="360">
        <v>1086</v>
      </c>
      <c r="D77" s="54">
        <v>421</v>
      </c>
      <c r="E77" s="706">
        <f t="shared" si="2"/>
        <v>0.38766114180478822</v>
      </c>
      <c r="F77" s="219"/>
      <c r="G77" s="161"/>
      <c r="H77" s="153"/>
      <c r="I77" s="155"/>
      <c r="J77" s="153"/>
      <c r="K77" s="162"/>
      <c r="L77" s="160"/>
      <c r="M77" s="223"/>
      <c r="N77" s="223"/>
      <c r="O77" s="223"/>
      <c r="P77" s="153"/>
      <c r="Q77" s="154"/>
      <c r="R77" s="189"/>
      <c r="S77" s="158"/>
      <c r="T77" s="159"/>
      <c r="U77" s="153"/>
      <c r="V77" s="153"/>
      <c r="W77" s="154"/>
      <c r="X77" s="158"/>
      <c r="Y77" s="153"/>
      <c r="Z77" s="153"/>
      <c r="AA77" s="153"/>
      <c r="AB77" s="153"/>
      <c r="AC77" s="158"/>
      <c r="AD77" s="159"/>
      <c r="AE77" s="153"/>
      <c r="AF77" s="153"/>
      <c r="AG77" s="158"/>
      <c r="AH77" s="153"/>
      <c r="AI77" s="154"/>
      <c r="AJ77" s="154"/>
      <c r="AK77" s="154"/>
      <c r="AL77" s="154"/>
      <c r="AM77" s="154"/>
      <c r="AN77" s="158"/>
      <c r="AO77" s="153"/>
      <c r="AP77" s="153"/>
      <c r="AQ77" s="153"/>
      <c r="AR77" s="158"/>
      <c r="AS77" s="153"/>
      <c r="AT77" s="153"/>
      <c r="AU77" s="153"/>
      <c r="AV77" s="154"/>
      <c r="AW77" s="158"/>
      <c r="AX77" s="153"/>
      <c r="AY77" s="153"/>
      <c r="AZ77" s="154"/>
      <c r="BA77" s="158"/>
      <c r="BB77" s="171"/>
      <c r="BC77" s="171"/>
      <c r="BD77" s="171"/>
      <c r="BE77" s="171"/>
      <c r="BF77" s="171"/>
      <c r="BG77" s="74">
        <v>299</v>
      </c>
      <c r="BH77" s="468">
        <v>268</v>
      </c>
      <c r="BI77" s="54">
        <v>112</v>
      </c>
      <c r="BJ77" s="46">
        <v>115</v>
      </c>
      <c r="BK77" s="74"/>
      <c r="BL77" s="304"/>
      <c r="BM77" s="165"/>
      <c r="BN77" s="165"/>
      <c r="BO77" s="173"/>
      <c r="BP77" s="168"/>
      <c r="BQ77" s="159"/>
      <c r="BR77" s="153"/>
      <c r="BS77" s="155"/>
      <c r="BT77" s="161"/>
      <c r="BU77" s="161"/>
      <c r="BV77" s="153"/>
      <c r="BW77" s="153"/>
      <c r="BX77" s="153"/>
      <c r="BY77" s="153"/>
      <c r="BZ77" s="154"/>
      <c r="CA77" s="155"/>
      <c r="CB77" s="153"/>
      <c r="CC77" s="155"/>
      <c r="CD77" s="153"/>
      <c r="CE77" s="155"/>
      <c r="CF77" s="160"/>
      <c r="CG77" s="160"/>
      <c r="CH77" s="161"/>
      <c r="CI77" s="162"/>
      <c r="CJ77" s="155"/>
      <c r="CK77" s="153"/>
      <c r="CL77" s="155"/>
      <c r="CM77" s="161"/>
      <c r="CN77" s="161"/>
      <c r="CO77" s="153"/>
      <c r="CP77" s="153"/>
      <c r="CQ77" s="154"/>
      <c r="CR77" s="155"/>
      <c r="CS77" s="161"/>
      <c r="CT77" s="223"/>
      <c r="CU77" s="160"/>
      <c r="CV77" s="223"/>
      <c r="CW77" s="223"/>
      <c r="CX77" s="156"/>
      <c r="CY77" s="159"/>
      <c r="CZ77" s="161"/>
      <c r="DA77" s="161"/>
      <c r="DB77" s="161"/>
      <c r="DC77" s="153"/>
      <c r="DD77" s="153"/>
      <c r="DE77" s="154"/>
      <c r="DF77" s="155"/>
      <c r="DG77" s="161"/>
      <c r="DH77" s="161"/>
      <c r="DI77" s="161"/>
      <c r="DJ77" s="161"/>
      <c r="DK77" s="156"/>
      <c r="DL77" s="162"/>
      <c r="DM77" s="223"/>
      <c r="DN77" s="153"/>
      <c r="DO77" s="153"/>
      <c r="DP77" s="153"/>
      <c r="DQ77" s="153"/>
      <c r="DR77" s="153"/>
      <c r="DS77" s="158"/>
      <c r="DT77" s="153"/>
      <c r="DU77" s="154"/>
      <c r="DV77" s="154"/>
      <c r="DW77" s="154"/>
      <c r="DX77" s="154"/>
      <c r="DY77" s="154"/>
      <c r="DZ77" s="154"/>
      <c r="EA77" s="158"/>
      <c r="EB77" s="19"/>
    </row>
    <row r="78" spans="1:132" s="12" customFormat="1" ht="13" x14ac:dyDescent="0.3">
      <c r="A78" s="10">
        <v>4141</v>
      </c>
      <c r="B78" s="11" t="s">
        <v>389</v>
      </c>
      <c r="C78" s="360">
        <v>922</v>
      </c>
      <c r="D78" s="54">
        <v>364</v>
      </c>
      <c r="E78" s="706">
        <f t="shared" si="2"/>
        <v>0.39479392624728848</v>
      </c>
      <c r="F78" s="219"/>
      <c r="G78" s="161"/>
      <c r="H78" s="153"/>
      <c r="I78" s="155"/>
      <c r="J78" s="153"/>
      <c r="K78" s="162"/>
      <c r="L78" s="160"/>
      <c r="M78" s="223"/>
      <c r="N78" s="223"/>
      <c r="O78" s="223"/>
      <c r="P78" s="153"/>
      <c r="Q78" s="154"/>
      <c r="R78" s="189"/>
      <c r="S78" s="158"/>
      <c r="T78" s="159"/>
      <c r="U78" s="153"/>
      <c r="V78" s="153"/>
      <c r="W78" s="154"/>
      <c r="X78" s="158"/>
      <c r="Y78" s="153"/>
      <c r="Z78" s="153"/>
      <c r="AA78" s="153"/>
      <c r="AB78" s="153"/>
      <c r="AC78" s="158"/>
      <c r="AD78" s="159"/>
      <c r="AE78" s="153"/>
      <c r="AF78" s="153"/>
      <c r="AG78" s="158"/>
      <c r="AH78" s="153"/>
      <c r="AI78" s="154"/>
      <c r="AJ78" s="154"/>
      <c r="AK78" s="154"/>
      <c r="AL78" s="154"/>
      <c r="AM78" s="154"/>
      <c r="AN78" s="158"/>
      <c r="AO78" s="153"/>
      <c r="AP78" s="153"/>
      <c r="AQ78" s="153"/>
      <c r="AR78" s="158"/>
      <c r="AS78" s="153"/>
      <c r="AT78" s="153"/>
      <c r="AU78" s="153"/>
      <c r="AV78" s="154"/>
      <c r="AW78" s="158"/>
      <c r="AX78" s="153"/>
      <c r="AY78" s="153"/>
      <c r="AZ78" s="154"/>
      <c r="BA78" s="158"/>
      <c r="BB78" s="171"/>
      <c r="BC78" s="171"/>
      <c r="BD78" s="171"/>
      <c r="BE78" s="171"/>
      <c r="BF78" s="171"/>
      <c r="BG78" s="162">
        <v>264</v>
      </c>
      <c r="BH78" s="467">
        <v>240</v>
      </c>
      <c r="BI78" s="154">
        <v>101</v>
      </c>
      <c r="BJ78" s="158">
        <v>115</v>
      </c>
      <c r="BK78" s="162"/>
      <c r="BL78" s="107"/>
      <c r="BM78" s="45"/>
      <c r="BN78" s="45"/>
      <c r="BO78" s="54"/>
      <c r="BP78" s="73"/>
      <c r="BQ78" s="159"/>
      <c r="BR78" s="153"/>
      <c r="BS78" s="155"/>
      <c r="BT78" s="161"/>
      <c r="BU78" s="161"/>
      <c r="BV78" s="153"/>
      <c r="BW78" s="153"/>
      <c r="BX78" s="153"/>
      <c r="BY78" s="153"/>
      <c r="BZ78" s="154"/>
      <c r="CA78" s="155"/>
      <c r="CB78" s="153"/>
      <c r="CC78" s="155"/>
      <c r="CD78" s="153"/>
      <c r="CE78" s="155"/>
      <c r="CF78" s="160"/>
      <c r="CG78" s="160"/>
      <c r="CH78" s="161"/>
      <c r="CI78" s="162"/>
      <c r="CJ78" s="155"/>
      <c r="CK78" s="153"/>
      <c r="CL78" s="155"/>
      <c r="CM78" s="161"/>
      <c r="CN78" s="161"/>
      <c r="CO78" s="153"/>
      <c r="CP78" s="153"/>
      <c r="CQ78" s="154"/>
      <c r="CR78" s="155"/>
      <c r="CS78" s="161"/>
      <c r="CT78" s="223"/>
      <c r="CU78" s="160"/>
      <c r="CV78" s="223"/>
      <c r="CW78" s="223"/>
      <c r="CX78" s="156"/>
      <c r="CY78" s="159"/>
      <c r="CZ78" s="161"/>
      <c r="DA78" s="161"/>
      <c r="DB78" s="161"/>
      <c r="DC78" s="153"/>
      <c r="DD78" s="153"/>
      <c r="DE78" s="154"/>
      <c r="DF78" s="155"/>
      <c r="DG78" s="161"/>
      <c r="DH78" s="161"/>
      <c r="DI78" s="161"/>
      <c r="DJ78" s="161"/>
      <c r="DK78" s="156"/>
      <c r="DL78" s="162"/>
      <c r="DM78" s="223"/>
      <c r="DN78" s="153"/>
      <c r="DO78" s="153"/>
      <c r="DP78" s="153"/>
      <c r="DQ78" s="153"/>
      <c r="DR78" s="153"/>
      <c r="DS78" s="158"/>
      <c r="DT78" s="153"/>
      <c r="DU78" s="154"/>
      <c r="DV78" s="154"/>
      <c r="DW78" s="154"/>
      <c r="DX78" s="154"/>
      <c r="DY78" s="154"/>
      <c r="DZ78" s="154"/>
      <c r="EA78" s="158"/>
      <c r="EB78" s="19"/>
    </row>
    <row r="79" spans="1:132" s="12" customFormat="1" ht="12.75" customHeight="1" x14ac:dyDescent="0.3">
      <c r="A79" s="10">
        <v>4311</v>
      </c>
      <c r="B79" s="11" t="s">
        <v>390</v>
      </c>
      <c r="C79" s="360">
        <v>581</v>
      </c>
      <c r="D79" s="54">
        <v>254</v>
      </c>
      <c r="E79" s="706">
        <f t="shared" si="2"/>
        <v>0.43717728055077454</v>
      </c>
      <c r="F79" s="219"/>
      <c r="G79" s="161"/>
      <c r="H79" s="153"/>
      <c r="I79" s="155"/>
      <c r="J79" s="153"/>
      <c r="K79" s="162"/>
      <c r="L79" s="160"/>
      <c r="M79" s="223"/>
      <c r="N79" s="223"/>
      <c r="O79" s="223"/>
      <c r="P79" s="153"/>
      <c r="Q79" s="154"/>
      <c r="R79" s="189"/>
      <c r="S79" s="158"/>
      <c r="T79" s="159"/>
      <c r="U79" s="153"/>
      <c r="V79" s="153"/>
      <c r="W79" s="154"/>
      <c r="X79" s="158"/>
      <c r="Y79" s="153"/>
      <c r="Z79" s="153"/>
      <c r="AA79" s="153"/>
      <c r="AB79" s="153"/>
      <c r="AC79" s="158"/>
      <c r="AD79" s="159"/>
      <c r="AE79" s="153"/>
      <c r="AF79" s="153"/>
      <c r="AG79" s="158"/>
      <c r="AH79" s="153"/>
      <c r="AI79" s="154"/>
      <c r="AJ79" s="154"/>
      <c r="AK79" s="154"/>
      <c r="AL79" s="154"/>
      <c r="AM79" s="154"/>
      <c r="AN79" s="158"/>
      <c r="AO79" s="153"/>
      <c r="AP79" s="153"/>
      <c r="AQ79" s="153"/>
      <c r="AR79" s="158"/>
      <c r="AS79" s="153"/>
      <c r="AT79" s="153"/>
      <c r="AU79" s="153"/>
      <c r="AV79" s="154"/>
      <c r="AW79" s="158"/>
      <c r="AX79" s="153"/>
      <c r="AY79" s="153"/>
      <c r="AZ79" s="154"/>
      <c r="BA79" s="158"/>
      <c r="BB79" s="171"/>
      <c r="BC79" s="171"/>
      <c r="BD79" s="171"/>
      <c r="BE79" s="171"/>
      <c r="BF79" s="171"/>
      <c r="BG79" s="162"/>
      <c r="BH79" s="467"/>
      <c r="BI79" s="154"/>
      <c r="BJ79" s="158"/>
      <c r="BK79" s="162">
        <v>136</v>
      </c>
      <c r="BL79" s="107">
        <v>95</v>
      </c>
      <c r="BM79" s="45">
        <v>110</v>
      </c>
      <c r="BN79" s="45">
        <v>54</v>
      </c>
      <c r="BO79" s="54">
        <v>75</v>
      </c>
      <c r="BP79" s="73">
        <v>108</v>
      </c>
      <c r="BQ79" s="159"/>
      <c r="BR79" s="153"/>
      <c r="BS79" s="155"/>
      <c r="BT79" s="161"/>
      <c r="BU79" s="161"/>
      <c r="BV79" s="153"/>
      <c r="BW79" s="153"/>
      <c r="BX79" s="153"/>
      <c r="BY79" s="153"/>
      <c r="BZ79" s="154"/>
      <c r="CA79" s="155"/>
      <c r="CB79" s="153"/>
      <c r="CC79" s="155"/>
      <c r="CD79" s="153"/>
      <c r="CE79" s="155"/>
      <c r="CF79" s="160"/>
      <c r="CG79" s="160"/>
      <c r="CH79" s="161"/>
      <c r="CI79" s="162"/>
      <c r="CJ79" s="155"/>
      <c r="CK79" s="153"/>
      <c r="CL79" s="155"/>
      <c r="CM79" s="161"/>
      <c r="CN79" s="161"/>
      <c r="CO79" s="153"/>
      <c r="CP79" s="153"/>
      <c r="CQ79" s="154"/>
      <c r="CR79" s="155"/>
      <c r="CS79" s="161"/>
      <c r="CT79" s="223"/>
      <c r="CU79" s="160"/>
      <c r="CV79" s="223"/>
      <c r="CW79" s="223"/>
      <c r="CX79" s="156"/>
      <c r="CY79" s="159"/>
      <c r="CZ79" s="161"/>
      <c r="DA79" s="161"/>
      <c r="DB79" s="161"/>
      <c r="DC79" s="153"/>
      <c r="DD79" s="153"/>
      <c r="DE79" s="154"/>
      <c r="DF79" s="155"/>
      <c r="DG79" s="161"/>
      <c r="DH79" s="161"/>
      <c r="DI79" s="161"/>
      <c r="DJ79" s="161"/>
      <c r="DK79" s="156"/>
      <c r="DL79" s="162"/>
      <c r="DM79" s="223"/>
      <c r="DN79" s="153"/>
      <c r="DO79" s="153"/>
      <c r="DP79" s="153"/>
      <c r="DQ79" s="153"/>
      <c r="DR79" s="153"/>
      <c r="DS79" s="158"/>
      <c r="DT79" s="153"/>
      <c r="DU79" s="154"/>
      <c r="DV79" s="154"/>
      <c r="DW79" s="154"/>
      <c r="DX79" s="154"/>
      <c r="DY79" s="154"/>
      <c r="DZ79" s="154"/>
      <c r="EA79" s="158"/>
      <c r="EB79" s="19"/>
    </row>
    <row r="80" spans="1:132" s="12" customFormat="1" ht="13" x14ac:dyDescent="0.3">
      <c r="A80" s="10">
        <v>4312</v>
      </c>
      <c r="B80" s="11" t="s">
        <v>391</v>
      </c>
      <c r="C80" s="360">
        <v>1188</v>
      </c>
      <c r="D80" s="54">
        <v>473</v>
      </c>
      <c r="E80" s="706">
        <f t="shared" si="2"/>
        <v>0.39814814814814814</v>
      </c>
      <c r="F80" s="219"/>
      <c r="G80" s="161"/>
      <c r="H80" s="153"/>
      <c r="I80" s="155"/>
      <c r="J80" s="153"/>
      <c r="K80" s="162"/>
      <c r="L80" s="160"/>
      <c r="M80" s="223"/>
      <c r="N80" s="223"/>
      <c r="O80" s="223"/>
      <c r="P80" s="153"/>
      <c r="Q80" s="154"/>
      <c r="R80" s="189"/>
      <c r="S80" s="158"/>
      <c r="T80" s="159"/>
      <c r="U80" s="153"/>
      <c r="V80" s="153"/>
      <c r="W80" s="154"/>
      <c r="X80" s="158"/>
      <c r="Y80" s="153"/>
      <c r="Z80" s="153"/>
      <c r="AA80" s="153"/>
      <c r="AB80" s="153"/>
      <c r="AC80" s="158"/>
      <c r="AD80" s="159"/>
      <c r="AE80" s="153"/>
      <c r="AF80" s="153"/>
      <c r="AG80" s="158"/>
      <c r="AH80" s="153"/>
      <c r="AI80" s="154"/>
      <c r="AJ80" s="154"/>
      <c r="AK80" s="154"/>
      <c r="AL80" s="154"/>
      <c r="AM80" s="154"/>
      <c r="AN80" s="158"/>
      <c r="AO80" s="153"/>
      <c r="AP80" s="153"/>
      <c r="AQ80" s="153"/>
      <c r="AR80" s="158"/>
      <c r="AS80" s="153"/>
      <c r="AT80" s="153"/>
      <c r="AU80" s="153"/>
      <c r="AV80" s="154"/>
      <c r="AW80" s="158"/>
      <c r="AX80" s="153"/>
      <c r="AY80" s="153"/>
      <c r="AZ80" s="154"/>
      <c r="BA80" s="158"/>
      <c r="BB80" s="171"/>
      <c r="BC80" s="171"/>
      <c r="BD80" s="171"/>
      <c r="BE80" s="171"/>
      <c r="BF80" s="171"/>
      <c r="BG80" s="162"/>
      <c r="BH80" s="467"/>
      <c r="BI80" s="154"/>
      <c r="BJ80" s="158"/>
      <c r="BK80" s="162">
        <v>243</v>
      </c>
      <c r="BL80" s="107">
        <v>203</v>
      </c>
      <c r="BM80" s="45">
        <v>199</v>
      </c>
      <c r="BN80" s="45">
        <v>135</v>
      </c>
      <c r="BO80" s="54">
        <v>215</v>
      </c>
      <c r="BP80" s="73">
        <v>218</v>
      </c>
      <c r="BQ80" s="159"/>
      <c r="BR80" s="153"/>
      <c r="BS80" s="155"/>
      <c r="BT80" s="161"/>
      <c r="BU80" s="161"/>
      <c r="BV80" s="153"/>
      <c r="BW80" s="153"/>
      <c r="BX80" s="153"/>
      <c r="BY80" s="153"/>
      <c r="BZ80" s="154"/>
      <c r="CA80" s="155"/>
      <c r="CB80" s="153"/>
      <c r="CC80" s="155"/>
      <c r="CD80" s="153"/>
      <c r="CE80" s="155"/>
      <c r="CF80" s="160"/>
      <c r="CG80" s="160"/>
      <c r="CH80" s="161"/>
      <c r="CI80" s="162"/>
      <c r="CJ80" s="155"/>
      <c r="CK80" s="153"/>
      <c r="CL80" s="155"/>
      <c r="CM80" s="161"/>
      <c r="CN80" s="161"/>
      <c r="CO80" s="153"/>
      <c r="CP80" s="153"/>
      <c r="CQ80" s="154"/>
      <c r="CR80" s="155"/>
      <c r="CS80" s="161"/>
      <c r="CT80" s="223"/>
      <c r="CU80" s="160"/>
      <c r="CV80" s="223"/>
      <c r="CW80" s="223"/>
      <c r="CX80" s="156"/>
      <c r="CY80" s="159"/>
      <c r="CZ80" s="161"/>
      <c r="DA80" s="161"/>
      <c r="DB80" s="161"/>
      <c r="DC80" s="153"/>
      <c r="DD80" s="153"/>
      <c r="DE80" s="154"/>
      <c r="DF80" s="155"/>
      <c r="DG80" s="161"/>
      <c r="DH80" s="161"/>
      <c r="DI80" s="161"/>
      <c r="DJ80" s="161"/>
      <c r="DK80" s="156"/>
      <c r="DL80" s="162"/>
      <c r="DM80" s="223"/>
      <c r="DN80" s="153"/>
      <c r="DO80" s="153"/>
      <c r="DP80" s="153"/>
      <c r="DQ80" s="153"/>
      <c r="DR80" s="153"/>
      <c r="DS80" s="158"/>
      <c r="DT80" s="153"/>
      <c r="DU80" s="154"/>
      <c r="DV80" s="154"/>
      <c r="DW80" s="154"/>
      <c r="DX80" s="154"/>
      <c r="DY80" s="154"/>
      <c r="DZ80" s="154"/>
      <c r="EA80" s="158"/>
      <c r="EB80" s="19"/>
    </row>
    <row r="81" spans="1:132" s="12" customFormat="1" ht="12.75" customHeight="1" x14ac:dyDescent="0.3">
      <c r="A81" s="10">
        <v>4321</v>
      </c>
      <c r="B81" s="11" t="s">
        <v>392</v>
      </c>
      <c r="C81" s="360">
        <v>1069</v>
      </c>
      <c r="D81" s="54">
        <v>284</v>
      </c>
      <c r="E81" s="706">
        <f t="shared" si="2"/>
        <v>0.26566884939195512</v>
      </c>
      <c r="F81" s="219"/>
      <c r="G81" s="161"/>
      <c r="H81" s="153"/>
      <c r="I81" s="155"/>
      <c r="J81" s="153"/>
      <c r="K81" s="162"/>
      <c r="L81" s="160"/>
      <c r="M81" s="223"/>
      <c r="N81" s="223"/>
      <c r="O81" s="223"/>
      <c r="P81" s="153"/>
      <c r="Q81" s="154"/>
      <c r="R81" s="189"/>
      <c r="S81" s="158"/>
      <c r="T81" s="159"/>
      <c r="U81" s="153"/>
      <c r="V81" s="153"/>
      <c r="W81" s="154"/>
      <c r="X81" s="158"/>
      <c r="Y81" s="153"/>
      <c r="Z81" s="153"/>
      <c r="AA81" s="153"/>
      <c r="AB81" s="153"/>
      <c r="AC81" s="158"/>
      <c r="AD81" s="159"/>
      <c r="AE81" s="153"/>
      <c r="AF81" s="153"/>
      <c r="AG81" s="158"/>
      <c r="AH81" s="153"/>
      <c r="AI81" s="154"/>
      <c r="AJ81" s="154"/>
      <c r="AK81" s="154"/>
      <c r="AL81" s="154"/>
      <c r="AM81" s="154"/>
      <c r="AN81" s="158"/>
      <c r="AO81" s="153"/>
      <c r="AP81" s="153"/>
      <c r="AQ81" s="153"/>
      <c r="AR81" s="158"/>
      <c r="AS81" s="153"/>
      <c r="AT81" s="153"/>
      <c r="AU81" s="153"/>
      <c r="AV81" s="154"/>
      <c r="AW81" s="158"/>
      <c r="AX81" s="153"/>
      <c r="AY81" s="153"/>
      <c r="AZ81" s="154"/>
      <c r="BA81" s="158"/>
      <c r="BB81" s="171"/>
      <c r="BC81" s="171"/>
      <c r="BD81" s="171"/>
      <c r="BE81" s="171"/>
      <c r="BF81" s="171"/>
      <c r="BG81" s="162"/>
      <c r="BH81" s="467"/>
      <c r="BI81" s="154"/>
      <c r="BJ81" s="158"/>
      <c r="BK81" s="162">
        <v>176</v>
      </c>
      <c r="BL81" s="107">
        <v>94</v>
      </c>
      <c r="BM81" s="45">
        <v>148</v>
      </c>
      <c r="BN81" s="45">
        <v>70</v>
      </c>
      <c r="BO81" s="54">
        <v>107</v>
      </c>
      <c r="BP81" s="73">
        <v>99</v>
      </c>
      <c r="BQ81" s="159"/>
      <c r="BR81" s="153"/>
      <c r="BS81" s="155"/>
      <c r="BT81" s="161"/>
      <c r="BU81" s="161"/>
      <c r="BV81" s="153"/>
      <c r="BW81" s="153"/>
      <c r="BX81" s="153"/>
      <c r="BY81" s="153"/>
      <c r="BZ81" s="154"/>
      <c r="CA81" s="155"/>
      <c r="CB81" s="153"/>
      <c r="CC81" s="155"/>
      <c r="CD81" s="153"/>
      <c r="CE81" s="155"/>
      <c r="CF81" s="160"/>
      <c r="CG81" s="160"/>
      <c r="CH81" s="161"/>
      <c r="CI81" s="162"/>
      <c r="CJ81" s="155"/>
      <c r="CK81" s="153"/>
      <c r="CL81" s="155"/>
      <c r="CM81" s="161"/>
      <c r="CN81" s="161"/>
      <c r="CO81" s="153"/>
      <c r="CP81" s="153"/>
      <c r="CQ81" s="154"/>
      <c r="CR81" s="155"/>
      <c r="CS81" s="161"/>
      <c r="CT81" s="223"/>
      <c r="CU81" s="160"/>
      <c r="CV81" s="223"/>
      <c r="CW81" s="223"/>
      <c r="CX81" s="156"/>
      <c r="CY81" s="159"/>
      <c r="CZ81" s="161"/>
      <c r="DA81" s="161"/>
      <c r="DB81" s="161"/>
      <c r="DC81" s="153"/>
      <c r="DD81" s="153"/>
      <c r="DE81" s="154"/>
      <c r="DF81" s="155"/>
      <c r="DG81" s="161"/>
      <c r="DH81" s="161"/>
      <c r="DI81" s="161"/>
      <c r="DJ81" s="161"/>
      <c r="DK81" s="156"/>
      <c r="DL81" s="162"/>
      <c r="DM81" s="223"/>
      <c r="DN81" s="153"/>
      <c r="DO81" s="153"/>
      <c r="DP81" s="153"/>
      <c r="DQ81" s="153"/>
      <c r="DR81" s="153"/>
      <c r="DS81" s="158"/>
      <c r="DT81" s="153"/>
      <c r="DU81" s="154"/>
      <c r="DV81" s="154"/>
      <c r="DW81" s="154"/>
      <c r="DX81" s="154"/>
      <c r="DY81" s="154"/>
      <c r="DZ81" s="154"/>
      <c r="EA81" s="158"/>
      <c r="EB81" s="19"/>
    </row>
    <row r="82" spans="1:132" s="12" customFormat="1" ht="13" x14ac:dyDescent="0.3">
      <c r="A82" s="10">
        <v>4331</v>
      </c>
      <c r="B82" s="11" t="s">
        <v>393</v>
      </c>
      <c r="C82" s="360">
        <v>1163</v>
      </c>
      <c r="D82" s="54">
        <v>435</v>
      </c>
      <c r="E82" s="706">
        <f t="shared" si="2"/>
        <v>0.37403267411865865</v>
      </c>
      <c r="F82" s="219"/>
      <c r="G82" s="161"/>
      <c r="H82" s="153"/>
      <c r="I82" s="155"/>
      <c r="J82" s="153"/>
      <c r="K82" s="162"/>
      <c r="L82" s="160"/>
      <c r="M82" s="223"/>
      <c r="N82" s="223"/>
      <c r="O82" s="223"/>
      <c r="P82" s="153"/>
      <c r="Q82" s="154"/>
      <c r="R82" s="189"/>
      <c r="S82" s="158"/>
      <c r="T82" s="159"/>
      <c r="U82" s="153"/>
      <c r="V82" s="153"/>
      <c r="W82" s="154"/>
      <c r="X82" s="158"/>
      <c r="Y82" s="153"/>
      <c r="Z82" s="153"/>
      <c r="AA82" s="153"/>
      <c r="AB82" s="153"/>
      <c r="AC82" s="158"/>
      <c r="AD82" s="159"/>
      <c r="AE82" s="153"/>
      <c r="AF82" s="153"/>
      <c r="AG82" s="158"/>
      <c r="AH82" s="153"/>
      <c r="AI82" s="154"/>
      <c r="AJ82" s="154"/>
      <c r="AK82" s="154"/>
      <c r="AL82" s="154"/>
      <c r="AM82" s="154"/>
      <c r="AN82" s="158"/>
      <c r="AO82" s="153"/>
      <c r="AP82" s="153"/>
      <c r="AQ82" s="153"/>
      <c r="AR82" s="158"/>
      <c r="AS82" s="153"/>
      <c r="AT82" s="153"/>
      <c r="AU82" s="153"/>
      <c r="AV82" s="154"/>
      <c r="AW82" s="158"/>
      <c r="AX82" s="153"/>
      <c r="AY82" s="153"/>
      <c r="AZ82" s="154"/>
      <c r="BA82" s="158"/>
      <c r="BB82" s="153"/>
      <c r="BC82" s="153"/>
      <c r="BD82" s="153"/>
      <c r="BE82" s="153"/>
      <c r="BF82" s="153"/>
      <c r="BG82" s="221"/>
      <c r="BH82" s="469"/>
      <c r="BI82" s="172"/>
      <c r="BJ82" s="176"/>
      <c r="BK82" s="221">
        <v>248</v>
      </c>
      <c r="BL82" s="107">
        <v>158</v>
      </c>
      <c r="BM82" s="45">
        <v>226</v>
      </c>
      <c r="BN82" s="45">
        <v>126</v>
      </c>
      <c r="BO82" s="54">
        <v>156</v>
      </c>
      <c r="BP82" s="73">
        <v>183</v>
      </c>
      <c r="BQ82" s="159"/>
      <c r="BR82" s="153"/>
      <c r="BS82" s="155"/>
      <c r="BT82" s="161"/>
      <c r="BU82" s="161"/>
      <c r="BV82" s="153"/>
      <c r="BW82" s="153"/>
      <c r="BX82" s="153"/>
      <c r="BY82" s="153"/>
      <c r="BZ82" s="154"/>
      <c r="CA82" s="155"/>
      <c r="CB82" s="153"/>
      <c r="CC82" s="155"/>
      <c r="CD82" s="153"/>
      <c r="CE82" s="155"/>
      <c r="CF82" s="160"/>
      <c r="CG82" s="160"/>
      <c r="CH82" s="161"/>
      <c r="CI82" s="162"/>
      <c r="CJ82" s="155"/>
      <c r="CK82" s="153"/>
      <c r="CL82" s="155"/>
      <c r="CM82" s="161"/>
      <c r="CN82" s="161"/>
      <c r="CO82" s="153"/>
      <c r="CP82" s="153"/>
      <c r="CQ82" s="154"/>
      <c r="CR82" s="155"/>
      <c r="CS82" s="161"/>
      <c r="CT82" s="223"/>
      <c r="CU82" s="160"/>
      <c r="CV82" s="223"/>
      <c r="CW82" s="223"/>
      <c r="CX82" s="156"/>
      <c r="CY82" s="159"/>
      <c r="CZ82" s="161"/>
      <c r="DA82" s="161"/>
      <c r="DB82" s="161"/>
      <c r="DC82" s="153"/>
      <c r="DD82" s="153"/>
      <c r="DE82" s="154"/>
      <c r="DF82" s="155"/>
      <c r="DG82" s="161"/>
      <c r="DH82" s="161"/>
      <c r="DI82" s="161"/>
      <c r="DJ82" s="161"/>
      <c r="DK82" s="156"/>
      <c r="DL82" s="162"/>
      <c r="DM82" s="223"/>
      <c r="DN82" s="153"/>
      <c r="DO82" s="153"/>
      <c r="DP82" s="153"/>
      <c r="DQ82" s="153"/>
      <c r="DR82" s="153"/>
      <c r="DS82" s="158"/>
      <c r="DT82" s="153"/>
      <c r="DU82" s="154"/>
      <c r="DV82" s="154"/>
      <c r="DW82" s="154"/>
      <c r="DX82" s="154"/>
      <c r="DY82" s="154"/>
      <c r="DZ82" s="154"/>
      <c r="EA82" s="158"/>
      <c r="EB82" s="19"/>
    </row>
    <row r="83" spans="1:132" s="12" customFormat="1" ht="12.75" customHeight="1" x14ac:dyDescent="0.3">
      <c r="A83" s="10">
        <v>4341</v>
      </c>
      <c r="B83" s="11" t="s">
        <v>394</v>
      </c>
      <c r="C83" s="360">
        <v>1140</v>
      </c>
      <c r="D83" s="54">
        <v>514</v>
      </c>
      <c r="E83" s="706">
        <f t="shared" si="2"/>
        <v>0.45087719298245615</v>
      </c>
      <c r="F83" s="219"/>
      <c r="G83" s="161"/>
      <c r="H83" s="153"/>
      <c r="I83" s="155"/>
      <c r="J83" s="153"/>
      <c r="K83" s="162"/>
      <c r="L83" s="160"/>
      <c r="M83" s="223"/>
      <c r="N83" s="223"/>
      <c r="O83" s="223"/>
      <c r="P83" s="153"/>
      <c r="Q83" s="154"/>
      <c r="R83" s="189"/>
      <c r="S83" s="158"/>
      <c r="T83" s="159"/>
      <c r="U83" s="153"/>
      <c r="V83" s="153"/>
      <c r="W83" s="154"/>
      <c r="X83" s="158"/>
      <c r="Y83" s="153"/>
      <c r="Z83" s="153"/>
      <c r="AA83" s="153"/>
      <c r="AB83" s="153"/>
      <c r="AC83" s="158"/>
      <c r="AD83" s="159"/>
      <c r="AE83" s="153"/>
      <c r="AF83" s="153"/>
      <c r="AG83" s="158"/>
      <c r="AH83" s="153"/>
      <c r="AI83" s="154"/>
      <c r="AJ83" s="154"/>
      <c r="AK83" s="154"/>
      <c r="AL83" s="154"/>
      <c r="AM83" s="154"/>
      <c r="AN83" s="158"/>
      <c r="AO83" s="153"/>
      <c r="AP83" s="153"/>
      <c r="AQ83" s="153"/>
      <c r="AR83" s="158"/>
      <c r="AS83" s="153"/>
      <c r="AT83" s="153"/>
      <c r="AU83" s="153"/>
      <c r="AV83" s="154"/>
      <c r="AW83" s="158"/>
      <c r="AX83" s="153"/>
      <c r="AY83" s="153"/>
      <c r="AZ83" s="154"/>
      <c r="BA83" s="158"/>
      <c r="BB83" s="153"/>
      <c r="BC83" s="153"/>
      <c r="BD83" s="153"/>
      <c r="BE83" s="153"/>
      <c r="BF83" s="153"/>
      <c r="BG83" s="221"/>
      <c r="BH83" s="469"/>
      <c r="BI83" s="172"/>
      <c r="BJ83" s="176"/>
      <c r="BK83" s="221">
        <v>287</v>
      </c>
      <c r="BL83" s="107">
        <v>206</v>
      </c>
      <c r="BM83" s="45">
        <v>244</v>
      </c>
      <c r="BN83" s="45">
        <v>152</v>
      </c>
      <c r="BO83" s="54">
        <v>223</v>
      </c>
      <c r="BP83" s="73">
        <v>236</v>
      </c>
      <c r="BQ83" s="159"/>
      <c r="BR83" s="153"/>
      <c r="BS83" s="155"/>
      <c r="BT83" s="161"/>
      <c r="BU83" s="161"/>
      <c r="BV83" s="153"/>
      <c r="BW83" s="153"/>
      <c r="BX83" s="153"/>
      <c r="BY83" s="153"/>
      <c r="BZ83" s="154"/>
      <c r="CA83" s="155"/>
      <c r="CB83" s="153"/>
      <c r="CC83" s="155"/>
      <c r="CD83" s="153"/>
      <c r="CE83" s="155"/>
      <c r="CF83" s="160"/>
      <c r="CG83" s="160"/>
      <c r="CH83" s="161"/>
      <c r="CI83" s="162"/>
      <c r="CJ83" s="155"/>
      <c r="CK83" s="153"/>
      <c r="CL83" s="155"/>
      <c r="CM83" s="161"/>
      <c r="CN83" s="161"/>
      <c r="CO83" s="153"/>
      <c r="CP83" s="153"/>
      <c r="CQ83" s="154"/>
      <c r="CR83" s="155"/>
      <c r="CS83" s="161"/>
      <c r="CT83" s="223"/>
      <c r="CU83" s="160"/>
      <c r="CV83" s="223"/>
      <c r="CW83" s="223"/>
      <c r="CX83" s="156"/>
      <c r="CY83" s="159"/>
      <c r="CZ83" s="161"/>
      <c r="DA83" s="161"/>
      <c r="DB83" s="161"/>
      <c r="DC83" s="153"/>
      <c r="DD83" s="153"/>
      <c r="DE83" s="154"/>
      <c r="DF83" s="155"/>
      <c r="DG83" s="161"/>
      <c r="DH83" s="161"/>
      <c r="DI83" s="161"/>
      <c r="DJ83" s="161"/>
      <c r="DK83" s="156"/>
      <c r="DL83" s="162"/>
      <c r="DM83" s="223"/>
      <c r="DN83" s="153"/>
      <c r="DO83" s="153"/>
      <c r="DP83" s="153"/>
      <c r="DQ83" s="153"/>
      <c r="DR83" s="153"/>
      <c r="DS83" s="158"/>
      <c r="DT83" s="153"/>
      <c r="DU83" s="154"/>
      <c r="DV83" s="154"/>
      <c r="DW83" s="154"/>
      <c r="DX83" s="154"/>
      <c r="DY83" s="154"/>
      <c r="DZ83" s="154"/>
      <c r="EA83" s="158"/>
      <c r="EB83" s="19"/>
    </row>
    <row r="84" spans="1:132" s="12" customFormat="1" ht="13" x14ac:dyDescent="0.3">
      <c r="A84" s="10">
        <v>4342</v>
      </c>
      <c r="B84" s="11" t="s">
        <v>395</v>
      </c>
      <c r="C84" s="360">
        <v>547</v>
      </c>
      <c r="D84" s="54">
        <v>273</v>
      </c>
      <c r="E84" s="706">
        <f t="shared" si="2"/>
        <v>0.4990859232175503</v>
      </c>
      <c r="F84" s="219"/>
      <c r="G84" s="161"/>
      <c r="H84" s="153"/>
      <c r="I84" s="155"/>
      <c r="J84" s="153"/>
      <c r="K84" s="162"/>
      <c r="L84" s="160"/>
      <c r="M84" s="223"/>
      <c r="N84" s="223"/>
      <c r="O84" s="223"/>
      <c r="P84" s="153"/>
      <c r="Q84" s="154"/>
      <c r="R84" s="189"/>
      <c r="S84" s="158"/>
      <c r="T84" s="159"/>
      <c r="U84" s="153"/>
      <c r="V84" s="153"/>
      <c r="W84" s="154"/>
      <c r="X84" s="158"/>
      <c r="Y84" s="153"/>
      <c r="Z84" s="153"/>
      <c r="AA84" s="153"/>
      <c r="AB84" s="153"/>
      <c r="AC84" s="158"/>
      <c r="AD84" s="159"/>
      <c r="AE84" s="153"/>
      <c r="AF84" s="153"/>
      <c r="AG84" s="158"/>
      <c r="AH84" s="153"/>
      <c r="AI84" s="154"/>
      <c r="AJ84" s="154"/>
      <c r="AK84" s="154"/>
      <c r="AL84" s="154"/>
      <c r="AM84" s="154"/>
      <c r="AN84" s="158"/>
      <c r="AO84" s="153"/>
      <c r="AP84" s="153"/>
      <c r="AQ84" s="153"/>
      <c r="AR84" s="158"/>
      <c r="AS84" s="153"/>
      <c r="AT84" s="153"/>
      <c r="AU84" s="153"/>
      <c r="AV84" s="154"/>
      <c r="AW84" s="158"/>
      <c r="AX84" s="153"/>
      <c r="AY84" s="153"/>
      <c r="AZ84" s="154"/>
      <c r="BA84" s="158"/>
      <c r="BB84" s="153"/>
      <c r="BC84" s="153"/>
      <c r="BD84" s="153"/>
      <c r="BE84" s="153"/>
      <c r="BF84" s="153"/>
      <c r="BG84" s="221"/>
      <c r="BH84" s="469"/>
      <c r="BI84" s="172"/>
      <c r="BJ84" s="176"/>
      <c r="BK84" s="221">
        <v>184</v>
      </c>
      <c r="BL84" s="107">
        <v>77</v>
      </c>
      <c r="BM84" s="45">
        <v>162</v>
      </c>
      <c r="BN84" s="45">
        <v>72</v>
      </c>
      <c r="BO84" s="54">
        <v>107</v>
      </c>
      <c r="BP84" s="73">
        <v>113</v>
      </c>
      <c r="BQ84" s="511"/>
      <c r="BR84" s="165"/>
      <c r="BS84" s="170"/>
      <c r="BT84" s="220"/>
      <c r="BU84" s="220"/>
      <c r="BV84" s="165"/>
      <c r="BW84" s="165"/>
      <c r="BX84" s="165"/>
      <c r="BY84" s="165"/>
      <c r="BZ84" s="173"/>
      <c r="CA84" s="170"/>
      <c r="CB84" s="165"/>
      <c r="CC84" s="170"/>
      <c r="CD84" s="153"/>
      <c r="CE84" s="155"/>
      <c r="CF84" s="160"/>
      <c r="CG84" s="160"/>
      <c r="CH84" s="161"/>
      <c r="CI84" s="162"/>
      <c r="CJ84" s="155"/>
      <c r="CK84" s="153"/>
      <c r="CL84" s="155"/>
      <c r="CM84" s="161"/>
      <c r="CN84" s="161"/>
      <c r="CO84" s="153"/>
      <c r="CP84" s="153"/>
      <c r="CQ84" s="154"/>
      <c r="CR84" s="155"/>
      <c r="CS84" s="161"/>
      <c r="CT84" s="223"/>
      <c r="CU84" s="160"/>
      <c r="CV84" s="223"/>
      <c r="CW84" s="223"/>
      <c r="CX84" s="156"/>
      <c r="CY84" s="159"/>
      <c r="CZ84" s="161"/>
      <c r="DA84" s="161"/>
      <c r="DB84" s="161"/>
      <c r="DC84" s="153"/>
      <c r="DD84" s="153"/>
      <c r="DE84" s="154"/>
      <c r="DF84" s="155"/>
      <c r="DG84" s="161"/>
      <c r="DH84" s="161"/>
      <c r="DI84" s="161"/>
      <c r="DJ84" s="161"/>
      <c r="DK84" s="156"/>
      <c r="DL84" s="162"/>
      <c r="DM84" s="223"/>
      <c r="DN84" s="153"/>
      <c r="DO84" s="153"/>
      <c r="DP84" s="153"/>
      <c r="DQ84" s="153"/>
      <c r="DR84" s="153"/>
      <c r="DS84" s="158"/>
      <c r="DT84" s="153"/>
      <c r="DU84" s="154"/>
      <c r="DV84" s="154"/>
      <c r="DW84" s="154"/>
      <c r="DX84" s="154"/>
      <c r="DY84" s="154"/>
      <c r="DZ84" s="154"/>
      <c r="EA84" s="158"/>
      <c r="EB84" s="19"/>
    </row>
    <row r="85" spans="1:132" s="12" customFormat="1" ht="12.75" customHeight="1" x14ac:dyDescent="0.3">
      <c r="A85" s="10">
        <v>4343</v>
      </c>
      <c r="B85" s="11" t="s">
        <v>396</v>
      </c>
      <c r="C85" s="360">
        <v>802</v>
      </c>
      <c r="D85" s="54">
        <v>288</v>
      </c>
      <c r="E85" s="706">
        <f t="shared" si="2"/>
        <v>0.35910224438902744</v>
      </c>
      <c r="F85" s="219"/>
      <c r="G85" s="161"/>
      <c r="H85" s="153"/>
      <c r="I85" s="155"/>
      <c r="J85" s="153"/>
      <c r="K85" s="162"/>
      <c r="L85" s="160"/>
      <c r="M85" s="223"/>
      <c r="N85" s="223"/>
      <c r="O85" s="223"/>
      <c r="P85" s="153"/>
      <c r="Q85" s="154"/>
      <c r="R85" s="189"/>
      <c r="S85" s="158"/>
      <c r="T85" s="159"/>
      <c r="U85" s="153"/>
      <c r="V85" s="153"/>
      <c r="W85" s="154"/>
      <c r="X85" s="158"/>
      <c r="Y85" s="153"/>
      <c r="Z85" s="153"/>
      <c r="AA85" s="153"/>
      <c r="AB85" s="153"/>
      <c r="AC85" s="158"/>
      <c r="AD85" s="159"/>
      <c r="AE85" s="153"/>
      <c r="AF85" s="153"/>
      <c r="AG85" s="158"/>
      <c r="AH85" s="153"/>
      <c r="AI85" s="154"/>
      <c r="AJ85" s="154"/>
      <c r="AK85" s="154"/>
      <c r="AL85" s="154"/>
      <c r="AM85" s="154"/>
      <c r="AN85" s="158"/>
      <c r="AO85" s="153"/>
      <c r="AP85" s="153"/>
      <c r="AQ85" s="153"/>
      <c r="AR85" s="158"/>
      <c r="AS85" s="153"/>
      <c r="AT85" s="153"/>
      <c r="AU85" s="153"/>
      <c r="AV85" s="154"/>
      <c r="AW85" s="158"/>
      <c r="AX85" s="153"/>
      <c r="AY85" s="153"/>
      <c r="AZ85" s="154"/>
      <c r="BA85" s="158"/>
      <c r="BB85" s="153"/>
      <c r="BC85" s="153"/>
      <c r="BD85" s="153"/>
      <c r="BE85" s="153"/>
      <c r="BF85" s="153"/>
      <c r="BG85" s="221"/>
      <c r="BH85" s="469"/>
      <c r="BI85" s="172"/>
      <c r="BJ85" s="176"/>
      <c r="BK85" s="221">
        <v>224</v>
      </c>
      <c r="BL85" s="160">
        <v>45</v>
      </c>
      <c r="BM85" s="153">
        <v>151</v>
      </c>
      <c r="BN85" s="153">
        <v>74</v>
      </c>
      <c r="BO85" s="154">
        <v>133</v>
      </c>
      <c r="BP85" s="156">
        <v>93</v>
      </c>
      <c r="BQ85" s="511"/>
      <c r="BR85" s="45"/>
      <c r="BS85" s="58"/>
      <c r="BT85" s="102"/>
      <c r="BU85" s="102"/>
      <c r="BV85" s="103"/>
      <c r="BW85" s="103"/>
      <c r="BX85" s="103"/>
      <c r="BY85" s="103"/>
      <c r="BZ85" s="69"/>
      <c r="CA85" s="104"/>
      <c r="CB85" s="103"/>
      <c r="CC85" s="104"/>
      <c r="CD85" s="153"/>
      <c r="CE85" s="155"/>
      <c r="CF85" s="160"/>
      <c r="CG85" s="160"/>
      <c r="CH85" s="161"/>
      <c r="CI85" s="162"/>
      <c r="CJ85" s="155"/>
      <c r="CK85" s="153"/>
      <c r="CL85" s="155"/>
      <c r="CM85" s="161"/>
      <c r="CN85" s="161"/>
      <c r="CO85" s="153"/>
      <c r="CP85" s="153"/>
      <c r="CQ85" s="154"/>
      <c r="CR85" s="155"/>
      <c r="CS85" s="161"/>
      <c r="CT85" s="223"/>
      <c r="CU85" s="160"/>
      <c r="CV85" s="223"/>
      <c r="CW85" s="223"/>
      <c r="CX85" s="156"/>
      <c r="CY85" s="159"/>
      <c r="CZ85" s="161"/>
      <c r="DA85" s="161"/>
      <c r="DB85" s="161"/>
      <c r="DC85" s="153"/>
      <c r="DD85" s="153"/>
      <c r="DE85" s="154"/>
      <c r="DF85" s="155"/>
      <c r="DG85" s="161"/>
      <c r="DH85" s="161"/>
      <c r="DI85" s="161"/>
      <c r="DJ85" s="161"/>
      <c r="DK85" s="156"/>
      <c r="DL85" s="162"/>
      <c r="DM85" s="223"/>
      <c r="DN85" s="153"/>
      <c r="DO85" s="153"/>
      <c r="DP85" s="153"/>
      <c r="DQ85" s="153"/>
      <c r="DR85" s="153"/>
      <c r="DS85" s="158"/>
      <c r="DT85" s="153"/>
      <c r="DU85" s="154"/>
      <c r="DV85" s="154"/>
      <c r="DW85" s="154"/>
      <c r="DX85" s="154"/>
      <c r="DY85" s="154"/>
      <c r="DZ85" s="154"/>
      <c r="EA85" s="158"/>
      <c r="EB85" s="19"/>
    </row>
    <row r="86" spans="1:132" s="12" customFormat="1" ht="13" x14ac:dyDescent="0.3">
      <c r="A86" s="10">
        <v>4411</v>
      </c>
      <c r="B86" s="11" t="s">
        <v>397</v>
      </c>
      <c r="C86" s="360">
        <v>872</v>
      </c>
      <c r="D86" s="54">
        <v>299</v>
      </c>
      <c r="E86" s="706">
        <f t="shared" si="2"/>
        <v>0.34288990825688076</v>
      </c>
      <c r="F86" s="219"/>
      <c r="G86" s="161"/>
      <c r="H86" s="153"/>
      <c r="I86" s="155"/>
      <c r="J86" s="153"/>
      <c r="K86" s="162"/>
      <c r="L86" s="160"/>
      <c r="M86" s="223"/>
      <c r="N86" s="223"/>
      <c r="O86" s="223"/>
      <c r="P86" s="153"/>
      <c r="Q86" s="154"/>
      <c r="R86" s="189"/>
      <c r="S86" s="158"/>
      <c r="T86" s="159"/>
      <c r="U86" s="153"/>
      <c r="V86" s="153"/>
      <c r="W86" s="154"/>
      <c r="X86" s="158"/>
      <c r="Y86" s="153"/>
      <c r="Z86" s="153"/>
      <c r="AA86" s="153"/>
      <c r="AB86" s="153"/>
      <c r="AC86" s="158"/>
      <c r="AD86" s="159"/>
      <c r="AE86" s="153"/>
      <c r="AF86" s="153"/>
      <c r="AG86" s="158"/>
      <c r="AH86" s="153"/>
      <c r="AI86" s="154"/>
      <c r="AJ86" s="154"/>
      <c r="AK86" s="154"/>
      <c r="AL86" s="154"/>
      <c r="AM86" s="154"/>
      <c r="AN86" s="158"/>
      <c r="AO86" s="153"/>
      <c r="AP86" s="153"/>
      <c r="AQ86" s="153"/>
      <c r="AR86" s="158"/>
      <c r="AS86" s="153"/>
      <c r="AT86" s="153"/>
      <c r="AU86" s="153"/>
      <c r="AV86" s="154"/>
      <c r="AW86" s="158"/>
      <c r="AX86" s="153"/>
      <c r="AY86" s="153"/>
      <c r="AZ86" s="154"/>
      <c r="BA86" s="158"/>
      <c r="BB86" s="153"/>
      <c r="BC86" s="153"/>
      <c r="BD86" s="153"/>
      <c r="BE86" s="153"/>
      <c r="BF86" s="153"/>
      <c r="BG86" s="221"/>
      <c r="BH86" s="469"/>
      <c r="BI86" s="172"/>
      <c r="BJ86" s="176"/>
      <c r="BK86" s="221"/>
      <c r="BL86" s="160"/>
      <c r="BM86" s="153"/>
      <c r="BN86" s="153"/>
      <c r="BO86" s="154"/>
      <c r="BP86" s="156"/>
      <c r="BQ86" s="511">
        <v>175</v>
      </c>
      <c r="BR86" s="45">
        <v>184</v>
      </c>
      <c r="BS86" s="58">
        <v>88</v>
      </c>
      <c r="BT86" s="102">
        <v>169</v>
      </c>
      <c r="BU86" s="102">
        <v>213</v>
      </c>
      <c r="BV86" s="45">
        <v>83</v>
      </c>
      <c r="BW86" s="45">
        <v>173</v>
      </c>
      <c r="BX86" s="45">
        <v>70</v>
      </c>
      <c r="BY86" s="45">
        <v>169</v>
      </c>
      <c r="BZ86" s="54">
        <v>163</v>
      </c>
      <c r="CA86" s="58">
        <v>71</v>
      </c>
      <c r="CB86" s="45">
        <v>184</v>
      </c>
      <c r="CC86" s="58">
        <v>88</v>
      </c>
      <c r="CD86" s="165">
        <v>191</v>
      </c>
      <c r="CE86" s="170">
        <v>319</v>
      </c>
      <c r="CF86" s="304">
        <v>287</v>
      </c>
      <c r="CG86" s="304">
        <v>169</v>
      </c>
      <c r="CH86" s="220">
        <v>194</v>
      </c>
      <c r="CI86" s="162"/>
      <c r="CJ86" s="155"/>
      <c r="CK86" s="153"/>
      <c r="CL86" s="155"/>
      <c r="CM86" s="161"/>
      <c r="CN86" s="161"/>
      <c r="CO86" s="153"/>
      <c r="CP86" s="153"/>
      <c r="CQ86" s="154"/>
      <c r="CR86" s="155"/>
      <c r="CS86" s="161"/>
      <c r="CT86" s="223"/>
      <c r="CU86" s="160"/>
      <c r="CV86" s="223"/>
      <c r="CW86" s="223"/>
      <c r="CX86" s="156"/>
      <c r="CY86" s="159"/>
      <c r="CZ86" s="161"/>
      <c r="DA86" s="161"/>
      <c r="DB86" s="161"/>
      <c r="DC86" s="153"/>
      <c r="DD86" s="153"/>
      <c r="DE86" s="154"/>
      <c r="DF86" s="155"/>
      <c r="DG86" s="161"/>
      <c r="DH86" s="161"/>
      <c r="DI86" s="161"/>
      <c r="DJ86" s="161"/>
      <c r="DK86" s="156"/>
      <c r="DL86" s="162"/>
      <c r="DM86" s="223"/>
      <c r="DN86" s="153"/>
      <c r="DO86" s="153"/>
      <c r="DP86" s="153"/>
      <c r="DQ86" s="153"/>
      <c r="DR86" s="153"/>
      <c r="DS86" s="158"/>
      <c r="DT86" s="153"/>
      <c r="DU86" s="154"/>
      <c r="DV86" s="154"/>
      <c r="DW86" s="154"/>
      <c r="DX86" s="154"/>
      <c r="DY86" s="154"/>
      <c r="DZ86" s="154"/>
      <c r="EA86" s="158"/>
      <c r="EB86" s="19"/>
    </row>
    <row r="87" spans="1:132" s="12" customFormat="1" ht="12.75" customHeight="1" x14ac:dyDescent="0.3">
      <c r="A87" s="10">
        <v>4412</v>
      </c>
      <c r="B87" s="11" t="s">
        <v>398</v>
      </c>
      <c r="C87" s="360">
        <v>1224</v>
      </c>
      <c r="D87" s="54">
        <v>433</v>
      </c>
      <c r="E87" s="706">
        <f t="shared" si="2"/>
        <v>0.35375816993464054</v>
      </c>
      <c r="F87" s="219"/>
      <c r="G87" s="161"/>
      <c r="H87" s="153"/>
      <c r="I87" s="155"/>
      <c r="J87" s="153"/>
      <c r="K87" s="162"/>
      <c r="L87" s="160"/>
      <c r="M87" s="223"/>
      <c r="N87" s="223"/>
      <c r="O87" s="223"/>
      <c r="P87" s="153"/>
      <c r="Q87" s="154"/>
      <c r="R87" s="189"/>
      <c r="S87" s="158"/>
      <c r="T87" s="159"/>
      <c r="U87" s="153"/>
      <c r="V87" s="153"/>
      <c r="W87" s="154"/>
      <c r="X87" s="158"/>
      <c r="Y87" s="153"/>
      <c r="Z87" s="153"/>
      <c r="AA87" s="153"/>
      <c r="AB87" s="153"/>
      <c r="AC87" s="158"/>
      <c r="AD87" s="159"/>
      <c r="AE87" s="153"/>
      <c r="AF87" s="153"/>
      <c r="AG87" s="158"/>
      <c r="AH87" s="153"/>
      <c r="AI87" s="154"/>
      <c r="AJ87" s="154"/>
      <c r="AK87" s="154"/>
      <c r="AL87" s="154"/>
      <c r="AM87" s="154"/>
      <c r="AN87" s="158"/>
      <c r="AO87" s="153"/>
      <c r="AP87" s="153"/>
      <c r="AQ87" s="153"/>
      <c r="AR87" s="158"/>
      <c r="AS87" s="153"/>
      <c r="AT87" s="153"/>
      <c r="AU87" s="153"/>
      <c r="AV87" s="154"/>
      <c r="AW87" s="158"/>
      <c r="AX87" s="153"/>
      <c r="AY87" s="153"/>
      <c r="AZ87" s="154"/>
      <c r="BA87" s="158"/>
      <c r="BB87" s="153"/>
      <c r="BC87" s="153"/>
      <c r="BD87" s="153"/>
      <c r="BE87" s="153"/>
      <c r="BF87" s="153"/>
      <c r="BG87" s="162"/>
      <c r="BH87" s="467"/>
      <c r="BI87" s="154"/>
      <c r="BJ87" s="158"/>
      <c r="BK87" s="162"/>
      <c r="BL87" s="327"/>
      <c r="BM87" s="171"/>
      <c r="BN87" s="171"/>
      <c r="BO87" s="172"/>
      <c r="BP87" s="175"/>
      <c r="BQ87" s="511">
        <v>259</v>
      </c>
      <c r="BR87" s="45">
        <v>219</v>
      </c>
      <c r="BS87" s="58">
        <v>167</v>
      </c>
      <c r="BT87" s="102">
        <v>258</v>
      </c>
      <c r="BU87" s="102">
        <v>290</v>
      </c>
      <c r="BV87" s="45">
        <v>168</v>
      </c>
      <c r="BW87" s="45">
        <v>217</v>
      </c>
      <c r="BX87" s="45">
        <v>147</v>
      </c>
      <c r="BY87" s="45">
        <v>208</v>
      </c>
      <c r="BZ87" s="54">
        <v>213</v>
      </c>
      <c r="CA87" s="58">
        <v>143</v>
      </c>
      <c r="CB87" s="45">
        <v>231</v>
      </c>
      <c r="CC87" s="58">
        <v>172</v>
      </c>
      <c r="CD87" s="45">
        <v>167</v>
      </c>
      <c r="CE87" s="58">
        <v>330</v>
      </c>
      <c r="CF87" s="107">
        <v>224</v>
      </c>
      <c r="CG87" s="107">
        <v>148</v>
      </c>
      <c r="CH87" s="102">
        <v>218</v>
      </c>
      <c r="CI87" s="162"/>
      <c r="CJ87" s="155"/>
      <c r="CK87" s="153"/>
      <c r="CL87" s="155"/>
      <c r="CM87" s="161"/>
      <c r="CN87" s="161"/>
      <c r="CO87" s="153"/>
      <c r="CP87" s="153"/>
      <c r="CQ87" s="154"/>
      <c r="CR87" s="155"/>
      <c r="CS87" s="161"/>
      <c r="CT87" s="223"/>
      <c r="CU87" s="160"/>
      <c r="CV87" s="223"/>
      <c r="CW87" s="223"/>
      <c r="CX87" s="156"/>
      <c r="CY87" s="159"/>
      <c r="CZ87" s="161"/>
      <c r="DA87" s="161"/>
      <c r="DB87" s="161"/>
      <c r="DC87" s="153"/>
      <c r="DD87" s="153"/>
      <c r="DE87" s="154"/>
      <c r="DF87" s="155"/>
      <c r="DG87" s="161"/>
      <c r="DH87" s="161"/>
      <c r="DI87" s="161"/>
      <c r="DJ87" s="161"/>
      <c r="DK87" s="156"/>
      <c r="DL87" s="162"/>
      <c r="DM87" s="223"/>
      <c r="DN87" s="153"/>
      <c r="DO87" s="153"/>
      <c r="DP87" s="153"/>
      <c r="DQ87" s="153"/>
      <c r="DR87" s="153"/>
      <c r="DS87" s="158"/>
      <c r="DT87" s="153"/>
      <c r="DU87" s="154"/>
      <c r="DV87" s="154"/>
      <c r="DW87" s="154"/>
      <c r="DX87" s="154"/>
      <c r="DY87" s="154"/>
      <c r="DZ87" s="154"/>
      <c r="EA87" s="158"/>
      <c r="EB87" s="19"/>
    </row>
    <row r="88" spans="1:132" s="12" customFormat="1" ht="13" x14ac:dyDescent="0.3">
      <c r="A88" s="10">
        <v>4413</v>
      </c>
      <c r="B88" s="11" t="s">
        <v>773</v>
      </c>
      <c r="C88" s="360">
        <v>1132</v>
      </c>
      <c r="D88" s="54">
        <v>495</v>
      </c>
      <c r="E88" s="706">
        <f t="shared" si="2"/>
        <v>0.4372791519434629</v>
      </c>
      <c r="F88" s="219"/>
      <c r="G88" s="161"/>
      <c r="H88" s="153"/>
      <c r="I88" s="155"/>
      <c r="J88" s="153"/>
      <c r="K88" s="162"/>
      <c r="L88" s="160"/>
      <c r="M88" s="223"/>
      <c r="N88" s="223"/>
      <c r="O88" s="223"/>
      <c r="P88" s="153"/>
      <c r="Q88" s="154"/>
      <c r="R88" s="189"/>
      <c r="S88" s="158"/>
      <c r="T88" s="159"/>
      <c r="U88" s="153"/>
      <c r="V88" s="153"/>
      <c r="W88" s="154"/>
      <c r="X88" s="158"/>
      <c r="Y88" s="153"/>
      <c r="Z88" s="153"/>
      <c r="AA88" s="153"/>
      <c r="AB88" s="153"/>
      <c r="AC88" s="158"/>
      <c r="AD88" s="159"/>
      <c r="AE88" s="153"/>
      <c r="AF88" s="153"/>
      <c r="AG88" s="158"/>
      <c r="AH88" s="153"/>
      <c r="AI88" s="154"/>
      <c r="AJ88" s="154"/>
      <c r="AK88" s="154"/>
      <c r="AL88" s="154"/>
      <c r="AM88" s="154"/>
      <c r="AN88" s="158"/>
      <c r="AO88" s="153"/>
      <c r="AP88" s="153"/>
      <c r="AQ88" s="153"/>
      <c r="AR88" s="158"/>
      <c r="AS88" s="153"/>
      <c r="AT88" s="153"/>
      <c r="AU88" s="153"/>
      <c r="AV88" s="154"/>
      <c r="AW88" s="158"/>
      <c r="AX88" s="153"/>
      <c r="AY88" s="153"/>
      <c r="AZ88" s="154"/>
      <c r="BA88" s="158"/>
      <c r="BB88" s="153"/>
      <c r="BC88" s="153"/>
      <c r="BD88" s="153"/>
      <c r="BE88" s="153"/>
      <c r="BF88" s="153"/>
      <c r="BG88" s="162"/>
      <c r="BH88" s="467"/>
      <c r="BI88" s="154"/>
      <c r="BJ88" s="158"/>
      <c r="BK88" s="162"/>
      <c r="BL88" s="327"/>
      <c r="BM88" s="171"/>
      <c r="BN88" s="171"/>
      <c r="BO88" s="172"/>
      <c r="BP88" s="175"/>
      <c r="BQ88" s="511">
        <v>309</v>
      </c>
      <c r="BR88" s="45">
        <v>281</v>
      </c>
      <c r="BS88" s="58">
        <v>165</v>
      </c>
      <c r="BT88" s="102">
        <v>296</v>
      </c>
      <c r="BU88" s="102">
        <v>344</v>
      </c>
      <c r="BV88" s="45">
        <v>161</v>
      </c>
      <c r="BW88" s="45">
        <v>254</v>
      </c>
      <c r="BX88" s="45">
        <v>162</v>
      </c>
      <c r="BY88" s="45">
        <v>265</v>
      </c>
      <c r="BZ88" s="54">
        <v>249</v>
      </c>
      <c r="CA88" s="58">
        <v>138</v>
      </c>
      <c r="CB88" s="153">
        <v>286</v>
      </c>
      <c r="CC88" s="155">
        <v>182</v>
      </c>
      <c r="CD88" s="45">
        <v>183</v>
      </c>
      <c r="CE88" s="58">
        <v>315</v>
      </c>
      <c r="CF88" s="107">
        <v>385</v>
      </c>
      <c r="CG88" s="107">
        <v>311</v>
      </c>
      <c r="CH88" s="102">
        <v>297</v>
      </c>
      <c r="CI88" s="162"/>
      <c r="CJ88" s="155"/>
      <c r="CK88" s="153"/>
      <c r="CL88" s="155"/>
      <c r="CM88" s="161"/>
      <c r="CN88" s="161"/>
      <c r="CO88" s="153"/>
      <c r="CP88" s="153"/>
      <c r="CQ88" s="154"/>
      <c r="CR88" s="155"/>
      <c r="CS88" s="161"/>
      <c r="CT88" s="223"/>
      <c r="CU88" s="160"/>
      <c r="CV88" s="223"/>
      <c r="CW88" s="223"/>
      <c r="CX88" s="156"/>
      <c r="CY88" s="159"/>
      <c r="CZ88" s="161"/>
      <c r="DA88" s="161"/>
      <c r="DB88" s="161"/>
      <c r="DC88" s="153"/>
      <c r="DD88" s="153"/>
      <c r="DE88" s="154"/>
      <c r="DF88" s="155"/>
      <c r="DG88" s="161"/>
      <c r="DH88" s="161"/>
      <c r="DI88" s="161"/>
      <c r="DJ88" s="161"/>
      <c r="DK88" s="156"/>
      <c r="DL88" s="162"/>
      <c r="DM88" s="223"/>
      <c r="DN88" s="153"/>
      <c r="DO88" s="153"/>
      <c r="DP88" s="153"/>
      <c r="DQ88" s="153"/>
      <c r="DR88" s="153"/>
      <c r="DS88" s="158"/>
      <c r="DT88" s="153"/>
      <c r="DU88" s="154"/>
      <c r="DV88" s="154"/>
      <c r="DW88" s="154"/>
      <c r="DX88" s="154"/>
      <c r="DY88" s="154"/>
      <c r="DZ88" s="154"/>
      <c r="EA88" s="158"/>
      <c r="EB88" s="19"/>
    </row>
    <row r="89" spans="1:132" s="12" customFormat="1" ht="12.75" customHeight="1" x14ac:dyDescent="0.3">
      <c r="A89" s="10">
        <v>4421</v>
      </c>
      <c r="B89" s="11" t="s">
        <v>399</v>
      </c>
      <c r="C89" s="360">
        <v>1037</v>
      </c>
      <c r="D89" s="54">
        <v>555</v>
      </c>
      <c r="E89" s="706">
        <f t="shared" si="2"/>
        <v>0.53519768563162973</v>
      </c>
      <c r="F89" s="219"/>
      <c r="G89" s="161"/>
      <c r="H89" s="153"/>
      <c r="I89" s="155"/>
      <c r="J89" s="153"/>
      <c r="K89" s="162"/>
      <c r="L89" s="160"/>
      <c r="M89" s="223"/>
      <c r="N89" s="223"/>
      <c r="O89" s="223"/>
      <c r="P89" s="153"/>
      <c r="Q89" s="154"/>
      <c r="R89" s="189"/>
      <c r="S89" s="158"/>
      <c r="T89" s="159"/>
      <c r="U89" s="153"/>
      <c r="V89" s="153"/>
      <c r="W89" s="154"/>
      <c r="X89" s="158"/>
      <c r="Y89" s="153"/>
      <c r="Z89" s="153"/>
      <c r="AA89" s="153"/>
      <c r="AB89" s="153"/>
      <c r="AC89" s="158"/>
      <c r="AD89" s="159"/>
      <c r="AE89" s="153"/>
      <c r="AF89" s="153"/>
      <c r="AG89" s="158"/>
      <c r="AH89" s="153"/>
      <c r="AI89" s="154"/>
      <c r="AJ89" s="154"/>
      <c r="AK89" s="154"/>
      <c r="AL89" s="154"/>
      <c r="AM89" s="154"/>
      <c r="AN89" s="158"/>
      <c r="AO89" s="153"/>
      <c r="AP89" s="153"/>
      <c r="AQ89" s="153"/>
      <c r="AR89" s="158"/>
      <c r="AS89" s="153"/>
      <c r="AT89" s="153"/>
      <c r="AU89" s="153"/>
      <c r="AV89" s="154"/>
      <c r="AW89" s="158"/>
      <c r="AX89" s="153"/>
      <c r="AY89" s="153"/>
      <c r="AZ89" s="154"/>
      <c r="BA89" s="158"/>
      <c r="BB89" s="153"/>
      <c r="BC89" s="153"/>
      <c r="BD89" s="153"/>
      <c r="BE89" s="153"/>
      <c r="BF89" s="153"/>
      <c r="BG89" s="162"/>
      <c r="BH89" s="467"/>
      <c r="BI89" s="154"/>
      <c r="BJ89" s="158"/>
      <c r="BK89" s="162"/>
      <c r="BL89" s="327"/>
      <c r="BM89" s="171"/>
      <c r="BN89" s="171"/>
      <c r="BO89" s="172"/>
      <c r="BP89" s="175"/>
      <c r="BQ89" s="511">
        <v>351</v>
      </c>
      <c r="BR89" s="45">
        <v>284</v>
      </c>
      <c r="BS89" s="58">
        <v>204</v>
      </c>
      <c r="BT89" s="102">
        <v>343</v>
      </c>
      <c r="BU89" s="102">
        <v>395</v>
      </c>
      <c r="BV89" s="45">
        <v>206</v>
      </c>
      <c r="BW89" s="45">
        <v>297</v>
      </c>
      <c r="BX89" s="45">
        <v>170</v>
      </c>
      <c r="BY89" s="45">
        <v>290</v>
      </c>
      <c r="BZ89" s="54">
        <v>262</v>
      </c>
      <c r="CA89" s="58">
        <v>182</v>
      </c>
      <c r="CB89" s="153"/>
      <c r="CC89" s="155"/>
      <c r="CD89" s="45"/>
      <c r="CE89" s="58"/>
      <c r="CF89" s="107"/>
      <c r="CG89" s="107"/>
      <c r="CH89" s="102"/>
      <c r="CI89" s="162"/>
      <c r="CJ89" s="155"/>
      <c r="CK89" s="153"/>
      <c r="CL89" s="155"/>
      <c r="CM89" s="161"/>
      <c r="CN89" s="161"/>
      <c r="CO89" s="153"/>
      <c r="CP89" s="153"/>
      <c r="CQ89" s="154"/>
      <c r="CR89" s="155"/>
      <c r="CS89" s="161"/>
      <c r="CT89" s="223"/>
      <c r="CU89" s="160"/>
      <c r="CV89" s="223"/>
      <c r="CW89" s="223"/>
      <c r="CX89" s="156"/>
      <c r="CY89" s="159"/>
      <c r="CZ89" s="161"/>
      <c r="DA89" s="161"/>
      <c r="DB89" s="161"/>
      <c r="DC89" s="153"/>
      <c r="DD89" s="153"/>
      <c r="DE89" s="154"/>
      <c r="DF89" s="155"/>
      <c r="DG89" s="161"/>
      <c r="DH89" s="161"/>
      <c r="DI89" s="161"/>
      <c r="DJ89" s="161"/>
      <c r="DK89" s="156"/>
      <c r="DL89" s="162"/>
      <c r="DM89" s="223"/>
      <c r="DN89" s="153"/>
      <c r="DO89" s="153"/>
      <c r="DP89" s="153"/>
      <c r="DQ89" s="153"/>
      <c r="DR89" s="153"/>
      <c r="DS89" s="158"/>
      <c r="DT89" s="153"/>
      <c r="DU89" s="154"/>
      <c r="DV89" s="154"/>
      <c r="DW89" s="154"/>
      <c r="DX89" s="154"/>
      <c r="DY89" s="154"/>
      <c r="DZ89" s="154"/>
      <c r="EA89" s="158"/>
      <c r="EB89" s="19"/>
    </row>
    <row r="90" spans="1:132" s="12" customFormat="1" ht="13" x14ac:dyDescent="0.3">
      <c r="A90" s="10">
        <v>4422</v>
      </c>
      <c r="B90" s="11" t="s">
        <v>400</v>
      </c>
      <c r="C90" s="360">
        <v>1242</v>
      </c>
      <c r="D90" s="54">
        <v>548</v>
      </c>
      <c r="E90" s="706">
        <f t="shared" si="2"/>
        <v>0.44122383252818037</v>
      </c>
      <c r="F90" s="219"/>
      <c r="G90" s="161"/>
      <c r="H90" s="153"/>
      <c r="I90" s="155"/>
      <c r="J90" s="153"/>
      <c r="K90" s="162"/>
      <c r="L90" s="160"/>
      <c r="M90" s="223"/>
      <c r="N90" s="223"/>
      <c r="O90" s="223"/>
      <c r="P90" s="153"/>
      <c r="Q90" s="154"/>
      <c r="R90" s="189"/>
      <c r="S90" s="158"/>
      <c r="T90" s="159"/>
      <c r="U90" s="153"/>
      <c r="V90" s="153"/>
      <c r="W90" s="154"/>
      <c r="X90" s="158"/>
      <c r="Y90" s="153"/>
      <c r="Z90" s="153"/>
      <c r="AA90" s="153"/>
      <c r="AB90" s="153"/>
      <c r="AC90" s="158"/>
      <c r="AD90" s="159"/>
      <c r="AE90" s="153"/>
      <c r="AF90" s="153"/>
      <c r="AG90" s="158"/>
      <c r="AH90" s="153"/>
      <c r="AI90" s="154"/>
      <c r="AJ90" s="154"/>
      <c r="AK90" s="154"/>
      <c r="AL90" s="154"/>
      <c r="AM90" s="154"/>
      <c r="AN90" s="158"/>
      <c r="AO90" s="153"/>
      <c r="AP90" s="153"/>
      <c r="AQ90" s="153"/>
      <c r="AR90" s="158"/>
      <c r="AS90" s="153"/>
      <c r="AT90" s="153"/>
      <c r="AU90" s="153"/>
      <c r="AV90" s="154"/>
      <c r="AW90" s="158"/>
      <c r="AX90" s="153"/>
      <c r="AY90" s="153"/>
      <c r="AZ90" s="154"/>
      <c r="BA90" s="158"/>
      <c r="BB90" s="153"/>
      <c r="BC90" s="153"/>
      <c r="BD90" s="153"/>
      <c r="BE90" s="153"/>
      <c r="BF90" s="153"/>
      <c r="BG90" s="162"/>
      <c r="BH90" s="467"/>
      <c r="BI90" s="154"/>
      <c r="BJ90" s="158"/>
      <c r="BK90" s="162"/>
      <c r="BL90" s="327"/>
      <c r="BM90" s="171"/>
      <c r="BN90" s="171"/>
      <c r="BO90" s="172"/>
      <c r="BP90" s="175"/>
      <c r="BQ90" s="511">
        <v>360</v>
      </c>
      <c r="BR90" s="45">
        <v>291</v>
      </c>
      <c r="BS90" s="58">
        <v>202</v>
      </c>
      <c r="BT90" s="102">
        <v>346</v>
      </c>
      <c r="BU90" s="102">
        <v>371</v>
      </c>
      <c r="BV90" s="45">
        <v>191</v>
      </c>
      <c r="BW90" s="45">
        <v>316</v>
      </c>
      <c r="BX90" s="45">
        <v>142</v>
      </c>
      <c r="BY90" s="45">
        <v>311</v>
      </c>
      <c r="BZ90" s="54">
        <v>273</v>
      </c>
      <c r="CA90" s="58">
        <v>177</v>
      </c>
      <c r="CB90" s="153"/>
      <c r="CC90" s="155"/>
      <c r="CD90" s="153"/>
      <c r="CE90" s="155"/>
      <c r="CF90" s="160"/>
      <c r="CG90" s="160"/>
      <c r="CH90" s="161"/>
      <c r="CI90" s="162"/>
      <c r="CJ90" s="155"/>
      <c r="CK90" s="153"/>
      <c r="CL90" s="155"/>
      <c r="CM90" s="161"/>
      <c r="CN90" s="161"/>
      <c r="CO90" s="153"/>
      <c r="CP90" s="153"/>
      <c r="CQ90" s="154"/>
      <c r="CR90" s="155"/>
      <c r="CS90" s="161"/>
      <c r="CT90" s="223"/>
      <c r="CU90" s="160"/>
      <c r="CV90" s="223"/>
      <c r="CW90" s="223"/>
      <c r="CX90" s="156"/>
      <c r="CY90" s="159"/>
      <c r="CZ90" s="161"/>
      <c r="DA90" s="161"/>
      <c r="DB90" s="161"/>
      <c r="DC90" s="153"/>
      <c r="DD90" s="153"/>
      <c r="DE90" s="154"/>
      <c r="DF90" s="155"/>
      <c r="DG90" s="161"/>
      <c r="DH90" s="161"/>
      <c r="DI90" s="161"/>
      <c r="DJ90" s="161"/>
      <c r="DK90" s="156"/>
      <c r="DL90" s="162"/>
      <c r="DM90" s="223"/>
      <c r="DN90" s="153"/>
      <c r="DO90" s="153"/>
      <c r="DP90" s="153"/>
      <c r="DQ90" s="153"/>
      <c r="DR90" s="153"/>
      <c r="DS90" s="158"/>
      <c r="DT90" s="153"/>
      <c r="DU90" s="154"/>
      <c r="DV90" s="154"/>
      <c r="DW90" s="154"/>
      <c r="DX90" s="154"/>
      <c r="DY90" s="154"/>
      <c r="DZ90" s="154"/>
      <c r="EA90" s="158"/>
      <c r="EB90" s="19"/>
    </row>
    <row r="91" spans="1:132" s="12" customFormat="1" ht="12.75" customHeight="1" x14ac:dyDescent="0.3">
      <c r="A91" s="10">
        <v>4423</v>
      </c>
      <c r="B91" s="11" t="s">
        <v>401</v>
      </c>
      <c r="C91" s="360">
        <v>1031</v>
      </c>
      <c r="D91" s="54">
        <v>545</v>
      </c>
      <c r="E91" s="706">
        <f t="shared" si="2"/>
        <v>0.52861299709020371</v>
      </c>
      <c r="F91" s="219"/>
      <c r="G91" s="161"/>
      <c r="H91" s="153"/>
      <c r="I91" s="155"/>
      <c r="J91" s="153"/>
      <c r="K91" s="162"/>
      <c r="L91" s="160"/>
      <c r="M91" s="223"/>
      <c r="N91" s="223"/>
      <c r="O91" s="223"/>
      <c r="P91" s="153"/>
      <c r="Q91" s="154"/>
      <c r="R91" s="189"/>
      <c r="S91" s="158"/>
      <c r="T91" s="159"/>
      <c r="U91" s="153"/>
      <c r="V91" s="153"/>
      <c r="W91" s="154"/>
      <c r="X91" s="158"/>
      <c r="Y91" s="153"/>
      <c r="Z91" s="153"/>
      <c r="AA91" s="153"/>
      <c r="AB91" s="153"/>
      <c r="AC91" s="158"/>
      <c r="AD91" s="159"/>
      <c r="AE91" s="153"/>
      <c r="AF91" s="153"/>
      <c r="AG91" s="158"/>
      <c r="AH91" s="153"/>
      <c r="AI91" s="154"/>
      <c r="AJ91" s="154"/>
      <c r="AK91" s="154"/>
      <c r="AL91" s="154"/>
      <c r="AM91" s="154"/>
      <c r="AN91" s="158"/>
      <c r="AO91" s="153"/>
      <c r="AP91" s="153"/>
      <c r="AQ91" s="153"/>
      <c r="AR91" s="158"/>
      <c r="AS91" s="153"/>
      <c r="AT91" s="153"/>
      <c r="AU91" s="153"/>
      <c r="AV91" s="154"/>
      <c r="AW91" s="158"/>
      <c r="AX91" s="153"/>
      <c r="AY91" s="153"/>
      <c r="AZ91" s="154"/>
      <c r="BA91" s="158"/>
      <c r="BB91" s="153"/>
      <c r="BC91" s="153"/>
      <c r="BD91" s="153"/>
      <c r="BE91" s="153"/>
      <c r="BF91" s="153"/>
      <c r="BG91" s="162"/>
      <c r="BH91" s="467"/>
      <c r="BI91" s="154"/>
      <c r="BJ91" s="158"/>
      <c r="BK91" s="162"/>
      <c r="BL91" s="327"/>
      <c r="BM91" s="171"/>
      <c r="BN91" s="171"/>
      <c r="BO91" s="172"/>
      <c r="BP91" s="175"/>
      <c r="BQ91" s="511">
        <v>322</v>
      </c>
      <c r="BR91" s="45">
        <v>279</v>
      </c>
      <c r="BS91" s="58">
        <v>191</v>
      </c>
      <c r="BT91" s="102">
        <v>304</v>
      </c>
      <c r="BU91" s="102">
        <v>355</v>
      </c>
      <c r="BV91" s="45">
        <v>183</v>
      </c>
      <c r="BW91" s="45">
        <v>287</v>
      </c>
      <c r="BX91" s="45">
        <v>149</v>
      </c>
      <c r="BY91" s="45">
        <v>280</v>
      </c>
      <c r="BZ91" s="54">
        <v>257</v>
      </c>
      <c r="CA91" s="58">
        <v>176</v>
      </c>
      <c r="CB91" s="153"/>
      <c r="CC91" s="155"/>
      <c r="CD91" s="153"/>
      <c r="CE91" s="155"/>
      <c r="CF91" s="160"/>
      <c r="CG91" s="160"/>
      <c r="CH91" s="161"/>
      <c r="CI91" s="162"/>
      <c r="CJ91" s="155"/>
      <c r="CK91" s="153"/>
      <c r="CL91" s="155"/>
      <c r="CM91" s="161"/>
      <c r="CN91" s="161"/>
      <c r="CO91" s="153"/>
      <c r="CP91" s="153"/>
      <c r="CQ91" s="154"/>
      <c r="CR91" s="155"/>
      <c r="CS91" s="161"/>
      <c r="CT91" s="223"/>
      <c r="CU91" s="160"/>
      <c r="CV91" s="223"/>
      <c r="CW91" s="223"/>
      <c r="CX91" s="156"/>
      <c r="CY91" s="159"/>
      <c r="CZ91" s="161"/>
      <c r="DA91" s="161"/>
      <c r="DB91" s="161"/>
      <c r="DC91" s="153"/>
      <c r="DD91" s="153"/>
      <c r="DE91" s="154"/>
      <c r="DF91" s="155"/>
      <c r="DG91" s="161"/>
      <c r="DH91" s="161"/>
      <c r="DI91" s="161"/>
      <c r="DJ91" s="161"/>
      <c r="DK91" s="156"/>
      <c r="DL91" s="162"/>
      <c r="DM91" s="223"/>
      <c r="DN91" s="153"/>
      <c r="DO91" s="153"/>
      <c r="DP91" s="153"/>
      <c r="DQ91" s="153"/>
      <c r="DR91" s="153"/>
      <c r="DS91" s="158"/>
      <c r="DT91" s="153"/>
      <c r="DU91" s="154"/>
      <c r="DV91" s="154"/>
      <c r="DW91" s="154"/>
      <c r="DX91" s="154"/>
      <c r="DY91" s="154"/>
      <c r="DZ91" s="154"/>
      <c r="EA91" s="158"/>
      <c r="EB91" s="19"/>
    </row>
    <row r="92" spans="1:132" s="12" customFormat="1" ht="13" x14ac:dyDescent="0.3">
      <c r="A92" s="10">
        <v>4431</v>
      </c>
      <c r="B92" s="11" t="s">
        <v>402</v>
      </c>
      <c r="C92" s="360">
        <v>1079</v>
      </c>
      <c r="D92" s="54">
        <v>508</v>
      </c>
      <c r="E92" s="706">
        <f t="shared" si="2"/>
        <v>0.47080630213160335</v>
      </c>
      <c r="F92" s="219"/>
      <c r="G92" s="161"/>
      <c r="H92" s="153"/>
      <c r="I92" s="155"/>
      <c r="J92" s="153"/>
      <c r="K92" s="162"/>
      <c r="L92" s="160"/>
      <c r="M92" s="223"/>
      <c r="N92" s="223"/>
      <c r="O92" s="223"/>
      <c r="P92" s="153"/>
      <c r="Q92" s="154"/>
      <c r="R92" s="189"/>
      <c r="S92" s="158"/>
      <c r="T92" s="159"/>
      <c r="U92" s="153"/>
      <c r="V92" s="153"/>
      <c r="W92" s="154"/>
      <c r="X92" s="158"/>
      <c r="Y92" s="153"/>
      <c r="Z92" s="153"/>
      <c r="AA92" s="153"/>
      <c r="AB92" s="153"/>
      <c r="AC92" s="158"/>
      <c r="AD92" s="159"/>
      <c r="AE92" s="153"/>
      <c r="AF92" s="153"/>
      <c r="AG92" s="158"/>
      <c r="AH92" s="153"/>
      <c r="AI92" s="154"/>
      <c r="AJ92" s="154"/>
      <c r="AK92" s="154"/>
      <c r="AL92" s="154"/>
      <c r="AM92" s="154"/>
      <c r="AN92" s="158"/>
      <c r="AO92" s="153"/>
      <c r="AP92" s="153"/>
      <c r="AQ92" s="153"/>
      <c r="AR92" s="158"/>
      <c r="AS92" s="153"/>
      <c r="AT92" s="153"/>
      <c r="AU92" s="153"/>
      <c r="AV92" s="154"/>
      <c r="AW92" s="158"/>
      <c r="AX92" s="153"/>
      <c r="AY92" s="153"/>
      <c r="AZ92" s="154"/>
      <c r="BA92" s="158"/>
      <c r="BB92" s="153"/>
      <c r="BC92" s="153"/>
      <c r="BD92" s="153"/>
      <c r="BE92" s="153"/>
      <c r="BF92" s="153"/>
      <c r="BG92" s="162"/>
      <c r="BH92" s="467"/>
      <c r="BI92" s="154"/>
      <c r="BJ92" s="158"/>
      <c r="BK92" s="162"/>
      <c r="BL92" s="327"/>
      <c r="BM92" s="171"/>
      <c r="BN92" s="171"/>
      <c r="BO92" s="172"/>
      <c r="BP92" s="175"/>
      <c r="BQ92" s="511">
        <v>307</v>
      </c>
      <c r="BR92" s="45">
        <v>281</v>
      </c>
      <c r="BS92" s="58">
        <v>177</v>
      </c>
      <c r="BT92" s="102">
        <v>301</v>
      </c>
      <c r="BU92" s="102">
        <v>358</v>
      </c>
      <c r="BV92" s="45">
        <v>166</v>
      </c>
      <c r="BW92" s="45">
        <v>280</v>
      </c>
      <c r="BX92" s="45">
        <v>137</v>
      </c>
      <c r="BY92" s="45">
        <v>274</v>
      </c>
      <c r="BZ92" s="54">
        <v>254</v>
      </c>
      <c r="CA92" s="58">
        <v>154</v>
      </c>
      <c r="CB92" s="153"/>
      <c r="CC92" s="155"/>
      <c r="CD92" s="153"/>
      <c r="CE92" s="155"/>
      <c r="CF92" s="160"/>
      <c r="CG92" s="160"/>
      <c r="CH92" s="161"/>
      <c r="CI92" s="162"/>
      <c r="CJ92" s="155"/>
      <c r="CK92" s="153"/>
      <c r="CL92" s="155"/>
      <c r="CM92" s="161"/>
      <c r="CN92" s="161"/>
      <c r="CO92" s="153"/>
      <c r="CP92" s="153"/>
      <c r="CQ92" s="154"/>
      <c r="CR92" s="155"/>
      <c r="CS92" s="161"/>
      <c r="CT92" s="223"/>
      <c r="CU92" s="160"/>
      <c r="CV92" s="223"/>
      <c r="CW92" s="223"/>
      <c r="CX92" s="156"/>
      <c r="CY92" s="159"/>
      <c r="CZ92" s="161"/>
      <c r="DA92" s="161"/>
      <c r="DB92" s="161"/>
      <c r="DC92" s="153"/>
      <c r="DD92" s="153"/>
      <c r="DE92" s="154"/>
      <c r="DF92" s="155"/>
      <c r="DG92" s="161"/>
      <c r="DH92" s="161"/>
      <c r="DI92" s="161"/>
      <c r="DJ92" s="161"/>
      <c r="DK92" s="156"/>
      <c r="DL92" s="162"/>
      <c r="DM92" s="223"/>
      <c r="DN92" s="153"/>
      <c r="DO92" s="153"/>
      <c r="DP92" s="153"/>
      <c r="DQ92" s="153"/>
      <c r="DR92" s="153"/>
      <c r="DS92" s="158"/>
      <c r="DT92" s="153"/>
      <c r="DU92" s="154"/>
      <c r="DV92" s="154"/>
      <c r="DW92" s="154"/>
      <c r="DX92" s="154"/>
      <c r="DY92" s="154"/>
      <c r="DZ92" s="154"/>
      <c r="EA92" s="158"/>
      <c r="EB92" s="19"/>
    </row>
    <row r="93" spans="1:132" s="12" customFormat="1" ht="12.75" customHeight="1" x14ac:dyDescent="0.3">
      <c r="A93" s="10">
        <v>4432</v>
      </c>
      <c r="B93" s="11" t="s">
        <v>403</v>
      </c>
      <c r="C93" s="360">
        <v>846</v>
      </c>
      <c r="D93" s="54">
        <v>414</v>
      </c>
      <c r="E93" s="706">
        <f t="shared" si="2"/>
        <v>0.48936170212765956</v>
      </c>
      <c r="F93" s="219"/>
      <c r="G93" s="161"/>
      <c r="H93" s="153"/>
      <c r="I93" s="155"/>
      <c r="J93" s="153"/>
      <c r="K93" s="162"/>
      <c r="L93" s="160"/>
      <c r="M93" s="223"/>
      <c r="N93" s="223"/>
      <c r="O93" s="223"/>
      <c r="P93" s="153"/>
      <c r="Q93" s="154"/>
      <c r="R93" s="189"/>
      <c r="S93" s="158"/>
      <c r="T93" s="159"/>
      <c r="U93" s="153"/>
      <c r="V93" s="153"/>
      <c r="W93" s="154"/>
      <c r="X93" s="158"/>
      <c r="Y93" s="153"/>
      <c r="Z93" s="153"/>
      <c r="AA93" s="153"/>
      <c r="AB93" s="153"/>
      <c r="AC93" s="158"/>
      <c r="AD93" s="159"/>
      <c r="AE93" s="153"/>
      <c r="AF93" s="153"/>
      <c r="AG93" s="158"/>
      <c r="AH93" s="153"/>
      <c r="AI93" s="154"/>
      <c r="AJ93" s="154"/>
      <c r="AK93" s="154"/>
      <c r="AL93" s="154"/>
      <c r="AM93" s="154"/>
      <c r="AN93" s="158"/>
      <c r="AO93" s="153"/>
      <c r="AP93" s="153"/>
      <c r="AQ93" s="153"/>
      <c r="AR93" s="158"/>
      <c r="AS93" s="153"/>
      <c r="AT93" s="153"/>
      <c r="AU93" s="153"/>
      <c r="AV93" s="154"/>
      <c r="AW93" s="158"/>
      <c r="AX93" s="153"/>
      <c r="AY93" s="153"/>
      <c r="AZ93" s="154"/>
      <c r="BA93" s="158"/>
      <c r="BB93" s="153"/>
      <c r="BC93" s="153"/>
      <c r="BD93" s="153"/>
      <c r="BE93" s="153"/>
      <c r="BF93" s="153"/>
      <c r="BG93" s="162"/>
      <c r="BH93" s="467"/>
      <c r="BI93" s="154"/>
      <c r="BJ93" s="158"/>
      <c r="BK93" s="162"/>
      <c r="BL93" s="327"/>
      <c r="BM93" s="171"/>
      <c r="BN93" s="171"/>
      <c r="BO93" s="172"/>
      <c r="BP93" s="175"/>
      <c r="BQ93" s="511">
        <v>260</v>
      </c>
      <c r="BR93" s="45">
        <v>197</v>
      </c>
      <c r="BS93" s="58">
        <v>166</v>
      </c>
      <c r="BT93" s="102">
        <v>257</v>
      </c>
      <c r="BU93" s="102">
        <v>282</v>
      </c>
      <c r="BV93" s="45">
        <v>151</v>
      </c>
      <c r="BW93" s="45">
        <v>228</v>
      </c>
      <c r="BX93" s="45">
        <v>126</v>
      </c>
      <c r="BY93" s="45">
        <v>204</v>
      </c>
      <c r="BZ93" s="54">
        <v>188</v>
      </c>
      <c r="CA93" s="58">
        <v>137</v>
      </c>
      <c r="CB93" s="153"/>
      <c r="CC93" s="155"/>
      <c r="CD93" s="153"/>
      <c r="CE93" s="155"/>
      <c r="CF93" s="160"/>
      <c r="CG93" s="160"/>
      <c r="CH93" s="161"/>
      <c r="CI93" s="162"/>
      <c r="CJ93" s="155"/>
      <c r="CK93" s="153"/>
      <c r="CL93" s="155"/>
      <c r="CM93" s="161"/>
      <c r="CN93" s="161"/>
      <c r="CO93" s="153"/>
      <c r="CP93" s="153"/>
      <c r="CQ93" s="154"/>
      <c r="CR93" s="155"/>
      <c r="CS93" s="161"/>
      <c r="CT93" s="223"/>
      <c r="CU93" s="160"/>
      <c r="CV93" s="223"/>
      <c r="CW93" s="223"/>
      <c r="CX93" s="156"/>
      <c r="CY93" s="159"/>
      <c r="CZ93" s="161"/>
      <c r="DA93" s="161"/>
      <c r="DB93" s="161"/>
      <c r="DC93" s="153"/>
      <c r="DD93" s="153"/>
      <c r="DE93" s="154"/>
      <c r="DF93" s="155"/>
      <c r="DG93" s="161"/>
      <c r="DH93" s="161"/>
      <c r="DI93" s="161"/>
      <c r="DJ93" s="161"/>
      <c r="DK93" s="156"/>
      <c r="DL93" s="162"/>
      <c r="DM93" s="223"/>
      <c r="DN93" s="153"/>
      <c r="DO93" s="153"/>
      <c r="DP93" s="153"/>
      <c r="DQ93" s="153"/>
      <c r="DR93" s="153"/>
      <c r="DS93" s="158"/>
      <c r="DT93" s="153"/>
      <c r="DU93" s="154"/>
      <c r="DV93" s="154"/>
      <c r="DW93" s="154"/>
      <c r="DX93" s="154"/>
      <c r="DY93" s="154"/>
      <c r="DZ93" s="154"/>
      <c r="EA93" s="158"/>
      <c r="EB93" s="19"/>
    </row>
    <row r="94" spans="1:132" s="12" customFormat="1" ht="13" x14ac:dyDescent="0.3">
      <c r="A94" s="10">
        <v>4433</v>
      </c>
      <c r="B94" s="11" t="s">
        <v>404</v>
      </c>
      <c r="C94" s="360">
        <v>1565</v>
      </c>
      <c r="D94" s="54">
        <v>756</v>
      </c>
      <c r="E94" s="706">
        <f t="shared" si="2"/>
        <v>0.48306709265175718</v>
      </c>
      <c r="F94" s="219"/>
      <c r="G94" s="161"/>
      <c r="H94" s="153"/>
      <c r="I94" s="155"/>
      <c r="J94" s="153"/>
      <c r="K94" s="162"/>
      <c r="L94" s="160"/>
      <c r="M94" s="223"/>
      <c r="N94" s="223"/>
      <c r="O94" s="223"/>
      <c r="P94" s="153"/>
      <c r="Q94" s="154"/>
      <c r="R94" s="189"/>
      <c r="S94" s="158"/>
      <c r="T94" s="159"/>
      <c r="U94" s="153"/>
      <c r="V94" s="153"/>
      <c r="W94" s="154"/>
      <c r="X94" s="158"/>
      <c r="Y94" s="153"/>
      <c r="Z94" s="153"/>
      <c r="AA94" s="153"/>
      <c r="AB94" s="153"/>
      <c r="AC94" s="158"/>
      <c r="AD94" s="159"/>
      <c r="AE94" s="153"/>
      <c r="AF94" s="153"/>
      <c r="AG94" s="158"/>
      <c r="AH94" s="153"/>
      <c r="AI94" s="154"/>
      <c r="AJ94" s="154"/>
      <c r="AK94" s="154"/>
      <c r="AL94" s="154"/>
      <c r="AM94" s="154"/>
      <c r="AN94" s="158"/>
      <c r="AO94" s="153"/>
      <c r="AP94" s="153"/>
      <c r="AQ94" s="153"/>
      <c r="AR94" s="158"/>
      <c r="AS94" s="153"/>
      <c r="AT94" s="153"/>
      <c r="AU94" s="153"/>
      <c r="AV94" s="154"/>
      <c r="AW94" s="158"/>
      <c r="AX94" s="153"/>
      <c r="AY94" s="153"/>
      <c r="AZ94" s="154"/>
      <c r="BA94" s="158"/>
      <c r="BB94" s="153"/>
      <c r="BC94" s="153"/>
      <c r="BD94" s="153"/>
      <c r="BE94" s="153"/>
      <c r="BF94" s="153"/>
      <c r="BG94" s="162"/>
      <c r="BH94" s="467"/>
      <c r="BI94" s="154"/>
      <c r="BJ94" s="158"/>
      <c r="BK94" s="162"/>
      <c r="BL94" s="160"/>
      <c r="BM94" s="153"/>
      <c r="BN94" s="153"/>
      <c r="BO94" s="154"/>
      <c r="BP94" s="156"/>
      <c r="BQ94" s="511">
        <v>479</v>
      </c>
      <c r="BR94" s="45">
        <v>420</v>
      </c>
      <c r="BS94" s="58">
        <v>247</v>
      </c>
      <c r="BT94" s="102">
        <v>461</v>
      </c>
      <c r="BU94" s="102">
        <v>502</v>
      </c>
      <c r="BV94" s="45">
        <v>304</v>
      </c>
      <c r="BW94" s="45">
        <v>333</v>
      </c>
      <c r="BX94" s="45">
        <v>277</v>
      </c>
      <c r="BY94" s="45">
        <v>345</v>
      </c>
      <c r="BZ94" s="54">
        <v>302</v>
      </c>
      <c r="CA94" s="58">
        <v>256</v>
      </c>
      <c r="CB94" s="171"/>
      <c r="CC94" s="174"/>
      <c r="CD94" s="153"/>
      <c r="CE94" s="155"/>
      <c r="CF94" s="160"/>
      <c r="CG94" s="160"/>
      <c r="CH94" s="161"/>
      <c r="CI94" s="162"/>
      <c r="CJ94" s="155"/>
      <c r="CK94" s="153"/>
      <c r="CL94" s="155"/>
      <c r="CM94" s="161"/>
      <c r="CN94" s="161"/>
      <c r="CO94" s="153"/>
      <c r="CP94" s="153"/>
      <c r="CQ94" s="154"/>
      <c r="CR94" s="155"/>
      <c r="CS94" s="161"/>
      <c r="CT94" s="223"/>
      <c r="CU94" s="160"/>
      <c r="CV94" s="223"/>
      <c r="CW94" s="223"/>
      <c r="CX94" s="156"/>
      <c r="CY94" s="159"/>
      <c r="CZ94" s="161"/>
      <c r="DA94" s="161"/>
      <c r="DB94" s="161"/>
      <c r="DC94" s="153"/>
      <c r="DD94" s="153"/>
      <c r="DE94" s="154"/>
      <c r="DF94" s="155"/>
      <c r="DG94" s="161"/>
      <c r="DH94" s="161"/>
      <c r="DI94" s="161"/>
      <c r="DJ94" s="161"/>
      <c r="DK94" s="156"/>
      <c r="DL94" s="162"/>
      <c r="DM94" s="223"/>
      <c r="DN94" s="153"/>
      <c r="DO94" s="153"/>
      <c r="DP94" s="153"/>
      <c r="DQ94" s="153"/>
      <c r="DR94" s="153"/>
      <c r="DS94" s="158"/>
      <c r="DT94" s="153"/>
      <c r="DU94" s="154"/>
      <c r="DV94" s="154"/>
      <c r="DW94" s="154"/>
      <c r="DX94" s="154"/>
      <c r="DY94" s="154"/>
      <c r="DZ94" s="154"/>
      <c r="EA94" s="158"/>
      <c r="EB94" s="19"/>
    </row>
    <row r="95" spans="1:132" s="12" customFormat="1" ht="12.75" customHeight="1" x14ac:dyDescent="0.3">
      <c r="A95" s="10">
        <v>4441</v>
      </c>
      <c r="B95" s="11" t="s">
        <v>405</v>
      </c>
      <c r="C95" s="360">
        <v>946</v>
      </c>
      <c r="D95" s="54">
        <v>350</v>
      </c>
      <c r="E95" s="706">
        <f t="shared" si="2"/>
        <v>0.3699788583509514</v>
      </c>
      <c r="F95" s="219"/>
      <c r="G95" s="161"/>
      <c r="H95" s="153"/>
      <c r="I95" s="155"/>
      <c r="J95" s="153"/>
      <c r="K95" s="162"/>
      <c r="L95" s="160"/>
      <c r="M95" s="223"/>
      <c r="N95" s="223"/>
      <c r="O95" s="223"/>
      <c r="P95" s="153"/>
      <c r="Q95" s="154"/>
      <c r="R95" s="189"/>
      <c r="S95" s="158"/>
      <c r="T95" s="159"/>
      <c r="U95" s="153"/>
      <c r="V95" s="153"/>
      <c r="W95" s="154"/>
      <c r="X95" s="158"/>
      <c r="Y95" s="153"/>
      <c r="Z95" s="153"/>
      <c r="AA95" s="153"/>
      <c r="AB95" s="153"/>
      <c r="AC95" s="158"/>
      <c r="AD95" s="159"/>
      <c r="AE95" s="153"/>
      <c r="AF95" s="153"/>
      <c r="AG95" s="158"/>
      <c r="AH95" s="153"/>
      <c r="AI95" s="154"/>
      <c r="AJ95" s="154"/>
      <c r="AK95" s="154"/>
      <c r="AL95" s="154"/>
      <c r="AM95" s="154"/>
      <c r="AN95" s="158"/>
      <c r="AO95" s="153"/>
      <c r="AP95" s="153"/>
      <c r="AQ95" s="153"/>
      <c r="AR95" s="158"/>
      <c r="AS95" s="153"/>
      <c r="AT95" s="153"/>
      <c r="AU95" s="153"/>
      <c r="AV95" s="154"/>
      <c r="AW95" s="158"/>
      <c r="AX95" s="153"/>
      <c r="AY95" s="153"/>
      <c r="AZ95" s="154"/>
      <c r="BA95" s="158"/>
      <c r="BB95" s="153"/>
      <c r="BC95" s="153"/>
      <c r="BD95" s="153"/>
      <c r="BE95" s="153"/>
      <c r="BF95" s="153"/>
      <c r="BG95" s="162"/>
      <c r="BH95" s="467"/>
      <c r="BI95" s="154"/>
      <c r="BJ95" s="158"/>
      <c r="BK95" s="162"/>
      <c r="BL95" s="160"/>
      <c r="BM95" s="153"/>
      <c r="BN95" s="153"/>
      <c r="BO95" s="154"/>
      <c r="BP95" s="156"/>
      <c r="BQ95" s="152">
        <v>210</v>
      </c>
      <c r="BR95" s="45">
        <v>183</v>
      </c>
      <c r="BS95" s="58">
        <v>133</v>
      </c>
      <c r="BT95" s="102">
        <v>206</v>
      </c>
      <c r="BU95" s="102">
        <v>244</v>
      </c>
      <c r="BV95" s="45">
        <v>109</v>
      </c>
      <c r="BW95" s="45">
        <v>181</v>
      </c>
      <c r="BX95" s="45">
        <v>98</v>
      </c>
      <c r="BY95" s="45">
        <v>188</v>
      </c>
      <c r="BZ95" s="54">
        <v>180</v>
      </c>
      <c r="CA95" s="58">
        <v>100</v>
      </c>
      <c r="CB95" s="171"/>
      <c r="CC95" s="174"/>
      <c r="CD95" s="153"/>
      <c r="CE95" s="155"/>
      <c r="CF95" s="160"/>
      <c r="CG95" s="160"/>
      <c r="CH95" s="161"/>
      <c r="CI95" s="169"/>
      <c r="CJ95" s="170"/>
      <c r="CK95" s="165"/>
      <c r="CL95" s="170"/>
      <c r="CM95" s="220"/>
      <c r="CN95" s="220"/>
      <c r="CO95" s="165"/>
      <c r="CP95" s="165"/>
      <c r="CQ95" s="173"/>
      <c r="CR95" s="170"/>
      <c r="CS95" s="220"/>
      <c r="CT95" s="207"/>
      <c r="CU95" s="160"/>
      <c r="CV95" s="223"/>
      <c r="CW95" s="223"/>
      <c r="CX95" s="156"/>
      <c r="CY95" s="159"/>
      <c r="CZ95" s="220"/>
      <c r="DA95" s="220"/>
      <c r="DB95" s="220"/>
      <c r="DC95" s="153"/>
      <c r="DD95" s="153"/>
      <c r="DE95" s="154"/>
      <c r="DF95" s="155"/>
      <c r="DG95" s="161"/>
      <c r="DH95" s="161"/>
      <c r="DI95" s="161"/>
      <c r="DJ95" s="161"/>
      <c r="DK95" s="156"/>
      <c r="DL95" s="162"/>
      <c r="DM95" s="223"/>
      <c r="DN95" s="153"/>
      <c r="DO95" s="153"/>
      <c r="DP95" s="153"/>
      <c r="DQ95" s="153"/>
      <c r="DR95" s="153"/>
      <c r="DS95" s="158"/>
      <c r="DT95" s="153"/>
      <c r="DU95" s="154"/>
      <c r="DV95" s="154"/>
      <c r="DW95" s="154"/>
      <c r="DX95" s="154"/>
      <c r="DY95" s="154"/>
      <c r="DZ95" s="154"/>
      <c r="EA95" s="158"/>
      <c r="EB95" s="19"/>
    </row>
    <row r="96" spans="1:132" s="12" customFormat="1" ht="13" x14ac:dyDescent="0.3">
      <c r="A96" s="10">
        <v>4442</v>
      </c>
      <c r="B96" s="11" t="s">
        <v>406</v>
      </c>
      <c r="C96" s="360">
        <v>1137</v>
      </c>
      <c r="D96" s="54">
        <v>415</v>
      </c>
      <c r="E96" s="706">
        <f t="shared" si="2"/>
        <v>0.36499560246262092</v>
      </c>
      <c r="F96" s="219"/>
      <c r="G96" s="161"/>
      <c r="H96" s="153"/>
      <c r="I96" s="155"/>
      <c r="J96" s="153"/>
      <c r="K96" s="162"/>
      <c r="L96" s="160"/>
      <c r="M96" s="223"/>
      <c r="N96" s="223"/>
      <c r="O96" s="223"/>
      <c r="P96" s="153"/>
      <c r="Q96" s="154"/>
      <c r="R96" s="189"/>
      <c r="S96" s="158"/>
      <c r="T96" s="159"/>
      <c r="U96" s="153"/>
      <c r="V96" s="153"/>
      <c r="W96" s="154"/>
      <c r="X96" s="158"/>
      <c r="Y96" s="153"/>
      <c r="Z96" s="153"/>
      <c r="AA96" s="153"/>
      <c r="AB96" s="153"/>
      <c r="AC96" s="158"/>
      <c r="AD96" s="159"/>
      <c r="AE96" s="153"/>
      <c r="AF96" s="153"/>
      <c r="AG96" s="158"/>
      <c r="AH96" s="153"/>
      <c r="AI96" s="154"/>
      <c r="AJ96" s="154"/>
      <c r="AK96" s="154"/>
      <c r="AL96" s="154"/>
      <c r="AM96" s="154"/>
      <c r="AN96" s="158"/>
      <c r="AO96" s="153"/>
      <c r="AP96" s="153"/>
      <c r="AQ96" s="153"/>
      <c r="AR96" s="158"/>
      <c r="AS96" s="153"/>
      <c r="AT96" s="153"/>
      <c r="AU96" s="153"/>
      <c r="AV96" s="154"/>
      <c r="AW96" s="158"/>
      <c r="AX96" s="153"/>
      <c r="AY96" s="153"/>
      <c r="AZ96" s="154"/>
      <c r="BA96" s="158"/>
      <c r="BB96" s="153"/>
      <c r="BC96" s="153"/>
      <c r="BD96" s="153"/>
      <c r="BE96" s="153"/>
      <c r="BF96" s="153"/>
      <c r="BG96" s="162"/>
      <c r="BH96" s="467"/>
      <c r="BI96" s="154"/>
      <c r="BJ96" s="158"/>
      <c r="BK96" s="162"/>
      <c r="BL96" s="160"/>
      <c r="BM96" s="153"/>
      <c r="BN96" s="153"/>
      <c r="BO96" s="154"/>
      <c r="BP96" s="156"/>
      <c r="BQ96" s="152">
        <v>249</v>
      </c>
      <c r="BR96" s="171">
        <v>238</v>
      </c>
      <c r="BS96" s="174">
        <v>127</v>
      </c>
      <c r="BT96" s="142">
        <v>239</v>
      </c>
      <c r="BU96" s="142">
        <v>284</v>
      </c>
      <c r="BV96" s="45">
        <v>137</v>
      </c>
      <c r="BW96" s="171">
        <v>208</v>
      </c>
      <c r="BX96" s="171">
        <v>122</v>
      </c>
      <c r="BY96" s="171">
        <v>206</v>
      </c>
      <c r="BZ96" s="172">
        <v>205</v>
      </c>
      <c r="CA96" s="174">
        <v>120</v>
      </c>
      <c r="CB96" s="171"/>
      <c r="CC96" s="174"/>
      <c r="CD96" s="153"/>
      <c r="CE96" s="155"/>
      <c r="CF96" s="160"/>
      <c r="CG96" s="160"/>
      <c r="CH96" s="161"/>
      <c r="CI96" s="74"/>
      <c r="CJ96" s="58"/>
      <c r="CK96" s="45"/>
      <c r="CL96" s="58"/>
      <c r="CM96" s="102"/>
      <c r="CN96" s="102"/>
      <c r="CO96" s="45"/>
      <c r="CP96" s="45"/>
      <c r="CQ96" s="54"/>
      <c r="CR96" s="58"/>
      <c r="CS96" s="102"/>
      <c r="CT96" s="97"/>
      <c r="CU96" s="316"/>
      <c r="CV96" s="301"/>
      <c r="CW96" s="301"/>
      <c r="CX96" s="106"/>
      <c r="CY96" s="159"/>
      <c r="CZ96" s="102"/>
      <c r="DA96" s="102"/>
      <c r="DB96" s="102"/>
      <c r="DC96" s="153"/>
      <c r="DD96" s="153"/>
      <c r="DE96" s="154"/>
      <c r="DF96" s="155"/>
      <c r="DG96" s="161"/>
      <c r="DH96" s="161"/>
      <c r="DI96" s="161"/>
      <c r="DJ96" s="161"/>
      <c r="DK96" s="156"/>
      <c r="DL96" s="162"/>
      <c r="DM96" s="223"/>
      <c r="DN96" s="153"/>
      <c r="DO96" s="153"/>
      <c r="DP96" s="153"/>
      <c r="DQ96" s="153"/>
      <c r="DR96" s="153"/>
      <c r="DS96" s="158"/>
      <c r="DT96" s="153"/>
      <c r="DU96" s="154"/>
      <c r="DV96" s="154"/>
      <c r="DW96" s="154"/>
      <c r="DX96" s="154"/>
      <c r="DY96" s="154"/>
      <c r="DZ96" s="154"/>
      <c r="EA96" s="158"/>
      <c r="EB96" s="19"/>
    </row>
    <row r="97" spans="1:132" s="12" customFormat="1" ht="12.75" customHeight="1" x14ac:dyDescent="0.3">
      <c r="A97" s="10">
        <v>4443</v>
      </c>
      <c r="B97" s="11" t="s">
        <v>407</v>
      </c>
      <c r="C97" s="360">
        <v>1062</v>
      </c>
      <c r="D97" s="54">
        <v>553</v>
      </c>
      <c r="E97" s="706">
        <f t="shared" si="2"/>
        <v>0.5207156308851224</v>
      </c>
      <c r="F97" s="219"/>
      <c r="G97" s="161"/>
      <c r="H97" s="153"/>
      <c r="I97" s="155"/>
      <c r="J97" s="153"/>
      <c r="K97" s="162"/>
      <c r="L97" s="160"/>
      <c r="M97" s="223"/>
      <c r="N97" s="223"/>
      <c r="O97" s="223"/>
      <c r="P97" s="153"/>
      <c r="Q97" s="154"/>
      <c r="R97" s="189"/>
      <c r="S97" s="158"/>
      <c r="T97" s="159"/>
      <c r="U97" s="153"/>
      <c r="V97" s="153"/>
      <c r="W97" s="154"/>
      <c r="X97" s="158"/>
      <c r="Y97" s="153"/>
      <c r="Z97" s="153"/>
      <c r="AA97" s="153"/>
      <c r="AB97" s="153"/>
      <c r="AC97" s="158"/>
      <c r="AD97" s="159"/>
      <c r="AE97" s="153"/>
      <c r="AF97" s="153"/>
      <c r="AG97" s="158"/>
      <c r="AH97" s="153"/>
      <c r="AI97" s="154"/>
      <c r="AJ97" s="154"/>
      <c r="AK97" s="154"/>
      <c r="AL97" s="154"/>
      <c r="AM97" s="154"/>
      <c r="AN97" s="158"/>
      <c r="AO97" s="153"/>
      <c r="AP97" s="153"/>
      <c r="AQ97" s="153"/>
      <c r="AR97" s="158"/>
      <c r="AS97" s="153"/>
      <c r="AT97" s="153"/>
      <c r="AU97" s="153"/>
      <c r="AV97" s="154"/>
      <c r="AW97" s="158"/>
      <c r="AX97" s="153"/>
      <c r="AY97" s="153"/>
      <c r="AZ97" s="154"/>
      <c r="BA97" s="158"/>
      <c r="BB97" s="153"/>
      <c r="BC97" s="153"/>
      <c r="BD97" s="153"/>
      <c r="BE97" s="153"/>
      <c r="BF97" s="153"/>
      <c r="BG97" s="162"/>
      <c r="BH97" s="467"/>
      <c r="BI97" s="154"/>
      <c r="BJ97" s="158"/>
      <c r="BK97" s="162"/>
      <c r="BL97" s="160"/>
      <c r="BM97" s="153"/>
      <c r="BN97" s="153"/>
      <c r="BO97" s="154"/>
      <c r="BP97" s="156"/>
      <c r="BQ97" s="152">
        <v>336</v>
      </c>
      <c r="BR97" s="171">
        <v>280</v>
      </c>
      <c r="BS97" s="174">
        <v>209</v>
      </c>
      <c r="BT97" s="142">
        <v>325</v>
      </c>
      <c r="BU97" s="142">
        <v>358</v>
      </c>
      <c r="BV97" s="171">
        <v>230</v>
      </c>
      <c r="BW97" s="171">
        <v>249</v>
      </c>
      <c r="BX97" s="171">
        <v>195</v>
      </c>
      <c r="BY97" s="171">
        <v>251</v>
      </c>
      <c r="BZ97" s="172">
        <v>230</v>
      </c>
      <c r="CA97" s="174">
        <v>195</v>
      </c>
      <c r="CB97" s="153"/>
      <c r="CC97" s="155"/>
      <c r="CD97" s="171"/>
      <c r="CE97" s="174"/>
      <c r="CF97" s="327"/>
      <c r="CG97" s="327"/>
      <c r="CH97" s="142"/>
      <c r="CI97" s="74"/>
      <c r="CJ97" s="58"/>
      <c r="CK97" s="45"/>
      <c r="CL97" s="58"/>
      <c r="CM97" s="102"/>
      <c r="CN97" s="102"/>
      <c r="CO97" s="45"/>
      <c r="CP97" s="45"/>
      <c r="CQ97" s="54"/>
      <c r="CR97" s="58"/>
      <c r="CS97" s="102"/>
      <c r="CT97" s="97"/>
      <c r="CU97" s="316"/>
      <c r="CV97" s="301"/>
      <c r="CW97" s="301"/>
      <c r="CX97" s="106"/>
      <c r="CY97" s="159"/>
      <c r="CZ97" s="102"/>
      <c r="DA97" s="102"/>
      <c r="DB97" s="102"/>
      <c r="DC97" s="153"/>
      <c r="DD97" s="153"/>
      <c r="DE97" s="154"/>
      <c r="DF97" s="155"/>
      <c r="DG97" s="161"/>
      <c r="DH97" s="161"/>
      <c r="DI97" s="161"/>
      <c r="DJ97" s="161"/>
      <c r="DK97" s="156"/>
      <c r="DL97" s="162"/>
      <c r="DM97" s="223"/>
      <c r="DN97" s="153"/>
      <c r="DO97" s="153"/>
      <c r="DP97" s="153"/>
      <c r="DQ97" s="153"/>
      <c r="DR97" s="153"/>
      <c r="DS97" s="158"/>
      <c r="DT97" s="153"/>
      <c r="DU97" s="154"/>
      <c r="DV97" s="154"/>
      <c r="DW97" s="154"/>
      <c r="DX97" s="154"/>
      <c r="DY97" s="154"/>
      <c r="DZ97" s="154"/>
      <c r="EA97" s="158"/>
      <c r="EB97" s="19"/>
    </row>
    <row r="98" spans="1:132" s="12" customFormat="1" ht="13" x14ac:dyDescent="0.3">
      <c r="A98" s="10">
        <v>4611</v>
      </c>
      <c r="B98" s="11" t="s">
        <v>408</v>
      </c>
      <c r="C98" s="360">
        <v>1288</v>
      </c>
      <c r="D98" s="54">
        <v>645</v>
      </c>
      <c r="E98" s="706">
        <f t="shared" si="2"/>
        <v>0.50077639751552794</v>
      </c>
      <c r="F98" s="219"/>
      <c r="G98" s="161"/>
      <c r="H98" s="153"/>
      <c r="I98" s="155"/>
      <c r="J98" s="153"/>
      <c r="K98" s="162"/>
      <c r="L98" s="160"/>
      <c r="M98" s="223"/>
      <c r="N98" s="223"/>
      <c r="O98" s="223"/>
      <c r="P98" s="153"/>
      <c r="Q98" s="154"/>
      <c r="R98" s="189"/>
      <c r="S98" s="158"/>
      <c r="T98" s="159"/>
      <c r="U98" s="153"/>
      <c r="V98" s="153"/>
      <c r="W98" s="154"/>
      <c r="X98" s="158"/>
      <c r="Y98" s="153"/>
      <c r="Z98" s="153"/>
      <c r="AA98" s="153"/>
      <c r="AB98" s="153"/>
      <c r="AC98" s="158"/>
      <c r="AD98" s="159"/>
      <c r="AE98" s="153"/>
      <c r="AF98" s="153"/>
      <c r="AG98" s="158"/>
      <c r="AH98" s="153"/>
      <c r="AI98" s="154"/>
      <c r="AJ98" s="154"/>
      <c r="AK98" s="154"/>
      <c r="AL98" s="154"/>
      <c r="AM98" s="154"/>
      <c r="AN98" s="158"/>
      <c r="AO98" s="153"/>
      <c r="AP98" s="153"/>
      <c r="AQ98" s="153"/>
      <c r="AR98" s="158"/>
      <c r="AS98" s="153"/>
      <c r="AT98" s="153"/>
      <c r="AU98" s="153"/>
      <c r="AV98" s="154"/>
      <c r="AW98" s="158"/>
      <c r="AX98" s="153"/>
      <c r="AY98" s="153"/>
      <c r="AZ98" s="154"/>
      <c r="BA98" s="158"/>
      <c r="BB98" s="153"/>
      <c r="BC98" s="153"/>
      <c r="BD98" s="153"/>
      <c r="BE98" s="153"/>
      <c r="BF98" s="153"/>
      <c r="BG98" s="162"/>
      <c r="BH98" s="467"/>
      <c r="BI98" s="154"/>
      <c r="BJ98" s="158"/>
      <c r="BK98" s="162"/>
      <c r="BL98" s="160"/>
      <c r="BM98" s="153"/>
      <c r="BN98" s="153"/>
      <c r="BO98" s="154"/>
      <c r="BP98" s="156"/>
      <c r="BQ98" s="152"/>
      <c r="BR98" s="171"/>
      <c r="BS98" s="174"/>
      <c r="BT98" s="142"/>
      <c r="BU98" s="142"/>
      <c r="BV98" s="171"/>
      <c r="BW98" s="171"/>
      <c r="BX98" s="171"/>
      <c r="BY98" s="171"/>
      <c r="BZ98" s="172"/>
      <c r="CA98" s="174"/>
      <c r="CB98" s="153"/>
      <c r="CC98" s="155"/>
      <c r="CD98" s="171"/>
      <c r="CE98" s="174"/>
      <c r="CF98" s="327"/>
      <c r="CG98" s="327"/>
      <c r="CH98" s="142"/>
      <c r="CI98" s="74">
        <v>285</v>
      </c>
      <c r="CJ98" s="58">
        <v>318</v>
      </c>
      <c r="CK98" s="45">
        <v>215</v>
      </c>
      <c r="CL98" s="58">
        <v>315</v>
      </c>
      <c r="CM98" s="102">
        <v>427</v>
      </c>
      <c r="CN98" s="102">
        <v>422</v>
      </c>
      <c r="CO98" s="45">
        <v>360</v>
      </c>
      <c r="CP98" s="45">
        <v>341</v>
      </c>
      <c r="CQ98" s="54">
        <v>317</v>
      </c>
      <c r="CR98" s="58">
        <v>239</v>
      </c>
      <c r="CS98" s="105">
        <v>421</v>
      </c>
      <c r="CT98" s="301">
        <v>192</v>
      </c>
      <c r="CU98" s="107">
        <v>167</v>
      </c>
      <c r="CV98" s="97">
        <v>377</v>
      </c>
      <c r="CW98" s="301">
        <v>299</v>
      </c>
      <c r="CX98" s="106">
        <v>140</v>
      </c>
      <c r="CY98" s="159"/>
      <c r="CZ98" s="102"/>
      <c r="DA98" s="102"/>
      <c r="DB98" s="102"/>
      <c r="DC98" s="153"/>
      <c r="DD98" s="153"/>
      <c r="DE98" s="154"/>
      <c r="DF98" s="155"/>
      <c r="DG98" s="161"/>
      <c r="DH98" s="161"/>
      <c r="DI98" s="161"/>
      <c r="DJ98" s="161"/>
      <c r="DK98" s="156"/>
      <c r="DL98" s="162"/>
      <c r="DM98" s="223"/>
      <c r="DN98" s="153"/>
      <c r="DO98" s="153"/>
      <c r="DP98" s="153"/>
      <c r="DQ98" s="153"/>
      <c r="DR98" s="153"/>
      <c r="DS98" s="158"/>
      <c r="DT98" s="153"/>
      <c r="DU98" s="154"/>
      <c r="DV98" s="154"/>
      <c r="DW98" s="154"/>
      <c r="DX98" s="154"/>
      <c r="DY98" s="154"/>
      <c r="DZ98" s="154"/>
      <c r="EA98" s="158"/>
      <c r="EB98" s="19"/>
    </row>
    <row r="99" spans="1:132" s="12" customFormat="1" ht="12.75" customHeight="1" x14ac:dyDescent="0.3">
      <c r="A99" s="10">
        <v>4612</v>
      </c>
      <c r="B99" s="11" t="s">
        <v>409</v>
      </c>
      <c r="C99" s="360">
        <v>577</v>
      </c>
      <c r="D99" s="54">
        <v>173</v>
      </c>
      <c r="E99" s="706">
        <f t="shared" si="2"/>
        <v>0.29982668977469673</v>
      </c>
      <c r="F99" s="219"/>
      <c r="G99" s="161"/>
      <c r="H99" s="153"/>
      <c r="I99" s="155"/>
      <c r="J99" s="153"/>
      <c r="K99" s="162"/>
      <c r="L99" s="160"/>
      <c r="M99" s="223"/>
      <c r="N99" s="223"/>
      <c r="O99" s="223"/>
      <c r="P99" s="153"/>
      <c r="Q99" s="154"/>
      <c r="R99" s="189"/>
      <c r="S99" s="158"/>
      <c r="T99" s="159"/>
      <c r="U99" s="153"/>
      <c r="V99" s="153"/>
      <c r="W99" s="154"/>
      <c r="X99" s="158"/>
      <c r="Y99" s="153"/>
      <c r="Z99" s="153"/>
      <c r="AA99" s="153"/>
      <c r="AB99" s="153"/>
      <c r="AC99" s="158"/>
      <c r="AD99" s="159"/>
      <c r="AE99" s="153"/>
      <c r="AF99" s="153"/>
      <c r="AG99" s="158"/>
      <c r="AH99" s="153"/>
      <c r="AI99" s="154"/>
      <c r="AJ99" s="154"/>
      <c r="AK99" s="154"/>
      <c r="AL99" s="154"/>
      <c r="AM99" s="154"/>
      <c r="AN99" s="158"/>
      <c r="AO99" s="153"/>
      <c r="AP99" s="153"/>
      <c r="AQ99" s="153"/>
      <c r="AR99" s="158"/>
      <c r="AS99" s="153"/>
      <c r="AT99" s="153"/>
      <c r="AU99" s="153"/>
      <c r="AV99" s="154"/>
      <c r="AW99" s="158"/>
      <c r="AX99" s="153"/>
      <c r="AY99" s="153"/>
      <c r="AZ99" s="154"/>
      <c r="BA99" s="158"/>
      <c r="BB99" s="153"/>
      <c r="BC99" s="153"/>
      <c r="BD99" s="153"/>
      <c r="BE99" s="153"/>
      <c r="BF99" s="153"/>
      <c r="BG99" s="162"/>
      <c r="BH99" s="467"/>
      <c r="BI99" s="154"/>
      <c r="BJ99" s="158"/>
      <c r="BK99" s="162"/>
      <c r="BL99" s="160"/>
      <c r="BM99" s="153"/>
      <c r="BN99" s="153"/>
      <c r="BO99" s="154"/>
      <c r="BP99" s="156"/>
      <c r="BQ99" s="152"/>
      <c r="BR99" s="171"/>
      <c r="BS99" s="174"/>
      <c r="BT99" s="142"/>
      <c r="BU99" s="142"/>
      <c r="BV99" s="171"/>
      <c r="BW99" s="171"/>
      <c r="BX99" s="171"/>
      <c r="BY99" s="171"/>
      <c r="BZ99" s="172"/>
      <c r="CA99" s="174"/>
      <c r="CB99" s="153"/>
      <c r="CC99" s="155"/>
      <c r="CD99" s="171"/>
      <c r="CE99" s="174"/>
      <c r="CF99" s="327"/>
      <c r="CG99" s="327"/>
      <c r="CH99" s="142"/>
      <c r="CI99" s="74">
        <v>98</v>
      </c>
      <c r="CJ99" s="58">
        <v>61</v>
      </c>
      <c r="CK99" s="45">
        <v>76</v>
      </c>
      <c r="CL99" s="58">
        <v>64</v>
      </c>
      <c r="CM99" s="102">
        <v>102</v>
      </c>
      <c r="CN99" s="102">
        <v>94</v>
      </c>
      <c r="CO99" s="45">
        <v>86</v>
      </c>
      <c r="CP99" s="45">
        <v>87</v>
      </c>
      <c r="CQ99" s="54">
        <v>81</v>
      </c>
      <c r="CR99" s="58">
        <v>44</v>
      </c>
      <c r="CS99" s="105">
        <v>91</v>
      </c>
      <c r="CT99" s="301">
        <v>185</v>
      </c>
      <c r="CU99" s="107">
        <v>66</v>
      </c>
      <c r="CV99" s="97">
        <v>271</v>
      </c>
      <c r="CW99" s="301">
        <v>415</v>
      </c>
      <c r="CX99" s="106">
        <v>203</v>
      </c>
      <c r="CY99" s="159"/>
      <c r="CZ99" s="102"/>
      <c r="DA99" s="102"/>
      <c r="DB99" s="102"/>
      <c r="DC99" s="153"/>
      <c r="DD99" s="153"/>
      <c r="DE99" s="154"/>
      <c r="DF99" s="155"/>
      <c r="DG99" s="161"/>
      <c r="DH99" s="161"/>
      <c r="DI99" s="161"/>
      <c r="DJ99" s="161"/>
      <c r="DK99" s="156"/>
      <c r="DL99" s="162"/>
      <c r="DM99" s="223"/>
      <c r="DN99" s="153"/>
      <c r="DO99" s="153"/>
      <c r="DP99" s="153"/>
      <c r="DQ99" s="153"/>
      <c r="DR99" s="153"/>
      <c r="DS99" s="158"/>
      <c r="DT99" s="153"/>
      <c r="DU99" s="154"/>
      <c r="DV99" s="154"/>
      <c r="DW99" s="154"/>
      <c r="DX99" s="154"/>
      <c r="DY99" s="154"/>
      <c r="DZ99" s="154"/>
      <c r="EA99" s="158"/>
      <c r="EB99" s="19"/>
    </row>
    <row r="100" spans="1:132" s="12" customFormat="1" ht="13" x14ac:dyDescent="0.3">
      <c r="A100" s="10">
        <v>4621</v>
      </c>
      <c r="B100" s="11" t="s">
        <v>410</v>
      </c>
      <c r="C100" s="360">
        <v>982</v>
      </c>
      <c r="D100" s="54">
        <v>395</v>
      </c>
      <c r="E100" s="706">
        <f t="shared" si="2"/>
        <v>0.40224032586558045</v>
      </c>
      <c r="F100" s="219"/>
      <c r="G100" s="161"/>
      <c r="H100" s="153"/>
      <c r="I100" s="155"/>
      <c r="J100" s="153"/>
      <c r="K100" s="162"/>
      <c r="L100" s="160"/>
      <c r="M100" s="223"/>
      <c r="N100" s="223"/>
      <c r="O100" s="223"/>
      <c r="P100" s="153"/>
      <c r="Q100" s="154"/>
      <c r="R100" s="189"/>
      <c r="S100" s="158"/>
      <c r="T100" s="159"/>
      <c r="U100" s="153"/>
      <c r="V100" s="153"/>
      <c r="W100" s="154"/>
      <c r="X100" s="158"/>
      <c r="Y100" s="153"/>
      <c r="Z100" s="153"/>
      <c r="AA100" s="153"/>
      <c r="AB100" s="153"/>
      <c r="AC100" s="158"/>
      <c r="AD100" s="159"/>
      <c r="AE100" s="153"/>
      <c r="AF100" s="153"/>
      <c r="AG100" s="158"/>
      <c r="AH100" s="153"/>
      <c r="AI100" s="154"/>
      <c r="AJ100" s="154"/>
      <c r="AK100" s="154"/>
      <c r="AL100" s="154"/>
      <c r="AM100" s="154"/>
      <c r="AN100" s="158"/>
      <c r="AO100" s="153"/>
      <c r="AP100" s="153"/>
      <c r="AQ100" s="153"/>
      <c r="AR100" s="158"/>
      <c r="AS100" s="153"/>
      <c r="AT100" s="153"/>
      <c r="AU100" s="153"/>
      <c r="AV100" s="154"/>
      <c r="AW100" s="158"/>
      <c r="AX100" s="153"/>
      <c r="AY100" s="153"/>
      <c r="AZ100" s="154"/>
      <c r="BA100" s="158"/>
      <c r="BB100" s="153"/>
      <c r="BC100" s="153"/>
      <c r="BD100" s="153"/>
      <c r="BE100" s="153"/>
      <c r="BF100" s="153"/>
      <c r="BG100" s="162"/>
      <c r="BH100" s="467"/>
      <c r="BI100" s="154"/>
      <c r="BJ100" s="158"/>
      <c r="BK100" s="162"/>
      <c r="BL100" s="160"/>
      <c r="BM100" s="153"/>
      <c r="BN100" s="153"/>
      <c r="BO100" s="154"/>
      <c r="BP100" s="156"/>
      <c r="BQ100" s="152"/>
      <c r="BR100" s="171"/>
      <c r="BS100" s="174"/>
      <c r="BT100" s="142"/>
      <c r="BU100" s="142"/>
      <c r="BV100" s="171"/>
      <c r="BW100" s="171"/>
      <c r="BX100" s="171"/>
      <c r="BY100" s="171"/>
      <c r="BZ100" s="172"/>
      <c r="CA100" s="174"/>
      <c r="CB100" s="153"/>
      <c r="CC100" s="155"/>
      <c r="CD100" s="153"/>
      <c r="CE100" s="155"/>
      <c r="CF100" s="160"/>
      <c r="CG100" s="160"/>
      <c r="CH100" s="161"/>
      <c r="CI100" s="74">
        <v>152</v>
      </c>
      <c r="CJ100" s="58">
        <v>216</v>
      </c>
      <c r="CK100" s="45">
        <v>113</v>
      </c>
      <c r="CL100" s="58">
        <v>206</v>
      </c>
      <c r="CM100" s="102">
        <v>274</v>
      </c>
      <c r="CN100" s="102">
        <v>261</v>
      </c>
      <c r="CO100" s="45">
        <v>216</v>
      </c>
      <c r="CP100" s="45">
        <v>164</v>
      </c>
      <c r="CQ100" s="54">
        <v>187</v>
      </c>
      <c r="CR100" s="58">
        <v>163</v>
      </c>
      <c r="CS100" s="105"/>
      <c r="CT100" s="301"/>
      <c r="CU100" s="316"/>
      <c r="CV100" s="301"/>
      <c r="CW100" s="97"/>
      <c r="CX100" s="106"/>
      <c r="CY100" s="159"/>
      <c r="CZ100" s="102"/>
      <c r="DA100" s="102"/>
      <c r="DB100" s="102"/>
      <c r="DC100" s="153"/>
      <c r="DD100" s="153"/>
      <c r="DE100" s="154"/>
      <c r="DF100" s="155"/>
      <c r="DG100" s="161"/>
      <c r="DH100" s="161"/>
      <c r="DI100" s="161"/>
      <c r="DJ100" s="161"/>
      <c r="DK100" s="156"/>
      <c r="DL100" s="162"/>
      <c r="DM100" s="223"/>
      <c r="DN100" s="153"/>
      <c r="DO100" s="153"/>
      <c r="DP100" s="153"/>
      <c r="DQ100" s="153"/>
      <c r="DR100" s="153"/>
      <c r="DS100" s="158"/>
      <c r="DT100" s="153"/>
      <c r="DU100" s="154"/>
      <c r="DV100" s="154"/>
      <c r="DW100" s="154"/>
      <c r="DX100" s="154"/>
      <c r="DY100" s="154"/>
      <c r="DZ100" s="154"/>
      <c r="EA100" s="158"/>
      <c r="EB100" s="19"/>
    </row>
    <row r="101" spans="1:132" s="12" customFormat="1" ht="12.75" customHeight="1" x14ac:dyDescent="0.3">
      <c r="A101" s="10">
        <v>4622</v>
      </c>
      <c r="B101" s="11" t="s">
        <v>411</v>
      </c>
      <c r="C101" s="360">
        <v>580</v>
      </c>
      <c r="D101" s="54">
        <v>277</v>
      </c>
      <c r="E101" s="706">
        <f t="shared" si="2"/>
        <v>0.47758620689655173</v>
      </c>
      <c r="F101" s="219"/>
      <c r="G101" s="161"/>
      <c r="H101" s="153"/>
      <c r="I101" s="155"/>
      <c r="J101" s="153"/>
      <c r="K101" s="162"/>
      <c r="L101" s="160"/>
      <c r="M101" s="223"/>
      <c r="N101" s="223"/>
      <c r="O101" s="223"/>
      <c r="P101" s="153"/>
      <c r="Q101" s="154"/>
      <c r="R101" s="189"/>
      <c r="S101" s="158"/>
      <c r="T101" s="159"/>
      <c r="U101" s="153"/>
      <c r="V101" s="153"/>
      <c r="W101" s="154"/>
      <c r="X101" s="158"/>
      <c r="Y101" s="153"/>
      <c r="Z101" s="153"/>
      <c r="AA101" s="153"/>
      <c r="AB101" s="153"/>
      <c r="AC101" s="158"/>
      <c r="AD101" s="159"/>
      <c r="AE101" s="153"/>
      <c r="AF101" s="153"/>
      <c r="AG101" s="158"/>
      <c r="AH101" s="153"/>
      <c r="AI101" s="154"/>
      <c r="AJ101" s="154"/>
      <c r="AK101" s="154"/>
      <c r="AL101" s="154"/>
      <c r="AM101" s="154"/>
      <c r="AN101" s="158"/>
      <c r="AO101" s="153"/>
      <c r="AP101" s="153"/>
      <c r="AQ101" s="153"/>
      <c r="AR101" s="158"/>
      <c r="AS101" s="153"/>
      <c r="AT101" s="153"/>
      <c r="AU101" s="153"/>
      <c r="AV101" s="154"/>
      <c r="AW101" s="158"/>
      <c r="AX101" s="153"/>
      <c r="AY101" s="153"/>
      <c r="AZ101" s="154"/>
      <c r="BA101" s="158"/>
      <c r="BB101" s="153"/>
      <c r="BC101" s="153"/>
      <c r="BD101" s="153"/>
      <c r="BE101" s="153"/>
      <c r="BF101" s="153"/>
      <c r="BG101" s="162"/>
      <c r="BH101" s="467"/>
      <c r="BI101" s="154"/>
      <c r="BJ101" s="158"/>
      <c r="BK101" s="162"/>
      <c r="BL101" s="160"/>
      <c r="BM101" s="153"/>
      <c r="BN101" s="153"/>
      <c r="BO101" s="154"/>
      <c r="BP101" s="156"/>
      <c r="BQ101" s="152"/>
      <c r="BR101" s="171"/>
      <c r="BS101" s="174"/>
      <c r="BT101" s="142"/>
      <c r="BU101" s="142"/>
      <c r="BV101" s="171"/>
      <c r="BW101" s="171"/>
      <c r="BX101" s="171"/>
      <c r="BY101" s="171"/>
      <c r="BZ101" s="172"/>
      <c r="CA101" s="174"/>
      <c r="CB101" s="153"/>
      <c r="CC101" s="155"/>
      <c r="CD101" s="153"/>
      <c r="CE101" s="155"/>
      <c r="CF101" s="160"/>
      <c r="CG101" s="160"/>
      <c r="CH101" s="161"/>
      <c r="CI101" s="74">
        <v>81</v>
      </c>
      <c r="CJ101" s="58">
        <v>182</v>
      </c>
      <c r="CK101" s="45">
        <v>55</v>
      </c>
      <c r="CL101" s="58">
        <v>168</v>
      </c>
      <c r="CM101" s="102">
        <v>182</v>
      </c>
      <c r="CN101" s="102">
        <v>170</v>
      </c>
      <c r="CO101" s="45">
        <v>175</v>
      </c>
      <c r="CP101" s="45">
        <v>147</v>
      </c>
      <c r="CQ101" s="54">
        <v>149</v>
      </c>
      <c r="CR101" s="58">
        <v>116</v>
      </c>
      <c r="CS101" s="105"/>
      <c r="CT101" s="301"/>
      <c r="CU101" s="316"/>
      <c r="CV101" s="301"/>
      <c r="CW101" s="97"/>
      <c r="CX101" s="106"/>
      <c r="CY101" s="159"/>
      <c r="CZ101" s="102"/>
      <c r="DA101" s="102"/>
      <c r="DB101" s="102"/>
      <c r="DC101" s="153"/>
      <c r="DD101" s="153"/>
      <c r="DE101" s="154"/>
      <c r="DF101" s="155"/>
      <c r="DG101" s="161"/>
      <c r="DH101" s="161"/>
      <c r="DI101" s="161"/>
      <c r="DJ101" s="161"/>
      <c r="DK101" s="156"/>
      <c r="DL101" s="162"/>
      <c r="DM101" s="223"/>
      <c r="DN101" s="153"/>
      <c r="DO101" s="153"/>
      <c r="DP101" s="153"/>
      <c r="DQ101" s="153"/>
      <c r="DR101" s="153"/>
      <c r="DS101" s="158"/>
      <c r="DT101" s="153"/>
      <c r="DU101" s="154"/>
      <c r="DV101" s="154"/>
      <c r="DW101" s="154"/>
      <c r="DX101" s="154"/>
      <c r="DY101" s="154"/>
      <c r="DZ101" s="154"/>
      <c r="EA101" s="158"/>
      <c r="EB101" s="19"/>
    </row>
    <row r="102" spans="1:132" s="12" customFormat="1" ht="13" x14ac:dyDescent="0.3">
      <c r="A102" s="10">
        <v>4631</v>
      </c>
      <c r="B102" s="11" t="s">
        <v>412</v>
      </c>
      <c r="C102" s="360">
        <v>1179</v>
      </c>
      <c r="D102" s="54">
        <v>551</v>
      </c>
      <c r="E102" s="706">
        <f t="shared" si="2"/>
        <v>0.46734520780322308</v>
      </c>
      <c r="F102" s="219"/>
      <c r="G102" s="161"/>
      <c r="H102" s="153"/>
      <c r="I102" s="155"/>
      <c r="J102" s="153"/>
      <c r="K102" s="162"/>
      <c r="L102" s="160"/>
      <c r="M102" s="223"/>
      <c r="N102" s="223"/>
      <c r="O102" s="223"/>
      <c r="P102" s="153"/>
      <c r="Q102" s="154"/>
      <c r="R102" s="189"/>
      <c r="S102" s="158"/>
      <c r="T102" s="159"/>
      <c r="U102" s="153"/>
      <c r="V102" s="153"/>
      <c r="W102" s="154"/>
      <c r="X102" s="158"/>
      <c r="Y102" s="153"/>
      <c r="Z102" s="153"/>
      <c r="AA102" s="153"/>
      <c r="AB102" s="153"/>
      <c r="AC102" s="158"/>
      <c r="AD102" s="159"/>
      <c r="AE102" s="153"/>
      <c r="AF102" s="153"/>
      <c r="AG102" s="158"/>
      <c r="AH102" s="153"/>
      <c r="AI102" s="154"/>
      <c r="AJ102" s="154"/>
      <c r="AK102" s="154"/>
      <c r="AL102" s="154"/>
      <c r="AM102" s="154"/>
      <c r="AN102" s="158"/>
      <c r="AO102" s="153"/>
      <c r="AP102" s="153"/>
      <c r="AQ102" s="153"/>
      <c r="AR102" s="158"/>
      <c r="AS102" s="153"/>
      <c r="AT102" s="153"/>
      <c r="AU102" s="153"/>
      <c r="AV102" s="154"/>
      <c r="AW102" s="158"/>
      <c r="AX102" s="153"/>
      <c r="AY102" s="153"/>
      <c r="AZ102" s="154"/>
      <c r="BA102" s="158"/>
      <c r="BB102" s="153"/>
      <c r="BC102" s="153"/>
      <c r="BD102" s="153"/>
      <c r="BE102" s="153"/>
      <c r="BF102" s="153"/>
      <c r="BG102" s="162"/>
      <c r="BH102" s="467"/>
      <c r="BI102" s="154"/>
      <c r="BJ102" s="158"/>
      <c r="BK102" s="162"/>
      <c r="BL102" s="160"/>
      <c r="BM102" s="153"/>
      <c r="BN102" s="153"/>
      <c r="BO102" s="154"/>
      <c r="BP102" s="156"/>
      <c r="BQ102" s="152"/>
      <c r="BR102" s="171"/>
      <c r="BS102" s="174"/>
      <c r="BT102" s="142"/>
      <c r="BU102" s="142"/>
      <c r="BV102" s="171"/>
      <c r="BW102" s="171"/>
      <c r="BX102" s="171"/>
      <c r="BY102" s="171"/>
      <c r="BZ102" s="172"/>
      <c r="CA102" s="174"/>
      <c r="CB102" s="153"/>
      <c r="CC102" s="155"/>
      <c r="CD102" s="153"/>
      <c r="CE102" s="155"/>
      <c r="CF102" s="160"/>
      <c r="CG102" s="160"/>
      <c r="CH102" s="161"/>
      <c r="CI102" s="74">
        <v>185</v>
      </c>
      <c r="CJ102" s="58">
        <v>328</v>
      </c>
      <c r="CK102" s="45">
        <v>124</v>
      </c>
      <c r="CL102" s="58">
        <v>311</v>
      </c>
      <c r="CM102" s="102">
        <v>396</v>
      </c>
      <c r="CN102" s="102">
        <v>380</v>
      </c>
      <c r="CO102" s="45">
        <v>316</v>
      </c>
      <c r="CP102" s="45">
        <v>237</v>
      </c>
      <c r="CQ102" s="54">
        <v>250</v>
      </c>
      <c r="CR102" s="58">
        <v>264</v>
      </c>
      <c r="CS102" s="105"/>
      <c r="CT102" s="301"/>
      <c r="CU102" s="316"/>
      <c r="CV102" s="301"/>
      <c r="CW102" s="301"/>
      <c r="CX102" s="73"/>
      <c r="CY102" s="159"/>
      <c r="CZ102" s="102"/>
      <c r="DA102" s="102"/>
      <c r="DB102" s="102"/>
      <c r="DC102" s="153"/>
      <c r="DD102" s="153"/>
      <c r="DE102" s="154"/>
      <c r="DF102" s="155"/>
      <c r="DG102" s="161"/>
      <c r="DH102" s="161"/>
      <c r="DI102" s="161"/>
      <c r="DJ102" s="161"/>
      <c r="DK102" s="156"/>
      <c r="DL102" s="162"/>
      <c r="DM102" s="223"/>
      <c r="DN102" s="153"/>
      <c r="DO102" s="153"/>
      <c r="DP102" s="153"/>
      <c r="DQ102" s="153"/>
      <c r="DR102" s="153"/>
      <c r="DS102" s="158"/>
      <c r="DT102" s="153"/>
      <c r="DU102" s="154"/>
      <c r="DV102" s="154"/>
      <c r="DW102" s="154"/>
      <c r="DX102" s="154"/>
      <c r="DY102" s="154"/>
      <c r="DZ102" s="154"/>
      <c r="EA102" s="158"/>
      <c r="EB102" s="19"/>
    </row>
    <row r="103" spans="1:132" s="12" customFormat="1" ht="12.75" customHeight="1" x14ac:dyDescent="0.3">
      <c r="A103" s="10">
        <v>4632</v>
      </c>
      <c r="B103" s="11" t="s">
        <v>413</v>
      </c>
      <c r="C103" s="360">
        <v>766</v>
      </c>
      <c r="D103" s="54">
        <v>425</v>
      </c>
      <c r="E103" s="706">
        <f t="shared" si="2"/>
        <v>0.55483028720626637</v>
      </c>
      <c r="F103" s="219"/>
      <c r="G103" s="161"/>
      <c r="H103" s="153"/>
      <c r="I103" s="155"/>
      <c r="J103" s="153"/>
      <c r="K103" s="162"/>
      <c r="L103" s="160"/>
      <c r="M103" s="223"/>
      <c r="N103" s="223"/>
      <c r="O103" s="223"/>
      <c r="P103" s="153"/>
      <c r="Q103" s="154"/>
      <c r="R103" s="189"/>
      <c r="S103" s="158"/>
      <c r="T103" s="159"/>
      <c r="U103" s="153"/>
      <c r="V103" s="153"/>
      <c r="W103" s="154"/>
      <c r="X103" s="158"/>
      <c r="Y103" s="153"/>
      <c r="Z103" s="153"/>
      <c r="AA103" s="153"/>
      <c r="AB103" s="153"/>
      <c r="AC103" s="158"/>
      <c r="AD103" s="159"/>
      <c r="AE103" s="153"/>
      <c r="AF103" s="153"/>
      <c r="AG103" s="158"/>
      <c r="AH103" s="153"/>
      <c r="AI103" s="154"/>
      <c r="AJ103" s="154"/>
      <c r="AK103" s="154"/>
      <c r="AL103" s="154"/>
      <c r="AM103" s="154"/>
      <c r="AN103" s="158"/>
      <c r="AO103" s="153"/>
      <c r="AP103" s="153"/>
      <c r="AQ103" s="153"/>
      <c r="AR103" s="158"/>
      <c r="AS103" s="153"/>
      <c r="AT103" s="153"/>
      <c r="AU103" s="153"/>
      <c r="AV103" s="154"/>
      <c r="AW103" s="158"/>
      <c r="AX103" s="153"/>
      <c r="AY103" s="153"/>
      <c r="AZ103" s="154"/>
      <c r="BA103" s="158"/>
      <c r="BB103" s="153"/>
      <c r="BC103" s="153"/>
      <c r="BD103" s="153"/>
      <c r="BE103" s="153"/>
      <c r="BF103" s="153"/>
      <c r="BG103" s="162"/>
      <c r="BH103" s="467"/>
      <c r="BI103" s="154"/>
      <c r="BJ103" s="158"/>
      <c r="BK103" s="162"/>
      <c r="BL103" s="160"/>
      <c r="BM103" s="153"/>
      <c r="BN103" s="153"/>
      <c r="BO103" s="154"/>
      <c r="BP103" s="156"/>
      <c r="BQ103" s="152"/>
      <c r="BR103" s="171"/>
      <c r="BS103" s="174"/>
      <c r="BT103" s="142"/>
      <c r="BU103" s="142"/>
      <c r="BV103" s="171"/>
      <c r="BW103" s="171"/>
      <c r="BX103" s="171"/>
      <c r="BY103" s="171"/>
      <c r="BZ103" s="172"/>
      <c r="CA103" s="174"/>
      <c r="CB103" s="153"/>
      <c r="CC103" s="155"/>
      <c r="CD103" s="153"/>
      <c r="CE103" s="155"/>
      <c r="CF103" s="160"/>
      <c r="CG103" s="160"/>
      <c r="CH103" s="161"/>
      <c r="CI103" s="74">
        <v>167</v>
      </c>
      <c r="CJ103" s="58">
        <v>240</v>
      </c>
      <c r="CK103" s="45">
        <v>91</v>
      </c>
      <c r="CL103" s="58">
        <v>269</v>
      </c>
      <c r="CM103" s="102">
        <v>295</v>
      </c>
      <c r="CN103" s="102">
        <v>287</v>
      </c>
      <c r="CO103" s="45">
        <v>243</v>
      </c>
      <c r="CP103" s="45">
        <v>207</v>
      </c>
      <c r="CQ103" s="54">
        <v>209</v>
      </c>
      <c r="CR103" s="58">
        <v>191</v>
      </c>
      <c r="CS103" s="105"/>
      <c r="CT103" s="301"/>
      <c r="CU103" s="316"/>
      <c r="CV103" s="301"/>
      <c r="CW103" s="301"/>
      <c r="CX103" s="73"/>
      <c r="CY103" s="511"/>
      <c r="CZ103" s="102"/>
      <c r="DA103" s="102"/>
      <c r="DB103" s="102"/>
      <c r="DC103" s="165"/>
      <c r="DD103" s="165"/>
      <c r="DE103" s="173"/>
      <c r="DF103" s="170"/>
      <c r="DG103" s="220"/>
      <c r="DH103" s="220"/>
      <c r="DI103" s="161"/>
      <c r="DJ103" s="161"/>
      <c r="DK103" s="156"/>
      <c r="DL103" s="162"/>
      <c r="DM103" s="223"/>
      <c r="DN103" s="153"/>
      <c r="DO103" s="153"/>
      <c r="DP103" s="153"/>
      <c r="DQ103" s="153"/>
      <c r="DR103" s="153"/>
      <c r="DS103" s="158"/>
      <c r="DT103" s="153"/>
      <c r="DU103" s="154"/>
      <c r="DV103" s="154"/>
      <c r="DW103" s="154"/>
      <c r="DX103" s="154"/>
      <c r="DY103" s="154"/>
      <c r="DZ103" s="154"/>
      <c r="EA103" s="158"/>
      <c r="EB103" s="19"/>
    </row>
    <row r="104" spans="1:132" s="12" customFormat="1" ht="13" x14ac:dyDescent="0.3">
      <c r="A104" s="10">
        <v>4641</v>
      </c>
      <c r="B104" s="11" t="s">
        <v>414</v>
      </c>
      <c r="C104" s="360">
        <v>825</v>
      </c>
      <c r="D104" s="54">
        <v>486</v>
      </c>
      <c r="E104" s="706">
        <f t="shared" si="2"/>
        <v>0.58909090909090911</v>
      </c>
      <c r="F104" s="219"/>
      <c r="G104" s="161"/>
      <c r="H104" s="153"/>
      <c r="I104" s="155"/>
      <c r="J104" s="153"/>
      <c r="K104" s="162"/>
      <c r="L104" s="160"/>
      <c r="M104" s="223"/>
      <c r="N104" s="223"/>
      <c r="O104" s="223"/>
      <c r="P104" s="153"/>
      <c r="Q104" s="154"/>
      <c r="R104" s="189"/>
      <c r="S104" s="158"/>
      <c r="T104" s="159"/>
      <c r="U104" s="153"/>
      <c r="V104" s="153"/>
      <c r="W104" s="154"/>
      <c r="X104" s="158"/>
      <c r="Y104" s="153"/>
      <c r="Z104" s="153"/>
      <c r="AA104" s="153"/>
      <c r="AB104" s="153"/>
      <c r="AC104" s="158"/>
      <c r="AD104" s="159"/>
      <c r="AE104" s="153"/>
      <c r="AF104" s="153"/>
      <c r="AG104" s="158"/>
      <c r="AH104" s="153"/>
      <c r="AI104" s="154"/>
      <c r="AJ104" s="154"/>
      <c r="AK104" s="154"/>
      <c r="AL104" s="154"/>
      <c r="AM104" s="154"/>
      <c r="AN104" s="158"/>
      <c r="AO104" s="153"/>
      <c r="AP104" s="153"/>
      <c r="AQ104" s="153"/>
      <c r="AR104" s="158"/>
      <c r="AS104" s="153"/>
      <c r="AT104" s="153"/>
      <c r="AU104" s="153"/>
      <c r="AV104" s="154"/>
      <c r="AW104" s="158"/>
      <c r="AX104" s="153"/>
      <c r="AY104" s="153"/>
      <c r="AZ104" s="154"/>
      <c r="BA104" s="158"/>
      <c r="BB104" s="153"/>
      <c r="BC104" s="153"/>
      <c r="BD104" s="153"/>
      <c r="BE104" s="153"/>
      <c r="BF104" s="153"/>
      <c r="BG104" s="162"/>
      <c r="BH104" s="467"/>
      <c r="BI104" s="154"/>
      <c r="BJ104" s="158"/>
      <c r="BK104" s="162"/>
      <c r="BL104" s="160"/>
      <c r="BM104" s="153"/>
      <c r="BN104" s="153"/>
      <c r="BO104" s="154"/>
      <c r="BP104" s="156"/>
      <c r="BQ104" s="152"/>
      <c r="BR104" s="171"/>
      <c r="BS104" s="174"/>
      <c r="BT104" s="142"/>
      <c r="BU104" s="142"/>
      <c r="BV104" s="171"/>
      <c r="BW104" s="171"/>
      <c r="BX104" s="171"/>
      <c r="BY104" s="171"/>
      <c r="BZ104" s="172"/>
      <c r="CA104" s="174"/>
      <c r="CB104" s="153"/>
      <c r="CC104" s="155"/>
      <c r="CD104" s="153"/>
      <c r="CE104" s="155"/>
      <c r="CF104" s="160"/>
      <c r="CG104" s="160"/>
      <c r="CH104" s="161"/>
      <c r="CI104" s="162">
        <v>169</v>
      </c>
      <c r="CJ104" s="155">
        <v>295</v>
      </c>
      <c r="CK104" s="153">
        <v>98</v>
      </c>
      <c r="CL104" s="155">
        <v>302</v>
      </c>
      <c r="CM104" s="161">
        <v>343</v>
      </c>
      <c r="CN104" s="161">
        <v>338</v>
      </c>
      <c r="CO104" s="153">
        <v>282</v>
      </c>
      <c r="CP104" s="153">
        <v>227</v>
      </c>
      <c r="CQ104" s="154">
        <v>257</v>
      </c>
      <c r="CR104" s="155">
        <v>210</v>
      </c>
      <c r="CS104" s="161"/>
      <c r="CT104" s="223"/>
      <c r="CU104" s="160"/>
      <c r="CV104" s="223"/>
      <c r="CW104" s="223"/>
      <c r="CX104" s="156"/>
      <c r="CY104" s="101"/>
      <c r="CZ104" s="161"/>
      <c r="DA104" s="161"/>
      <c r="DB104" s="161"/>
      <c r="DC104" s="45"/>
      <c r="DD104" s="45"/>
      <c r="DE104" s="54"/>
      <c r="DF104" s="58"/>
      <c r="DG104" s="102"/>
      <c r="DH104" s="102"/>
      <c r="DI104" s="105"/>
      <c r="DJ104" s="105"/>
      <c r="DK104" s="106"/>
      <c r="DL104" s="98"/>
      <c r="DM104" s="223"/>
      <c r="DN104" s="153"/>
      <c r="DO104" s="153"/>
      <c r="DP104" s="153"/>
      <c r="DQ104" s="153"/>
      <c r="DR104" s="153"/>
      <c r="DS104" s="158"/>
      <c r="DT104" s="153"/>
      <c r="DU104" s="154"/>
      <c r="DV104" s="154"/>
      <c r="DW104" s="154"/>
      <c r="DX104" s="154"/>
      <c r="DY104" s="154"/>
      <c r="DZ104" s="154"/>
      <c r="EA104" s="158"/>
      <c r="EB104" s="19"/>
    </row>
    <row r="105" spans="1:132" s="12" customFormat="1" ht="12.75" customHeight="1" x14ac:dyDescent="0.3">
      <c r="A105" s="10">
        <v>4642</v>
      </c>
      <c r="B105" s="11" t="s">
        <v>415</v>
      </c>
      <c r="C105" s="360">
        <v>1074</v>
      </c>
      <c r="D105" s="54">
        <v>663</v>
      </c>
      <c r="E105" s="706">
        <f t="shared" si="2"/>
        <v>0.61731843575418999</v>
      </c>
      <c r="F105" s="219"/>
      <c r="G105" s="161"/>
      <c r="H105" s="153"/>
      <c r="I105" s="155"/>
      <c r="J105" s="153"/>
      <c r="K105" s="162"/>
      <c r="L105" s="160"/>
      <c r="M105" s="223"/>
      <c r="N105" s="223"/>
      <c r="O105" s="223"/>
      <c r="P105" s="153"/>
      <c r="Q105" s="154"/>
      <c r="R105" s="189"/>
      <c r="S105" s="158"/>
      <c r="T105" s="159"/>
      <c r="U105" s="153"/>
      <c r="V105" s="153"/>
      <c r="W105" s="154"/>
      <c r="X105" s="158"/>
      <c r="Y105" s="153"/>
      <c r="Z105" s="153"/>
      <c r="AA105" s="153"/>
      <c r="AB105" s="153"/>
      <c r="AC105" s="158"/>
      <c r="AD105" s="159"/>
      <c r="AE105" s="153"/>
      <c r="AF105" s="153"/>
      <c r="AG105" s="158"/>
      <c r="AH105" s="153"/>
      <c r="AI105" s="154"/>
      <c r="AJ105" s="154"/>
      <c r="AK105" s="154"/>
      <c r="AL105" s="154"/>
      <c r="AM105" s="154"/>
      <c r="AN105" s="158"/>
      <c r="AO105" s="153"/>
      <c r="AP105" s="153"/>
      <c r="AQ105" s="153"/>
      <c r="AR105" s="158"/>
      <c r="AS105" s="153"/>
      <c r="AT105" s="153"/>
      <c r="AU105" s="153"/>
      <c r="AV105" s="154"/>
      <c r="AW105" s="158"/>
      <c r="AX105" s="153"/>
      <c r="AY105" s="153"/>
      <c r="AZ105" s="154"/>
      <c r="BA105" s="158"/>
      <c r="BB105" s="153"/>
      <c r="BC105" s="153"/>
      <c r="BD105" s="153"/>
      <c r="BE105" s="153"/>
      <c r="BF105" s="153"/>
      <c r="BG105" s="162"/>
      <c r="BH105" s="467"/>
      <c r="BI105" s="154"/>
      <c r="BJ105" s="158"/>
      <c r="BK105" s="162"/>
      <c r="BL105" s="160"/>
      <c r="BM105" s="153"/>
      <c r="BN105" s="153"/>
      <c r="BO105" s="154"/>
      <c r="BP105" s="156"/>
      <c r="BQ105" s="152"/>
      <c r="BR105" s="171"/>
      <c r="BS105" s="174"/>
      <c r="BT105" s="142"/>
      <c r="BU105" s="142"/>
      <c r="BV105" s="171"/>
      <c r="BW105" s="171"/>
      <c r="BX105" s="171"/>
      <c r="BY105" s="171"/>
      <c r="BZ105" s="172"/>
      <c r="CA105" s="174"/>
      <c r="CB105" s="153"/>
      <c r="CC105" s="155"/>
      <c r="CD105" s="153"/>
      <c r="CE105" s="155"/>
      <c r="CF105" s="160"/>
      <c r="CG105" s="160"/>
      <c r="CH105" s="161"/>
      <c r="CI105" s="162">
        <v>249</v>
      </c>
      <c r="CJ105" s="155">
        <v>392</v>
      </c>
      <c r="CK105" s="153">
        <v>182</v>
      </c>
      <c r="CL105" s="155">
        <v>390</v>
      </c>
      <c r="CM105" s="161">
        <v>491</v>
      </c>
      <c r="CN105" s="161">
        <v>490</v>
      </c>
      <c r="CO105" s="153">
        <v>404</v>
      </c>
      <c r="CP105" s="153">
        <v>342</v>
      </c>
      <c r="CQ105" s="154">
        <v>370</v>
      </c>
      <c r="CR105" s="155">
        <v>330</v>
      </c>
      <c r="CS105" s="161"/>
      <c r="CT105" s="223"/>
      <c r="CU105" s="160"/>
      <c r="CV105" s="223"/>
      <c r="CW105" s="223"/>
      <c r="CX105" s="156"/>
      <c r="CY105" s="101"/>
      <c r="CZ105" s="161"/>
      <c r="DA105" s="161"/>
      <c r="DB105" s="161"/>
      <c r="DC105" s="45"/>
      <c r="DD105" s="45"/>
      <c r="DE105" s="54"/>
      <c r="DF105" s="58"/>
      <c r="DG105" s="102"/>
      <c r="DH105" s="102"/>
      <c r="DI105" s="105"/>
      <c r="DJ105" s="105"/>
      <c r="DK105" s="106"/>
      <c r="DL105" s="98"/>
      <c r="DM105" s="223"/>
      <c r="DN105" s="153"/>
      <c r="DO105" s="153"/>
      <c r="DP105" s="153"/>
      <c r="DQ105" s="153"/>
      <c r="DR105" s="153"/>
      <c r="DS105" s="158"/>
      <c r="DT105" s="153"/>
      <c r="DU105" s="154"/>
      <c r="DV105" s="154"/>
      <c r="DW105" s="154"/>
      <c r="DX105" s="154"/>
      <c r="DY105" s="154"/>
      <c r="DZ105" s="154"/>
      <c r="EA105" s="158"/>
      <c r="EB105" s="19"/>
    </row>
    <row r="106" spans="1:132" s="12" customFormat="1" ht="13" x14ac:dyDescent="0.3">
      <c r="A106" s="10">
        <v>4911</v>
      </c>
      <c r="B106" s="11" t="s">
        <v>416</v>
      </c>
      <c r="C106" s="360">
        <v>1012</v>
      </c>
      <c r="D106" s="54">
        <v>362</v>
      </c>
      <c r="E106" s="706">
        <f t="shared" si="2"/>
        <v>0.35770750988142291</v>
      </c>
      <c r="F106" s="219"/>
      <c r="G106" s="161"/>
      <c r="H106" s="153"/>
      <c r="I106" s="155"/>
      <c r="J106" s="153"/>
      <c r="K106" s="162"/>
      <c r="L106" s="160"/>
      <c r="M106" s="223"/>
      <c r="N106" s="223"/>
      <c r="O106" s="223"/>
      <c r="P106" s="153"/>
      <c r="Q106" s="154"/>
      <c r="R106" s="189"/>
      <c r="S106" s="158"/>
      <c r="T106" s="159"/>
      <c r="U106" s="153"/>
      <c r="V106" s="153"/>
      <c r="W106" s="154"/>
      <c r="X106" s="158"/>
      <c r="Y106" s="153"/>
      <c r="Z106" s="153"/>
      <c r="AA106" s="153"/>
      <c r="AB106" s="153"/>
      <c r="AC106" s="158"/>
      <c r="AD106" s="159"/>
      <c r="AE106" s="153"/>
      <c r="AF106" s="153"/>
      <c r="AG106" s="158"/>
      <c r="AH106" s="153"/>
      <c r="AI106" s="154"/>
      <c r="AJ106" s="154"/>
      <c r="AK106" s="154"/>
      <c r="AL106" s="154"/>
      <c r="AM106" s="154"/>
      <c r="AN106" s="158"/>
      <c r="AO106" s="153"/>
      <c r="AP106" s="153"/>
      <c r="AQ106" s="153"/>
      <c r="AR106" s="158"/>
      <c r="AS106" s="153"/>
      <c r="AT106" s="153"/>
      <c r="AU106" s="153"/>
      <c r="AV106" s="154"/>
      <c r="AW106" s="158"/>
      <c r="AX106" s="153"/>
      <c r="AY106" s="153"/>
      <c r="AZ106" s="154"/>
      <c r="BA106" s="158"/>
      <c r="BB106" s="153"/>
      <c r="BC106" s="153"/>
      <c r="BD106" s="153"/>
      <c r="BE106" s="153"/>
      <c r="BF106" s="153"/>
      <c r="BG106" s="162"/>
      <c r="BH106" s="467"/>
      <c r="BI106" s="154"/>
      <c r="BJ106" s="158"/>
      <c r="BK106" s="162"/>
      <c r="BL106" s="160"/>
      <c r="BM106" s="153"/>
      <c r="BN106" s="153"/>
      <c r="BO106" s="154"/>
      <c r="BP106" s="156"/>
      <c r="BQ106" s="152"/>
      <c r="BR106" s="171"/>
      <c r="BS106" s="174"/>
      <c r="BT106" s="142"/>
      <c r="BU106" s="142"/>
      <c r="BV106" s="171"/>
      <c r="BW106" s="171"/>
      <c r="BX106" s="171"/>
      <c r="BY106" s="171"/>
      <c r="BZ106" s="172"/>
      <c r="CA106" s="174"/>
      <c r="CB106" s="153"/>
      <c r="CC106" s="155"/>
      <c r="CD106" s="153"/>
      <c r="CE106" s="155"/>
      <c r="CF106" s="160"/>
      <c r="CG106" s="160"/>
      <c r="CH106" s="161"/>
      <c r="CI106" s="162"/>
      <c r="CJ106" s="155"/>
      <c r="CK106" s="153"/>
      <c r="CL106" s="155"/>
      <c r="CM106" s="161"/>
      <c r="CN106" s="161"/>
      <c r="CO106" s="153"/>
      <c r="CP106" s="153"/>
      <c r="CQ106" s="154"/>
      <c r="CR106" s="155"/>
      <c r="CS106" s="161"/>
      <c r="CT106" s="223"/>
      <c r="CU106" s="160"/>
      <c r="CV106" s="223"/>
      <c r="CW106" s="223"/>
      <c r="CX106" s="156"/>
      <c r="CY106" s="101">
        <v>220</v>
      </c>
      <c r="CZ106" s="161">
        <v>201</v>
      </c>
      <c r="DA106" s="161">
        <v>208</v>
      </c>
      <c r="DB106" s="161">
        <v>206</v>
      </c>
      <c r="DC106" s="45">
        <v>171</v>
      </c>
      <c r="DD106" s="45">
        <v>137</v>
      </c>
      <c r="DE106" s="54">
        <v>163</v>
      </c>
      <c r="DF106" s="58">
        <v>136</v>
      </c>
      <c r="DG106" s="105">
        <v>140</v>
      </c>
      <c r="DH106" s="105">
        <v>83</v>
      </c>
      <c r="DI106" s="102">
        <v>355</v>
      </c>
      <c r="DJ106" s="105">
        <v>498</v>
      </c>
      <c r="DK106" s="106">
        <v>432</v>
      </c>
      <c r="DL106" s="98"/>
      <c r="DM106" s="223"/>
      <c r="DN106" s="153"/>
      <c r="DO106" s="153"/>
      <c r="DP106" s="153"/>
      <c r="DQ106" s="153"/>
      <c r="DR106" s="153"/>
      <c r="DS106" s="158"/>
      <c r="DT106" s="153"/>
      <c r="DU106" s="154"/>
      <c r="DV106" s="154"/>
      <c r="DW106" s="154"/>
      <c r="DX106" s="154"/>
      <c r="DY106" s="154"/>
      <c r="DZ106" s="154"/>
      <c r="EA106" s="158"/>
      <c r="EB106" s="19"/>
    </row>
    <row r="107" spans="1:132" s="12" customFormat="1" ht="12.75" customHeight="1" x14ac:dyDescent="0.3">
      <c r="A107" s="10">
        <v>4912</v>
      </c>
      <c r="B107" s="11" t="s">
        <v>417</v>
      </c>
      <c r="C107" s="360">
        <v>854</v>
      </c>
      <c r="D107" s="54">
        <v>338</v>
      </c>
      <c r="E107" s="706">
        <f t="shared" si="2"/>
        <v>0.39578454332552693</v>
      </c>
      <c r="F107" s="219"/>
      <c r="G107" s="161"/>
      <c r="H107" s="153"/>
      <c r="I107" s="155"/>
      <c r="J107" s="153"/>
      <c r="K107" s="162"/>
      <c r="L107" s="160"/>
      <c r="M107" s="223"/>
      <c r="N107" s="223"/>
      <c r="O107" s="223"/>
      <c r="P107" s="153"/>
      <c r="Q107" s="154"/>
      <c r="R107" s="189"/>
      <c r="S107" s="158"/>
      <c r="T107" s="159"/>
      <c r="U107" s="153"/>
      <c r="V107" s="153"/>
      <c r="W107" s="154"/>
      <c r="X107" s="158"/>
      <c r="Y107" s="153"/>
      <c r="Z107" s="153"/>
      <c r="AA107" s="153"/>
      <c r="AB107" s="153"/>
      <c r="AC107" s="158"/>
      <c r="AD107" s="159"/>
      <c r="AE107" s="153"/>
      <c r="AF107" s="153"/>
      <c r="AG107" s="158"/>
      <c r="AH107" s="153"/>
      <c r="AI107" s="154"/>
      <c r="AJ107" s="154"/>
      <c r="AK107" s="154"/>
      <c r="AL107" s="154"/>
      <c r="AM107" s="154"/>
      <c r="AN107" s="158"/>
      <c r="AO107" s="153"/>
      <c r="AP107" s="153"/>
      <c r="AQ107" s="153"/>
      <c r="AR107" s="158"/>
      <c r="AS107" s="153"/>
      <c r="AT107" s="153"/>
      <c r="AU107" s="153"/>
      <c r="AV107" s="154"/>
      <c r="AW107" s="158"/>
      <c r="AX107" s="153"/>
      <c r="AY107" s="153"/>
      <c r="AZ107" s="154"/>
      <c r="BA107" s="158"/>
      <c r="BB107" s="153"/>
      <c r="BC107" s="153"/>
      <c r="BD107" s="153"/>
      <c r="BE107" s="153"/>
      <c r="BF107" s="153"/>
      <c r="BG107" s="162"/>
      <c r="BH107" s="467"/>
      <c r="BI107" s="154"/>
      <c r="BJ107" s="158"/>
      <c r="BK107" s="162"/>
      <c r="BL107" s="160"/>
      <c r="BM107" s="153"/>
      <c r="BN107" s="153"/>
      <c r="BO107" s="154"/>
      <c r="BP107" s="156"/>
      <c r="BQ107" s="159"/>
      <c r="BR107" s="153"/>
      <c r="BS107" s="155"/>
      <c r="BT107" s="161"/>
      <c r="BU107" s="161"/>
      <c r="BV107" s="153"/>
      <c r="BW107" s="153"/>
      <c r="BX107" s="153"/>
      <c r="BY107" s="153"/>
      <c r="BZ107" s="154"/>
      <c r="CA107" s="155"/>
      <c r="CB107" s="153"/>
      <c r="CC107" s="155"/>
      <c r="CD107" s="153"/>
      <c r="CE107" s="155"/>
      <c r="CF107" s="160"/>
      <c r="CG107" s="160"/>
      <c r="CH107" s="161"/>
      <c r="CI107" s="221"/>
      <c r="CJ107" s="174"/>
      <c r="CK107" s="171"/>
      <c r="CL107" s="174"/>
      <c r="CM107" s="142"/>
      <c r="CN107" s="142"/>
      <c r="CO107" s="171"/>
      <c r="CP107" s="171"/>
      <c r="CQ107" s="172"/>
      <c r="CR107" s="174"/>
      <c r="CS107" s="142"/>
      <c r="CT107" s="328"/>
      <c r="CU107" s="160"/>
      <c r="CV107" s="223"/>
      <c r="CW107" s="223"/>
      <c r="CX107" s="156"/>
      <c r="CY107" s="101">
        <v>203</v>
      </c>
      <c r="CZ107" s="142">
        <v>191</v>
      </c>
      <c r="DA107" s="142">
        <v>195</v>
      </c>
      <c r="DB107" s="142">
        <v>188</v>
      </c>
      <c r="DC107" s="45">
        <v>173</v>
      </c>
      <c r="DD107" s="45">
        <v>133</v>
      </c>
      <c r="DE107" s="54">
        <v>133</v>
      </c>
      <c r="DF107" s="58">
        <v>100</v>
      </c>
      <c r="DG107" s="105">
        <v>144</v>
      </c>
      <c r="DH107" s="105">
        <v>77</v>
      </c>
      <c r="DI107" s="105"/>
      <c r="DJ107" s="102">
        <v>348</v>
      </c>
      <c r="DK107" s="106">
        <v>548</v>
      </c>
      <c r="DL107" s="98"/>
      <c r="DM107" s="223"/>
      <c r="DN107" s="153"/>
      <c r="DO107" s="153"/>
      <c r="DP107" s="153"/>
      <c r="DQ107" s="153"/>
      <c r="DR107" s="153"/>
      <c r="DS107" s="158"/>
      <c r="DT107" s="153"/>
      <c r="DU107" s="154"/>
      <c r="DV107" s="154"/>
      <c r="DW107" s="154"/>
      <c r="DX107" s="154"/>
      <c r="DY107" s="154"/>
      <c r="DZ107" s="154"/>
      <c r="EA107" s="158"/>
      <c r="EB107" s="19"/>
    </row>
    <row r="108" spans="1:132" s="12" customFormat="1" ht="13" x14ac:dyDescent="0.3">
      <c r="A108" s="10">
        <v>4921</v>
      </c>
      <c r="B108" s="11" t="s">
        <v>418</v>
      </c>
      <c r="C108" s="360">
        <v>829</v>
      </c>
      <c r="D108" s="54">
        <v>537</v>
      </c>
      <c r="E108" s="706">
        <f t="shared" si="2"/>
        <v>0.64776839565741862</v>
      </c>
      <c r="F108" s="219"/>
      <c r="G108" s="161"/>
      <c r="H108" s="153"/>
      <c r="I108" s="155"/>
      <c r="J108" s="153"/>
      <c r="K108" s="162"/>
      <c r="L108" s="160"/>
      <c r="M108" s="223"/>
      <c r="N108" s="223"/>
      <c r="O108" s="223"/>
      <c r="P108" s="153"/>
      <c r="Q108" s="154"/>
      <c r="R108" s="189"/>
      <c r="S108" s="158"/>
      <c r="T108" s="159"/>
      <c r="U108" s="153"/>
      <c r="V108" s="153"/>
      <c r="W108" s="154"/>
      <c r="X108" s="158"/>
      <c r="Y108" s="153"/>
      <c r="Z108" s="153"/>
      <c r="AA108" s="153"/>
      <c r="AB108" s="153"/>
      <c r="AC108" s="158"/>
      <c r="AD108" s="159"/>
      <c r="AE108" s="153"/>
      <c r="AF108" s="153"/>
      <c r="AG108" s="158"/>
      <c r="AH108" s="153"/>
      <c r="AI108" s="154"/>
      <c r="AJ108" s="154"/>
      <c r="AK108" s="154"/>
      <c r="AL108" s="154"/>
      <c r="AM108" s="154"/>
      <c r="AN108" s="158"/>
      <c r="AO108" s="153"/>
      <c r="AP108" s="153"/>
      <c r="AQ108" s="153"/>
      <c r="AR108" s="158"/>
      <c r="AS108" s="153"/>
      <c r="AT108" s="153"/>
      <c r="AU108" s="153"/>
      <c r="AV108" s="154"/>
      <c r="AW108" s="158"/>
      <c r="AX108" s="153"/>
      <c r="AY108" s="153"/>
      <c r="AZ108" s="154"/>
      <c r="BA108" s="158"/>
      <c r="BB108" s="153"/>
      <c r="BC108" s="153"/>
      <c r="BD108" s="153"/>
      <c r="BE108" s="153"/>
      <c r="BF108" s="153"/>
      <c r="BG108" s="162"/>
      <c r="BH108" s="467"/>
      <c r="BI108" s="154"/>
      <c r="BJ108" s="158"/>
      <c r="BK108" s="162"/>
      <c r="BL108" s="160"/>
      <c r="BM108" s="153"/>
      <c r="BN108" s="153"/>
      <c r="BO108" s="154"/>
      <c r="BP108" s="156"/>
      <c r="BQ108" s="159"/>
      <c r="BR108" s="153"/>
      <c r="BS108" s="155"/>
      <c r="BT108" s="161"/>
      <c r="BU108" s="161"/>
      <c r="BV108" s="153"/>
      <c r="BW108" s="153"/>
      <c r="BX108" s="153"/>
      <c r="BY108" s="153"/>
      <c r="BZ108" s="154"/>
      <c r="CA108" s="155"/>
      <c r="CB108" s="153"/>
      <c r="CC108" s="155"/>
      <c r="CD108" s="153"/>
      <c r="CE108" s="155"/>
      <c r="CF108" s="160"/>
      <c r="CG108" s="160"/>
      <c r="CH108" s="161"/>
      <c r="CI108" s="221"/>
      <c r="CJ108" s="174"/>
      <c r="CK108" s="171"/>
      <c r="CL108" s="174"/>
      <c r="CM108" s="142"/>
      <c r="CN108" s="142"/>
      <c r="CO108" s="171"/>
      <c r="CP108" s="171"/>
      <c r="CQ108" s="172"/>
      <c r="CR108" s="174"/>
      <c r="CS108" s="142"/>
      <c r="CT108" s="328"/>
      <c r="CU108" s="160"/>
      <c r="CV108" s="223"/>
      <c r="CW108" s="223"/>
      <c r="CX108" s="156"/>
      <c r="CY108" s="101">
        <v>359</v>
      </c>
      <c r="CZ108" s="142">
        <v>331</v>
      </c>
      <c r="DA108" s="142">
        <v>335</v>
      </c>
      <c r="DB108" s="142">
        <v>333</v>
      </c>
      <c r="DC108" s="45">
        <v>219</v>
      </c>
      <c r="DD108" s="45">
        <v>247</v>
      </c>
      <c r="DE108" s="54">
        <v>252</v>
      </c>
      <c r="DF108" s="58">
        <v>303</v>
      </c>
      <c r="DG108" s="105"/>
      <c r="DH108" s="105"/>
      <c r="DI108" s="105"/>
      <c r="DJ108" s="102"/>
      <c r="DK108" s="106"/>
      <c r="DL108" s="98"/>
      <c r="DM108" s="207"/>
      <c r="DN108" s="165"/>
      <c r="DO108" s="165"/>
      <c r="DP108" s="165"/>
      <c r="DQ108" s="165"/>
      <c r="DR108" s="165"/>
      <c r="DS108" s="158"/>
      <c r="DT108" s="153"/>
      <c r="DU108" s="154"/>
      <c r="DV108" s="154"/>
      <c r="DW108" s="154"/>
      <c r="DX108" s="154"/>
      <c r="DY108" s="154"/>
      <c r="DZ108" s="154"/>
      <c r="EA108" s="158"/>
      <c r="EB108" s="19"/>
    </row>
    <row r="109" spans="1:132" s="12" customFormat="1" ht="12.75" customHeight="1" x14ac:dyDescent="0.3">
      <c r="A109" s="10">
        <v>4931</v>
      </c>
      <c r="B109" s="11" t="s">
        <v>419</v>
      </c>
      <c r="C109" s="360">
        <v>1589</v>
      </c>
      <c r="D109" s="54">
        <v>772</v>
      </c>
      <c r="E109" s="706">
        <f t="shared" si="2"/>
        <v>0.4858401510383889</v>
      </c>
      <c r="F109" s="219"/>
      <c r="G109" s="161"/>
      <c r="H109" s="153"/>
      <c r="I109" s="155"/>
      <c r="J109" s="153"/>
      <c r="K109" s="162"/>
      <c r="L109" s="160"/>
      <c r="M109" s="223"/>
      <c r="N109" s="223"/>
      <c r="O109" s="223"/>
      <c r="P109" s="153"/>
      <c r="Q109" s="154"/>
      <c r="R109" s="189"/>
      <c r="S109" s="158"/>
      <c r="T109" s="159"/>
      <c r="U109" s="153"/>
      <c r="V109" s="153"/>
      <c r="W109" s="154"/>
      <c r="X109" s="158"/>
      <c r="Y109" s="153"/>
      <c r="Z109" s="153"/>
      <c r="AA109" s="153"/>
      <c r="AB109" s="153"/>
      <c r="AC109" s="158"/>
      <c r="AD109" s="159"/>
      <c r="AE109" s="153"/>
      <c r="AF109" s="153"/>
      <c r="AG109" s="158"/>
      <c r="AH109" s="153"/>
      <c r="AI109" s="154"/>
      <c r="AJ109" s="154"/>
      <c r="AK109" s="154"/>
      <c r="AL109" s="154"/>
      <c r="AM109" s="154"/>
      <c r="AN109" s="158"/>
      <c r="AO109" s="153"/>
      <c r="AP109" s="153"/>
      <c r="AQ109" s="153"/>
      <c r="AR109" s="158"/>
      <c r="AS109" s="153"/>
      <c r="AT109" s="153"/>
      <c r="AU109" s="153"/>
      <c r="AV109" s="154"/>
      <c r="AW109" s="158"/>
      <c r="AX109" s="153"/>
      <c r="AY109" s="153"/>
      <c r="AZ109" s="154"/>
      <c r="BA109" s="158"/>
      <c r="BB109" s="153"/>
      <c r="BC109" s="153"/>
      <c r="BD109" s="153"/>
      <c r="BE109" s="153"/>
      <c r="BF109" s="153"/>
      <c r="BG109" s="162"/>
      <c r="BH109" s="467"/>
      <c r="BI109" s="154"/>
      <c r="BJ109" s="158"/>
      <c r="BK109" s="162"/>
      <c r="BL109" s="160"/>
      <c r="BM109" s="153"/>
      <c r="BN109" s="153"/>
      <c r="BO109" s="154"/>
      <c r="BP109" s="156"/>
      <c r="BQ109" s="159"/>
      <c r="BR109" s="153"/>
      <c r="BS109" s="155"/>
      <c r="BT109" s="161"/>
      <c r="BU109" s="161"/>
      <c r="BV109" s="153"/>
      <c r="BW109" s="153"/>
      <c r="BX109" s="153"/>
      <c r="BY109" s="153"/>
      <c r="BZ109" s="154"/>
      <c r="CA109" s="155"/>
      <c r="CB109" s="153"/>
      <c r="CC109" s="155"/>
      <c r="CD109" s="153"/>
      <c r="CE109" s="155"/>
      <c r="CF109" s="160"/>
      <c r="CG109" s="160"/>
      <c r="CH109" s="161"/>
      <c r="CI109" s="221"/>
      <c r="CJ109" s="174"/>
      <c r="CK109" s="171"/>
      <c r="CL109" s="174"/>
      <c r="CM109" s="142"/>
      <c r="CN109" s="142"/>
      <c r="CO109" s="171"/>
      <c r="CP109" s="171"/>
      <c r="CQ109" s="172"/>
      <c r="CR109" s="174"/>
      <c r="CS109" s="142"/>
      <c r="CT109" s="328"/>
      <c r="CU109" s="160"/>
      <c r="CV109" s="223"/>
      <c r="CW109" s="223"/>
      <c r="CX109" s="156"/>
      <c r="CY109" s="101">
        <v>525</v>
      </c>
      <c r="CZ109" s="142">
        <v>486</v>
      </c>
      <c r="DA109" s="142">
        <v>495</v>
      </c>
      <c r="DB109" s="142">
        <v>485</v>
      </c>
      <c r="DC109" s="45">
        <v>377</v>
      </c>
      <c r="DD109" s="45">
        <v>291</v>
      </c>
      <c r="DE109" s="54">
        <v>375</v>
      </c>
      <c r="DF109" s="58">
        <v>322</v>
      </c>
      <c r="DG109" s="105"/>
      <c r="DH109" s="105"/>
      <c r="DI109" s="105"/>
      <c r="DJ109" s="105"/>
      <c r="DK109" s="73"/>
      <c r="DL109" s="74"/>
      <c r="DM109" s="207"/>
      <c r="DN109" s="165"/>
      <c r="DO109" s="165"/>
      <c r="DP109" s="165"/>
      <c r="DQ109" s="165"/>
      <c r="DR109" s="165"/>
      <c r="DS109" s="158"/>
      <c r="DT109" s="153"/>
      <c r="DU109" s="154"/>
      <c r="DV109" s="154"/>
      <c r="DW109" s="154"/>
      <c r="DX109" s="154"/>
      <c r="DY109" s="154"/>
      <c r="DZ109" s="154"/>
      <c r="EA109" s="158"/>
      <c r="EB109" s="19"/>
    </row>
    <row r="110" spans="1:132" s="12" customFormat="1" ht="13" x14ac:dyDescent="0.3">
      <c r="A110" s="10">
        <v>4932</v>
      </c>
      <c r="B110" s="11" t="s">
        <v>420</v>
      </c>
      <c r="C110" s="360">
        <v>780</v>
      </c>
      <c r="D110" s="54">
        <v>488</v>
      </c>
      <c r="E110" s="706">
        <f t="shared" si="2"/>
        <v>0.62564102564102564</v>
      </c>
      <c r="F110" s="219"/>
      <c r="G110" s="161"/>
      <c r="H110" s="153"/>
      <c r="I110" s="155"/>
      <c r="J110" s="153"/>
      <c r="K110" s="162"/>
      <c r="L110" s="160"/>
      <c r="M110" s="223"/>
      <c r="N110" s="223"/>
      <c r="O110" s="223"/>
      <c r="P110" s="153"/>
      <c r="Q110" s="154"/>
      <c r="R110" s="189"/>
      <c r="S110" s="158"/>
      <c r="T110" s="159"/>
      <c r="U110" s="153"/>
      <c r="V110" s="153"/>
      <c r="W110" s="154"/>
      <c r="X110" s="158"/>
      <c r="Y110" s="153"/>
      <c r="Z110" s="153"/>
      <c r="AA110" s="153"/>
      <c r="AB110" s="153"/>
      <c r="AC110" s="158"/>
      <c r="AD110" s="159"/>
      <c r="AE110" s="153"/>
      <c r="AF110" s="153"/>
      <c r="AG110" s="158"/>
      <c r="AH110" s="153"/>
      <c r="AI110" s="154"/>
      <c r="AJ110" s="154"/>
      <c r="AK110" s="154"/>
      <c r="AL110" s="154"/>
      <c r="AM110" s="154"/>
      <c r="AN110" s="158"/>
      <c r="AO110" s="153"/>
      <c r="AP110" s="153"/>
      <c r="AQ110" s="153"/>
      <c r="AR110" s="158"/>
      <c r="AS110" s="153"/>
      <c r="AT110" s="153"/>
      <c r="AU110" s="153"/>
      <c r="AV110" s="154"/>
      <c r="AW110" s="158"/>
      <c r="AX110" s="153"/>
      <c r="AY110" s="153"/>
      <c r="AZ110" s="154"/>
      <c r="BA110" s="158"/>
      <c r="BB110" s="153"/>
      <c r="BC110" s="153"/>
      <c r="BD110" s="153"/>
      <c r="BE110" s="153"/>
      <c r="BF110" s="153"/>
      <c r="BG110" s="162"/>
      <c r="BH110" s="467"/>
      <c r="BI110" s="154"/>
      <c r="BJ110" s="158"/>
      <c r="BK110" s="162"/>
      <c r="BL110" s="160"/>
      <c r="BM110" s="153"/>
      <c r="BN110" s="153"/>
      <c r="BO110" s="154"/>
      <c r="BP110" s="156"/>
      <c r="BQ110" s="159"/>
      <c r="BR110" s="153"/>
      <c r="BS110" s="155"/>
      <c r="BT110" s="161"/>
      <c r="BU110" s="161"/>
      <c r="BV110" s="153"/>
      <c r="BW110" s="153"/>
      <c r="BX110" s="153"/>
      <c r="BY110" s="153"/>
      <c r="BZ110" s="154"/>
      <c r="CA110" s="155"/>
      <c r="CB110" s="153"/>
      <c r="CC110" s="155"/>
      <c r="CD110" s="153"/>
      <c r="CE110" s="155"/>
      <c r="CF110" s="160"/>
      <c r="CG110" s="160"/>
      <c r="CH110" s="161"/>
      <c r="CI110" s="221"/>
      <c r="CJ110" s="174"/>
      <c r="CK110" s="171"/>
      <c r="CL110" s="174"/>
      <c r="CM110" s="142"/>
      <c r="CN110" s="142"/>
      <c r="CO110" s="171"/>
      <c r="CP110" s="171"/>
      <c r="CQ110" s="172"/>
      <c r="CR110" s="174"/>
      <c r="CS110" s="161"/>
      <c r="CT110" s="223"/>
      <c r="CU110" s="327"/>
      <c r="CV110" s="328"/>
      <c r="CW110" s="223"/>
      <c r="CX110" s="156"/>
      <c r="CY110" s="101">
        <v>353</v>
      </c>
      <c r="CZ110" s="142">
        <v>331</v>
      </c>
      <c r="DA110" s="142">
        <v>344</v>
      </c>
      <c r="DB110" s="142">
        <v>331</v>
      </c>
      <c r="DC110" s="45">
        <v>258</v>
      </c>
      <c r="DD110" s="45">
        <v>269</v>
      </c>
      <c r="DE110" s="54">
        <v>256</v>
      </c>
      <c r="DF110" s="58">
        <v>210</v>
      </c>
      <c r="DG110" s="105"/>
      <c r="DH110" s="105"/>
      <c r="DI110" s="105"/>
      <c r="DJ110" s="105"/>
      <c r="DK110" s="73"/>
      <c r="DL110" s="74"/>
      <c r="DM110" s="223"/>
      <c r="DN110" s="153"/>
      <c r="DO110" s="153"/>
      <c r="DP110" s="153"/>
      <c r="DQ110" s="153"/>
      <c r="DR110" s="153"/>
      <c r="DS110" s="158"/>
      <c r="DT110" s="153"/>
      <c r="DU110" s="154"/>
      <c r="DV110" s="154"/>
      <c r="DW110" s="154"/>
      <c r="DX110" s="154"/>
      <c r="DY110" s="154"/>
      <c r="DZ110" s="154"/>
      <c r="EA110" s="158"/>
      <c r="EB110" s="19"/>
    </row>
    <row r="111" spans="1:132" s="12" customFormat="1" ht="12.75" customHeight="1" x14ac:dyDescent="0.3">
      <c r="A111" s="10">
        <v>4941</v>
      </c>
      <c r="B111" s="11" t="s">
        <v>421</v>
      </c>
      <c r="C111" s="360">
        <v>1077</v>
      </c>
      <c r="D111" s="54">
        <v>662</v>
      </c>
      <c r="E111" s="706">
        <f t="shared" si="2"/>
        <v>0.61467038068709379</v>
      </c>
      <c r="F111" s="219"/>
      <c r="G111" s="161"/>
      <c r="H111" s="153"/>
      <c r="I111" s="155"/>
      <c r="J111" s="153"/>
      <c r="K111" s="162"/>
      <c r="L111" s="160"/>
      <c r="M111" s="223"/>
      <c r="N111" s="223"/>
      <c r="O111" s="223"/>
      <c r="P111" s="153"/>
      <c r="Q111" s="154"/>
      <c r="R111" s="189"/>
      <c r="S111" s="158"/>
      <c r="T111" s="159"/>
      <c r="U111" s="153"/>
      <c r="V111" s="153"/>
      <c r="W111" s="154"/>
      <c r="X111" s="158"/>
      <c r="Y111" s="153"/>
      <c r="Z111" s="153"/>
      <c r="AA111" s="153"/>
      <c r="AB111" s="153"/>
      <c r="AC111" s="158"/>
      <c r="AD111" s="159"/>
      <c r="AE111" s="153"/>
      <c r="AF111" s="153"/>
      <c r="AG111" s="158"/>
      <c r="AH111" s="153"/>
      <c r="AI111" s="154"/>
      <c r="AJ111" s="154"/>
      <c r="AK111" s="154"/>
      <c r="AL111" s="154"/>
      <c r="AM111" s="154"/>
      <c r="AN111" s="158"/>
      <c r="AO111" s="153"/>
      <c r="AP111" s="153"/>
      <c r="AQ111" s="153"/>
      <c r="AR111" s="158"/>
      <c r="AS111" s="153"/>
      <c r="AT111" s="153"/>
      <c r="AU111" s="153"/>
      <c r="AV111" s="154"/>
      <c r="AW111" s="158"/>
      <c r="AX111" s="153"/>
      <c r="AY111" s="153"/>
      <c r="AZ111" s="154"/>
      <c r="BA111" s="158"/>
      <c r="BB111" s="153"/>
      <c r="BC111" s="153"/>
      <c r="BD111" s="153"/>
      <c r="BE111" s="153"/>
      <c r="BF111" s="153"/>
      <c r="BG111" s="162"/>
      <c r="BH111" s="467"/>
      <c r="BI111" s="154"/>
      <c r="BJ111" s="158"/>
      <c r="BK111" s="162"/>
      <c r="BL111" s="160"/>
      <c r="BM111" s="153"/>
      <c r="BN111" s="153"/>
      <c r="BO111" s="154"/>
      <c r="BP111" s="156"/>
      <c r="BQ111" s="159"/>
      <c r="BR111" s="153"/>
      <c r="BS111" s="155"/>
      <c r="BT111" s="161"/>
      <c r="BU111" s="161"/>
      <c r="BV111" s="153"/>
      <c r="BW111" s="153"/>
      <c r="BX111" s="153"/>
      <c r="BY111" s="153"/>
      <c r="BZ111" s="154"/>
      <c r="CA111" s="155"/>
      <c r="CB111" s="153"/>
      <c r="CC111" s="155"/>
      <c r="CD111" s="153"/>
      <c r="CE111" s="155"/>
      <c r="CF111" s="160"/>
      <c r="CG111" s="160"/>
      <c r="CH111" s="161"/>
      <c r="CI111" s="221"/>
      <c r="CJ111" s="174"/>
      <c r="CK111" s="171"/>
      <c r="CL111" s="174"/>
      <c r="CM111" s="142"/>
      <c r="CN111" s="142"/>
      <c r="CO111" s="171"/>
      <c r="CP111" s="171"/>
      <c r="CQ111" s="172"/>
      <c r="CR111" s="174"/>
      <c r="CS111" s="161"/>
      <c r="CT111" s="223"/>
      <c r="CU111" s="327"/>
      <c r="CV111" s="328"/>
      <c r="CW111" s="223"/>
      <c r="CX111" s="156"/>
      <c r="CY111" s="159">
        <v>457</v>
      </c>
      <c r="CZ111" s="142">
        <v>421</v>
      </c>
      <c r="DA111" s="142">
        <v>425</v>
      </c>
      <c r="DB111" s="142">
        <v>430</v>
      </c>
      <c r="DC111" s="153">
        <v>368</v>
      </c>
      <c r="DD111" s="153">
        <v>325</v>
      </c>
      <c r="DE111" s="154">
        <v>363</v>
      </c>
      <c r="DF111" s="155">
        <v>288</v>
      </c>
      <c r="DG111" s="161"/>
      <c r="DH111" s="161"/>
      <c r="DI111" s="161"/>
      <c r="DJ111" s="161"/>
      <c r="DK111" s="156"/>
      <c r="DL111" s="162"/>
      <c r="DM111" s="97"/>
      <c r="DN111" s="45"/>
      <c r="DO111" s="45"/>
      <c r="DP111" s="45"/>
      <c r="DQ111" s="45"/>
      <c r="DR111" s="45"/>
      <c r="DS111" s="158"/>
      <c r="DT111" s="153"/>
      <c r="DU111" s="154"/>
      <c r="DV111" s="154"/>
      <c r="DW111" s="154"/>
      <c r="DX111" s="154"/>
      <c r="DY111" s="154"/>
      <c r="DZ111" s="154"/>
      <c r="EA111" s="158"/>
      <c r="EB111" s="19"/>
    </row>
    <row r="112" spans="1:132" s="12" customFormat="1" ht="13" x14ac:dyDescent="0.3">
      <c r="A112" s="10">
        <v>4942</v>
      </c>
      <c r="B112" s="11" t="s">
        <v>422</v>
      </c>
      <c r="C112" s="360">
        <v>1581</v>
      </c>
      <c r="D112" s="54">
        <v>843</v>
      </c>
      <c r="E112" s="706">
        <f t="shared" si="2"/>
        <v>0.53320683111954459</v>
      </c>
      <c r="F112" s="219"/>
      <c r="G112" s="161"/>
      <c r="H112" s="153"/>
      <c r="I112" s="155"/>
      <c r="J112" s="153"/>
      <c r="K112" s="162"/>
      <c r="L112" s="160"/>
      <c r="M112" s="223"/>
      <c r="N112" s="223"/>
      <c r="O112" s="223"/>
      <c r="P112" s="153"/>
      <c r="Q112" s="154"/>
      <c r="R112" s="189"/>
      <c r="S112" s="158"/>
      <c r="T112" s="159"/>
      <c r="U112" s="153"/>
      <c r="V112" s="153"/>
      <c r="W112" s="154"/>
      <c r="X112" s="158"/>
      <c r="Y112" s="153"/>
      <c r="Z112" s="153"/>
      <c r="AA112" s="153"/>
      <c r="AB112" s="153"/>
      <c r="AC112" s="158"/>
      <c r="AD112" s="159"/>
      <c r="AE112" s="153"/>
      <c r="AF112" s="153"/>
      <c r="AG112" s="158"/>
      <c r="AH112" s="153"/>
      <c r="AI112" s="154"/>
      <c r="AJ112" s="154"/>
      <c r="AK112" s="154"/>
      <c r="AL112" s="154"/>
      <c r="AM112" s="154"/>
      <c r="AN112" s="158"/>
      <c r="AO112" s="153"/>
      <c r="AP112" s="153"/>
      <c r="AQ112" s="153"/>
      <c r="AR112" s="158"/>
      <c r="AS112" s="153"/>
      <c r="AT112" s="153"/>
      <c r="AU112" s="153"/>
      <c r="AV112" s="154"/>
      <c r="AW112" s="158"/>
      <c r="AX112" s="153"/>
      <c r="AY112" s="153"/>
      <c r="AZ112" s="154"/>
      <c r="BA112" s="158"/>
      <c r="BB112" s="153"/>
      <c r="BC112" s="153"/>
      <c r="BD112" s="153"/>
      <c r="BE112" s="153"/>
      <c r="BF112" s="153"/>
      <c r="BG112" s="162"/>
      <c r="BH112" s="467"/>
      <c r="BI112" s="154"/>
      <c r="BJ112" s="158"/>
      <c r="BK112" s="162"/>
      <c r="BL112" s="160"/>
      <c r="BM112" s="153"/>
      <c r="BN112" s="153"/>
      <c r="BO112" s="154"/>
      <c r="BP112" s="156"/>
      <c r="BQ112" s="159"/>
      <c r="BR112" s="153"/>
      <c r="BS112" s="155"/>
      <c r="BT112" s="161"/>
      <c r="BU112" s="161"/>
      <c r="BV112" s="153"/>
      <c r="BW112" s="153"/>
      <c r="BX112" s="153"/>
      <c r="BY112" s="153"/>
      <c r="BZ112" s="154"/>
      <c r="CA112" s="155"/>
      <c r="CB112" s="153"/>
      <c r="CC112" s="155"/>
      <c r="CD112" s="153"/>
      <c r="CE112" s="155"/>
      <c r="CF112" s="160"/>
      <c r="CG112" s="160"/>
      <c r="CH112" s="161"/>
      <c r="CI112" s="221"/>
      <c r="CJ112" s="174"/>
      <c r="CK112" s="171"/>
      <c r="CL112" s="174"/>
      <c r="CM112" s="142"/>
      <c r="CN112" s="142"/>
      <c r="CO112" s="171"/>
      <c r="CP112" s="171"/>
      <c r="CQ112" s="172"/>
      <c r="CR112" s="174"/>
      <c r="CS112" s="161"/>
      <c r="CT112" s="223"/>
      <c r="CU112" s="160"/>
      <c r="CV112" s="223"/>
      <c r="CW112" s="328"/>
      <c r="CX112" s="156"/>
      <c r="CY112" s="159">
        <v>566</v>
      </c>
      <c r="CZ112" s="142">
        <v>526</v>
      </c>
      <c r="DA112" s="142">
        <v>538</v>
      </c>
      <c r="DB112" s="142">
        <v>530</v>
      </c>
      <c r="DC112" s="153">
        <v>432</v>
      </c>
      <c r="DD112" s="153">
        <v>372</v>
      </c>
      <c r="DE112" s="154">
        <v>424</v>
      </c>
      <c r="DF112" s="155">
        <v>355</v>
      </c>
      <c r="DG112" s="161"/>
      <c r="DH112" s="161"/>
      <c r="DI112" s="161"/>
      <c r="DJ112" s="161"/>
      <c r="DK112" s="156"/>
      <c r="DL112" s="162"/>
      <c r="DM112" s="223"/>
      <c r="DN112" s="153"/>
      <c r="DO112" s="153"/>
      <c r="DP112" s="153"/>
      <c r="DQ112" s="153"/>
      <c r="DR112" s="153"/>
      <c r="DS112" s="158"/>
      <c r="DT112" s="153"/>
      <c r="DU112" s="154"/>
      <c r="DV112" s="154"/>
      <c r="DW112" s="154"/>
      <c r="DX112" s="154"/>
      <c r="DY112" s="154"/>
      <c r="DZ112" s="154"/>
      <c r="EA112" s="158"/>
      <c r="EB112" s="19"/>
    </row>
    <row r="113" spans="1:132" s="12" customFormat="1" ht="12.75" customHeight="1" x14ac:dyDescent="0.3">
      <c r="A113" s="10">
        <v>5201</v>
      </c>
      <c r="B113" s="11" t="s">
        <v>423</v>
      </c>
      <c r="C113" s="360">
        <v>719</v>
      </c>
      <c r="D113" s="54">
        <v>408</v>
      </c>
      <c r="E113" s="706">
        <f t="shared" si="2"/>
        <v>0.56745479833101531</v>
      </c>
      <c r="F113" s="219"/>
      <c r="G113" s="161"/>
      <c r="H113" s="153"/>
      <c r="I113" s="155"/>
      <c r="J113" s="153"/>
      <c r="K113" s="162"/>
      <c r="L113" s="160"/>
      <c r="M113" s="223"/>
      <c r="N113" s="223"/>
      <c r="O113" s="223"/>
      <c r="P113" s="153"/>
      <c r="Q113" s="154"/>
      <c r="R113" s="189"/>
      <c r="S113" s="158"/>
      <c r="T113" s="159"/>
      <c r="U113" s="153"/>
      <c r="V113" s="153"/>
      <c r="W113" s="154"/>
      <c r="X113" s="158"/>
      <c r="Y113" s="153"/>
      <c r="Z113" s="153"/>
      <c r="AA113" s="153"/>
      <c r="AB113" s="153"/>
      <c r="AC113" s="158"/>
      <c r="AD113" s="159"/>
      <c r="AE113" s="153"/>
      <c r="AF113" s="153"/>
      <c r="AG113" s="158"/>
      <c r="AH113" s="153"/>
      <c r="AI113" s="154"/>
      <c r="AJ113" s="154"/>
      <c r="AK113" s="154"/>
      <c r="AL113" s="154"/>
      <c r="AM113" s="154"/>
      <c r="AN113" s="158"/>
      <c r="AO113" s="153"/>
      <c r="AP113" s="153"/>
      <c r="AQ113" s="153"/>
      <c r="AR113" s="158"/>
      <c r="AS113" s="153"/>
      <c r="AT113" s="153"/>
      <c r="AU113" s="153"/>
      <c r="AV113" s="154"/>
      <c r="AW113" s="158"/>
      <c r="AX113" s="153"/>
      <c r="AY113" s="153"/>
      <c r="AZ113" s="154"/>
      <c r="BA113" s="158"/>
      <c r="BB113" s="153"/>
      <c r="BC113" s="153"/>
      <c r="BD113" s="153"/>
      <c r="BE113" s="153"/>
      <c r="BF113" s="153"/>
      <c r="BG113" s="162"/>
      <c r="BH113" s="467"/>
      <c r="BI113" s="154"/>
      <c r="BJ113" s="158"/>
      <c r="BK113" s="162"/>
      <c r="BL113" s="160"/>
      <c r="BM113" s="153"/>
      <c r="BN113" s="153"/>
      <c r="BO113" s="154"/>
      <c r="BP113" s="156"/>
      <c r="BQ113" s="159"/>
      <c r="BR113" s="153"/>
      <c r="BS113" s="155"/>
      <c r="BT113" s="161"/>
      <c r="BU113" s="161"/>
      <c r="BV113" s="153"/>
      <c r="BW113" s="153"/>
      <c r="BX113" s="153"/>
      <c r="BY113" s="153"/>
      <c r="BZ113" s="154"/>
      <c r="CA113" s="155"/>
      <c r="CB113" s="153"/>
      <c r="CC113" s="155"/>
      <c r="CD113" s="153"/>
      <c r="CE113" s="155"/>
      <c r="CF113" s="160"/>
      <c r="CG113" s="160"/>
      <c r="CH113" s="161"/>
      <c r="CI113" s="221"/>
      <c r="CJ113" s="174"/>
      <c r="CK113" s="171"/>
      <c r="CL113" s="174"/>
      <c r="CM113" s="142"/>
      <c r="CN113" s="142"/>
      <c r="CO113" s="171"/>
      <c r="CP113" s="171"/>
      <c r="CQ113" s="172"/>
      <c r="CR113" s="174"/>
      <c r="CS113" s="161"/>
      <c r="CT113" s="223"/>
      <c r="CU113" s="160"/>
      <c r="CV113" s="223"/>
      <c r="CW113" s="328"/>
      <c r="CX113" s="156"/>
      <c r="CY113" s="159"/>
      <c r="CZ113" s="142"/>
      <c r="DA113" s="142"/>
      <c r="DB113" s="142"/>
      <c r="DC113" s="153"/>
      <c r="DD113" s="153"/>
      <c r="DE113" s="154"/>
      <c r="DF113" s="155"/>
      <c r="DG113" s="161"/>
      <c r="DH113" s="161"/>
      <c r="DI113" s="161"/>
      <c r="DJ113" s="161"/>
      <c r="DK113" s="156"/>
      <c r="DL113" s="162">
        <v>324</v>
      </c>
      <c r="DM113" s="223">
        <v>76</v>
      </c>
      <c r="DN113" s="153">
        <v>228</v>
      </c>
      <c r="DO113" s="153">
        <v>91</v>
      </c>
      <c r="DP113" s="153">
        <v>165</v>
      </c>
      <c r="DQ113" s="153">
        <v>140</v>
      </c>
      <c r="DR113" s="153">
        <v>108</v>
      </c>
      <c r="DS113" s="158">
        <v>134</v>
      </c>
      <c r="DT113" s="153"/>
      <c r="DU113" s="154"/>
      <c r="DV113" s="154"/>
      <c r="DW113" s="154"/>
      <c r="DX113" s="154"/>
      <c r="DY113" s="154"/>
      <c r="DZ113" s="154"/>
      <c r="EA113" s="158"/>
      <c r="EB113" s="19"/>
    </row>
    <row r="114" spans="1:132" s="12" customFormat="1" ht="13" x14ac:dyDescent="0.3">
      <c r="A114" s="10">
        <v>5202</v>
      </c>
      <c r="B114" s="11" t="s">
        <v>424</v>
      </c>
      <c r="C114" s="360">
        <v>950</v>
      </c>
      <c r="D114" s="54">
        <v>498</v>
      </c>
      <c r="E114" s="706">
        <f t="shared" si="2"/>
        <v>0.52421052631578946</v>
      </c>
      <c r="F114" s="219"/>
      <c r="G114" s="161"/>
      <c r="H114" s="153"/>
      <c r="I114" s="155"/>
      <c r="J114" s="153"/>
      <c r="K114" s="162"/>
      <c r="L114" s="160"/>
      <c r="M114" s="223"/>
      <c r="N114" s="223"/>
      <c r="O114" s="223"/>
      <c r="P114" s="153"/>
      <c r="Q114" s="154"/>
      <c r="R114" s="189"/>
      <c r="S114" s="158"/>
      <c r="T114" s="159"/>
      <c r="U114" s="153"/>
      <c r="V114" s="153"/>
      <c r="W114" s="154"/>
      <c r="X114" s="158"/>
      <c r="Y114" s="153"/>
      <c r="Z114" s="153"/>
      <c r="AA114" s="153"/>
      <c r="AB114" s="153"/>
      <c r="AC114" s="158"/>
      <c r="AD114" s="159"/>
      <c r="AE114" s="153"/>
      <c r="AF114" s="153"/>
      <c r="AG114" s="158"/>
      <c r="AH114" s="153"/>
      <c r="AI114" s="154"/>
      <c r="AJ114" s="154"/>
      <c r="AK114" s="154"/>
      <c r="AL114" s="154"/>
      <c r="AM114" s="154"/>
      <c r="AN114" s="158"/>
      <c r="AO114" s="153"/>
      <c r="AP114" s="153"/>
      <c r="AQ114" s="153"/>
      <c r="AR114" s="158"/>
      <c r="AS114" s="153"/>
      <c r="AT114" s="153"/>
      <c r="AU114" s="153"/>
      <c r="AV114" s="154"/>
      <c r="AW114" s="158"/>
      <c r="AX114" s="153"/>
      <c r="AY114" s="153"/>
      <c r="AZ114" s="154"/>
      <c r="BA114" s="158"/>
      <c r="BB114" s="153"/>
      <c r="BC114" s="153"/>
      <c r="BD114" s="153"/>
      <c r="BE114" s="153"/>
      <c r="BF114" s="153"/>
      <c r="BG114" s="162"/>
      <c r="BH114" s="467"/>
      <c r="BI114" s="154"/>
      <c r="BJ114" s="158"/>
      <c r="BK114" s="162"/>
      <c r="BL114" s="160"/>
      <c r="BM114" s="153"/>
      <c r="BN114" s="153"/>
      <c r="BO114" s="154"/>
      <c r="BP114" s="156"/>
      <c r="BQ114" s="159"/>
      <c r="BR114" s="153"/>
      <c r="BS114" s="155"/>
      <c r="BT114" s="161"/>
      <c r="BU114" s="161"/>
      <c r="BV114" s="153"/>
      <c r="BW114" s="153"/>
      <c r="BX114" s="153"/>
      <c r="BY114" s="153"/>
      <c r="BZ114" s="154"/>
      <c r="CA114" s="155"/>
      <c r="CB114" s="153"/>
      <c r="CC114" s="155"/>
      <c r="CD114" s="153"/>
      <c r="CE114" s="155"/>
      <c r="CF114" s="160"/>
      <c r="CG114" s="160"/>
      <c r="CH114" s="161"/>
      <c r="CI114" s="221"/>
      <c r="CJ114" s="174"/>
      <c r="CK114" s="171"/>
      <c r="CL114" s="174"/>
      <c r="CM114" s="142"/>
      <c r="CN114" s="142"/>
      <c r="CO114" s="171"/>
      <c r="CP114" s="171"/>
      <c r="CQ114" s="172"/>
      <c r="CR114" s="174"/>
      <c r="CS114" s="161"/>
      <c r="CT114" s="223"/>
      <c r="CU114" s="160"/>
      <c r="CV114" s="223"/>
      <c r="CW114" s="223"/>
      <c r="CX114" s="175"/>
      <c r="CY114" s="159"/>
      <c r="CZ114" s="142"/>
      <c r="DA114" s="142"/>
      <c r="DB114" s="142"/>
      <c r="DC114" s="153"/>
      <c r="DD114" s="153"/>
      <c r="DE114" s="154"/>
      <c r="DF114" s="155"/>
      <c r="DG114" s="161"/>
      <c r="DH114" s="161"/>
      <c r="DI114" s="161"/>
      <c r="DJ114" s="161"/>
      <c r="DK114" s="156"/>
      <c r="DL114" s="162">
        <v>388</v>
      </c>
      <c r="DM114" s="223">
        <v>94</v>
      </c>
      <c r="DN114" s="153">
        <v>204</v>
      </c>
      <c r="DO114" s="153">
        <v>136</v>
      </c>
      <c r="DP114" s="153">
        <v>169</v>
      </c>
      <c r="DQ114" s="153">
        <v>151</v>
      </c>
      <c r="DR114" s="153">
        <v>159</v>
      </c>
      <c r="DS114" s="167">
        <v>166</v>
      </c>
      <c r="DT114" s="153"/>
      <c r="DU114" s="154"/>
      <c r="DV114" s="154"/>
      <c r="DW114" s="154"/>
      <c r="DX114" s="154"/>
      <c r="DY114" s="154"/>
      <c r="DZ114" s="154"/>
      <c r="EA114" s="158"/>
      <c r="EB114" s="19"/>
    </row>
    <row r="115" spans="1:132" s="12" customFormat="1" ht="12.75" customHeight="1" x14ac:dyDescent="0.3">
      <c r="A115" s="10">
        <v>5203</v>
      </c>
      <c r="B115" s="11" t="s">
        <v>425</v>
      </c>
      <c r="C115" s="360">
        <v>1042</v>
      </c>
      <c r="D115" s="54">
        <v>475</v>
      </c>
      <c r="E115" s="706">
        <f t="shared" si="2"/>
        <v>0.45585412667946257</v>
      </c>
      <c r="F115" s="219"/>
      <c r="G115" s="161"/>
      <c r="H115" s="153"/>
      <c r="I115" s="155"/>
      <c r="J115" s="153"/>
      <c r="K115" s="162"/>
      <c r="L115" s="160"/>
      <c r="M115" s="223"/>
      <c r="N115" s="223"/>
      <c r="O115" s="223"/>
      <c r="P115" s="153"/>
      <c r="Q115" s="154"/>
      <c r="R115" s="189"/>
      <c r="S115" s="158"/>
      <c r="T115" s="159"/>
      <c r="U115" s="153"/>
      <c r="V115" s="153"/>
      <c r="W115" s="154"/>
      <c r="X115" s="158"/>
      <c r="Y115" s="153"/>
      <c r="Z115" s="153"/>
      <c r="AA115" s="153"/>
      <c r="AB115" s="153"/>
      <c r="AC115" s="158"/>
      <c r="AD115" s="159"/>
      <c r="AE115" s="153"/>
      <c r="AF115" s="153"/>
      <c r="AG115" s="158"/>
      <c r="AH115" s="153"/>
      <c r="AI115" s="154"/>
      <c r="AJ115" s="154"/>
      <c r="AK115" s="154"/>
      <c r="AL115" s="154"/>
      <c r="AM115" s="154"/>
      <c r="AN115" s="158"/>
      <c r="AO115" s="153"/>
      <c r="AP115" s="153"/>
      <c r="AQ115" s="153"/>
      <c r="AR115" s="158"/>
      <c r="AS115" s="153"/>
      <c r="AT115" s="153"/>
      <c r="AU115" s="153"/>
      <c r="AV115" s="154"/>
      <c r="AW115" s="158"/>
      <c r="AX115" s="153"/>
      <c r="AY115" s="153"/>
      <c r="AZ115" s="154"/>
      <c r="BA115" s="158"/>
      <c r="BB115" s="153"/>
      <c r="BC115" s="153"/>
      <c r="BD115" s="153"/>
      <c r="BE115" s="153"/>
      <c r="BF115" s="153"/>
      <c r="BG115" s="162"/>
      <c r="BH115" s="467"/>
      <c r="BI115" s="154"/>
      <c r="BJ115" s="158"/>
      <c r="BK115" s="162"/>
      <c r="BL115" s="160"/>
      <c r="BM115" s="153"/>
      <c r="BN115" s="153"/>
      <c r="BO115" s="154"/>
      <c r="BP115" s="156"/>
      <c r="BQ115" s="159"/>
      <c r="BR115" s="153"/>
      <c r="BS115" s="155"/>
      <c r="BT115" s="161"/>
      <c r="BU115" s="161"/>
      <c r="BV115" s="153"/>
      <c r="BW115" s="153"/>
      <c r="BX115" s="153"/>
      <c r="BY115" s="153"/>
      <c r="BZ115" s="154"/>
      <c r="CA115" s="155"/>
      <c r="CB115" s="153"/>
      <c r="CC115" s="155"/>
      <c r="CD115" s="153"/>
      <c r="CE115" s="155"/>
      <c r="CF115" s="160"/>
      <c r="CG115" s="160"/>
      <c r="CH115" s="161"/>
      <c r="CI115" s="221"/>
      <c r="CJ115" s="174"/>
      <c r="CK115" s="171"/>
      <c r="CL115" s="174"/>
      <c r="CM115" s="142"/>
      <c r="CN115" s="142"/>
      <c r="CO115" s="171"/>
      <c r="CP115" s="171"/>
      <c r="CQ115" s="172"/>
      <c r="CR115" s="174"/>
      <c r="CS115" s="161"/>
      <c r="CT115" s="223"/>
      <c r="CU115" s="160"/>
      <c r="CV115" s="223"/>
      <c r="CW115" s="223"/>
      <c r="CX115" s="175"/>
      <c r="CY115" s="159"/>
      <c r="CZ115" s="142"/>
      <c r="DA115" s="142"/>
      <c r="DB115" s="142"/>
      <c r="DC115" s="153"/>
      <c r="DD115" s="153"/>
      <c r="DE115" s="154"/>
      <c r="DF115" s="155"/>
      <c r="DG115" s="161"/>
      <c r="DH115" s="161"/>
      <c r="DI115" s="161"/>
      <c r="DJ115" s="161"/>
      <c r="DK115" s="156"/>
      <c r="DL115" s="162">
        <v>343</v>
      </c>
      <c r="DM115" s="223">
        <v>76</v>
      </c>
      <c r="DN115" s="153">
        <v>114</v>
      </c>
      <c r="DO115" s="153">
        <v>193</v>
      </c>
      <c r="DP115" s="153">
        <v>123</v>
      </c>
      <c r="DQ115" s="153">
        <v>94</v>
      </c>
      <c r="DR115" s="153">
        <v>149</v>
      </c>
      <c r="DS115" s="46">
        <v>127</v>
      </c>
      <c r="DT115" s="153"/>
      <c r="DU115" s="154"/>
      <c r="DV115" s="154"/>
      <c r="DW115" s="154"/>
      <c r="DX115" s="154"/>
      <c r="DY115" s="154"/>
      <c r="DZ115" s="154"/>
      <c r="EA115" s="158"/>
      <c r="EB115" s="19"/>
    </row>
    <row r="116" spans="1:132" s="12" customFormat="1" ht="13" x14ac:dyDescent="0.3">
      <c r="A116" s="10">
        <v>5204</v>
      </c>
      <c r="B116" s="11" t="s">
        <v>426</v>
      </c>
      <c r="C116" s="360">
        <v>793</v>
      </c>
      <c r="D116" s="54">
        <v>384</v>
      </c>
      <c r="E116" s="706">
        <f t="shared" si="2"/>
        <v>0.48423707440100883</v>
      </c>
      <c r="F116" s="219"/>
      <c r="G116" s="161"/>
      <c r="H116" s="153"/>
      <c r="I116" s="155"/>
      <c r="J116" s="153"/>
      <c r="K116" s="162"/>
      <c r="L116" s="160"/>
      <c r="M116" s="223"/>
      <c r="N116" s="223"/>
      <c r="O116" s="223"/>
      <c r="P116" s="153"/>
      <c r="Q116" s="154"/>
      <c r="R116" s="189"/>
      <c r="S116" s="158"/>
      <c r="T116" s="159"/>
      <c r="U116" s="153"/>
      <c r="V116" s="153"/>
      <c r="W116" s="154"/>
      <c r="X116" s="158"/>
      <c r="Y116" s="153"/>
      <c r="Z116" s="153"/>
      <c r="AA116" s="153"/>
      <c r="AB116" s="153"/>
      <c r="AC116" s="158"/>
      <c r="AD116" s="159"/>
      <c r="AE116" s="153"/>
      <c r="AF116" s="153"/>
      <c r="AG116" s="158"/>
      <c r="AH116" s="153"/>
      <c r="AI116" s="154"/>
      <c r="AJ116" s="154"/>
      <c r="AK116" s="154"/>
      <c r="AL116" s="154"/>
      <c r="AM116" s="154"/>
      <c r="AN116" s="158"/>
      <c r="AO116" s="153"/>
      <c r="AP116" s="153"/>
      <c r="AQ116" s="153"/>
      <c r="AR116" s="158"/>
      <c r="AS116" s="153"/>
      <c r="AT116" s="153"/>
      <c r="AU116" s="153"/>
      <c r="AV116" s="154"/>
      <c r="AW116" s="158"/>
      <c r="AX116" s="153"/>
      <c r="AY116" s="153"/>
      <c r="AZ116" s="154"/>
      <c r="BA116" s="158"/>
      <c r="BB116" s="153"/>
      <c r="BC116" s="153"/>
      <c r="BD116" s="153"/>
      <c r="BE116" s="153"/>
      <c r="BF116" s="153"/>
      <c r="BG116" s="162"/>
      <c r="BH116" s="467"/>
      <c r="BI116" s="154"/>
      <c r="BJ116" s="158"/>
      <c r="BK116" s="162"/>
      <c r="BL116" s="160"/>
      <c r="BM116" s="153"/>
      <c r="BN116" s="153"/>
      <c r="BO116" s="154"/>
      <c r="BP116" s="156"/>
      <c r="BQ116" s="159"/>
      <c r="BR116" s="153"/>
      <c r="BS116" s="155"/>
      <c r="BT116" s="161"/>
      <c r="BU116" s="161"/>
      <c r="BV116" s="153"/>
      <c r="BW116" s="153"/>
      <c r="BX116" s="153"/>
      <c r="BY116" s="153"/>
      <c r="BZ116" s="154"/>
      <c r="CA116" s="155"/>
      <c r="CB116" s="153"/>
      <c r="CC116" s="155"/>
      <c r="CD116" s="153"/>
      <c r="CE116" s="155"/>
      <c r="CF116" s="160"/>
      <c r="CG116" s="160"/>
      <c r="CH116" s="161"/>
      <c r="CI116" s="162"/>
      <c r="CJ116" s="155"/>
      <c r="CK116" s="153"/>
      <c r="CL116" s="155"/>
      <c r="CM116" s="161"/>
      <c r="CN116" s="161"/>
      <c r="CO116" s="153"/>
      <c r="CP116" s="153"/>
      <c r="CQ116" s="154"/>
      <c r="CR116" s="155"/>
      <c r="CS116" s="161"/>
      <c r="CT116" s="223"/>
      <c r="CU116" s="160"/>
      <c r="CV116" s="223"/>
      <c r="CW116" s="223"/>
      <c r="CX116" s="156"/>
      <c r="CY116" s="159"/>
      <c r="CZ116" s="161"/>
      <c r="DA116" s="161"/>
      <c r="DB116" s="161"/>
      <c r="DC116" s="153"/>
      <c r="DD116" s="153"/>
      <c r="DE116" s="154"/>
      <c r="DF116" s="155"/>
      <c r="DG116" s="161"/>
      <c r="DH116" s="161"/>
      <c r="DI116" s="161"/>
      <c r="DJ116" s="161"/>
      <c r="DK116" s="156"/>
      <c r="DL116" s="162">
        <v>301</v>
      </c>
      <c r="DM116" s="223">
        <v>81</v>
      </c>
      <c r="DN116" s="153">
        <v>148</v>
      </c>
      <c r="DO116" s="153">
        <v>130</v>
      </c>
      <c r="DP116" s="153">
        <v>126</v>
      </c>
      <c r="DQ116" s="153">
        <v>126</v>
      </c>
      <c r="DR116" s="153">
        <v>107</v>
      </c>
      <c r="DS116" s="158">
        <v>132</v>
      </c>
      <c r="DT116" s="153"/>
      <c r="DU116" s="154"/>
      <c r="DV116" s="154"/>
      <c r="DW116" s="154"/>
      <c r="DX116" s="154"/>
      <c r="DY116" s="154"/>
      <c r="DZ116" s="154"/>
      <c r="EA116" s="158"/>
      <c r="EB116" s="19"/>
    </row>
    <row r="117" spans="1:132" s="12" customFormat="1" ht="12.75" customHeight="1" x14ac:dyDescent="0.3">
      <c r="A117" s="10">
        <v>5205</v>
      </c>
      <c r="B117" s="11" t="s">
        <v>427</v>
      </c>
      <c r="C117" s="360">
        <v>966</v>
      </c>
      <c r="D117" s="54">
        <v>339</v>
      </c>
      <c r="E117" s="706">
        <f t="shared" si="2"/>
        <v>0.35093167701863354</v>
      </c>
      <c r="F117" s="219"/>
      <c r="G117" s="161"/>
      <c r="H117" s="153"/>
      <c r="I117" s="155"/>
      <c r="J117" s="153"/>
      <c r="K117" s="162"/>
      <c r="L117" s="160"/>
      <c r="M117" s="223"/>
      <c r="N117" s="223"/>
      <c r="O117" s="223"/>
      <c r="P117" s="153"/>
      <c r="Q117" s="154"/>
      <c r="R117" s="189"/>
      <c r="S117" s="158"/>
      <c r="T117" s="159"/>
      <c r="U117" s="153"/>
      <c r="V117" s="153"/>
      <c r="W117" s="154"/>
      <c r="X117" s="158"/>
      <c r="Y117" s="153"/>
      <c r="Z117" s="153"/>
      <c r="AA117" s="153"/>
      <c r="AB117" s="153"/>
      <c r="AC117" s="158"/>
      <c r="AD117" s="159"/>
      <c r="AE117" s="153"/>
      <c r="AF117" s="153"/>
      <c r="AG117" s="158"/>
      <c r="AH117" s="153"/>
      <c r="AI117" s="154"/>
      <c r="AJ117" s="154"/>
      <c r="AK117" s="154"/>
      <c r="AL117" s="154"/>
      <c r="AM117" s="154"/>
      <c r="AN117" s="158"/>
      <c r="AO117" s="153"/>
      <c r="AP117" s="153"/>
      <c r="AQ117" s="153"/>
      <c r="AR117" s="158"/>
      <c r="AS117" s="153"/>
      <c r="AT117" s="153"/>
      <c r="AU117" s="153"/>
      <c r="AV117" s="154"/>
      <c r="AW117" s="158"/>
      <c r="AX117" s="153"/>
      <c r="AY117" s="153"/>
      <c r="AZ117" s="154"/>
      <c r="BA117" s="158"/>
      <c r="BB117" s="153"/>
      <c r="BC117" s="153"/>
      <c r="BD117" s="153"/>
      <c r="BE117" s="153"/>
      <c r="BF117" s="153"/>
      <c r="BG117" s="162"/>
      <c r="BH117" s="467"/>
      <c r="BI117" s="154"/>
      <c r="BJ117" s="158"/>
      <c r="BK117" s="162"/>
      <c r="BL117" s="160"/>
      <c r="BM117" s="153"/>
      <c r="BN117" s="153"/>
      <c r="BO117" s="154"/>
      <c r="BP117" s="156"/>
      <c r="BQ117" s="159"/>
      <c r="BR117" s="153"/>
      <c r="BS117" s="155"/>
      <c r="BT117" s="161"/>
      <c r="BU117" s="161"/>
      <c r="BV117" s="153"/>
      <c r="BW117" s="153"/>
      <c r="BX117" s="153"/>
      <c r="BY117" s="153"/>
      <c r="BZ117" s="154"/>
      <c r="CA117" s="155"/>
      <c r="CB117" s="153"/>
      <c r="CC117" s="155"/>
      <c r="CD117" s="153"/>
      <c r="CE117" s="155"/>
      <c r="CF117" s="160"/>
      <c r="CG117" s="160"/>
      <c r="CH117" s="161"/>
      <c r="CI117" s="162"/>
      <c r="CJ117" s="155"/>
      <c r="CK117" s="153"/>
      <c r="CL117" s="155"/>
      <c r="CM117" s="161"/>
      <c r="CN117" s="161"/>
      <c r="CO117" s="153"/>
      <c r="CP117" s="153"/>
      <c r="CQ117" s="154"/>
      <c r="CR117" s="155"/>
      <c r="CS117" s="161"/>
      <c r="CT117" s="223"/>
      <c r="CU117" s="160"/>
      <c r="CV117" s="223"/>
      <c r="CW117" s="223"/>
      <c r="CX117" s="156"/>
      <c r="CY117" s="159"/>
      <c r="CZ117" s="161"/>
      <c r="DA117" s="161"/>
      <c r="DB117" s="161"/>
      <c r="DC117" s="153"/>
      <c r="DD117" s="153"/>
      <c r="DE117" s="154"/>
      <c r="DF117" s="155"/>
      <c r="DG117" s="161"/>
      <c r="DH117" s="161"/>
      <c r="DI117" s="161"/>
      <c r="DJ117" s="161"/>
      <c r="DK117" s="156"/>
      <c r="DL117" s="162">
        <v>247</v>
      </c>
      <c r="DM117" s="223">
        <v>48</v>
      </c>
      <c r="DN117" s="153">
        <v>121</v>
      </c>
      <c r="DO117" s="153">
        <v>111</v>
      </c>
      <c r="DP117" s="153">
        <v>102</v>
      </c>
      <c r="DQ117" s="153">
        <v>118</v>
      </c>
      <c r="DR117" s="153">
        <v>137</v>
      </c>
      <c r="DS117" s="46">
        <v>111</v>
      </c>
      <c r="DT117" s="153"/>
      <c r="DU117" s="154"/>
      <c r="DV117" s="154"/>
      <c r="DW117" s="154"/>
      <c r="DX117" s="154"/>
      <c r="DY117" s="154"/>
      <c r="DZ117" s="154"/>
      <c r="EA117" s="158"/>
      <c r="EB117" s="19"/>
    </row>
    <row r="118" spans="1:132" s="12" customFormat="1" ht="13" x14ac:dyDescent="0.3">
      <c r="A118" s="10">
        <v>5206</v>
      </c>
      <c r="B118" s="11" t="s">
        <v>428</v>
      </c>
      <c r="C118" s="360">
        <v>808</v>
      </c>
      <c r="D118" s="54">
        <v>402</v>
      </c>
      <c r="E118" s="706">
        <f t="shared" si="2"/>
        <v>0.49752475247524752</v>
      </c>
      <c r="F118" s="219"/>
      <c r="G118" s="161"/>
      <c r="H118" s="153"/>
      <c r="I118" s="155"/>
      <c r="J118" s="153"/>
      <c r="K118" s="162"/>
      <c r="L118" s="160"/>
      <c r="M118" s="223"/>
      <c r="N118" s="223"/>
      <c r="O118" s="223"/>
      <c r="P118" s="153"/>
      <c r="Q118" s="154"/>
      <c r="R118" s="189"/>
      <c r="S118" s="158"/>
      <c r="T118" s="159"/>
      <c r="U118" s="153"/>
      <c r="V118" s="153"/>
      <c r="W118" s="154"/>
      <c r="X118" s="158"/>
      <c r="Y118" s="153"/>
      <c r="Z118" s="153"/>
      <c r="AA118" s="153"/>
      <c r="AB118" s="153"/>
      <c r="AC118" s="158"/>
      <c r="AD118" s="159"/>
      <c r="AE118" s="153"/>
      <c r="AF118" s="153"/>
      <c r="AG118" s="158"/>
      <c r="AH118" s="153"/>
      <c r="AI118" s="154"/>
      <c r="AJ118" s="154"/>
      <c r="AK118" s="154"/>
      <c r="AL118" s="154"/>
      <c r="AM118" s="154"/>
      <c r="AN118" s="158"/>
      <c r="AO118" s="153"/>
      <c r="AP118" s="153"/>
      <c r="AQ118" s="153"/>
      <c r="AR118" s="158"/>
      <c r="AS118" s="153"/>
      <c r="AT118" s="153"/>
      <c r="AU118" s="153"/>
      <c r="AV118" s="154"/>
      <c r="AW118" s="158"/>
      <c r="AX118" s="153"/>
      <c r="AY118" s="153"/>
      <c r="AZ118" s="154"/>
      <c r="BA118" s="158"/>
      <c r="BB118" s="153"/>
      <c r="BC118" s="153"/>
      <c r="BD118" s="153"/>
      <c r="BE118" s="153"/>
      <c r="BF118" s="153"/>
      <c r="BG118" s="162"/>
      <c r="BH118" s="467"/>
      <c r="BI118" s="154"/>
      <c r="BJ118" s="158"/>
      <c r="BK118" s="162"/>
      <c r="BL118" s="160"/>
      <c r="BM118" s="153"/>
      <c r="BN118" s="153"/>
      <c r="BO118" s="154"/>
      <c r="BP118" s="156"/>
      <c r="BQ118" s="159"/>
      <c r="BR118" s="153"/>
      <c r="BS118" s="155"/>
      <c r="BT118" s="161"/>
      <c r="BU118" s="161"/>
      <c r="BV118" s="153"/>
      <c r="BW118" s="153"/>
      <c r="BX118" s="153"/>
      <c r="BY118" s="153"/>
      <c r="BZ118" s="154"/>
      <c r="CA118" s="155"/>
      <c r="CB118" s="153"/>
      <c r="CC118" s="155"/>
      <c r="CD118" s="153"/>
      <c r="CE118" s="155"/>
      <c r="CF118" s="160"/>
      <c r="CG118" s="160"/>
      <c r="CH118" s="161"/>
      <c r="CI118" s="162"/>
      <c r="CJ118" s="155"/>
      <c r="CK118" s="153"/>
      <c r="CL118" s="155"/>
      <c r="CM118" s="161"/>
      <c r="CN118" s="161"/>
      <c r="CO118" s="153"/>
      <c r="CP118" s="153"/>
      <c r="CQ118" s="154"/>
      <c r="CR118" s="155"/>
      <c r="CS118" s="161"/>
      <c r="CT118" s="223"/>
      <c r="CU118" s="160"/>
      <c r="CV118" s="223"/>
      <c r="CW118" s="223"/>
      <c r="CX118" s="156"/>
      <c r="CY118" s="159"/>
      <c r="CZ118" s="161"/>
      <c r="DA118" s="161"/>
      <c r="DB118" s="161"/>
      <c r="DC118" s="153"/>
      <c r="DD118" s="153"/>
      <c r="DE118" s="154"/>
      <c r="DF118" s="155"/>
      <c r="DG118" s="161"/>
      <c r="DH118" s="161"/>
      <c r="DI118" s="161"/>
      <c r="DJ118" s="161"/>
      <c r="DK118" s="156"/>
      <c r="DL118" s="162">
        <v>298</v>
      </c>
      <c r="DM118" s="97">
        <v>64</v>
      </c>
      <c r="DN118" s="45">
        <v>156</v>
      </c>
      <c r="DO118" s="45">
        <v>116</v>
      </c>
      <c r="DP118" s="45">
        <v>161</v>
      </c>
      <c r="DQ118" s="45">
        <v>150</v>
      </c>
      <c r="DR118" s="45">
        <v>120</v>
      </c>
      <c r="DS118" s="158">
        <v>127</v>
      </c>
      <c r="DT118" s="165"/>
      <c r="DU118" s="173"/>
      <c r="DV118" s="173"/>
      <c r="DW118" s="173"/>
      <c r="DX118" s="173"/>
      <c r="DY118" s="173"/>
      <c r="DZ118" s="173"/>
      <c r="EA118" s="222"/>
      <c r="EB118" s="19"/>
    </row>
    <row r="119" spans="1:132" s="12" customFormat="1" ht="12.75" customHeight="1" x14ac:dyDescent="0.3">
      <c r="A119" s="10">
        <v>5207</v>
      </c>
      <c r="B119" s="11" t="s">
        <v>429</v>
      </c>
      <c r="C119" s="360">
        <v>676</v>
      </c>
      <c r="D119" s="54">
        <v>266</v>
      </c>
      <c r="E119" s="706">
        <f t="shared" si="2"/>
        <v>0.39349112426035504</v>
      </c>
      <c r="F119" s="219"/>
      <c r="G119" s="161"/>
      <c r="H119" s="153"/>
      <c r="I119" s="155"/>
      <c r="J119" s="153"/>
      <c r="K119" s="162"/>
      <c r="L119" s="160"/>
      <c r="M119" s="223"/>
      <c r="N119" s="223"/>
      <c r="O119" s="223"/>
      <c r="P119" s="153"/>
      <c r="Q119" s="154"/>
      <c r="R119" s="189"/>
      <c r="S119" s="158"/>
      <c r="T119" s="159"/>
      <c r="U119" s="153"/>
      <c r="V119" s="153"/>
      <c r="W119" s="154"/>
      <c r="X119" s="158"/>
      <c r="Y119" s="153"/>
      <c r="Z119" s="153"/>
      <c r="AA119" s="153"/>
      <c r="AB119" s="153"/>
      <c r="AC119" s="158"/>
      <c r="AD119" s="159"/>
      <c r="AE119" s="153"/>
      <c r="AF119" s="153"/>
      <c r="AG119" s="158"/>
      <c r="AH119" s="153"/>
      <c r="AI119" s="154"/>
      <c r="AJ119" s="154"/>
      <c r="AK119" s="154"/>
      <c r="AL119" s="154"/>
      <c r="AM119" s="154"/>
      <c r="AN119" s="158"/>
      <c r="AO119" s="153"/>
      <c r="AP119" s="153"/>
      <c r="AQ119" s="153"/>
      <c r="AR119" s="158"/>
      <c r="AS119" s="153"/>
      <c r="AT119" s="153"/>
      <c r="AU119" s="153"/>
      <c r="AV119" s="154"/>
      <c r="AW119" s="158"/>
      <c r="AX119" s="153"/>
      <c r="AY119" s="153"/>
      <c r="AZ119" s="154"/>
      <c r="BA119" s="158"/>
      <c r="BB119" s="153"/>
      <c r="BC119" s="153"/>
      <c r="BD119" s="153"/>
      <c r="BE119" s="153"/>
      <c r="BF119" s="153"/>
      <c r="BG119" s="162"/>
      <c r="BH119" s="467"/>
      <c r="BI119" s="154"/>
      <c r="BJ119" s="158"/>
      <c r="BK119" s="162"/>
      <c r="BL119" s="160"/>
      <c r="BM119" s="153"/>
      <c r="BN119" s="153"/>
      <c r="BO119" s="154"/>
      <c r="BP119" s="156"/>
      <c r="BQ119" s="159"/>
      <c r="BR119" s="153"/>
      <c r="BS119" s="155"/>
      <c r="BT119" s="161"/>
      <c r="BU119" s="161"/>
      <c r="BV119" s="153"/>
      <c r="BW119" s="153"/>
      <c r="BX119" s="153"/>
      <c r="BY119" s="153"/>
      <c r="BZ119" s="154"/>
      <c r="CA119" s="155"/>
      <c r="CB119" s="153"/>
      <c r="CC119" s="155"/>
      <c r="CD119" s="153"/>
      <c r="CE119" s="155"/>
      <c r="CF119" s="160"/>
      <c r="CG119" s="160"/>
      <c r="CH119" s="161"/>
      <c r="CI119" s="162"/>
      <c r="CJ119" s="155"/>
      <c r="CK119" s="153"/>
      <c r="CL119" s="155"/>
      <c r="CM119" s="161"/>
      <c r="CN119" s="161"/>
      <c r="CO119" s="153"/>
      <c r="CP119" s="153"/>
      <c r="CQ119" s="154"/>
      <c r="CR119" s="155"/>
      <c r="CS119" s="161"/>
      <c r="CT119" s="223"/>
      <c r="CU119" s="160"/>
      <c r="CV119" s="223"/>
      <c r="CW119" s="223"/>
      <c r="CX119" s="156"/>
      <c r="CY119" s="159"/>
      <c r="CZ119" s="161"/>
      <c r="DA119" s="161"/>
      <c r="DB119" s="161"/>
      <c r="DC119" s="153"/>
      <c r="DD119" s="153"/>
      <c r="DE119" s="154"/>
      <c r="DF119" s="155"/>
      <c r="DG119" s="161"/>
      <c r="DH119" s="161"/>
      <c r="DI119" s="161"/>
      <c r="DJ119" s="161"/>
      <c r="DK119" s="156"/>
      <c r="DL119" s="162">
        <v>208</v>
      </c>
      <c r="DM119" s="223">
        <v>33</v>
      </c>
      <c r="DN119" s="153">
        <v>174</v>
      </c>
      <c r="DO119" s="153">
        <v>62</v>
      </c>
      <c r="DP119" s="153">
        <v>57</v>
      </c>
      <c r="DQ119" s="153">
        <v>67</v>
      </c>
      <c r="DR119" s="153">
        <v>89</v>
      </c>
      <c r="DS119" s="158">
        <v>70</v>
      </c>
      <c r="DT119" s="45"/>
      <c r="DU119" s="54"/>
      <c r="DV119" s="54"/>
      <c r="DW119" s="54"/>
      <c r="DX119" s="54"/>
      <c r="DY119" s="54"/>
      <c r="DZ119" s="54"/>
      <c r="EA119" s="46"/>
      <c r="EB119" s="19"/>
    </row>
    <row r="120" spans="1:132" s="12" customFormat="1" ht="13" x14ac:dyDescent="0.3">
      <c r="A120" s="10">
        <v>5208</v>
      </c>
      <c r="B120" s="11" t="s">
        <v>430</v>
      </c>
      <c r="C120" s="360">
        <v>889</v>
      </c>
      <c r="D120" s="54">
        <v>522</v>
      </c>
      <c r="E120" s="706">
        <f t="shared" si="2"/>
        <v>0.58717660292463447</v>
      </c>
      <c r="F120" s="219"/>
      <c r="G120" s="161"/>
      <c r="H120" s="153"/>
      <c r="I120" s="155"/>
      <c r="J120" s="153"/>
      <c r="K120" s="162"/>
      <c r="L120" s="160"/>
      <c r="M120" s="223"/>
      <c r="N120" s="223"/>
      <c r="O120" s="223"/>
      <c r="P120" s="153"/>
      <c r="Q120" s="154"/>
      <c r="R120" s="189"/>
      <c r="S120" s="158"/>
      <c r="T120" s="159"/>
      <c r="U120" s="153"/>
      <c r="V120" s="153"/>
      <c r="W120" s="154"/>
      <c r="X120" s="158"/>
      <c r="Y120" s="153"/>
      <c r="Z120" s="153"/>
      <c r="AA120" s="153"/>
      <c r="AB120" s="153"/>
      <c r="AC120" s="158"/>
      <c r="AD120" s="159"/>
      <c r="AE120" s="153"/>
      <c r="AF120" s="153"/>
      <c r="AG120" s="158"/>
      <c r="AH120" s="153"/>
      <c r="AI120" s="154"/>
      <c r="AJ120" s="154"/>
      <c r="AK120" s="154"/>
      <c r="AL120" s="154"/>
      <c r="AM120" s="154"/>
      <c r="AN120" s="158"/>
      <c r="AO120" s="153"/>
      <c r="AP120" s="153"/>
      <c r="AQ120" s="153"/>
      <c r="AR120" s="158"/>
      <c r="AS120" s="153"/>
      <c r="AT120" s="153"/>
      <c r="AU120" s="153"/>
      <c r="AV120" s="154"/>
      <c r="AW120" s="158"/>
      <c r="AX120" s="153"/>
      <c r="AY120" s="153"/>
      <c r="AZ120" s="154"/>
      <c r="BA120" s="158"/>
      <c r="BB120" s="153"/>
      <c r="BC120" s="153"/>
      <c r="BD120" s="153"/>
      <c r="BE120" s="153"/>
      <c r="BF120" s="153"/>
      <c r="BG120" s="162"/>
      <c r="BH120" s="467"/>
      <c r="BI120" s="154"/>
      <c r="BJ120" s="158"/>
      <c r="BK120" s="162"/>
      <c r="BL120" s="160"/>
      <c r="BM120" s="153"/>
      <c r="BN120" s="153"/>
      <c r="BO120" s="154"/>
      <c r="BP120" s="156"/>
      <c r="BQ120" s="159"/>
      <c r="BR120" s="153"/>
      <c r="BS120" s="155"/>
      <c r="BT120" s="161"/>
      <c r="BU120" s="161"/>
      <c r="BV120" s="153"/>
      <c r="BW120" s="153"/>
      <c r="BX120" s="153"/>
      <c r="BY120" s="153"/>
      <c r="BZ120" s="154"/>
      <c r="CA120" s="155"/>
      <c r="CB120" s="153"/>
      <c r="CC120" s="155"/>
      <c r="CD120" s="153"/>
      <c r="CE120" s="155"/>
      <c r="CF120" s="160"/>
      <c r="CG120" s="160"/>
      <c r="CH120" s="161"/>
      <c r="CI120" s="162"/>
      <c r="CJ120" s="155"/>
      <c r="CK120" s="153"/>
      <c r="CL120" s="155"/>
      <c r="CM120" s="161"/>
      <c r="CN120" s="161"/>
      <c r="CO120" s="153"/>
      <c r="CP120" s="153"/>
      <c r="CQ120" s="154"/>
      <c r="CR120" s="155"/>
      <c r="CS120" s="161"/>
      <c r="CT120" s="223"/>
      <c r="CU120" s="160"/>
      <c r="CV120" s="223"/>
      <c r="CW120" s="223"/>
      <c r="CX120" s="156"/>
      <c r="CY120" s="152"/>
      <c r="CZ120" s="161"/>
      <c r="DA120" s="161"/>
      <c r="DB120" s="161"/>
      <c r="DC120" s="171"/>
      <c r="DD120" s="171"/>
      <c r="DE120" s="172"/>
      <c r="DF120" s="174"/>
      <c r="DG120" s="142"/>
      <c r="DH120" s="142"/>
      <c r="DI120" s="161"/>
      <c r="DJ120" s="161"/>
      <c r="DK120" s="156"/>
      <c r="DL120" s="162">
        <v>419</v>
      </c>
      <c r="DM120" s="223">
        <v>115</v>
      </c>
      <c r="DN120" s="153">
        <v>300</v>
      </c>
      <c r="DO120" s="153">
        <v>142</v>
      </c>
      <c r="DP120" s="153">
        <v>179</v>
      </c>
      <c r="DQ120" s="153">
        <v>161</v>
      </c>
      <c r="DR120" s="153">
        <v>169</v>
      </c>
      <c r="DS120" s="158">
        <v>128</v>
      </c>
      <c r="DT120" s="45"/>
      <c r="DU120" s="54"/>
      <c r="DV120" s="54"/>
      <c r="DW120" s="54"/>
      <c r="DX120" s="54"/>
      <c r="DY120" s="54"/>
      <c r="DZ120" s="54"/>
      <c r="EA120" s="46"/>
      <c r="EB120" s="19"/>
    </row>
    <row r="121" spans="1:132" s="12" customFormat="1" ht="12.75" customHeight="1" x14ac:dyDescent="0.3">
      <c r="A121" s="10">
        <v>5301</v>
      </c>
      <c r="B121" s="11" t="s">
        <v>431</v>
      </c>
      <c r="C121" s="360">
        <v>1458</v>
      </c>
      <c r="D121" s="54">
        <v>984</v>
      </c>
      <c r="E121" s="706">
        <f t="shared" si="2"/>
        <v>0.67489711934156382</v>
      </c>
      <c r="F121" s="219"/>
      <c r="G121" s="161"/>
      <c r="H121" s="153"/>
      <c r="I121" s="155"/>
      <c r="J121" s="153"/>
      <c r="K121" s="162"/>
      <c r="L121" s="160"/>
      <c r="M121" s="223"/>
      <c r="N121" s="223"/>
      <c r="O121" s="223"/>
      <c r="P121" s="153"/>
      <c r="Q121" s="154"/>
      <c r="R121" s="189"/>
      <c r="S121" s="158"/>
      <c r="T121" s="159"/>
      <c r="U121" s="153"/>
      <c r="V121" s="153"/>
      <c r="W121" s="154"/>
      <c r="X121" s="158"/>
      <c r="Y121" s="153"/>
      <c r="Z121" s="153"/>
      <c r="AA121" s="153"/>
      <c r="AB121" s="153"/>
      <c r="AC121" s="158"/>
      <c r="AD121" s="159"/>
      <c r="AE121" s="153"/>
      <c r="AF121" s="153"/>
      <c r="AG121" s="158"/>
      <c r="AH121" s="153"/>
      <c r="AI121" s="154"/>
      <c r="AJ121" s="154"/>
      <c r="AK121" s="154"/>
      <c r="AL121" s="154"/>
      <c r="AM121" s="154"/>
      <c r="AN121" s="158"/>
      <c r="AO121" s="153"/>
      <c r="AP121" s="153"/>
      <c r="AQ121" s="153"/>
      <c r="AR121" s="158"/>
      <c r="AS121" s="153"/>
      <c r="AT121" s="153"/>
      <c r="AU121" s="153"/>
      <c r="AV121" s="154"/>
      <c r="AW121" s="158"/>
      <c r="AX121" s="153"/>
      <c r="AY121" s="153"/>
      <c r="AZ121" s="154"/>
      <c r="BA121" s="158"/>
      <c r="BB121" s="153"/>
      <c r="BC121" s="153"/>
      <c r="BD121" s="153"/>
      <c r="BE121" s="153"/>
      <c r="BF121" s="153"/>
      <c r="BG121" s="162"/>
      <c r="BH121" s="467"/>
      <c r="BI121" s="154"/>
      <c r="BJ121" s="158"/>
      <c r="BK121" s="162"/>
      <c r="BL121" s="160"/>
      <c r="BM121" s="153"/>
      <c r="BN121" s="153"/>
      <c r="BO121" s="154"/>
      <c r="BP121" s="156"/>
      <c r="BQ121" s="159"/>
      <c r="BR121" s="153"/>
      <c r="BS121" s="155"/>
      <c r="BT121" s="161"/>
      <c r="BU121" s="161"/>
      <c r="BV121" s="153"/>
      <c r="BW121" s="153"/>
      <c r="BX121" s="153"/>
      <c r="BY121" s="153"/>
      <c r="BZ121" s="154"/>
      <c r="CA121" s="155"/>
      <c r="CB121" s="153"/>
      <c r="CC121" s="155"/>
      <c r="CD121" s="153"/>
      <c r="CE121" s="155"/>
      <c r="CF121" s="160"/>
      <c r="CG121" s="160"/>
      <c r="CH121" s="161"/>
      <c r="CI121" s="162"/>
      <c r="CJ121" s="155"/>
      <c r="CK121" s="153"/>
      <c r="CL121" s="155"/>
      <c r="CM121" s="161"/>
      <c r="CN121" s="161"/>
      <c r="CO121" s="153"/>
      <c r="CP121" s="153"/>
      <c r="CQ121" s="154"/>
      <c r="CR121" s="155"/>
      <c r="CS121" s="161"/>
      <c r="CT121" s="223"/>
      <c r="CU121" s="160"/>
      <c r="CV121" s="223"/>
      <c r="CW121" s="223"/>
      <c r="CX121" s="156"/>
      <c r="CY121" s="152"/>
      <c r="CZ121" s="161"/>
      <c r="DA121" s="161"/>
      <c r="DB121" s="161"/>
      <c r="DC121" s="171"/>
      <c r="DD121" s="171"/>
      <c r="DE121" s="172"/>
      <c r="DF121" s="174"/>
      <c r="DG121" s="142"/>
      <c r="DH121" s="142"/>
      <c r="DI121" s="161"/>
      <c r="DJ121" s="161"/>
      <c r="DK121" s="156"/>
      <c r="DL121" s="162"/>
      <c r="DM121" s="223"/>
      <c r="DN121" s="153"/>
      <c r="DO121" s="153"/>
      <c r="DP121" s="153"/>
      <c r="DQ121" s="153"/>
      <c r="DR121" s="153"/>
      <c r="DS121" s="158"/>
      <c r="DT121" s="45">
        <v>516</v>
      </c>
      <c r="DU121" s="54">
        <v>445</v>
      </c>
      <c r="DV121" s="54">
        <v>562</v>
      </c>
      <c r="DW121" s="54">
        <v>397</v>
      </c>
      <c r="DX121" s="54">
        <v>490</v>
      </c>
      <c r="DY121" s="54">
        <v>541</v>
      </c>
      <c r="DZ121" s="54">
        <v>439</v>
      </c>
      <c r="EA121" s="46">
        <v>489</v>
      </c>
      <c r="EB121" s="19"/>
    </row>
    <row r="122" spans="1:132" s="12" customFormat="1" ht="13" x14ac:dyDescent="0.3">
      <c r="A122" s="10">
        <v>5302</v>
      </c>
      <c r="B122" s="11" t="s">
        <v>432</v>
      </c>
      <c r="C122" s="360">
        <v>1439</v>
      </c>
      <c r="D122" s="54">
        <v>971</v>
      </c>
      <c r="E122" s="706">
        <f t="shared" si="2"/>
        <v>0.67477414871438501</v>
      </c>
      <c r="F122" s="219"/>
      <c r="G122" s="161"/>
      <c r="H122" s="153"/>
      <c r="I122" s="155"/>
      <c r="J122" s="153"/>
      <c r="K122" s="162"/>
      <c r="L122" s="160"/>
      <c r="M122" s="223"/>
      <c r="N122" s="223"/>
      <c r="O122" s="223"/>
      <c r="P122" s="153"/>
      <c r="Q122" s="154"/>
      <c r="R122" s="189"/>
      <c r="S122" s="158"/>
      <c r="T122" s="159"/>
      <c r="U122" s="153"/>
      <c r="V122" s="153"/>
      <c r="W122" s="154"/>
      <c r="X122" s="158"/>
      <c r="Y122" s="153"/>
      <c r="Z122" s="153"/>
      <c r="AA122" s="153"/>
      <c r="AB122" s="153"/>
      <c r="AC122" s="158"/>
      <c r="AD122" s="159"/>
      <c r="AE122" s="153"/>
      <c r="AF122" s="153"/>
      <c r="AG122" s="158"/>
      <c r="AH122" s="153"/>
      <c r="AI122" s="154"/>
      <c r="AJ122" s="154"/>
      <c r="AK122" s="154"/>
      <c r="AL122" s="154"/>
      <c r="AM122" s="154"/>
      <c r="AN122" s="158"/>
      <c r="AO122" s="153"/>
      <c r="AP122" s="153"/>
      <c r="AQ122" s="153"/>
      <c r="AR122" s="158"/>
      <c r="AS122" s="153"/>
      <c r="AT122" s="153"/>
      <c r="AU122" s="153"/>
      <c r="AV122" s="154"/>
      <c r="AW122" s="158"/>
      <c r="AX122" s="153"/>
      <c r="AY122" s="153"/>
      <c r="AZ122" s="154"/>
      <c r="BA122" s="158"/>
      <c r="BB122" s="153"/>
      <c r="BC122" s="153"/>
      <c r="BD122" s="153"/>
      <c r="BE122" s="153"/>
      <c r="BF122" s="153"/>
      <c r="BG122" s="162"/>
      <c r="BH122" s="467"/>
      <c r="BI122" s="154"/>
      <c r="BJ122" s="158"/>
      <c r="BK122" s="162"/>
      <c r="BL122" s="160"/>
      <c r="BM122" s="153"/>
      <c r="BN122" s="153"/>
      <c r="BO122" s="154"/>
      <c r="BP122" s="156"/>
      <c r="BQ122" s="159"/>
      <c r="BR122" s="153"/>
      <c r="BS122" s="155"/>
      <c r="BT122" s="161"/>
      <c r="BU122" s="161"/>
      <c r="BV122" s="153"/>
      <c r="BW122" s="153"/>
      <c r="BX122" s="153"/>
      <c r="BY122" s="153"/>
      <c r="BZ122" s="154"/>
      <c r="CA122" s="155"/>
      <c r="CB122" s="153"/>
      <c r="CC122" s="155"/>
      <c r="CD122" s="153"/>
      <c r="CE122" s="155"/>
      <c r="CF122" s="160"/>
      <c r="CG122" s="160"/>
      <c r="CH122" s="161"/>
      <c r="CI122" s="162"/>
      <c r="CJ122" s="155"/>
      <c r="CK122" s="153"/>
      <c r="CL122" s="155"/>
      <c r="CM122" s="161"/>
      <c r="CN122" s="161"/>
      <c r="CO122" s="153"/>
      <c r="CP122" s="153"/>
      <c r="CQ122" s="154"/>
      <c r="CR122" s="155"/>
      <c r="CS122" s="161"/>
      <c r="CT122" s="223"/>
      <c r="CU122" s="160"/>
      <c r="CV122" s="223"/>
      <c r="CW122" s="223"/>
      <c r="CX122" s="156"/>
      <c r="CY122" s="152"/>
      <c r="CZ122" s="161"/>
      <c r="DA122" s="161"/>
      <c r="DB122" s="161"/>
      <c r="DC122" s="171"/>
      <c r="DD122" s="171"/>
      <c r="DE122" s="172"/>
      <c r="DF122" s="174"/>
      <c r="DG122" s="161"/>
      <c r="DH122" s="161"/>
      <c r="DI122" s="142"/>
      <c r="DJ122" s="161"/>
      <c r="DK122" s="156"/>
      <c r="DL122" s="162"/>
      <c r="DM122" s="223"/>
      <c r="DN122" s="153"/>
      <c r="DO122" s="153"/>
      <c r="DP122" s="153"/>
      <c r="DQ122" s="153"/>
      <c r="DR122" s="153"/>
      <c r="DS122" s="158"/>
      <c r="DT122" s="45">
        <v>566</v>
      </c>
      <c r="DU122" s="54">
        <v>473</v>
      </c>
      <c r="DV122" s="54">
        <v>570</v>
      </c>
      <c r="DW122" s="54">
        <v>454</v>
      </c>
      <c r="DX122" s="54">
        <v>465</v>
      </c>
      <c r="DY122" s="54">
        <v>563</v>
      </c>
      <c r="DZ122" s="54">
        <v>492</v>
      </c>
      <c r="EA122" s="46">
        <v>505</v>
      </c>
      <c r="EB122" s="19"/>
    </row>
    <row r="123" spans="1:132" s="12" customFormat="1" ht="12.75" customHeight="1" x14ac:dyDescent="0.3">
      <c r="A123" s="10">
        <v>5303</v>
      </c>
      <c r="B123" s="11" t="s">
        <v>433</v>
      </c>
      <c r="C123" s="360">
        <v>1458</v>
      </c>
      <c r="D123" s="54">
        <v>955</v>
      </c>
      <c r="E123" s="706">
        <f t="shared" si="2"/>
        <v>0.65500685871056241</v>
      </c>
      <c r="F123" s="219"/>
      <c r="G123" s="161"/>
      <c r="H123" s="153"/>
      <c r="I123" s="155"/>
      <c r="J123" s="153"/>
      <c r="K123" s="162"/>
      <c r="L123" s="160"/>
      <c r="M123" s="223"/>
      <c r="N123" s="223"/>
      <c r="O123" s="223"/>
      <c r="P123" s="153"/>
      <c r="Q123" s="154"/>
      <c r="R123" s="189"/>
      <c r="S123" s="158"/>
      <c r="T123" s="159"/>
      <c r="U123" s="153"/>
      <c r="V123" s="153"/>
      <c r="W123" s="154"/>
      <c r="X123" s="158"/>
      <c r="Y123" s="153"/>
      <c r="Z123" s="153"/>
      <c r="AA123" s="153"/>
      <c r="AB123" s="153"/>
      <c r="AC123" s="158"/>
      <c r="AD123" s="159"/>
      <c r="AE123" s="153"/>
      <c r="AF123" s="153"/>
      <c r="AG123" s="158"/>
      <c r="AH123" s="153"/>
      <c r="AI123" s="154"/>
      <c r="AJ123" s="154"/>
      <c r="AK123" s="154"/>
      <c r="AL123" s="154"/>
      <c r="AM123" s="154"/>
      <c r="AN123" s="158"/>
      <c r="AO123" s="153"/>
      <c r="AP123" s="153"/>
      <c r="AQ123" s="153"/>
      <c r="AR123" s="158"/>
      <c r="AS123" s="153"/>
      <c r="AT123" s="153"/>
      <c r="AU123" s="153"/>
      <c r="AV123" s="154"/>
      <c r="AW123" s="158"/>
      <c r="AX123" s="165"/>
      <c r="AY123" s="165"/>
      <c r="AZ123" s="173"/>
      <c r="BA123" s="167"/>
      <c r="BB123" s="153"/>
      <c r="BC123" s="153"/>
      <c r="BD123" s="153"/>
      <c r="BE123" s="153"/>
      <c r="BF123" s="153"/>
      <c r="BG123" s="162"/>
      <c r="BH123" s="467"/>
      <c r="BI123" s="154"/>
      <c r="BJ123" s="158"/>
      <c r="BK123" s="162"/>
      <c r="BL123" s="160"/>
      <c r="BM123" s="153"/>
      <c r="BN123" s="153"/>
      <c r="BO123" s="154"/>
      <c r="BP123" s="156"/>
      <c r="BQ123" s="159"/>
      <c r="BR123" s="153"/>
      <c r="BS123" s="155"/>
      <c r="BT123" s="161"/>
      <c r="BU123" s="161"/>
      <c r="BV123" s="153"/>
      <c r="BW123" s="153"/>
      <c r="BX123" s="153"/>
      <c r="BY123" s="153"/>
      <c r="BZ123" s="154"/>
      <c r="CA123" s="155"/>
      <c r="CB123" s="153"/>
      <c r="CC123" s="155"/>
      <c r="CD123" s="153"/>
      <c r="CE123" s="155"/>
      <c r="CF123" s="160"/>
      <c r="CG123" s="160"/>
      <c r="CH123" s="161"/>
      <c r="CI123" s="162"/>
      <c r="CJ123" s="155"/>
      <c r="CK123" s="153"/>
      <c r="CL123" s="155"/>
      <c r="CM123" s="161"/>
      <c r="CN123" s="161"/>
      <c r="CO123" s="153"/>
      <c r="CP123" s="153"/>
      <c r="CQ123" s="154"/>
      <c r="CR123" s="155"/>
      <c r="CS123" s="161"/>
      <c r="CT123" s="223"/>
      <c r="CU123" s="160"/>
      <c r="CV123" s="223"/>
      <c r="CW123" s="223"/>
      <c r="CX123" s="156"/>
      <c r="CY123" s="159"/>
      <c r="CZ123" s="161"/>
      <c r="DA123" s="161"/>
      <c r="DB123" s="161"/>
      <c r="DC123" s="153"/>
      <c r="DD123" s="153"/>
      <c r="DE123" s="154"/>
      <c r="DF123" s="155"/>
      <c r="DG123" s="161"/>
      <c r="DH123" s="161"/>
      <c r="DI123" s="161"/>
      <c r="DJ123" s="161"/>
      <c r="DK123" s="156"/>
      <c r="DL123" s="162"/>
      <c r="DM123" s="223"/>
      <c r="DN123" s="153"/>
      <c r="DO123" s="153"/>
      <c r="DP123" s="153"/>
      <c r="DQ123" s="153"/>
      <c r="DR123" s="153"/>
      <c r="DS123" s="158"/>
      <c r="DT123" s="45">
        <v>505</v>
      </c>
      <c r="DU123" s="54">
        <v>450</v>
      </c>
      <c r="DV123" s="54">
        <v>536</v>
      </c>
      <c r="DW123" s="54">
        <v>370</v>
      </c>
      <c r="DX123" s="54">
        <v>432</v>
      </c>
      <c r="DY123" s="54">
        <v>503</v>
      </c>
      <c r="DZ123" s="54">
        <v>419</v>
      </c>
      <c r="EA123" s="46">
        <v>504</v>
      </c>
      <c r="EB123" s="19"/>
    </row>
    <row r="124" spans="1:132" s="12" customFormat="1" ht="13" x14ac:dyDescent="0.3">
      <c r="A124" s="10">
        <v>5304</v>
      </c>
      <c r="B124" s="11" t="s">
        <v>434</v>
      </c>
      <c r="C124" s="360">
        <v>1361</v>
      </c>
      <c r="D124" s="54">
        <v>803</v>
      </c>
      <c r="E124" s="706">
        <f t="shared" si="2"/>
        <v>0.59000734753857453</v>
      </c>
      <c r="F124" s="219"/>
      <c r="G124" s="161"/>
      <c r="H124" s="153"/>
      <c r="I124" s="155"/>
      <c r="J124" s="153"/>
      <c r="K124" s="162"/>
      <c r="L124" s="160"/>
      <c r="M124" s="223"/>
      <c r="N124" s="223"/>
      <c r="O124" s="223"/>
      <c r="P124" s="153"/>
      <c r="Q124" s="154"/>
      <c r="R124" s="189"/>
      <c r="S124" s="158"/>
      <c r="T124" s="159"/>
      <c r="U124" s="153"/>
      <c r="V124" s="153"/>
      <c r="W124" s="154"/>
      <c r="X124" s="158"/>
      <c r="Y124" s="153"/>
      <c r="Z124" s="153"/>
      <c r="AA124" s="153"/>
      <c r="AB124" s="153"/>
      <c r="AC124" s="158"/>
      <c r="AD124" s="159"/>
      <c r="AE124" s="153"/>
      <c r="AF124" s="153"/>
      <c r="AG124" s="158"/>
      <c r="AH124" s="153"/>
      <c r="AI124" s="154"/>
      <c r="AJ124" s="154"/>
      <c r="AK124" s="154"/>
      <c r="AL124" s="154"/>
      <c r="AM124" s="154"/>
      <c r="AN124" s="158"/>
      <c r="AO124" s="153"/>
      <c r="AP124" s="153"/>
      <c r="AQ124" s="153"/>
      <c r="AR124" s="158"/>
      <c r="AS124" s="153"/>
      <c r="AT124" s="153"/>
      <c r="AU124" s="153"/>
      <c r="AV124" s="154"/>
      <c r="AW124" s="158"/>
      <c r="AX124" s="45"/>
      <c r="AY124" s="45"/>
      <c r="AZ124" s="54"/>
      <c r="BA124" s="46"/>
      <c r="BB124" s="153"/>
      <c r="BC124" s="153"/>
      <c r="BD124" s="153"/>
      <c r="BE124" s="153"/>
      <c r="BF124" s="153"/>
      <c r="BG124" s="162"/>
      <c r="BH124" s="467"/>
      <c r="BI124" s="154"/>
      <c r="BJ124" s="158"/>
      <c r="BK124" s="162"/>
      <c r="BL124" s="160"/>
      <c r="BM124" s="153"/>
      <c r="BN124" s="153"/>
      <c r="BO124" s="154"/>
      <c r="BP124" s="156"/>
      <c r="BQ124" s="159"/>
      <c r="BR124" s="153"/>
      <c r="BS124" s="155"/>
      <c r="BT124" s="161"/>
      <c r="BU124" s="161"/>
      <c r="BV124" s="153"/>
      <c r="BW124" s="153"/>
      <c r="BX124" s="153"/>
      <c r="BY124" s="153"/>
      <c r="BZ124" s="154"/>
      <c r="CA124" s="155"/>
      <c r="CB124" s="153"/>
      <c r="CC124" s="155"/>
      <c r="CD124" s="153"/>
      <c r="CE124" s="155"/>
      <c r="CF124" s="160"/>
      <c r="CG124" s="160"/>
      <c r="CH124" s="161"/>
      <c r="CI124" s="162"/>
      <c r="CJ124" s="155"/>
      <c r="CK124" s="153"/>
      <c r="CL124" s="155"/>
      <c r="CM124" s="161"/>
      <c r="CN124" s="161"/>
      <c r="CO124" s="153"/>
      <c r="CP124" s="153"/>
      <c r="CQ124" s="154"/>
      <c r="CR124" s="155"/>
      <c r="CS124" s="161"/>
      <c r="CT124" s="223"/>
      <c r="CU124" s="160"/>
      <c r="CV124" s="223"/>
      <c r="CW124" s="223"/>
      <c r="CX124" s="156"/>
      <c r="CY124" s="159"/>
      <c r="CZ124" s="161"/>
      <c r="DA124" s="161"/>
      <c r="DB124" s="161"/>
      <c r="DC124" s="153"/>
      <c r="DD124" s="153"/>
      <c r="DE124" s="154"/>
      <c r="DF124" s="155"/>
      <c r="DG124" s="161"/>
      <c r="DH124" s="161"/>
      <c r="DI124" s="161"/>
      <c r="DJ124" s="161"/>
      <c r="DK124" s="156"/>
      <c r="DL124" s="162"/>
      <c r="DM124" s="223"/>
      <c r="DN124" s="153"/>
      <c r="DO124" s="153"/>
      <c r="DP124" s="153"/>
      <c r="DQ124" s="153"/>
      <c r="DR124" s="153"/>
      <c r="DS124" s="158"/>
      <c r="DT124" s="153">
        <v>420</v>
      </c>
      <c r="DU124" s="154">
        <v>365</v>
      </c>
      <c r="DV124" s="154">
        <v>439</v>
      </c>
      <c r="DW124" s="154">
        <v>314</v>
      </c>
      <c r="DX124" s="154">
        <v>420</v>
      </c>
      <c r="DY124" s="154">
        <v>468</v>
      </c>
      <c r="DZ124" s="154">
        <v>362</v>
      </c>
      <c r="EA124" s="158">
        <v>364</v>
      </c>
      <c r="EB124" s="19"/>
    </row>
    <row r="125" spans="1:132" s="12" customFormat="1" ht="12.75" customHeight="1" thickBot="1" x14ac:dyDescent="0.35">
      <c r="A125" s="10">
        <v>5305</v>
      </c>
      <c r="B125" s="11" t="s">
        <v>435</v>
      </c>
      <c r="C125" s="360">
        <v>1350</v>
      </c>
      <c r="D125" s="54">
        <v>918</v>
      </c>
      <c r="E125" s="706">
        <f t="shared" si="2"/>
        <v>0.68</v>
      </c>
      <c r="F125" s="219"/>
      <c r="G125" s="161"/>
      <c r="H125" s="153"/>
      <c r="I125" s="155"/>
      <c r="J125" s="153"/>
      <c r="K125" s="162"/>
      <c r="L125" s="160"/>
      <c r="M125" s="223"/>
      <c r="N125" s="223"/>
      <c r="O125" s="223"/>
      <c r="P125" s="153"/>
      <c r="Q125" s="154"/>
      <c r="R125" s="189"/>
      <c r="S125" s="158"/>
      <c r="T125" s="159"/>
      <c r="U125" s="153"/>
      <c r="V125" s="153"/>
      <c r="W125" s="154"/>
      <c r="X125" s="158"/>
      <c r="Y125" s="153"/>
      <c r="Z125" s="153"/>
      <c r="AA125" s="153"/>
      <c r="AB125" s="153"/>
      <c r="AC125" s="158"/>
      <c r="AD125" s="159"/>
      <c r="AE125" s="153"/>
      <c r="AF125" s="153"/>
      <c r="AG125" s="158"/>
      <c r="AH125" s="153"/>
      <c r="AI125" s="154"/>
      <c r="AJ125" s="154"/>
      <c r="AK125" s="154"/>
      <c r="AL125" s="154"/>
      <c r="AM125" s="154"/>
      <c r="AN125" s="158"/>
      <c r="AO125" s="153"/>
      <c r="AP125" s="153"/>
      <c r="AQ125" s="153"/>
      <c r="AR125" s="158"/>
      <c r="AS125" s="153"/>
      <c r="AT125" s="153"/>
      <c r="AU125" s="153"/>
      <c r="AV125" s="154"/>
      <c r="AW125" s="158"/>
      <c r="AX125" s="45"/>
      <c r="AY125" s="45"/>
      <c r="AZ125" s="54"/>
      <c r="BA125" s="46"/>
      <c r="BB125" s="153"/>
      <c r="BC125" s="153"/>
      <c r="BD125" s="153"/>
      <c r="BE125" s="153"/>
      <c r="BF125" s="153"/>
      <c r="BG125" s="162"/>
      <c r="BH125" s="467"/>
      <c r="BI125" s="154"/>
      <c r="BJ125" s="158"/>
      <c r="BK125" s="162"/>
      <c r="BL125" s="160"/>
      <c r="BM125" s="153"/>
      <c r="BN125" s="153"/>
      <c r="BO125" s="154"/>
      <c r="BP125" s="156"/>
      <c r="BQ125" s="159"/>
      <c r="BR125" s="153"/>
      <c r="BS125" s="155"/>
      <c r="BT125" s="161"/>
      <c r="BU125" s="161"/>
      <c r="BV125" s="153"/>
      <c r="BW125" s="153"/>
      <c r="BX125" s="153"/>
      <c r="BY125" s="153"/>
      <c r="BZ125" s="154"/>
      <c r="CA125" s="155"/>
      <c r="CB125" s="153"/>
      <c r="CC125" s="155"/>
      <c r="CD125" s="153"/>
      <c r="CE125" s="155"/>
      <c r="CF125" s="160"/>
      <c r="CG125" s="160"/>
      <c r="CH125" s="161"/>
      <c r="CI125" s="162"/>
      <c r="CJ125" s="155"/>
      <c r="CK125" s="153"/>
      <c r="CL125" s="155"/>
      <c r="CM125" s="161"/>
      <c r="CN125" s="161"/>
      <c r="CO125" s="153"/>
      <c r="CP125" s="153"/>
      <c r="CQ125" s="154"/>
      <c r="CR125" s="155"/>
      <c r="CS125" s="161"/>
      <c r="CT125" s="223"/>
      <c r="CU125" s="160"/>
      <c r="CV125" s="223"/>
      <c r="CW125" s="223"/>
      <c r="CX125" s="156"/>
      <c r="CY125" s="159"/>
      <c r="CZ125" s="161"/>
      <c r="DA125" s="161"/>
      <c r="DB125" s="161"/>
      <c r="DC125" s="153"/>
      <c r="DD125" s="153"/>
      <c r="DE125" s="154"/>
      <c r="DF125" s="155"/>
      <c r="DG125" s="161"/>
      <c r="DH125" s="161"/>
      <c r="DI125" s="161"/>
      <c r="DJ125" s="161"/>
      <c r="DK125" s="156"/>
      <c r="DL125" s="162"/>
      <c r="DM125" s="223"/>
      <c r="DN125" s="153"/>
      <c r="DO125" s="153"/>
      <c r="DP125" s="153"/>
      <c r="DQ125" s="153"/>
      <c r="DR125" s="153"/>
      <c r="DS125" s="158"/>
      <c r="DT125" s="153">
        <v>467</v>
      </c>
      <c r="DU125" s="154">
        <v>400</v>
      </c>
      <c r="DV125" s="154">
        <v>492</v>
      </c>
      <c r="DW125" s="154">
        <v>387</v>
      </c>
      <c r="DX125" s="154">
        <v>407</v>
      </c>
      <c r="DY125" s="154">
        <v>521</v>
      </c>
      <c r="DZ125" s="154">
        <v>437</v>
      </c>
      <c r="EA125" s="158">
        <v>458</v>
      </c>
      <c r="EB125" s="19"/>
    </row>
    <row r="126" spans="1:132" s="13" customFormat="1" ht="12.75" customHeight="1" thickTop="1" x14ac:dyDescent="0.3">
      <c r="A126" s="441"/>
      <c r="B126" s="442" t="s">
        <v>4</v>
      </c>
      <c r="C126" s="443">
        <f>SUM(C5:C125)</f>
        <v>123533</v>
      </c>
      <c r="D126" s="443">
        <f>SUM(D5:D125)</f>
        <v>63452</v>
      </c>
      <c r="E126" s="905">
        <f>SUM(D126/C126)</f>
        <v>0.51364412748010657</v>
      </c>
      <c r="F126" s="444">
        <f t="shared" ref="F126:U126" si="3">SUM(F5:F122)</f>
        <v>4085</v>
      </c>
      <c r="G126" s="446">
        <f t="shared" si="3"/>
        <v>709</v>
      </c>
      <c r="H126" s="447">
        <f t="shared" si="3"/>
        <v>471</v>
      </c>
      <c r="I126" s="448">
        <f t="shared" si="3"/>
        <v>533</v>
      </c>
      <c r="J126" s="447">
        <f t="shared" si="3"/>
        <v>919</v>
      </c>
      <c r="K126" s="450">
        <f t="shared" si="3"/>
        <v>1691</v>
      </c>
      <c r="L126" s="453">
        <f t="shared" si="3"/>
        <v>778</v>
      </c>
      <c r="M126" s="451">
        <f t="shared" si="3"/>
        <v>1893</v>
      </c>
      <c r="N126" s="451">
        <f t="shared" si="3"/>
        <v>1866</v>
      </c>
      <c r="O126" s="451">
        <f t="shared" si="3"/>
        <v>1139</v>
      </c>
      <c r="P126" s="444">
        <f t="shared" si="3"/>
        <v>906</v>
      </c>
      <c r="Q126" s="443">
        <f t="shared" si="3"/>
        <v>997</v>
      </c>
      <c r="R126" s="567">
        <f t="shared" si="3"/>
        <v>1396</v>
      </c>
      <c r="S126" s="449">
        <f t="shared" si="3"/>
        <v>1061</v>
      </c>
      <c r="T126" s="510">
        <f t="shared" si="3"/>
        <v>1671</v>
      </c>
      <c r="U126" s="444">
        <f t="shared" si="3"/>
        <v>875</v>
      </c>
      <c r="V126" s="444">
        <f t="shared" ref="V126:CG126" si="4">SUM(V5:V122)</f>
        <v>1179</v>
      </c>
      <c r="W126" s="443">
        <f t="shared" si="4"/>
        <v>1093</v>
      </c>
      <c r="X126" s="449">
        <f t="shared" si="4"/>
        <v>1040</v>
      </c>
      <c r="Y126" s="444">
        <f t="shared" si="4"/>
        <v>2641</v>
      </c>
      <c r="Z126" s="444">
        <f t="shared" si="4"/>
        <v>1613</v>
      </c>
      <c r="AA126" s="444">
        <f t="shared" si="4"/>
        <v>2895</v>
      </c>
      <c r="AB126" s="443">
        <f t="shared" si="4"/>
        <v>5</v>
      </c>
      <c r="AC126" s="449">
        <f t="shared" si="4"/>
        <v>2207</v>
      </c>
      <c r="AD126" s="510">
        <f t="shared" si="4"/>
        <v>3377</v>
      </c>
      <c r="AE126" s="444">
        <f t="shared" si="4"/>
        <v>2206</v>
      </c>
      <c r="AF126" s="444">
        <f t="shared" si="4"/>
        <v>2395</v>
      </c>
      <c r="AG126" s="449">
        <f t="shared" si="4"/>
        <v>2325</v>
      </c>
      <c r="AH126" s="444">
        <f t="shared" si="4"/>
        <v>1340</v>
      </c>
      <c r="AI126" s="443">
        <f t="shared" si="4"/>
        <v>1405</v>
      </c>
      <c r="AJ126" s="443">
        <f t="shared" si="4"/>
        <v>1248</v>
      </c>
      <c r="AK126" s="443">
        <f t="shared" si="4"/>
        <v>1562</v>
      </c>
      <c r="AL126" s="443">
        <f t="shared" si="4"/>
        <v>1480</v>
      </c>
      <c r="AM126" s="443">
        <f t="shared" si="4"/>
        <v>1236</v>
      </c>
      <c r="AN126" s="449">
        <f t="shared" si="4"/>
        <v>1329</v>
      </c>
      <c r="AO126" s="444">
        <f t="shared" si="4"/>
        <v>1999</v>
      </c>
      <c r="AP126" s="444">
        <f t="shared" si="4"/>
        <v>1696</v>
      </c>
      <c r="AQ126" s="443">
        <f t="shared" si="4"/>
        <v>1510</v>
      </c>
      <c r="AR126" s="449">
        <f t="shared" si="4"/>
        <v>1181</v>
      </c>
      <c r="AS126" s="444">
        <f t="shared" si="4"/>
        <v>1432</v>
      </c>
      <c r="AT126" s="444">
        <f t="shared" si="4"/>
        <v>1283</v>
      </c>
      <c r="AU126" s="444">
        <f t="shared" si="4"/>
        <v>3091</v>
      </c>
      <c r="AV126" s="443">
        <f t="shared" si="4"/>
        <v>2896</v>
      </c>
      <c r="AW126" s="449">
        <f t="shared" si="4"/>
        <v>3840</v>
      </c>
      <c r="AX126" s="444">
        <f t="shared" si="4"/>
        <v>4</v>
      </c>
      <c r="AY126" s="444">
        <f t="shared" si="4"/>
        <v>3</v>
      </c>
      <c r="AZ126" s="443">
        <f t="shared" si="4"/>
        <v>5</v>
      </c>
      <c r="BA126" s="449">
        <f t="shared" si="4"/>
        <v>5</v>
      </c>
      <c r="BB126" s="444">
        <f t="shared" si="4"/>
        <v>2775</v>
      </c>
      <c r="BC126" s="444">
        <f t="shared" si="4"/>
        <v>1964</v>
      </c>
      <c r="BD126" s="444">
        <f t="shared" si="4"/>
        <v>1432</v>
      </c>
      <c r="BE126" s="443">
        <f t="shared" si="4"/>
        <v>996</v>
      </c>
      <c r="BF126" s="444">
        <f t="shared" si="4"/>
        <v>3062</v>
      </c>
      <c r="BG126" s="450">
        <f t="shared" si="4"/>
        <v>1239</v>
      </c>
      <c r="BH126" s="702">
        <f t="shared" si="4"/>
        <v>1109</v>
      </c>
      <c r="BI126" s="443">
        <f t="shared" si="4"/>
        <v>511</v>
      </c>
      <c r="BJ126" s="449">
        <f t="shared" si="4"/>
        <v>561</v>
      </c>
      <c r="BK126" s="450">
        <f t="shared" si="4"/>
        <v>1498</v>
      </c>
      <c r="BL126" s="453">
        <f t="shared" si="4"/>
        <v>878</v>
      </c>
      <c r="BM126" s="444">
        <f t="shared" si="4"/>
        <v>1240</v>
      </c>
      <c r="BN126" s="444">
        <f t="shared" si="4"/>
        <v>683</v>
      </c>
      <c r="BO126" s="443">
        <f t="shared" si="4"/>
        <v>1016</v>
      </c>
      <c r="BP126" s="452">
        <f t="shared" si="4"/>
        <v>1050</v>
      </c>
      <c r="BQ126" s="510">
        <f t="shared" si="4"/>
        <v>3617</v>
      </c>
      <c r="BR126" s="444">
        <f t="shared" si="4"/>
        <v>3137</v>
      </c>
      <c r="BS126" s="445">
        <f t="shared" si="4"/>
        <v>2076</v>
      </c>
      <c r="BT126" s="446">
        <f t="shared" si="4"/>
        <v>3505</v>
      </c>
      <c r="BU126" s="446">
        <f t="shared" si="4"/>
        <v>3996</v>
      </c>
      <c r="BV126" s="444">
        <f t="shared" si="4"/>
        <v>2089</v>
      </c>
      <c r="BW126" s="444">
        <f t="shared" si="4"/>
        <v>3023</v>
      </c>
      <c r="BX126" s="444">
        <f t="shared" si="4"/>
        <v>1795</v>
      </c>
      <c r="BY126" s="444">
        <f t="shared" si="4"/>
        <v>2991</v>
      </c>
      <c r="BZ126" s="443">
        <f t="shared" si="4"/>
        <v>2776</v>
      </c>
      <c r="CA126" s="445">
        <f t="shared" si="4"/>
        <v>1849</v>
      </c>
      <c r="CB126" s="444">
        <f t="shared" si="4"/>
        <v>701</v>
      </c>
      <c r="CC126" s="445">
        <f t="shared" si="4"/>
        <v>442</v>
      </c>
      <c r="CD126" s="444">
        <f t="shared" si="4"/>
        <v>541</v>
      </c>
      <c r="CE126" s="445">
        <f t="shared" si="4"/>
        <v>964</v>
      </c>
      <c r="CF126" s="453">
        <f t="shared" si="4"/>
        <v>896</v>
      </c>
      <c r="CG126" s="453">
        <f t="shared" si="4"/>
        <v>628</v>
      </c>
      <c r="CH126" s="446">
        <f t="shared" ref="CH126:DS126" si="5">SUM(CH5:CH122)</f>
        <v>709</v>
      </c>
      <c r="CI126" s="450">
        <f t="shared" si="5"/>
        <v>1386</v>
      </c>
      <c r="CJ126" s="445">
        <f t="shared" si="5"/>
        <v>2032</v>
      </c>
      <c r="CK126" s="444">
        <f t="shared" si="5"/>
        <v>954</v>
      </c>
      <c r="CL126" s="445">
        <f t="shared" si="5"/>
        <v>2025</v>
      </c>
      <c r="CM126" s="446">
        <f t="shared" si="5"/>
        <v>2510</v>
      </c>
      <c r="CN126" s="446">
        <f t="shared" si="5"/>
        <v>2442</v>
      </c>
      <c r="CO126" s="444">
        <f t="shared" si="5"/>
        <v>2082</v>
      </c>
      <c r="CP126" s="444">
        <f t="shared" si="5"/>
        <v>1752</v>
      </c>
      <c r="CQ126" s="443">
        <f t="shared" si="5"/>
        <v>1820</v>
      </c>
      <c r="CR126" s="445">
        <f t="shared" si="5"/>
        <v>1557</v>
      </c>
      <c r="CS126" s="446">
        <f t="shared" si="5"/>
        <v>512</v>
      </c>
      <c r="CT126" s="451">
        <f t="shared" si="5"/>
        <v>377</v>
      </c>
      <c r="CU126" s="453">
        <f t="shared" si="5"/>
        <v>233</v>
      </c>
      <c r="CV126" s="451">
        <f t="shared" si="5"/>
        <v>648</v>
      </c>
      <c r="CW126" s="451">
        <f t="shared" si="5"/>
        <v>714</v>
      </c>
      <c r="CX126" s="452">
        <f t="shared" si="5"/>
        <v>343</v>
      </c>
      <c r="CY126" s="510">
        <f t="shared" si="5"/>
        <v>2683</v>
      </c>
      <c r="CZ126" s="446">
        <f t="shared" si="5"/>
        <v>2487</v>
      </c>
      <c r="DA126" s="446">
        <f t="shared" si="5"/>
        <v>2540</v>
      </c>
      <c r="DB126" s="446">
        <f t="shared" si="5"/>
        <v>2503</v>
      </c>
      <c r="DC126" s="444">
        <f t="shared" si="5"/>
        <v>1998</v>
      </c>
      <c r="DD126" s="444">
        <f t="shared" si="5"/>
        <v>1774</v>
      </c>
      <c r="DE126" s="443">
        <f t="shared" si="5"/>
        <v>1966</v>
      </c>
      <c r="DF126" s="445">
        <f t="shared" si="5"/>
        <v>1714</v>
      </c>
      <c r="DG126" s="446">
        <f t="shared" si="5"/>
        <v>284</v>
      </c>
      <c r="DH126" s="446">
        <f t="shared" si="5"/>
        <v>160</v>
      </c>
      <c r="DI126" s="446">
        <f t="shared" si="5"/>
        <v>355</v>
      </c>
      <c r="DJ126" s="446">
        <f t="shared" si="5"/>
        <v>846</v>
      </c>
      <c r="DK126" s="452">
        <f t="shared" si="5"/>
        <v>980</v>
      </c>
      <c r="DL126" s="450">
        <f t="shared" si="5"/>
        <v>2528</v>
      </c>
      <c r="DM126" s="451">
        <f t="shared" si="5"/>
        <v>587</v>
      </c>
      <c r="DN126" s="444">
        <f t="shared" si="5"/>
        <v>1445</v>
      </c>
      <c r="DO126" s="444">
        <f t="shared" si="5"/>
        <v>981</v>
      </c>
      <c r="DP126" s="444">
        <f t="shared" si="5"/>
        <v>1082</v>
      </c>
      <c r="DQ126" s="444">
        <f t="shared" si="5"/>
        <v>1007</v>
      </c>
      <c r="DR126" s="444">
        <f t="shared" si="5"/>
        <v>1038</v>
      </c>
      <c r="DS126" s="449">
        <f t="shared" si="5"/>
        <v>995</v>
      </c>
      <c r="DT126" s="444">
        <v>2474</v>
      </c>
      <c r="DU126" s="443">
        <v>2133</v>
      </c>
      <c r="DV126" s="443">
        <v>2599</v>
      </c>
      <c r="DW126" s="443">
        <v>1922</v>
      </c>
      <c r="DX126" s="443">
        <v>2214</v>
      </c>
      <c r="DY126" s="443">
        <v>2596</v>
      </c>
      <c r="DZ126" s="443">
        <v>2149</v>
      </c>
      <c r="EA126" s="449">
        <v>2320</v>
      </c>
      <c r="EB126" s="22"/>
    </row>
    <row r="127" spans="1:132" s="13" customFormat="1" ht="13" x14ac:dyDescent="0.3">
      <c r="A127" s="454"/>
      <c r="B127" s="15" t="s">
        <v>5</v>
      </c>
      <c r="C127" s="226"/>
      <c r="D127" s="309"/>
      <c r="E127" s="709"/>
      <c r="F127" s="47">
        <f>SUM(F126-F128)</f>
        <v>3158</v>
      </c>
      <c r="G127" s="243">
        <f>SUM(G126-G128)</f>
        <v>556</v>
      </c>
      <c r="H127" s="177">
        <f t="shared" ref="H127:T127" si="6">SUM(H126-H128)</f>
        <v>370</v>
      </c>
      <c r="I127" s="178">
        <f t="shared" si="6"/>
        <v>365</v>
      </c>
      <c r="J127" s="177">
        <f t="shared" ref="J127" si="7">SUM(J126-J128)</f>
        <v>662</v>
      </c>
      <c r="K127" s="60">
        <f t="shared" si="6"/>
        <v>1445</v>
      </c>
      <c r="L127" s="252">
        <f t="shared" ref="L127:M127" si="8">SUM(L126-L128)</f>
        <v>686</v>
      </c>
      <c r="M127" s="229">
        <f t="shared" si="8"/>
        <v>1614</v>
      </c>
      <c r="N127" s="229">
        <f t="shared" si="6"/>
        <v>1585</v>
      </c>
      <c r="O127" s="229">
        <f t="shared" si="6"/>
        <v>964</v>
      </c>
      <c r="P127" s="47">
        <f>SUM(P126-P128)</f>
        <v>794</v>
      </c>
      <c r="Q127" s="226">
        <f t="shared" si="6"/>
        <v>869</v>
      </c>
      <c r="R127" s="253">
        <f t="shared" ref="R127" si="9">SUM(R126-R128)</f>
        <v>1177</v>
      </c>
      <c r="S127" s="48">
        <f t="shared" si="6"/>
        <v>931</v>
      </c>
      <c r="T127" s="225">
        <f t="shared" si="6"/>
        <v>1394</v>
      </c>
      <c r="U127" s="47">
        <f>SUM(U126-U128)</f>
        <v>735</v>
      </c>
      <c r="V127" s="47">
        <f t="shared" ref="V127:CG127" si="10">SUM(V126-V128)</f>
        <v>932</v>
      </c>
      <c r="W127" s="226">
        <f t="shared" si="10"/>
        <v>912</v>
      </c>
      <c r="X127" s="48">
        <f t="shared" si="10"/>
        <v>854</v>
      </c>
      <c r="Y127" s="47">
        <f t="shared" si="10"/>
        <v>2212</v>
      </c>
      <c r="Z127" s="47">
        <f t="shared" si="10"/>
        <v>1252</v>
      </c>
      <c r="AA127" s="47">
        <f t="shared" si="10"/>
        <v>2450</v>
      </c>
      <c r="AB127" s="226">
        <f t="shared" si="10"/>
        <v>5</v>
      </c>
      <c r="AC127" s="48">
        <f t="shared" si="10"/>
        <v>1858</v>
      </c>
      <c r="AD127" s="225">
        <f t="shared" si="10"/>
        <v>3093</v>
      </c>
      <c r="AE127" s="47">
        <f t="shared" si="10"/>
        <v>1990</v>
      </c>
      <c r="AF127" s="47">
        <f t="shared" si="10"/>
        <v>2174</v>
      </c>
      <c r="AG127" s="48">
        <f t="shared" si="10"/>
        <v>2095</v>
      </c>
      <c r="AH127" s="47">
        <f t="shared" si="10"/>
        <v>1053</v>
      </c>
      <c r="AI127" s="226">
        <f t="shared" si="10"/>
        <v>1093</v>
      </c>
      <c r="AJ127" s="226">
        <f t="shared" si="10"/>
        <v>979</v>
      </c>
      <c r="AK127" s="226">
        <f t="shared" si="10"/>
        <v>1212</v>
      </c>
      <c r="AL127" s="226">
        <f t="shared" si="10"/>
        <v>1163</v>
      </c>
      <c r="AM127" s="226">
        <f t="shared" si="10"/>
        <v>966</v>
      </c>
      <c r="AN127" s="48">
        <f t="shared" si="10"/>
        <v>1034</v>
      </c>
      <c r="AO127" s="47">
        <f t="shared" si="10"/>
        <v>1633</v>
      </c>
      <c r="AP127" s="47">
        <f t="shared" si="10"/>
        <v>1409</v>
      </c>
      <c r="AQ127" s="226">
        <f t="shared" si="10"/>
        <v>1266</v>
      </c>
      <c r="AR127" s="48">
        <f t="shared" si="10"/>
        <v>905</v>
      </c>
      <c r="AS127" s="47">
        <f t="shared" si="10"/>
        <v>1159</v>
      </c>
      <c r="AT127" s="47">
        <f t="shared" si="10"/>
        <v>1025</v>
      </c>
      <c r="AU127" s="47">
        <f t="shared" si="10"/>
        <v>2261</v>
      </c>
      <c r="AV127" s="226">
        <f t="shared" si="10"/>
        <v>2115</v>
      </c>
      <c r="AW127" s="48">
        <f t="shared" si="10"/>
        <v>2977</v>
      </c>
      <c r="AX127" s="47">
        <f t="shared" si="10"/>
        <v>4</v>
      </c>
      <c r="AY127" s="47">
        <f t="shared" si="10"/>
        <v>3</v>
      </c>
      <c r="AZ127" s="226">
        <f t="shared" si="10"/>
        <v>5</v>
      </c>
      <c r="BA127" s="48">
        <f t="shared" si="10"/>
        <v>5</v>
      </c>
      <c r="BB127" s="47">
        <f t="shared" si="10"/>
        <v>2051</v>
      </c>
      <c r="BC127" s="47">
        <f t="shared" si="10"/>
        <v>1407</v>
      </c>
      <c r="BD127" s="47">
        <f t="shared" si="10"/>
        <v>1002</v>
      </c>
      <c r="BE127" s="226">
        <f t="shared" si="10"/>
        <v>771</v>
      </c>
      <c r="BF127" s="47">
        <f t="shared" si="10"/>
        <v>2318</v>
      </c>
      <c r="BG127" s="60">
        <f t="shared" si="10"/>
        <v>1046</v>
      </c>
      <c r="BH127" s="703">
        <f t="shared" si="10"/>
        <v>891</v>
      </c>
      <c r="BI127" s="226">
        <f t="shared" si="10"/>
        <v>444</v>
      </c>
      <c r="BJ127" s="48">
        <f t="shared" si="10"/>
        <v>494</v>
      </c>
      <c r="BK127" s="60">
        <f t="shared" si="10"/>
        <v>1226</v>
      </c>
      <c r="BL127" s="252">
        <f t="shared" si="10"/>
        <v>731</v>
      </c>
      <c r="BM127" s="47">
        <f t="shared" si="10"/>
        <v>1020</v>
      </c>
      <c r="BN127" s="47">
        <f t="shared" si="10"/>
        <v>522</v>
      </c>
      <c r="BO127" s="226">
        <f t="shared" si="10"/>
        <v>826</v>
      </c>
      <c r="BP127" s="78">
        <f t="shared" si="10"/>
        <v>832</v>
      </c>
      <c r="BQ127" s="225">
        <f t="shared" si="10"/>
        <v>2586</v>
      </c>
      <c r="BR127" s="47">
        <f t="shared" si="10"/>
        <v>1945</v>
      </c>
      <c r="BS127" s="228">
        <f t="shared" si="10"/>
        <v>1526</v>
      </c>
      <c r="BT127" s="243">
        <f t="shared" si="10"/>
        <v>2520</v>
      </c>
      <c r="BU127" s="243">
        <f t="shared" si="10"/>
        <v>2605</v>
      </c>
      <c r="BV127" s="47">
        <f t="shared" si="10"/>
        <v>1574</v>
      </c>
      <c r="BW127" s="47">
        <f t="shared" si="10"/>
        <v>1811</v>
      </c>
      <c r="BX127" s="47">
        <f t="shared" si="10"/>
        <v>1344</v>
      </c>
      <c r="BY127" s="47">
        <f t="shared" si="10"/>
        <v>1795</v>
      </c>
      <c r="BZ127" s="226">
        <f t="shared" si="10"/>
        <v>1649</v>
      </c>
      <c r="CA127" s="228">
        <f t="shared" si="10"/>
        <v>1405</v>
      </c>
      <c r="CB127" s="47">
        <f t="shared" si="10"/>
        <v>454</v>
      </c>
      <c r="CC127" s="228">
        <f t="shared" si="10"/>
        <v>339</v>
      </c>
      <c r="CD127" s="47">
        <f t="shared" si="10"/>
        <v>417</v>
      </c>
      <c r="CE127" s="228">
        <f t="shared" si="10"/>
        <v>584</v>
      </c>
      <c r="CF127" s="252">
        <f t="shared" si="10"/>
        <v>524</v>
      </c>
      <c r="CG127" s="252">
        <f t="shared" si="10"/>
        <v>502</v>
      </c>
      <c r="CH127" s="243">
        <f t="shared" ref="CH127:EA127" si="11">SUM(CH126-CH128)</f>
        <v>505</v>
      </c>
      <c r="CI127" s="60">
        <f t="shared" si="11"/>
        <v>1149</v>
      </c>
      <c r="CJ127" s="228">
        <f t="shared" si="11"/>
        <v>1749</v>
      </c>
      <c r="CK127" s="47">
        <f t="shared" si="11"/>
        <v>791</v>
      </c>
      <c r="CL127" s="228">
        <f t="shared" si="11"/>
        <v>1729</v>
      </c>
      <c r="CM127" s="243">
        <f t="shared" si="11"/>
        <v>2166</v>
      </c>
      <c r="CN127" s="243">
        <f t="shared" si="11"/>
        <v>2101</v>
      </c>
      <c r="CO127" s="47">
        <f t="shared" si="11"/>
        <v>1705</v>
      </c>
      <c r="CP127" s="47">
        <f t="shared" si="11"/>
        <v>1445</v>
      </c>
      <c r="CQ127" s="226">
        <f t="shared" si="11"/>
        <v>1478</v>
      </c>
      <c r="CR127" s="228">
        <f t="shared" si="11"/>
        <v>1366</v>
      </c>
      <c r="CS127" s="243">
        <f t="shared" si="11"/>
        <v>442</v>
      </c>
      <c r="CT127" s="229">
        <f t="shared" si="11"/>
        <v>320</v>
      </c>
      <c r="CU127" s="252">
        <f t="shared" si="11"/>
        <v>196</v>
      </c>
      <c r="CV127" s="229">
        <f t="shared" si="11"/>
        <v>544</v>
      </c>
      <c r="CW127" s="229">
        <f t="shared" si="11"/>
        <v>644</v>
      </c>
      <c r="CX127" s="78">
        <f t="shared" si="11"/>
        <v>274</v>
      </c>
      <c r="CY127" s="225">
        <f t="shared" si="11"/>
        <v>2280</v>
      </c>
      <c r="CZ127" s="243">
        <f t="shared" si="11"/>
        <v>2111</v>
      </c>
      <c r="DA127" s="243">
        <f t="shared" si="11"/>
        <v>2160</v>
      </c>
      <c r="DB127" s="243">
        <f t="shared" si="11"/>
        <v>2125</v>
      </c>
      <c r="DC127" s="47">
        <f t="shared" si="11"/>
        <v>1587</v>
      </c>
      <c r="DD127" s="47">
        <f t="shared" si="11"/>
        <v>1516</v>
      </c>
      <c r="DE127" s="226">
        <f t="shared" si="11"/>
        <v>1698</v>
      </c>
      <c r="DF127" s="228">
        <f t="shared" si="11"/>
        <v>1471</v>
      </c>
      <c r="DG127" s="243">
        <f t="shared" si="11"/>
        <v>252</v>
      </c>
      <c r="DH127" s="243">
        <f t="shared" si="11"/>
        <v>112</v>
      </c>
      <c r="DI127" s="243">
        <f t="shared" si="11"/>
        <v>300</v>
      </c>
      <c r="DJ127" s="243">
        <f t="shared" si="11"/>
        <v>713</v>
      </c>
      <c r="DK127" s="78">
        <f t="shared" si="11"/>
        <v>858</v>
      </c>
      <c r="DL127" s="60">
        <f t="shared" si="11"/>
        <v>2051</v>
      </c>
      <c r="DM127" s="229">
        <f t="shared" si="11"/>
        <v>433</v>
      </c>
      <c r="DN127" s="47">
        <f t="shared" si="11"/>
        <v>1231</v>
      </c>
      <c r="DO127" s="47">
        <f t="shared" si="11"/>
        <v>837</v>
      </c>
      <c r="DP127" s="47">
        <f t="shared" si="11"/>
        <v>909</v>
      </c>
      <c r="DQ127" s="47">
        <f t="shared" si="11"/>
        <v>829</v>
      </c>
      <c r="DR127" s="47">
        <f t="shared" si="11"/>
        <v>847</v>
      </c>
      <c r="DS127" s="48">
        <f t="shared" si="11"/>
        <v>811</v>
      </c>
      <c r="DT127" s="47">
        <f t="shared" si="11"/>
        <v>1768</v>
      </c>
      <c r="DU127" s="226">
        <f t="shared" si="11"/>
        <v>1541</v>
      </c>
      <c r="DV127" s="226">
        <f t="shared" si="11"/>
        <v>1832</v>
      </c>
      <c r="DW127" s="226">
        <f t="shared" si="11"/>
        <v>1489</v>
      </c>
      <c r="DX127" s="226">
        <f t="shared" si="11"/>
        <v>1548</v>
      </c>
      <c r="DY127" s="226">
        <f t="shared" si="11"/>
        <v>1862</v>
      </c>
      <c r="DZ127" s="226">
        <f t="shared" si="11"/>
        <v>1511</v>
      </c>
      <c r="EA127" s="48">
        <f t="shared" si="11"/>
        <v>1726</v>
      </c>
      <c r="EB127" s="22"/>
    </row>
    <row r="128" spans="1:132" s="13" customFormat="1" ht="12.75" customHeight="1" thickBot="1" x14ac:dyDescent="0.35">
      <c r="A128" s="455"/>
      <c r="B128" s="425" t="s">
        <v>6</v>
      </c>
      <c r="C128" s="426"/>
      <c r="D128" s="456"/>
      <c r="E128" s="710"/>
      <c r="F128" s="428">
        <v>927</v>
      </c>
      <c r="G128" s="458">
        <v>153</v>
      </c>
      <c r="H128" s="459">
        <v>101</v>
      </c>
      <c r="I128" s="460">
        <v>168</v>
      </c>
      <c r="J128" s="459">
        <v>257</v>
      </c>
      <c r="K128" s="463">
        <v>246</v>
      </c>
      <c r="L128" s="464">
        <v>92</v>
      </c>
      <c r="M128" s="462">
        <v>279</v>
      </c>
      <c r="N128" s="462">
        <v>281</v>
      </c>
      <c r="O128" s="462">
        <v>175</v>
      </c>
      <c r="P128" s="428">
        <v>112</v>
      </c>
      <c r="Q128" s="426">
        <v>128</v>
      </c>
      <c r="R128" s="570">
        <v>219</v>
      </c>
      <c r="S128" s="461">
        <v>130</v>
      </c>
      <c r="T128" s="513">
        <v>277</v>
      </c>
      <c r="U128" s="428">
        <v>140</v>
      </c>
      <c r="V128" s="428">
        <v>247</v>
      </c>
      <c r="W128" s="426">
        <v>181</v>
      </c>
      <c r="X128" s="461">
        <v>186</v>
      </c>
      <c r="Y128" s="428">
        <v>429</v>
      </c>
      <c r="Z128" s="428">
        <v>361</v>
      </c>
      <c r="AA128" s="428">
        <v>445</v>
      </c>
      <c r="AB128" s="426">
        <v>0</v>
      </c>
      <c r="AC128" s="461">
        <v>349</v>
      </c>
      <c r="AD128" s="513">
        <v>284</v>
      </c>
      <c r="AE128" s="428">
        <v>216</v>
      </c>
      <c r="AF128" s="428">
        <v>221</v>
      </c>
      <c r="AG128" s="461">
        <v>230</v>
      </c>
      <c r="AH128" s="428">
        <v>287</v>
      </c>
      <c r="AI128" s="426">
        <v>312</v>
      </c>
      <c r="AJ128" s="426">
        <v>269</v>
      </c>
      <c r="AK128" s="426">
        <v>350</v>
      </c>
      <c r="AL128" s="426">
        <v>317</v>
      </c>
      <c r="AM128" s="426">
        <v>270</v>
      </c>
      <c r="AN128" s="461">
        <v>295</v>
      </c>
      <c r="AO128" s="428">
        <v>366</v>
      </c>
      <c r="AP128" s="428">
        <v>287</v>
      </c>
      <c r="AQ128" s="426">
        <v>244</v>
      </c>
      <c r="AR128" s="461">
        <v>276</v>
      </c>
      <c r="AS128" s="428">
        <v>273</v>
      </c>
      <c r="AT128" s="428">
        <v>258</v>
      </c>
      <c r="AU128" s="428">
        <v>830</v>
      </c>
      <c r="AV128" s="426">
        <v>781</v>
      </c>
      <c r="AW128" s="461">
        <v>863</v>
      </c>
      <c r="AX128" s="428">
        <v>0</v>
      </c>
      <c r="AY128" s="428">
        <v>0</v>
      </c>
      <c r="AZ128" s="426">
        <v>0</v>
      </c>
      <c r="BA128" s="461">
        <v>0</v>
      </c>
      <c r="BB128" s="428">
        <v>724</v>
      </c>
      <c r="BC128" s="428">
        <v>557</v>
      </c>
      <c r="BD128" s="428">
        <v>430</v>
      </c>
      <c r="BE128" s="426">
        <v>225</v>
      </c>
      <c r="BF128" s="428">
        <v>744</v>
      </c>
      <c r="BG128" s="463">
        <v>193</v>
      </c>
      <c r="BH128" s="704">
        <v>218</v>
      </c>
      <c r="BI128" s="426">
        <v>67</v>
      </c>
      <c r="BJ128" s="461">
        <v>67</v>
      </c>
      <c r="BK128" s="463">
        <v>272</v>
      </c>
      <c r="BL128" s="464">
        <v>147</v>
      </c>
      <c r="BM128" s="428">
        <v>220</v>
      </c>
      <c r="BN128" s="428">
        <v>161</v>
      </c>
      <c r="BO128" s="426">
        <v>190</v>
      </c>
      <c r="BP128" s="429">
        <v>218</v>
      </c>
      <c r="BQ128" s="513">
        <v>1031</v>
      </c>
      <c r="BR128" s="428">
        <v>1192</v>
      </c>
      <c r="BS128" s="457">
        <v>550</v>
      </c>
      <c r="BT128" s="465">
        <v>985</v>
      </c>
      <c r="BU128" s="465">
        <v>1391</v>
      </c>
      <c r="BV128" s="428">
        <v>515</v>
      </c>
      <c r="BW128" s="428">
        <v>1212</v>
      </c>
      <c r="BX128" s="428">
        <v>451</v>
      </c>
      <c r="BY128" s="428">
        <v>1196</v>
      </c>
      <c r="BZ128" s="426">
        <v>1127</v>
      </c>
      <c r="CA128" s="457">
        <v>444</v>
      </c>
      <c r="CB128" s="428">
        <v>247</v>
      </c>
      <c r="CC128" s="457">
        <v>103</v>
      </c>
      <c r="CD128" s="428">
        <v>124</v>
      </c>
      <c r="CE128" s="457">
        <v>380</v>
      </c>
      <c r="CF128" s="464">
        <v>372</v>
      </c>
      <c r="CG128" s="464">
        <v>126</v>
      </c>
      <c r="CH128" s="465">
        <v>204</v>
      </c>
      <c r="CI128" s="463">
        <v>237</v>
      </c>
      <c r="CJ128" s="457">
        <v>283</v>
      </c>
      <c r="CK128" s="428">
        <v>163</v>
      </c>
      <c r="CL128" s="457">
        <v>296</v>
      </c>
      <c r="CM128" s="465">
        <v>344</v>
      </c>
      <c r="CN128" s="465">
        <v>341</v>
      </c>
      <c r="CO128" s="428">
        <v>377</v>
      </c>
      <c r="CP128" s="428">
        <v>307</v>
      </c>
      <c r="CQ128" s="426">
        <v>342</v>
      </c>
      <c r="CR128" s="457">
        <v>191</v>
      </c>
      <c r="CS128" s="465">
        <v>70</v>
      </c>
      <c r="CT128" s="462">
        <v>57</v>
      </c>
      <c r="CU128" s="464">
        <v>37</v>
      </c>
      <c r="CV128" s="462">
        <v>104</v>
      </c>
      <c r="CW128" s="462">
        <v>70</v>
      </c>
      <c r="CX128" s="429">
        <v>69</v>
      </c>
      <c r="CY128" s="513">
        <v>403</v>
      </c>
      <c r="CZ128" s="465">
        <v>376</v>
      </c>
      <c r="DA128" s="465">
        <v>380</v>
      </c>
      <c r="DB128" s="465">
        <v>378</v>
      </c>
      <c r="DC128" s="428">
        <v>411</v>
      </c>
      <c r="DD128" s="428">
        <v>258</v>
      </c>
      <c r="DE128" s="426">
        <v>268</v>
      </c>
      <c r="DF128" s="457">
        <v>243</v>
      </c>
      <c r="DG128" s="465">
        <v>32</v>
      </c>
      <c r="DH128" s="465">
        <v>48</v>
      </c>
      <c r="DI128" s="465">
        <v>55</v>
      </c>
      <c r="DJ128" s="465">
        <v>133</v>
      </c>
      <c r="DK128" s="429">
        <v>122</v>
      </c>
      <c r="DL128" s="463">
        <v>477</v>
      </c>
      <c r="DM128" s="462">
        <v>154</v>
      </c>
      <c r="DN128" s="428">
        <v>214</v>
      </c>
      <c r="DO128" s="428">
        <v>144</v>
      </c>
      <c r="DP128" s="428">
        <v>173</v>
      </c>
      <c r="DQ128" s="428">
        <v>178</v>
      </c>
      <c r="DR128" s="428">
        <v>191</v>
      </c>
      <c r="DS128" s="461">
        <v>184</v>
      </c>
      <c r="DT128" s="428">
        <v>706</v>
      </c>
      <c r="DU128" s="426">
        <v>592</v>
      </c>
      <c r="DV128" s="426">
        <v>767</v>
      </c>
      <c r="DW128" s="426">
        <v>433</v>
      </c>
      <c r="DX128" s="426">
        <v>666</v>
      </c>
      <c r="DY128" s="426">
        <v>734</v>
      </c>
      <c r="DZ128" s="426">
        <v>638</v>
      </c>
      <c r="EA128" s="461">
        <v>594</v>
      </c>
      <c r="EB128" s="22"/>
    </row>
    <row r="129" spans="1:132" s="12" customFormat="1" ht="13.5" thickTop="1" x14ac:dyDescent="0.3">
      <c r="A129" s="26"/>
      <c r="B129" s="420"/>
      <c r="C129" s="421"/>
      <c r="D129" s="421"/>
      <c r="E129" s="705"/>
      <c r="F129" s="143"/>
      <c r="G129" s="150"/>
      <c r="H129" s="143"/>
      <c r="I129" s="145"/>
      <c r="J129" s="143"/>
      <c r="K129" s="151"/>
      <c r="L129" s="149"/>
      <c r="M129" s="332"/>
      <c r="N129" s="332"/>
      <c r="O129" s="332"/>
      <c r="P129" s="143"/>
      <c r="Q129" s="144"/>
      <c r="R129" s="188"/>
      <c r="S129" s="147"/>
      <c r="T129" s="148"/>
      <c r="U129" s="143"/>
      <c r="V129" s="143"/>
      <c r="W129" s="144"/>
      <c r="X129" s="147"/>
      <c r="Y129" s="143"/>
      <c r="Z129" s="143"/>
      <c r="AA129" s="143"/>
      <c r="AB129" s="144"/>
      <c r="AC129" s="147"/>
      <c r="AD129" s="148"/>
      <c r="AE129" s="143"/>
      <c r="AF129" s="143"/>
      <c r="AG129" s="147"/>
      <c r="AH129" s="143"/>
      <c r="AI129" s="144"/>
      <c r="AJ129" s="144"/>
      <c r="AK129" s="144"/>
      <c r="AL129" s="144"/>
      <c r="AM129" s="144"/>
      <c r="AN129" s="147"/>
      <c r="AO129" s="143"/>
      <c r="AP129" s="143"/>
      <c r="AQ129" s="144"/>
      <c r="AR129" s="147"/>
      <c r="AS129" s="143"/>
      <c r="AT129" s="143"/>
      <c r="AU129" s="143"/>
      <c r="AV129" s="144"/>
      <c r="AW129" s="147"/>
      <c r="AX129" s="143"/>
      <c r="AY129" s="143"/>
      <c r="AZ129" s="144"/>
      <c r="BA129" s="147"/>
      <c r="BB129" s="143"/>
      <c r="BC129" s="143"/>
      <c r="BD129" s="143"/>
      <c r="BE129" s="144"/>
      <c r="BF129" s="143"/>
      <c r="BG129" s="151"/>
      <c r="BH129" s="466"/>
      <c r="BI129" s="144"/>
      <c r="BJ129" s="147"/>
      <c r="BK129" s="151"/>
      <c r="BL129" s="149"/>
      <c r="BM129" s="143"/>
      <c r="BN129" s="143"/>
      <c r="BO129" s="144"/>
      <c r="BP129" s="146"/>
      <c r="BQ129" s="148"/>
      <c r="BR129" s="143"/>
      <c r="BS129" s="145"/>
      <c r="BT129" s="150"/>
      <c r="BU129" s="150"/>
      <c r="BV129" s="143"/>
      <c r="BW129" s="143"/>
      <c r="BX129" s="143"/>
      <c r="BY129" s="143"/>
      <c r="BZ129" s="144"/>
      <c r="CA129" s="145"/>
      <c r="CB129" s="143"/>
      <c r="CC129" s="145"/>
      <c r="CD129" s="143"/>
      <c r="CE129" s="145"/>
      <c r="CF129" s="149"/>
      <c r="CG129" s="149"/>
      <c r="CH129" s="150"/>
      <c r="CI129" s="151"/>
      <c r="CJ129" s="145"/>
      <c r="CK129" s="143"/>
      <c r="CL129" s="145"/>
      <c r="CM129" s="150"/>
      <c r="CN129" s="150"/>
      <c r="CO129" s="143"/>
      <c r="CP129" s="143"/>
      <c r="CQ129" s="144"/>
      <c r="CR129" s="145"/>
      <c r="CS129" s="150"/>
      <c r="CT129" s="332"/>
      <c r="CU129" s="149"/>
      <c r="CV129" s="332"/>
      <c r="CW129" s="332"/>
      <c r="CX129" s="146"/>
      <c r="CY129" s="148"/>
      <c r="CZ129" s="150"/>
      <c r="DA129" s="150"/>
      <c r="DB129" s="150"/>
      <c r="DC129" s="143"/>
      <c r="DD129" s="143"/>
      <c r="DE129" s="144"/>
      <c r="DF129" s="145"/>
      <c r="DG129" s="150"/>
      <c r="DH129" s="150"/>
      <c r="DI129" s="150"/>
      <c r="DJ129" s="150"/>
      <c r="DK129" s="146"/>
      <c r="DL129" s="151"/>
      <c r="DM129" s="332"/>
      <c r="DN129" s="143"/>
      <c r="DO129" s="143"/>
      <c r="DP129" s="143"/>
      <c r="DQ129" s="143"/>
      <c r="DR129" s="143"/>
      <c r="DS129" s="147"/>
      <c r="DT129" s="143"/>
      <c r="DU129" s="144"/>
      <c r="DV129" s="144"/>
      <c r="DW129" s="144"/>
      <c r="DX129" s="144"/>
      <c r="DY129" s="144"/>
      <c r="DZ129" s="144"/>
      <c r="EA129" s="147"/>
      <c r="EB129" s="19"/>
    </row>
    <row r="130" spans="1:132" s="12" customFormat="1" ht="12.75" customHeight="1" x14ac:dyDescent="0.3">
      <c r="B130" s="17" t="s">
        <v>777</v>
      </c>
      <c r="C130" s="235">
        <f>SUM(C5:C15)</f>
        <v>10504</v>
      </c>
      <c r="D130" s="235">
        <f>SUM(D5:D15)</f>
        <v>6122</v>
      </c>
      <c r="E130" s="906">
        <f>SUM(D130/C130)</f>
        <v>0.58282559025133285</v>
      </c>
      <c r="F130" s="49">
        <f t="shared" ref="F130:U130" si="12">SUM(F5:F15)</f>
        <v>4085</v>
      </c>
      <c r="G130" s="242">
        <f t="shared" si="12"/>
        <v>709</v>
      </c>
      <c r="H130" s="49">
        <f t="shared" si="12"/>
        <v>471</v>
      </c>
      <c r="I130" s="230">
        <f t="shared" si="12"/>
        <v>533</v>
      </c>
      <c r="J130" s="49">
        <f t="shared" si="12"/>
        <v>919</v>
      </c>
      <c r="K130" s="62">
        <f t="shared" si="12"/>
        <v>0</v>
      </c>
      <c r="L130" s="231">
        <f t="shared" si="12"/>
        <v>0</v>
      </c>
      <c r="M130" s="302">
        <f t="shared" si="12"/>
        <v>0</v>
      </c>
      <c r="N130" s="302">
        <f t="shared" si="12"/>
        <v>0</v>
      </c>
      <c r="O130" s="302">
        <f t="shared" si="12"/>
        <v>0</v>
      </c>
      <c r="P130" s="49">
        <f t="shared" si="12"/>
        <v>0</v>
      </c>
      <c r="Q130" s="235">
        <f t="shared" si="12"/>
        <v>0</v>
      </c>
      <c r="R130" s="291">
        <f t="shared" si="12"/>
        <v>0</v>
      </c>
      <c r="S130" s="50">
        <f t="shared" si="12"/>
        <v>0</v>
      </c>
      <c r="T130" s="227">
        <f t="shared" si="12"/>
        <v>0</v>
      </c>
      <c r="U130" s="49">
        <f t="shared" si="12"/>
        <v>0</v>
      </c>
      <c r="V130" s="49">
        <f t="shared" ref="V130:CG130" si="13">SUM(V5:V15)</f>
        <v>0</v>
      </c>
      <c r="W130" s="235">
        <f t="shared" si="13"/>
        <v>0</v>
      </c>
      <c r="X130" s="50">
        <f t="shared" si="13"/>
        <v>0</v>
      </c>
      <c r="Y130" s="49">
        <f t="shared" si="13"/>
        <v>0</v>
      </c>
      <c r="Z130" s="49">
        <f t="shared" si="13"/>
        <v>0</v>
      </c>
      <c r="AA130" s="49">
        <f t="shared" si="13"/>
        <v>0</v>
      </c>
      <c r="AB130" s="49">
        <f t="shared" si="13"/>
        <v>0</v>
      </c>
      <c r="AC130" s="50">
        <f t="shared" si="13"/>
        <v>0</v>
      </c>
      <c r="AD130" s="227">
        <f t="shared" si="13"/>
        <v>0</v>
      </c>
      <c r="AE130" s="49">
        <f t="shared" si="13"/>
        <v>0</v>
      </c>
      <c r="AF130" s="49">
        <f t="shared" si="13"/>
        <v>0</v>
      </c>
      <c r="AG130" s="50">
        <f t="shared" si="13"/>
        <v>0</v>
      </c>
      <c r="AH130" s="49">
        <f t="shared" si="13"/>
        <v>0</v>
      </c>
      <c r="AI130" s="49">
        <f t="shared" si="13"/>
        <v>0</v>
      </c>
      <c r="AJ130" s="49">
        <f t="shared" si="13"/>
        <v>0</v>
      </c>
      <c r="AK130" s="49">
        <f t="shared" si="13"/>
        <v>0</v>
      </c>
      <c r="AL130" s="49">
        <f t="shared" si="13"/>
        <v>0</v>
      </c>
      <c r="AM130" s="49">
        <f t="shared" si="13"/>
        <v>0</v>
      </c>
      <c r="AN130" s="50">
        <f t="shared" si="13"/>
        <v>0</v>
      </c>
      <c r="AO130" s="49">
        <f t="shared" si="13"/>
        <v>0</v>
      </c>
      <c r="AP130" s="49">
        <f t="shared" si="13"/>
        <v>0</v>
      </c>
      <c r="AQ130" s="49">
        <f t="shared" si="13"/>
        <v>0</v>
      </c>
      <c r="AR130" s="50">
        <f t="shared" si="13"/>
        <v>0</v>
      </c>
      <c r="AS130" s="49">
        <f t="shared" si="13"/>
        <v>0</v>
      </c>
      <c r="AT130" s="49">
        <f t="shared" si="13"/>
        <v>0</v>
      </c>
      <c r="AU130" s="49">
        <f t="shared" si="13"/>
        <v>0</v>
      </c>
      <c r="AV130" s="49">
        <f t="shared" si="13"/>
        <v>0</v>
      </c>
      <c r="AW130" s="50">
        <f t="shared" si="13"/>
        <v>0</v>
      </c>
      <c r="AX130" s="49">
        <f t="shared" si="13"/>
        <v>0</v>
      </c>
      <c r="AY130" s="49">
        <f t="shared" si="13"/>
        <v>0</v>
      </c>
      <c r="AZ130" s="49">
        <f t="shared" si="13"/>
        <v>0</v>
      </c>
      <c r="BA130" s="50">
        <f t="shared" si="13"/>
        <v>0</v>
      </c>
      <c r="BB130" s="49">
        <f t="shared" si="13"/>
        <v>0</v>
      </c>
      <c r="BC130" s="49">
        <f t="shared" si="13"/>
        <v>0</v>
      </c>
      <c r="BD130" s="49">
        <f t="shared" si="13"/>
        <v>0</v>
      </c>
      <c r="BE130" s="49">
        <f t="shared" si="13"/>
        <v>0</v>
      </c>
      <c r="BF130" s="49">
        <f t="shared" si="13"/>
        <v>0</v>
      </c>
      <c r="BG130" s="62">
        <f t="shared" si="13"/>
        <v>0</v>
      </c>
      <c r="BH130" s="608">
        <f t="shared" si="13"/>
        <v>0</v>
      </c>
      <c r="BI130" s="235">
        <f t="shared" si="13"/>
        <v>0</v>
      </c>
      <c r="BJ130" s="50">
        <f t="shared" si="13"/>
        <v>0</v>
      </c>
      <c r="BK130" s="62">
        <f t="shared" si="13"/>
        <v>0</v>
      </c>
      <c r="BL130" s="231">
        <f t="shared" si="13"/>
        <v>0</v>
      </c>
      <c r="BM130" s="49">
        <f t="shared" si="13"/>
        <v>0</v>
      </c>
      <c r="BN130" s="49">
        <f t="shared" si="13"/>
        <v>0</v>
      </c>
      <c r="BO130" s="49">
        <f t="shared" si="13"/>
        <v>0</v>
      </c>
      <c r="BP130" s="82">
        <f t="shared" si="13"/>
        <v>0</v>
      </c>
      <c r="BQ130" s="227">
        <f t="shared" si="13"/>
        <v>0</v>
      </c>
      <c r="BR130" s="49">
        <f t="shared" si="13"/>
        <v>0</v>
      </c>
      <c r="BS130" s="230">
        <f t="shared" si="13"/>
        <v>0</v>
      </c>
      <c r="BT130" s="242">
        <f t="shared" si="13"/>
        <v>0</v>
      </c>
      <c r="BU130" s="242">
        <f t="shared" si="13"/>
        <v>0</v>
      </c>
      <c r="BV130" s="49">
        <f t="shared" si="13"/>
        <v>0</v>
      </c>
      <c r="BW130" s="49">
        <f t="shared" si="13"/>
        <v>0</v>
      </c>
      <c r="BX130" s="49">
        <f t="shared" si="13"/>
        <v>0</v>
      </c>
      <c r="BY130" s="49">
        <f t="shared" si="13"/>
        <v>0</v>
      </c>
      <c r="BZ130" s="49">
        <f t="shared" si="13"/>
        <v>0</v>
      </c>
      <c r="CA130" s="230">
        <f t="shared" si="13"/>
        <v>0</v>
      </c>
      <c r="CB130" s="49">
        <f t="shared" si="13"/>
        <v>0</v>
      </c>
      <c r="CC130" s="230">
        <f t="shared" si="13"/>
        <v>0</v>
      </c>
      <c r="CD130" s="49">
        <f t="shared" si="13"/>
        <v>0</v>
      </c>
      <c r="CE130" s="231">
        <f t="shared" si="13"/>
        <v>0</v>
      </c>
      <c r="CF130" s="231">
        <f t="shared" si="13"/>
        <v>0</v>
      </c>
      <c r="CG130" s="231">
        <f t="shared" si="13"/>
        <v>0</v>
      </c>
      <c r="CH130" s="242">
        <f t="shared" ref="CH130:EA130" si="14">SUM(CH5:CH15)</f>
        <v>0</v>
      </c>
      <c r="CI130" s="62">
        <f t="shared" si="14"/>
        <v>0</v>
      </c>
      <c r="CJ130" s="230">
        <f t="shared" si="14"/>
        <v>0</v>
      </c>
      <c r="CK130" s="49">
        <f t="shared" si="14"/>
        <v>0</v>
      </c>
      <c r="CL130" s="230">
        <f t="shared" si="14"/>
        <v>0</v>
      </c>
      <c r="CM130" s="242">
        <f t="shared" si="14"/>
        <v>0</v>
      </c>
      <c r="CN130" s="242">
        <f t="shared" si="14"/>
        <v>0</v>
      </c>
      <c r="CO130" s="49">
        <f t="shared" si="14"/>
        <v>0</v>
      </c>
      <c r="CP130" s="49">
        <f t="shared" si="14"/>
        <v>0</v>
      </c>
      <c r="CQ130" s="49">
        <f t="shared" si="14"/>
        <v>0</v>
      </c>
      <c r="CR130" s="230">
        <f t="shared" si="14"/>
        <v>0</v>
      </c>
      <c r="CS130" s="242">
        <f t="shared" si="14"/>
        <v>0</v>
      </c>
      <c r="CT130" s="302">
        <f t="shared" si="14"/>
        <v>0</v>
      </c>
      <c r="CU130" s="231">
        <f t="shared" si="14"/>
        <v>0</v>
      </c>
      <c r="CV130" s="302">
        <f t="shared" si="14"/>
        <v>0</v>
      </c>
      <c r="CW130" s="302">
        <f t="shared" si="14"/>
        <v>0</v>
      </c>
      <c r="CX130" s="82">
        <f t="shared" si="14"/>
        <v>0</v>
      </c>
      <c r="CY130" s="227">
        <f t="shared" si="14"/>
        <v>0</v>
      </c>
      <c r="CZ130" s="242">
        <f t="shared" si="14"/>
        <v>0</v>
      </c>
      <c r="DA130" s="242">
        <f t="shared" si="14"/>
        <v>0</v>
      </c>
      <c r="DB130" s="242">
        <f t="shared" si="14"/>
        <v>0</v>
      </c>
      <c r="DC130" s="49">
        <f t="shared" si="14"/>
        <v>0</v>
      </c>
      <c r="DD130" s="49">
        <f t="shared" si="14"/>
        <v>0</v>
      </c>
      <c r="DE130" s="49">
        <f t="shared" si="14"/>
        <v>0</v>
      </c>
      <c r="DF130" s="230">
        <f t="shared" si="14"/>
        <v>0</v>
      </c>
      <c r="DG130" s="242">
        <f t="shared" si="14"/>
        <v>0</v>
      </c>
      <c r="DH130" s="242">
        <f t="shared" si="14"/>
        <v>0</v>
      </c>
      <c r="DI130" s="242">
        <f t="shared" si="14"/>
        <v>0</v>
      </c>
      <c r="DJ130" s="242">
        <f t="shared" si="14"/>
        <v>0</v>
      </c>
      <c r="DK130" s="82">
        <f t="shared" si="14"/>
        <v>0</v>
      </c>
      <c r="DL130" s="62">
        <f t="shared" si="14"/>
        <v>0</v>
      </c>
      <c r="DM130" s="302">
        <f t="shared" si="14"/>
        <v>0</v>
      </c>
      <c r="DN130" s="49">
        <f t="shared" si="14"/>
        <v>0</v>
      </c>
      <c r="DO130" s="49">
        <f t="shared" si="14"/>
        <v>0</v>
      </c>
      <c r="DP130" s="49">
        <f t="shared" si="14"/>
        <v>0</v>
      </c>
      <c r="DQ130" s="49">
        <f t="shared" si="14"/>
        <v>0</v>
      </c>
      <c r="DR130" s="49">
        <f t="shared" si="14"/>
        <v>0</v>
      </c>
      <c r="DS130" s="50">
        <f t="shared" si="14"/>
        <v>0</v>
      </c>
      <c r="DT130" s="49">
        <f t="shared" si="14"/>
        <v>0</v>
      </c>
      <c r="DU130" s="49">
        <f t="shared" si="14"/>
        <v>0</v>
      </c>
      <c r="DV130" s="49">
        <f t="shared" si="14"/>
        <v>0</v>
      </c>
      <c r="DW130" s="49">
        <f t="shared" si="14"/>
        <v>0</v>
      </c>
      <c r="DX130" s="49">
        <f t="shared" si="14"/>
        <v>0</v>
      </c>
      <c r="DY130" s="49">
        <f t="shared" si="14"/>
        <v>0</v>
      </c>
      <c r="DZ130" s="49">
        <f t="shared" si="14"/>
        <v>0</v>
      </c>
      <c r="EA130" s="50">
        <f t="shared" si="14"/>
        <v>0</v>
      </c>
      <c r="EB130" s="19"/>
    </row>
    <row r="131" spans="1:132" s="12" customFormat="1" ht="13" x14ac:dyDescent="0.3">
      <c r="B131" s="17" t="s">
        <v>703</v>
      </c>
      <c r="C131" s="235">
        <f>SUM(C16:C19)</f>
        <v>5921</v>
      </c>
      <c r="D131" s="235">
        <f>SUM(D16:D19)</f>
        <v>2573</v>
      </c>
      <c r="E131" s="906">
        <f t="shared" ref="E131:E146" si="15">SUM(D131/C131)</f>
        <v>0.43455497382198954</v>
      </c>
      <c r="F131" s="49">
        <f t="shared" ref="F131:U131" si="16">SUM(F16:F19)</f>
        <v>0</v>
      </c>
      <c r="G131" s="242">
        <f t="shared" si="16"/>
        <v>0</v>
      </c>
      <c r="H131" s="49">
        <f t="shared" si="16"/>
        <v>0</v>
      </c>
      <c r="I131" s="230">
        <f t="shared" si="16"/>
        <v>0</v>
      </c>
      <c r="J131" s="49">
        <f t="shared" si="16"/>
        <v>0</v>
      </c>
      <c r="K131" s="62">
        <f t="shared" si="16"/>
        <v>1691</v>
      </c>
      <c r="L131" s="231">
        <f t="shared" si="16"/>
        <v>778</v>
      </c>
      <c r="M131" s="302">
        <f t="shared" si="16"/>
        <v>1893</v>
      </c>
      <c r="N131" s="302">
        <f t="shared" si="16"/>
        <v>1866</v>
      </c>
      <c r="O131" s="302">
        <f t="shared" si="16"/>
        <v>1139</v>
      </c>
      <c r="P131" s="49">
        <f t="shared" si="16"/>
        <v>906</v>
      </c>
      <c r="Q131" s="235">
        <f t="shared" si="16"/>
        <v>997</v>
      </c>
      <c r="R131" s="291">
        <f t="shared" si="16"/>
        <v>1396</v>
      </c>
      <c r="S131" s="50">
        <f t="shared" si="16"/>
        <v>1061</v>
      </c>
      <c r="T131" s="227">
        <f t="shared" si="16"/>
        <v>0</v>
      </c>
      <c r="U131" s="49">
        <f t="shared" si="16"/>
        <v>0</v>
      </c>
      <c r="V131" s="49">
        <f t="shared" ref="V131:CG131" si="17">SUM(V16:V19)</f>
        <v>0</v>
      </c>
      <c r="W131" s="235">
        <f t="shared" si="17"/>
        <v>0</v>
      </c>
      <c r="X131" s="50">
        <f t="shared" si="17"/>
        <v>0</v>
      </c>
      <c r="Y131" s="49">
        <f t="shared" si="17"/>
        <v>0</v>
      </c>
      <c r="Z131" s="49">
        <f t="shared" si="17"/>
        <v>0</v>
      </c>
      <c r="AA131" s="49">
        <f t="shared" si="17"/>
        <v>0</v>
      </c>
      <c r="AB131" s="49">
        <f t="shared" si="17"/>
        <v>0</v>
      </c>
      <c r="AC131" s="50">
        <f t="shared" si="17"/>
        <v>0</v>
      </c>
      <c r="AD131" s="227">
        <f t="shared" si="17"/>
        <v>0</v>
      </c>
      <c r="AE131" s="49">
        <f t="shared" si="17"/>
        <v>0</v>
      </c>
      <c r="AF131" s="49">
        <f t="shared" si="17"/>
        <v>0</v>
      </c>
      <c r="AG131" s="50">
        <f t="shared" si="17"/>
        <v>0</v>
      </c>
      <c r="AH131" s="49">
        <f t="shared" si="17"/>
        <v>0</v>
      </c>
      <c r="AI131" s="49">
        <f t="shared" si="17"/>
        <v>0</v>
      </c>
      <c r="AJ131" s="49">
        <f t="shared" si="17"/>
        <v>0</v>
      </c>
      <c r="AK131" s="49">
        <f t="shared" si="17"/>
        <v>0</v>
      </c>
      <c r="AL131" s="49">
        <f t="shared" si="17"/>
        <v>0</v>
      </c>
      <c r="AM131" s="49">
        <f t="shared" si="17"/>
        <v>0</v>
      </c>
      <c r="AN131" s="50">
        <f t="shared" si="17"/>
        <v>0</v>
      </c>
      <c r="AO131" s="49">
        <f t="shared" si="17"/>
        <v>0</v>
      </c>
      <c r="AP131" s="49">
        <f t="shared" si="17"/>
        <v>0</v>
      </c>
      <c r="AQ131" s="49">
        <f t="shared" si="17"/>
        <v>0</v>
      </c>
      <c r="AR131" s="50">
        <f t="shared" si="17"/>
        <v>0</v>
      </c>
      <c r="AS131" s="49">
        <f t="shared" si="17"/>
        <v>0</v>
      </c>
      <c r="AT131" s="49">
        <f t="shared" si="17"/>
        <v>0</v>
      </c>
      <c r="AU131" s="49">
        <f t="shared" si="17"/>
        <v>0</v>
      </c>
      <c r="AV131" s="49">
        <f t="shared" si="17"/>
        <v>0</v>
      </c>
      <c r="AW131" s="50">
        <f t="shared" si="17"/>
        <v>0</v>
      </c>
      <c r="AX131" s="49">
        <f t="shared" si="17"/>
        <v>0</v>
      </c>
      <c r="AY131" s="49">
        <f t="shared" si="17"/>
        <v>0</v>
      </c>
      <c r="AZ131" s="49">
        <f t="shared" si="17"/>
        <v>0</v>
      </c>
      <c r="BA131" s="50">
        <f t="shared" si="17"/>
        <v>0</v>
      </c>
      <c r="BB131" s="49">
        <f t="shared" si="17"/>
        <v>0</v>
      </c>
      <c r="BC131" s="49">
        <f t="shared" si="17"/>
        <v>0</v>
      </c>
      <c r="BD131" s="49">
        <f t="shared" si="17"/>
        <v>0</v>
      </c>
      <c r="BE131" s="49">
        <f t="shared" si="17"/>
        <v>0</v>
      </c>
      <c r="BF131" s="49">
        <f t="shared" si="17"/>
        <v>0</v>
      </c>
      <c r="BG131" s="62">
        <f t="shared" si="17"/>
        <v>0</v>
      </c>
      <c r="BH131" s="302">
        <f t="shared" si="17"/>
        <v>0</v>
      </c>
      <c r="BI131" s="49">
        <f t="shared" si="17"/>
        <v>0</v>
      </c>
      <c r="BJ131" s="50">
        <f t="shared" si="17"/>
        <v>0</v>
      </c>
      <c r="BK131" s="62">
        <f t="shared" si="17"/>
        <v>0</v>
      </c>
      <c r="BL131" s="231">
        <f t="shared" si="17"/>
        <v>0</v>
      </c>
      <c r="BM131" s="49">
        <f t="shared" si="17"/>
        <v>0</v>
      </c>
      <c r="BN131" s="49">
        <f t="shared" si="17"/>
        <v>0</v>
      </c>
      <c r="BO131" s="49">
        <f t="shared" si="17"/>
        <v>0</v>
      </c>
      <c r="BP131" s="82">
        <f t="shared" si="17"/>
        <v>0</v>
      </c>
      <c r="BQ131" s="227">
        <f t="shared" si="17"/>
        <v>0</v>
      </c>
      <c r="BR131" s="49">
        <f t="shared" si="17"/>
        <v>0</v>
      </c>
      <c r="BS131" s="230">
        <f t="shared" si="17"/>
        <v>0</v>
      </c>
      <c r="BT131" s="242">
        <f t="shared" si="17"/>
        <v>0</v>
      </c>
      <c r="BU131" s="242">
        <f t="shared" si="17"/>
        <v>0</v>
      </c>
      <c r="BV131" s="49">
        <f t="shared" si="17"/>
        <v>0</v>
      </c>
      <c r="BW131" s="49">
        <f t="shared" si="17"/>
        <v>0</v>
      </c>
      <c r="BX131" s="49">
        <f t="shared" si="17"/>
        <v>0</v>
      </c>
      <c r="BY131" s="49">
        <f t="shared" si="17"/>
        <v>0</v>
      </c>
      <c r="BZ131" s="49">
        <f t="shared" si="17"/>
        <v>0</v>
      </c>
      <c r="CA131" s="230">
        <f t="shared" si="17"/>
        <v>0</v>
      </c>
      <c r="CB131" s="49">
        <f t="shared" si="17"/>
        <v>0</v>
      </c>
      <c r="CC131" s="230">
        <f t="shared" si="17"/>
        <v>0</v>
      </c>
      <c r="CD131" s="49">
        <f t="shared" si="17"/>
        <v>0</v>
      </c>
      <c r="CE131" s="231">
        <f t="shared" si="17"/>
        <v>0</v>
      </c>
      <c r="CF131" s="231">
        <f t="shared" si="17"/>
        <v>0</v>
      </c>
      <c r="CG131" s="231">
        <f t="shared" si="17"/>
        <v>0</v>
      </c>
      <c r="CH131" s="242">
        <f t="shared" ref="CH131:EA131" si="18">SUM(CH16:CH19)</f>
        <v>0</v>
      </c>
      <c r="CI131" s="62">
        <f t="shared" si="18"/>
        <v>0</v>
      </c>
      <c r="CJ131" s="230">
        <f t="shared" si="18"/>
        <v>0</v>
      </c>
      <c r="CK131" s="49">
        <f t="shared" si="18"/>
        <v>0</v>
      </c>
      <c r="CL131" s="230">
        <f t="shared" si="18"/>
        <v>0</v>
      </c>
      <c r="CM131" s="242">
        <f t="shared" si="18"/>
        <v>0</v>
      </c>
      <c r="CN131" s="242">
        <f t="shared" si="18"/>
        <v>0</v>
      </c>
      <c r="CO131" s="49">
        <f t="shared" si="18"/>
        <v>0</v>
      </c>
      <c r="CP131" s="49">
        <f t="shared" si="18"/>
        <v>0</v>
      </c>
      <c r="CQ131" s="49">
        <f t="shared" si="18"/>
        <v>0</v>
      </c>
      <c r="CR131" s="230">
        <f t="shared" si="18"/>
        <v>0</v>
      </c>
      <c r="CS131" s="242">
        <f t="shared" si="18"/>
        <v>0</v>
      </c>
      <c r="CT131" s="302">
        <f t="shared" si="18"/>
        <v>0</v>
      </c>
      <c r="CU131" s="231">
        <f t="shared" si="18"/>
        <v>0</v>
      </c>
      <c r="CV131" s="302">
        <f t="shared" si="18"/>
        <v>0</v>
      </c>
      <c r="CW131" s="302">
        <f t="shared" si="18"/>
        <v>0</v>
      </c>
      <c r="CX131" s="82">
        <f t="shared" si="18"/>
        <v>0</v>
      </c>
      <c r="CY131" s="227">
        <f t="shared" si="18"/>
        <v>0</v>
      </c>
      <c r="CZ131" s="242">
        <f t="shared" si="18"/>
        <v>0</v>
      </c>
      <c r="DA131" s="242">
        <f t="shared" si="18"/>
        <v>0</v>
      </c>
      <c r="DB131" s="242">
        <f t="shared" si="18"/>
        <v>0</v>
      </c>
      <c r="DC131" s="49">
        <f t="shared" si="18"/>
        <v>0</v>
      </c>
      <c r="DD131" s="49">
        <f t="shared" si="18"/>
        <v>0</v>
      </c>
      <c r="DE131" s="49">
        <f t="shared" si="18"/>
        <v>0</v>
      </c>
      <c r="DF131" s="230">
        <f t="shared" si="18"/>
        <v>0</v>
      </c>
      <c r="DG131" s="242">
        <f t="shared" si="18"/>
        <v>0</v>
      </c>
      <c r="DH131" s="242">
        <f t="shared" si="18"/>
        <v>0</v>
      </c>
      <c r="DI131" s="242">
        <f t="shared" si="18"/>
        <v>0</v>
      </c>
      <c r="DJ131" s="242">
        <f t="shared" si="18"/>
        <v>0</v>
      </c>
      <c r="DK131" s="82">
        <f t="shared" si="18"/>
        <v>0</v>
      </c>
      <c r="DL131" s="62">
        <f t="shared" si="18"/>
        <v>0</v>
      </c>
      <c r="DM131" s="302">
        <f t="shared" si="18"/>
        <v>0</v>
      </c>
      <c r="DN131" s="49">
        <f t="shared" si="18"/>
        <v>0</v>
      </c>
      <c r="DO131" s="49">
        <f t="shared" si="18"/>
        <v>0</v>
      </c>
      <c r="DP131" s="49">
        <f t="shared" si="18"/>
        <v>0</v>
      </c>
      <c r="DQ131" s="49">
        <f t="shared" si="18"/>
        <v>0</v>
      </c>
      <c r="DR131" s="49">
        <f t="shared" si="18"/>
        <v>0</v>
      </c>
      <c r="DS131" s="50">
        <f t="shared" si="18"/>
        <v>0</v>
      </c>
      <c r="DT131" s="49">
        <f t="shared" si="18"/>
        <v>0</v>
      </c>
      <c r="DU131" s="49">
        <f t="shared" si="18"/>
        <v>0</v>
      </c>
      <c r="DV131" s="49">
        <f t="shared" si="18"/>
        <v>0</v>
      </c>
      <c r="DW131" s="49">
        <f t="shared" si="18"/>
        <v>0</v>
      </c>
      <c r="DX131" s="49">
        <f t="shared" si="18"/>
        <v>0</v>
      </c>
      <c r="DY131" s="49">
        <f t="shared" si="18"/>
        <v>0</v>
      </c>
      <c r="DZ131" s="49">
        <f t="shared" si="18"/>
        <v>0</v>
      </c>
      <c r="EA131" s="50">
        <f t="shared" si="18"/>
        <v>0</v>
      </c>
      <c r="EB131" s="19"/>
    </row>
    <row r="132" spans="1:132" s="12" customFormat="1" ht="12.75" customHeight="1" x14ac:dyDescent="0.3">
      <c r="B132" s="17" t="s">
        <v>8</v>
      </c>
      <c r="C132" s="235">
        <f>SUM(C20:C23)</f>
        <v>3993</v>
      </c>
      <c r="D132" s="235">
        <f>SUM(D20:D23)</f>
        <v>2257</v>
      </c>
      <c r="E132" s="906">
        <f t="shared" si="15"/>
        <v>0.56523916854495371</v>
      </c>
      <c r="F132" s="49">
        <f t="shared" ref="F132:U132" si="19">SUM(F20:F23)</f>
        <v>0</v>
      </c>
      <c r="G132" s="242">
        <f t="shared" si="19"/>
        <v>0</v>
      </c>
      <c r="H132" s="49">
        <f t="shared" si="19"/>
        <v>0</v>
      </c>
      <c r="I132" s="230">
        <f t="shared" si="19"/>
        <v>0</v>
      </c>
      <c r="J132" s="49">
        <f t="shared" si="19"/>
        <v>0</v>
      </c>
      <c r="K132" s="62">
        <f t="shared" si="19"/>
        <v>0</v>
      </c>
      <c r="L132" s="231">
        <f t="shared" si="19"/>
        <v>0</v>
      </c>
      <c r="M132" s="302">
        <f t="shared" si="19"/>
        <v>0</v>
      </c>
      <c r="N132" s="302">
        <f t="shared" si="19"/>
        <v>0</v>
      </c>
      <c r="O132" s="302">
        <f t="shared" si="19"/>
        <v>0</v>
      </c>
      <c r="P132" s="49">
        <f t="shared" si="19"/>
        <v>0</v>
      </c>
      <c r="Q132" s="235">
        <f t="shared" si="19"/>
        <v>0</v>
      </c>
      <c r="R132" s="291">
        <f t="shared" si="19"/>
        <v>0</v>
      </c>
      <c r="S132" s="50">
        <f t="shared" si="19"/>
        <v>0</v>
      </c>
      <c r="T132" s="227">
        <f t="shared" si="19"/>
        <v>1671</v>
      </c>
      <c r="U132" s="49">
        <f t="shared" si="19"/>
        <v>875</v>
      </c>
      <c r="V132" s="49">
        <f t="shared" ref="V132:CG132" si="20">SUM(V20:V23)</f>
        <v>1179</v>
      </c>
      <c r="W132" s="235">
        <f t="shared" si="20"/>
        <v>1093</v>
      </c>
      <c r="X132" s="50">
        <f t="shared" si="20"/>
        <v>1040</v>
      </c>
      <c r="Y132" s="49">
        <f t="shared" si="20"/>
        <v>0</v>
      </c>
      <c r="Z132" s="49">
        <f t="shared" si="20"/>
        <v>0</v>
      </c>
      <c r="AA132" s="49">
        <f t="shared" si="20"/>
        <v>0</v>
      </c>
      <c r="AB132" s="49">
        <f t="shared" si="20"/>
        <v>0</v>
      </c>
      <c r="AC132" s="50">
        <f t="shared" si="20"/>
        <v>0</v>
      </c>
      <c r="AD132" s="227">
        <f t="shared" si="20"/>
        <v>0</v>
      </c>
      <c r="AE132" s="49">
        <f t="shared" si="20"/>
        <v>0</v>
      </c>
      <c r="AF132" s="49">
        <f t="shared" si="20"/>
        <v>0</v>
      </c>
      <c r="AG132" s="50">
        <f t="shared" si="20"/>
        <v>0</v>
      </c>
      <c r="AH132" s="49">
        <f t="shared" si="20"/>
        <v>0</v>
      </c>
      <c r="AI132" s="49">
        <f t="shared" si="20"/>
        <v>0</v>
      </c>
      <c r="AJ132" s="49">
        <f t="shared" si="20"/>
        <v>0</v>
      </c>
      <c r="AK132" s="49">
        <f t="shared" si="20"/>
        <v>0</v>
      </c>
      <c r="AL132" s="49">
        <f t="shared" si="20"/>
        <v>0</v>
      </c>
      <c r="AM132" s="49">
        <f t="shared" si="20"/>
        <v>0</v>
      </c>
      <c r="AN132" s="50">
        <f t="shared" si="20"/>
        <v>0</v>
      </c>
      <c r="AO132" s="49">
        <f t="shared" si="20"/>
        <v>0</v>
      </c>
      <c r="AP132" s="49">
        <f t="shared" si="20"/>
        <v>0</v>
      </c>
      <c r="AQ132" s="49">
        <f t="shared" si="20"/>
        <v>0</v>
      </c>
      <c r="AR132" s="50">
        <f t="shared" si="20"/>
        <v>0</v>
      </c>
      <c r="AS132" s="49">
        <f t="shared" si="20"/>
        <v>0</v>
      </c>
      <c r="AT132" s="49">
        <f t="shared" si="20"/>
        <v>0</v>
      </c>
      <c r="AU132" s="49">
        <f t="shared" si="20"/>
        <v>0</v>
      </c>
      <c r="AV132" s="49">
        <f t="shared" si="20"/>
        <v>0</v>
      </c>
      <c r="AW132" s="50">
        <f t="shared" si="20"/>
        <v>0</v>
      </c>
      <c r="AX132" s="49">
        <f t="shared" si="20"/>
        <v>0</v>
      </c>
      <c r="AY132" s="49">
        <f t="shared" si="20"/>
        <v>0</v>
      </c>
      <c r="AZ132" s="49">
        <f t="shared" si="20"/>
        <v>0</v>
      </c>
      <c r="BA132" s="50">
        <f t="shared" si="20"/>
        <v>0</v>
      </c>
      <c r="BB132" s="49">
        <f t="shared" si="20"/>
        <v>0</v>
      </c>
      <c r="BC132" s="49">
        <f t="shared" si="20"/>
        <v>0</v>
      </c>
      <c r="BD132" s="49">
        <f t="shared" si="20"/>
        <v>0</v>
      </c>
      <c r="BE132" s="49">
        <f t="shared" si="20"/>
        <v>0</v>
      </c>
      <c r="BF132" s="49">
        <f t="shared" si="20"/>
        <v>0</v>
      </c>
      <c r="BG132" s="62">
        <f t="shared" si="20"/>
        <v>0</v>
      </c>
      <c r="BH132" s="302">
        <f t="shared" si="20"/>
        <v>0</v>
      </c>
      <c r="BI132" s="49">
        <f t="shared" si="20"/>
        <v>0</v>
      </c>
      <c r="BJ132" s="50">
        <f t="shared" si="20"/>
        <v>0</v>
      </c>
      <c r="BK132" s="62">
        <f t="shared" si="20"/>
        <v>0</v>
      </c>
      <c r="BL132" s="231">
        <f t="shared" si="20"/>
        <v>0</v>
      </c>
      <c r="BM132" s="49">
        <f t="shared" si="20"/>
        <v>0</v>
      </c>
      <c r="BN132" s="49">
        <f t="shared" si="20"/>
        <v>0</v>
      </c>
      <c r="BO132" s="49">
        <f t="shared" si="20"/>
        <v>0</v>
      </c>
      <c r="BP132" s="82">
        <f t="shared" si="20"/>
        <v>0</v>
      </c>
      <c r="BQ132" s="227">
        <f t="shared" si="20"/>
        <v>0</v>
      </c>
      <c r="BR132" s="49">
        <f t="shared" si="20"/>
        <v>0</v>
      </c>
      <c r="BS132" s="230">
        <f t="shared" si="20"/>
        <v>0</v>
      </c>
      <c r="BT132" s="242">
        <f t="shared" si="20"/>
        <v>0</v>
      </c>
      <c r="BU132" s="242">
        <f t="shared" si="20"/>
        <v>0</v>
      </c>
      <c r="BV132" s="49">
        <f t="shared" si="20"/>
        <v>0</v>
      </c>
      <c r="BW132" s="49">
        <f t="shared" si="20"/>
        <v>0</v>
      </c>
      <c r="BX132" s="49">
        <f t="shared" si="20"/>
        <v>0</v>
      </c>
      <c r="BY132" s="49">
        <f t="shared" si="20"/>
        <v>0</v>
      </c>
      <c r="BZ132" s="49">
        <f t="shared" si="20"/>
        <v>0</v>
      </c>
      <c r="CA132" s="230">
        <f t="shared" si="20"/>
        <v>0</v>
      </c>
      <c r="CB132" s="49">
        <f t="shared" si="20"/>
        <v>0</v>
      </c>
      <c r="CC132" s="230">
        <f t="shared" si="20"/>
        <v>0</v>
      </c>
      <c r="CD132" s="49">
        <f t="shared" si="20"/>
        <v>0</v>
      </c>
      <c r="CE132" s="231">
        <f t="shared" si="20"/>
        <v>0</v>
      </c>
      <c r="CF132" s="231">
        <f t="shared" si="20"/>
        <v>0</v>
      </c>
      <c r="CG132" s="231">
        <f t="shared" si="20"/>
        <v>0</v>
      </c>
      <c r="CH132" s="242">
        <f t="shared" ref="CH132:EA132" si="21">SUM(CH20:CH23)</f>
        <v>0</v>
      </c>
      <c r="CI132" s="62">
        <f t="shared" si="21"/>
        <v>0</v>
      </c>
      <c r="CJ132" s="230">
        <f t="shared" si="21"/>
        <v>0</v>
      </c>
      <c r="CK132" s="49">
        <f t="shared" si="21"/>
        <v>0</v>
      </c>
      <c r="CL132" s="230">
        <f t="shared" si="21"/>
        <v>0</v>
      </c>
      <c r="CM132" s="242">
        <f t="shared" si="21"/>
        <v>0</v>
      </c>
      <c r="CN132" s="242">
        <f t="shared" si="21"/>
        <v>0</v>
      </c>
      <c r="CO132" s="49">
        <f t="shared" si="21"/>
        <v>0</v>
      </c>
      <c r="CP132" s="49">
        <f t="shared" si="21"/>
        <v>0</v>
      </c>
      <c r="CQ132" s="49">
        <f t="shared" si="21"/>
        <v>0</v>
      </c>
      <c r="CR132" s="230">
        <f t="shared" si="21"/>
        <v>0</v>
      </c>
      <c r="CS132" s="242">
        <f t="shared" si="21"/>
        <v>0</v>
      </c>
      <c r="CT132" s="302">
        <f t="shared" si="21"/>
        <v>0</v>
      </c>
      <c r="CU132" s="231">
        <f t="shared" si="21"/>
        <v>0</v>
      </c>
      <c r="CV132" s="302">
        <f t="shared" si="21"/>
        <v>0</v>
      </c>
      <c r="CW132" s="302">
        <f t="shared" si="21"/>
        <v>0</v>
      </c>
      <c r="CX132" s="82">
        <f t="shared" si="21"/>
        <v>0</v>
      </c>
      <c r="CY132" s="227">
        <f t="shared" si="21"/>
        <v>0</v>
      </c>
      <c r="CZ132" s="242">
        <f t="shared" si="21"/>
        <v>0</v>
      </c>
      <c r="DA132" s="242">
        <f t="shared" si="21"/>
        <v>0</v>
      </c>
      <c r="DB132" s="242">
        <f t="shared" si="21"/>
        <v>0</v>
      </c>
      <c r="DC132" s="49">
        <f t="shared" si="21"/>
        <v>0</v>
      </c>
      <c r="DD132" s="49">
        <f t="shared" si="21"/>
        <v>0</v>
      </c>
      <c r="DE132" s="49">
        <f t="shared" si="21"/>
        <v>0</v>
      </c>
      <c r="DF132" s="230">
        <f t="shared" si="21"/>
        <v>0</v>
      </c>
      <c r="DG132" s="242">
        <f t="shared" si="21"/>
        <v>0</v>
      </c>
      <c r="DH132" s="242">
        <f t="shared" si="21"/>
        <v>0</v>
      </c>
      <c r="DI132" s="242">
        <f t="shared" si="21"/>
        <v>0</v>
      </c>
      <c r="DJ132" s="242">
        <f t="shared" si="21"/>
        <v>0</v>
      </c>
      <c r="DK132" s="82">
        <f t="shared" si="21"/>
        <v>0</v>
      </c>
      <c r="DL132" s="62">
        <f t="shared" si="21"/>
        <v>0</v>
      </c>
      <c r="DM132" s="302">
        <f t="shared" si="21"/>
        <v>0</v>
      </c>
      <c r="DN132" s="49">
        <f t="shared" si="21"/>
        <v>0</v>
      </c>
      <c r="DO132" s="49">
        <f t="shared" si="21"/>
        <v>0</v>
      </c>
      <c r="DP132" s="49">
        <f t="shared" si="21"/>
        <v>0</v>
      </c>
      <c r="DQ132" s="49">
        <f t="shared" si="21"/>
        <v>0</v>
      </c>
      <c r="DR132" s="49">
        <f t="shared" si="21"/>
        <v>0</v>
      </c>
      <c r="DS132" s="50">
        <f t="shared" si="21"/>
        <v>0</v>
      </c>
      <c r="DT132" s="49">
        <f t="shared" si="21"/>
        <v>0</v>
      </c>
      <c r="DU132" s="49">
        <f t="shared" si="21"/>
        <v>0</v>
      </c>
      <c r="DV132" s="49">
        <f t="shared" si="21"/>
        <v>0</v>
      </c>
      <c r="DW132" s="49">
        <f t="shared" si="21"/>
        <v>0</v>
      </c>
      <c r="DX132" s="49">
        <f t="shared" si="21"/>
        <v>0</v>
      </c>
      <c r="DY132" s="49">
        <f t="shared" si="21"/>
        <v>0</v>
      </c>
      <c r="DZ132" s="49">
        <f t="shared" si="21"/>
        <v>0</v>
      </c>
      <c r="EA132" s="50">
        <f t="shared" si="21"/>
        <v>0</v>
      </c>
      <c r="EB132" s="19"/>
    </row>
    <row r="133" spans="1:132" s="12" customFormat="1" ht="13" x14ac:dyDescent="0.3">
      <c r="B133" s="17" t="s">
        <v>17</v>
      </c>
      <c r="C133" s="235">
        <f>SUM(C24:C36)</f>
        <v>12311</v>
      </c>
      <c r="D133" s="235">
        <f>SUM(D24:D36)</f>
        <v>4615</v>
      </c>
      <c r="E133" s="906">
        <f t="shared" si="15"/>
        <v>0.37486800422386485</v>
      </c>
      <c r="F133" s="49">
        <f t="shared" ref="F133:U133" si="22">SUM(F24:F36)</f>
        <v>0</v>
      </c>
      <c r="G133" s="242">
        <f t="shared" si="22"/>
        <v>0</v>
      </c>
      <c r="H133" s="49">
        <f t="shared" si="22"/>
        <v>0</v>
      </c>
      <c r="I133" s="230">
        <f t="shared" si="22"/>
        <v>0</v>
      </c>
      <c r="J133" s="49">
        <f t="shared" si="22"/>
        <v>0</v>
      </c>
      <c r="K133" s="62">
        <f t="shared" si="22"/>
        <v>0</v>
      </c>
      <c r="L133" s="231">
        <f t="shared" si="22"/>
        <v>0</v>
      </c>
      <c r="M133" s="302">
        <f t="shared" si="22"/>
        <v>0</v>
      </c>
      <c r="N133" s="302">
        <f t="shared" si="22"/>
        <v>0</v>
      </c>
      <c r="O133" s="302">
        <f t="shared" si="22"/>
        <v>0</v>
      </c>
      <c r="P133" s="49">
        <f t="shared" si="22"/>
        <v>0</v>
      </c>
      <c r="Q133" s="235">
        <f t="shared" si="22"/>
        <v>0</v>
      </c>
      <c r="R133" s="291">
        <f t="shared" si="22"/>
        <v>0</v>
      </c>
      <c r="S133" s="50">
        <f t="shared" si="22"/>
        <v>0</v>
      </c>
      <c r="T133" s="227">
        <f t="shared" si="22"/>
        <v>0</v>
      </c>
      <c r="U133" s="49">
        <f t="shared" si="22"/>
        <v>0</v>
      </c>
      <c r="V133" s="49">
        <f t="shared" ref="V133:CG133" si="23">SUM(V24:V36)</f>
        <v>0</v>
      </c>
      <c r="W133" s="235">
        <f t="shared" si="23"/>
        <v>0</v>
      </c>
      <c r="X133" s="50">
        <f t="shared" si="23"/>
        <v>0</v>
      </c>
      <c r="Y133" s="49">
        <f t="shared" si="23"/>
        <v>2641</v>
      </c>
      <c r="Z133" s="49">
        <f t="shared" si="23"/>
        <v>1613</v>
      </c>
      <c r="AA133" s="49">
        <f t="shared" si="23"/>
        <v>2895</v>
      </c>
      <c r="AB133" s="49">
        <f t="shared" si="23"/>
        <v>5</v>
      </c>
      <c r="AC133" s="50">
        <f t="shared" si="23"/>
        <v>2207</v>
      </c>
      <c r="AD133" s="227">
        <f t="shared" si="23"/>
        <v>0</v>
      </c>
      <c r="AE133" s="49">
        <f t="shared" si="23"/>
        <v>0</v>
      </c>
      <c r="AF133" s="49">
        <f t="shared" si="23"/>
        <v>0</v>
      </c>
      <c r="AG133" s="50">
        <f t="shared" si="23"/>
        <v>0</v>
      </c>
      <c r="AH133" s="49">
        <f t="shared" si="23"/>
        <v>0</v>
      </c>
      <c r="AI133" s="49">
        <f t="shared" si="23"/>
        <v>0</v>
      </c>
      <c r="AJ133" s="49">
        <f t="shared" si="23"/>
        <v>0</v>
      </c>
      <c r="AK133" s="49">
        <f t="shared" si="23"/>
        <v>0</v>
      </c>
      <c r="AL133" s="49">
        <f t="shared" si="23"/>
        <v>0</v>
      </c>
      <c r="AM133" s="49">
        <f t="shared" si="23"/>
        <v>0</v>
      </c>
      <c r="AN133" s="50">
        <f t="shared" si="23"/>
        <v>0</v>
      </c>
      <c r="AO133" s="49">
        <f t="shared" si="23"/>
        <v>0</v>
      </c>
      <c r="AP133" s="49">
        <f t="shared" si="23"/>
        <v>0</v>
      </c>
      <c r="AQ133" s="49">
        <f t="shared" si="23"/>
        <v>0</v>
      </c>
      <c r="AR133" s="50">
        <f t="shared" si="23"/>
        <v>0</v>
      </c>
      <c r="AS133" s="49">
        <f t="shared" si="23"/>
        <v>0</v>
      </c>
      <c r="AT133" s="49">
        <f t="shared" si="23"/>
        <v>0</v>
      </c>
      <c r="AU133" s="49">
        <f t="shared" si="23"/>
        <v>0</v>
      </c>
      <c r="AV133" s="49">
        <f t="shared" si="23"/>
        <v>0</v>
      </c>
      <c r="AW133" s="50">
        <f t="shared" si="23"/>
        <v>0</v>
      </c>
      <c r="AX133" s="49">
        <f t="shared" si="23"/>
        <v>0</v>
      </c>
      <c r="AY133" s="49">
        <f t="shared" si="23"/>
        <v>0</v>
      </c>
      <c r="AZ133" s="49">
        <f t="shared" si="23"/>
        <v>0</v>
      </c>
      <c r="BA133" s="50">
        <f t="shared" si="23"/>
        <v>0</v>
      </c>
      <c r="BB133" s="49">
        <f t="shared" si="23"/>
        <v>0</v>
      </c>
      <c r="BC133" s="49">
        <f t="shared" si="23"/>
        <v>0</v>
      </c>
      <c r="BD133" s="49">
        <f t="shared" si="23"/>
        <v>0</v>
      </c>
      <c r="BE133" s="49">
        <f t="shared" si="23"/>
        <v>0</v>
      </c>
      <c r="BF133" s="49">
        <f t="shared" si="23"/>
        <v>0</v>
      </c>
      <c r="BG133" s="62">
        <f t="shared" si="23"/>
        <v>0</v>
      </c>
      <c r="BH133" s="302">
        <f t="shared" si="23"/>
        <v>0</v>
      </c>
      <c r="BI133" s="49">
        <f t="shared" si="23"/>
        <v>0</v>
      </c>
      <c r="BJ133" s="50">
        <f t="shared" si="23"/>
        <v>0</v>
      </c>
      <c r="BK133" s="62">
        <f t="shared" si="23"/>
        <v>0</v>
      </c>
      <c r="BL133" s="231">
        <f t="shared" si="23"/>
        <v>0</v>
      </c>
      <c r="BM133" s="49">
        <f t="shared" si="23"/>
        <v>0</v>
      </c>
      <c r="BN133" s="49">
        <f t="shared" si="23"/>
        <v>0</v>
      </c>
      <c r="BO133" s="49">
        <f t="shared" si="23"/>
        <v>0</v>
      </c>
      <c r="BP133" s="82">
        <f t="shared" si="23"/>
        <v>0</v>
      </c>
      <c r="BQ133" s="227">
        <f t="shared" si="23"/>
        <v>0</v>
      </c>
      <c r="BR133" s="49">
        <f t="shared" si="23"/>
        <v>0</v>
      </c>
      <c r="BS133" s="230">
        <f t="shared" si="23"/>
        <v>0</v>
      </c>
      <c r="BT133" s="242">
        <f t="shared" si="23"/>
        <v>0</v>
      </c>
      <c r="BU133" s="242">
        <f t="shared" si="23"/>
        <v>0</v>
      </c>
      <c r="BV133" s="49">
        <f t="shared" si="23"/>
        <v>0</v>
      </c>
      <c r="BW133" s="49">
        <f t="shared" si="23"/>
        <v>0</v>
      </c>
      <c r="BX133" s="49">
        <f t="shared" si="23"/>
        <v>0</v>
      </c>
      <c r="BY133" s="49">
        <f t="shared" si="23"/>
        <v>0</v>
      </c>
      <c r="BZ133" s="49">
        <f t="shared" si="23"/>
        <v>0</v>
      </c>
      <c r="CA133" s="230">
        <f t="shared" si="23"/>
        <v>0</v>
      </c>
      <c r="CB133" s="49">
        <f t="shared" si="23"/>
        <v>0</v>
      </c>
      <c r="CC133" s="230">
        <f t="shared" si="23"/>
        <v>0</v>
      </c>
      <c r="CD133" s="49">
        <f t="shared" si="23"/>
        <v>0</v>
      </c>
      <c r="CE133" s="231">
        <f t="shared" si="23"/>
        <v>0</v>
      </c>
      <c r="CF133" s="231">
        <f t="shared" si="23"/>
        <v>0</v>
      </c>
      <c r="CG133" s="231">
        <f t="shared" si="23"/>
        <v>0</v>
      </c>
      <c r="CH133" s="242">
        <f t="shared" ref="CH133:EA133" si="24">SUM(CH24:CH36)</f>
        <v>0</v>
      </c>
      <c r="CI133" s="62">
        <f t="shared" si="24"/>
        <v>0</v>
      </c>
      <c r="CJ133" s="230">
        <f t="shared" si="24"/>
        <v>0</v>
      </c>
      <c r="CK133" s="49">
        <f t="shared" si="24"/>
        <v>0</v>
      </c>
      <c r="CL133" s="230">
        <f t="shared" si="24"/>
        <v>0</v>
      </c>
      <c r="CM133" s="242">
        <f t="shared" si="24"/>
        <v>0</v>
      </c>
      <c r="CN133" s="242">
        <f t="shared" si="24"/>
        <v>0</v>
      </c>
      <c r="CO133" s="49">
        <f t="shared" si="24"/>
        <v>0</v>
      </c>
      <c r="CP133" s="49">
        <f t="shared" si="24"/>
        <v>0</v>
      </c>
      <c r="CQ133" s="49">
        <f t="shared" si="24"/>
        <v>0</v>
      </c>
      <c r="CR133" s="230">
        <f t="shared" si="24"/>
        <v>0</v>
      </c>
      <c r="CS133" s="242">
        <f t="shared" si="24"/>
        <v>0</v>
      </c>
      <c r="CT133" s="302">
        <f t="shared" si="24"/>
        <v>0</v>
      </c>
      <c r="CU133" s="231">
        <f t="shared" si="24"/>
        <v>0</v>
      </c>
      <c r="CV133" s="302">
        <f t="shared" si="24"/>
        <v>0</v>
      </c>
      <c r="CW133" s="302">
        <f t="shared" si="24"/>
        <v>0</v>
      </c>
      <c r="CX133" s="82">
        <f t="shared" si="24"/>
        <v>0</v>
      </c>
      <c r="CY133" s="227">
        <f t="shared" si="24"/>
        <v>0</v>
      </c>
      <c r="CZ133" s="242">
        <f t="shared" si="24"/>
        <v>0</v>
      </c>
      <c r="DA133" s="242">
        <f t="shared" si="24"/>
        <v>0</v>
      </c>
      <c r="DB133" s="242">
        <f t="shared" si="24"/>
        <v>0</v>
      </c>
      <c r="DC133" s="49">
        <f t="shared" si="24"/>
        <v>0</v>
      </c>
      <c r="DD133" s="49">
        <f t="shared" si="24"/>
        <v>0</v>
      </c>
      <c r="DE133" s="49">
        <f t="shared" si="24"/>
        <v>0</v>
      </c>
      <c r="DF133" s="230">
        <f t="shared" si="24"/>
        <v>0</v>
      </c>
      <c r="DG133" s="242">
        <f t="shared" si="24"/>
        <v>0</v>
      </c>
      <c r="DH133" s="242">
        <f t="shared" si="24"/>
        <v>0</v>
      </c>
      <c r="DI133" s="242">
        <f t="shared" si="24"/>
        <v>0</v>
      </c>
      <c r="DJ133" s="242">
        <f t="shared" si="24"/>
        <v>0</v>
      </c>
      <c r="DK133" s="82">
        <f t="shared" si="24"/>
        <v>0</v>
      </c>
      <c r="DL133" s="62">
        <f t="shared" si="24"/>
        <v>0</v>
      </c>
      <c r="DM133" s="302">
        <f t="shared" si="24"/>
        <v>0</v>
      </c>
      <c r="DN133" s="49">
        <f t="shared" si="24"/>
        <v>0</v>
      </c>
      <c r="DO133" s="49">
        <f t="shared" si="24"/>
        <v>0</v>
      </c>
      <c r="DP133" s="49">
        <f t="shared" si="24"/>
        <v>0</v>
      </c>
      <c r="DQ133" s="49">
        <f t="shared" si="24"/>
        <v>0</v>
      </c>
      <c r="DR133" s="49">
        <f t="shared" si="24"/>
        <v>0</v>
      </c>
      <c r="DS133" s="50">
        <f t="shared" si="24"/>
        <v>0</v>
      </c>
      <c r="DT133" s="49">
        <f t="shared" si="24"/>
        <v>0</v>
      </c>
      <c r="DU133" s="49">
        <f t="shared" si="24"/>
        <v>0</v>
      </c>
      <c r="DV133" s="49">
        <f t="shared" si="24"/>
        <v>0</v>
      </c>
      <c r="DW133" s="49">
        <f t="shared" si="24"/>
        <v>0</v>
      </c>
      <c r="DX133" s="49">
        <f t="shared" si="24"/>
        <v>0</v>
      </c>
      <c r="DY133" s="49">
        <f t="shared" si="24"/>
        <v>0</v>
      </c>
      <c r="DZ133" s="49">
        <f t="shared" si="24"/>
        <v>0</v>
      </c>
      <c r="EA133" s="50">
        <f t="shared" si="24"/>
        <v>0</v>
      </c>
      <c r="EB133" s="19"/>
    </row>
    <row r="134" spans="1:132" s="12" customFormat="1" ht="12.75" customHeight="1" x14ac:dyDescent="0.3">
      <c r="B134" s="17" t="s">
        <v>804</v>
      </c>
      <c r="C134" s="235">
        <f>SUM(C38:C43)</f>
        <v>7973</v>
      </c>
      <c r="D134" s="235">
        <f>SUM(D37:D43)</f>
        <v>4380</v>
      </c>
      <c r="E134" s="906">
        <f t="shared" si="15"/>
        <v>0.5493540699862034</v>
      </c>
      <c r="F134" s="49">
        <f t="shared" ref="F134:U134" si="25">SUM(F37:F42)</f>
        <v>0</v>
      </c>
      <c r="G134" s="242">
        <f t="shared" si="25"/>
        <v>0</v>
      </c>
      <c r="H134" s="49">
        <f t="shared" si="25"/>
        <v>0</v>
      </c>
      <c r="I134" s="230">
        <f t="shared" si="25"/>
        <v>0</v>
      </c>
      <c r="J134" s="49">
        <f t="shared" si="25"/>
        <v>0</v>
      </c>
      <c r="K134" s="62">
        <f t="shared" si="25"/>
        <v>0</v>
      </c>
      <c r="L134" s="231">
        <f t="shared" si="25"/>
        <v>0</v>
      </c>
      <c r="M134" s="302">
        <f t="shared" si="25"/>
        <v>0</v>
      </c>
      <c r="N134" s="302">
        <f t="shared" si="25"/>
        <v>0</v>
      </c>
      <c r="O134" s="302">
        <f t="shared" si="25"/>
        <v>0</v>
      </c>
      <c r="P134" s="49">
        <f t="shared" si="25"/>
        <v>0</v>
      </c>
      <c r="Q134" s="235">
        <f t="shared" si="25"/>
        <v>0</v>
      </c>
      <c r="R134" s="291">
        <f t="shared" si="25"/>
        <v>0</v>
      </c>
      <c r="S134" s="50">
        <f t="shared" si="25"/>
        <v>0</v>
      </c>
      <c r="T134" s="227">
        <f t="shared" si="25"/>
        <v>0</v>
      </c>
      <c r="U134" s="49">
        <f t="shared" si="25"/>
        <v>0</v>
      </c>
      <c r="V134" s="49">
        <f t="shared" ref="V134:CG134" si="26">SUM(V37:V42)</f>
        <v>0</v>
      </c>
      <c r="W134" s="235">
        <f t="shared" si="26"/>
        <v>0</v>
      </c>
      <c r="X134" s="50">
        <f t="shared" si="26"/>
        <v>0</v>
      </c>
      <c r="Y134" s="49">
        <f t="shared" si="26"/>
        <v>0</v>
      </c>
      <c r="Z134" s="49">
        <f t="shared" si="26"/>
        <v>0</v>
      </c>
      <c r="AA134" s="49">
        <f t="shared" si="26"/>
        <v>0</v>
      </c>
      <c r="AB134" s="49">
        <f t="shared" si="26"/>
        <v>0</v>
      </c>
      <c r="AC134" s="50">
        <f t="shared" si="26"/>
        <v>0</v>
      </c>
      <c r="AD134" s="227">
        <f>SUM(AD37:AD43)</f>
        <v>3377</v>
      </c>
      <c r="AE134" s="49">
        <f t="shared" ref="AE134:AG134" si="27">SUM(AE37:AE43)</f>
        <v>2206</v>
      </c>
      <c r="AF134" s="49">
        <f t="shared" si="27"/>
        <v>2395</v>
      </c>
      <c r="AG134" s="50">
        <f t="shared" si="27"/>
        <v>2325</v>
      </c>
      <c r="AH134" s="49">
        <f t="shared" si="26"/>
        <v>0</v>
      </c>
      <c r="AI134" s="49">
        <f t="shared" si="26"/>
        <v>0</v>
      </c>
      <c r="AJ134" s="49">
        <f t="shared" si="26"/>
        <v>0</v>
      </c>
      <c r="AK134" s="49">
        <f t="shared" si="26"/>
        <v>0</v>
      </c>
      <c r="AL134" s="49">
        <f t="shared" si="26"/>
        <v>0</v>
      </c>
      <c r="AM134" s="49">
        <f t="shared" si="26"/>
        <v>0</v>
      </c>
      <c r="AN134" s="50">
        <f t="shared" si="26"/>
        <v>0</v>
      </c>
      <c r="AO134" s="49">
        <f t="shared" si="26"/>
        <v>0</v>
      </c>
      <c r="AP134" s="49">
        <f t="shared" si="26"/>
        <v>0</v>
      </c>
      <c r="AQ134" s="49">
        <f t="shared" si="26"/>
        <v>0</v>
      </c>
      <c r="AR134" s="50">
        <f t="shared" si="26"/>
        <v>0</v>
      </c>
      <c r="AS134" s="49">
        <f t="shared" si="26"/>
        <v>0</v>
      </c>
      <c r="AT134" s="49">
        <f t="shared" si="26"/>
        <v>0</v>
      </c>
      <c r="AU134" s="49">
        <f t="shared" si="26"/>
        <v>0</v>
      </c>
      <c r="AV134" s="49">
        <f t="shared" si="26"/>
        <v>0</v>
      </c>
      <c r="AW134" s="50">
        <f t="shared" si="26"/>
        <v>0</v>
      </c>
      <c r="AX134" s="49">
        <f t="shared" si="26"/>
        <v>0</v>
      </c>
      <c r="AY134" s="49">
        <f t="shared" si="26"/>
        <v>0</v>
      </c>
      <c r="AZ134" s="49">
        <f t="shared" si="26"/>
        <v>0</v>
      </c>
      <c r="BA134" s="50">
        <f t="shared" si="26"/>
        <v>0</v>
      </c>
      <c r="BB134" s="49">
        <f t="shared" si="26"/>
        <v>0</v>
      </c>
      <c r="BC134" s="49">
        <f t="shared" si="26"/>
        <v>0</v>
      </c>
      <c r="BD134" s="49">
        <f t="shared" si="26"/>
        <v>0</v>
      </c>
      <c r="BE134" s="49">
        <f t="shared" si="26"/>
        <v>0</v>
      </c>
      <c r="BF134" s="49">
        <f t="shared" si="26"/>
        <v>0</v>
      </c>
      <c r="BG134" s="62">
        <f t="shared" si="26"/>
        <v>0</v>
      </c>
      <c r="BH134" s="302">
        <f t="shared" si="26"/>
        <v>0</v>
      </c>
      <c r="BI134" s="49">
        <f t="shared" si="26"/>
        <v>0</v>
      </c>
      <c r="BJ134" s="50">
        <f t="shared" si="26"/>
        <v>0</v>
      </c>
      <c r="BK134" s="62">
        <f t="shared" si="26"/>
        <v>0</v>
      </c>
      <c r="BL134" s="231">
        <f t="shared" si="26"/>
        <v>0</v>
      </c>
      <c r="BM134" s="49">
        <f t="shared" si="26"/>
        <v>0</v>
      </c>
      <c r="BN134" s="49">
        <f t="shared" si="26"/>
        <v>0</v>
      </c>
      <c r="BO134" s="49">
        <f t="shared" si="26"/>
        <v>0</v>
      </c>
      <c r="BP134" s="82">
        <f t="shared" si="26"/>
        <v>0</v>
      </c>
      <c r="BQ134" s="227">
        <f t="shared" si="26"/>
        <v>0</v>
      </c>
      <c r="BR134" s="49">
        <f t="shared" si="26"/>
        <v>0</v>
      </c>
      <c r="BS134" s="230">
        <f t="shared" si="26"/>
        <v>0</v>
      </c>
      <c r="BT134" s="242">
        <f t="shared" si="26"/>
        <v>0</v>
      </c>
      <c r="BU134" s="242">
        <f t="shared" si="26"/>
        <v>0</v>
      </c>
      <c r="BV134" s="49">
        <f t="shared" si="26"/>
        <v>0</v>
      </c>
      <c r="BW134" s="49">
        <f t="shared" si="26"/>
        <v>0</v>
      </c>
      <c r="BX134" s="49">
        <f t="shared" si="26"/>
        <v>0</v>
      </c>
      <c r="BY134" s="49">
        <f t="shared" si="26"/>
        <v>0</v>
      </c>
      <c r="BZ134" s="49">
        <f t="shared" si="26"/>
        <v>0</v>
      </c>
      <c r="CA134" s="230">
        <f t="shared" si="26"/>
        <v>0</v>
      </c>
      <c r="CB134" s="49">
        <f t="shared" si="26"/>
        <v>0</v>
      </c>
      <c r="CC134" s="230">
        <f t="shared" si="26"/>
        <v>0</v>
      </c>
      <c r="CD134" s="49">
        <f t="shared" si="26"/>
        <v>0</v>
      </c>
      <c r="CE134" s="231">
        <f t="shared" si="26"/>
        <v>0</v>
      </c>
      <c r="CF134" s="231">
        <f t="shared" si="26"/>
        <v>0</v>
      </c>
      <c r="CG134" s="231">
        <f t="shared" si="26"/>
        <v>0</v>
      </c>
      <c r="CH134" s="242">
        <f t="shared" ref="CH134:EA134" si="28">SUM(CH37:CH42)</f>
        <v>0</v>
      </c>
      <c r="CI134" s="62">
        <f t="shared" si="28"/>
        <v>0</v>
      </c>
      <c r="CJ134" s="230">
        <f t="shared" si="28"/>
        <v>0</v>
      </c>
      <c r="CK134" s="49">
        <f t="shared" si="28"/>
        <v>0</v>
      </c>
      <c r="CL134" s="230">
        <f t="shared" si="28"/>
        <v>0</v>
      </c>
      <c r="CM134" s="242">
        <f t="shared" si="28"/>
        <v>0</v>
      </c>
      <c r="CN134" s="242">
        <f t="shared" si="28"/>
        <v>0</v>
      </c>
      <c r="CO134" s="49">
        <f t="shared" si="28"/>
        <v>0</v>
      </c>
      <c r="CP134" s="49">
        <f t="shared" si="28"/>
        <v>0</v>
      </c>
      <c r="CQ134" s="49">
        <f t="shared" si="28"/>
        <v>0</v>
      </c>
      <c r="CR134" s="230">
        <f t="shared" si="28"/>
        <v>0</v>
      </c>
      <c r="CS134" s="242">
        <f t="shared" si="28"/>
        <v>0</v>
      </c>
      <c r="CT134" s="302">
        <f t="shared" si="28"/>
        <v>0</v>
      </c>
      <c r="CU134" s="231">
        <f t="shared" si="28"/>
        <v>0</v>
      </c>
      <c r="CV134" s="302">
        <f t="shared" si="28"/>
        <v>0</v>
      </c>
      <c r="CW134" s="302">
        <f t="shared" si="28"/>
        <v>0</v>
      </c>
      <c r="CX134" s="82">
        <f t="shared" si="28"/>
        <v>0</v>
      </c>
      <c r="CY134" s="227">
        <f t="shared" si="28"/>
        <v>0</v>
      </c>
      <c r="CZ134" s="242">
        <f t="shared" si="28"/>
        <v>0</v>
      </c>
      <c r="DA134" s="242">
        <f t="shared" si="28"/>
        <v>0</v>
      </c>
      <c r="DB134" s="242">
        <f t="shared" si="28"/>
        <v>0</v>
      </c>
      <c r="DC134" s="49">
        <f t="shared" si="28"/>
        <v>0</v>
      </c>
      <c r="DD134" s="49">
        <f t="shared" si="28"/>
        <v>0</v>
      </c>
      <c r="DE134" s="49">
        <f t="shared" si="28"/>
        <v>0</v>
      </c>
      <c r="DF134" s="230">
        <f t="shared" si="28"/>
        <v>0</v>
      </c>
      <c r="DG134" s="242">
        <f t="shared" si="28"/>
        <v>0</v>
      </c>
      <c r="DH134" s="242">
        <f t="shared" si="28"/>
        <v>0</v>
      </c>
      <c r="DI134" s="242">
        <f t="shared" si="28"/>
        <v>0</v>
      </c>
      <c r="DJ134" s="242">
        <f t="shared" si="28"/>
        <v>0</v>
      </c>
      <c r="DK134" s="82">
        <f t="shared" si="28"/>
        <v>0</v>
      </c>
      <c r="DL134" s="62">
        <f t="shared" si="28"/>
        <v>0</v>
      </c>
      <c r="DM134" s="302">
        <f t="shared" si="28"/>
        <v>0</v>
      </c>
      <c r="DN134" s="49">
        <f t="shared" si="28"/>
        <v>0</v>
      </c>
      <c r="DO134" s="49">
        <f t="shared" si="28"/>
        <v>0</v>
      </c>
      <c r="DP134" s="49">
        <f t="shared" si="28"/>
        <v>0</v>
      </c>
      <c r="DQ134" s="49">
        <f t="shared" si="28"/>
        <v>0</v>
      </c>
      <c r="DR134" s="49">
        <f t="shared" si="28"/>
        <v>0</v>
      </c>
      <c r="DS134" s="50">
        <f t="shared" si="28"/>
        <v>0</v>
      </c>
      <c r="DT134" s="49">
        <f t="shared" si="28"/>
        <v>0</v>
      </c>
      <c r="DU134" s="49">
        <f t="shared" si="28"/>
        <v>0</v>
      </c>
      <c r="DV134" s="49">
        <f t="shared" si="28"/>
        <v>0</v>
      </c>
      <c r="DW134" s="49">
        <f t="shared" si="28"/>
        <v>0</v>
      </c>
      <c r="DX134" s="49">
        <f t="shared" si="28"/>
        <v>0</v>
      </c>
      <c r="DY134" s="49">
        <f t="shared" si="28"/>
        <v>0</v>
      </c>
      <c r="DZ134" s="49">
        <f t="shared" si="28"/>
        <v>0</v>
      </c>
      <c r="EA134" s="50">
        <f t="shared" si="28"/>
        <v>0</v>
      </c>
      <c r="EB134" s="19"/>
    </row>
    <row r="135" spans="1:132" s="12" customFormat="1" ht="13" x14ac:dyDescent="0.3">
      <c r="B135" s="17" t="s">
        <v>18</v>
      </c>
      <c r="C135" s="235">
        <f>SUM(C44:C49)</f>
        <v>5262</v>
      </c>
      <c r="D135" s="235">
        <f>SUM(D44:D49)</f>
        <v>3079</v>
      </c>
      <c r="E135" s="906">
        <f t="shared" si="15"/>
        <v>0.58513873052071452</v>
      </c>
      <c r="F135" s="49">
        <f t="shared" ref="F135:U135" si="29">SUM(F44:F49)</f>
        <v>0</v>
      </c>
      <c r="G135" s="242">
        <f t="shared" si="29"/>
        <v>0</v>
      </c>
      <c r="H135" s="49">
        <f t="shared" si="29"/>
        <v>0</v>
      </c>
      <c r="I135" s="230">
        <f t="shared" si="29"/>
        <v>0</v>
      </c>
      <c r="J135" s="49">
        <f t="shared" si="29"/>
        <v>0</v>
      </c>
      <c r="K135" s="62">
        <f t="shared" si="29"/>
        <v>0</v>
      </c>
      <c r="L135" s="231">
        <f t="shared" si="29"/>
        <v>0</v>
      </c>
      <c r="M135" s="302">
        <f t="shared" si="29"/>
        <v>0</v>
      </c>
      <c r="N135" s="302">
        <f t="shared" si="29"/>
        <v>0</v>
      </c>
      <c r="O135" s="302">
        <f t="shared" si="29"/>
        <v>0</v>
      </c>
      <c r="P135" s="49">
        <f t="shared" si="29"/>
        <v>0</v>
      </c>
      <c r="Q135" s="235">
        <f t="shared" si="29"/>
        <v>0</v>
      </c>
      <c r="R135" s="291">
        <f t="shared" si="29"/>
        <v>0</v>
      </c>
      <c r="S135" s="50">
        <f t="shared" si="29"/>
        <v>0</v>
      </c>
      <c r="T135" s="227">
        <f t="shared" si="29"/>
        <v>0</v>
      </c>
      <c r="U135" s="49">
        <f t="shared" si="29"/>
        <v>0</v>
      </c>
      <c r="V135" s="49">
        <f t="shared" ref="V135:CG135" si="30">SUM(V44:V49)</f>
        <v>0</v>
      </c>
      <c r="W135" s="235">
        <f t="shared" si="30"/>
        <v>0</v>
      </c>
      <c r="X135" s="50">
        <f t="shared" si="30"/>
        <v>0</v>
      </c>
      <c r="Y135" s="49">
        <f t="shared" si="30"/>
        <v>0</v>
      </c>
      <c r="Z135" s="49">
        <f t="shared" si="30"/>
        <v>0</v>
      </c>
      <c r="AA135" s="49">
        <f t="shared" si="30"/>
        <v>0</v>
      </c>
      <c r="AB135" s="49">
        <f t="shared" si="30"/>
        <v>0</v>
      </c>
      <c r="AC135" s="50">
        <f t="shared" si="30"/>
        <v>0</v>
      </c>
      <c r="AD135" s="227">
        <f t="shared" si="30"/>
        <v>0</v>
      </c>
      <c r="AE135" s="49">
        <f t="shared" si="30"/>
        <v>0</v>
      </c>
      <c r="AF135" s="49">
        <f t="shared" si="30"/>
        <v>0</v>
      </c>
      <c r="AG135" s="50">
        <f t="shared" si="30"/>
        <v>0</v>
      </c>
      <c r="AH135" s="49">
        <f t="shared" si="30"/>
        <v>1340</v>
      </c>
      <c r="AI135" s="49">
        <f t="shared" si="30"/>
        <v>1405</v>
      </c>
      <c r="AJ135" s="49">
        <f t="shared" si="30"/>
        <v>1248</v>
      </c>
      <c r="AK135" s="49">
        <f t="shared" si="30"/>
        <v>1562</v>
      </c>
      <c r="AL135" s="49">
        <f t="shared" si="30"/>
        <v>1480</v>
      </c>
      <c r="AM135" s="49">
        <f t="shared" si="30"/>
        <v>1236</v>
      </c>
      <c r="AN135" s="50">
        <f t="shared" si="30"/>
        <v>1329</v>
      </c>
      <c r="AO135" s="49">
        <f t="shared" si="30"/>
        <v>0</v>
      </c>
      <c r="AP135" s="49">
        <f t="shared" si="30"/>
        <v>0</v>
      </c>
      <c r="AQ135" s="49">
        <f t="shared" si="30"/>
        <v>0</v>
      </c>
      <c r="AR135" s="50">
        <f t="shared" si="30"/>
        <v>0</v>
      </c>
      <c r="AS135" s="49">
        <f t="shared" si="30"/>
        <v>0</v>
      </c>
      <c r="AT135" s="49">
        <f t="shared" si="30"/>
        <v>0</v>
      </c>
      <c r="AU135" s="49">
        <f t="shared" si="30"/>
        <v>0</v>
      </c>
      <c r="AV135" s="49">
        <f t="shared" si="30"/>
        <v>0</v>
      </c>
      <c r="AW135" s="50">
        <f t="shared" si="30"/>
        <v>0</v>
      </c>
      <c r="AX135" s="49">
        <f t="shared" si="30"/>
        <v>0</v>
      </c>
      <c r="AY135" s="49">
        <f t="shared" si="30"/>
        <v>0</v>
      </c>
      <c r="AZ135" s="49">
        <f t="shared" si="30"/>
        <v>0</v>
      </c>
      <c r="BA135" s="50">
        <f t="shared" si="30"/>
        <v>0</v>
      </c>
      <c r="BB135" s="49">
        <f t="shared" si="30"/>
        <v>0</v>
      </c>
      <c r="BC135" s="49">
        <f t="shared" si="30"/>
        <v>0</v>
      </c>
      <c r="BD135" s="49">
        <f t="shared" si="30"/>
        <v>0</v>
      </c>
      <c r="BE135" s="49">
        <f t="shared" si="30"/>
        <v>0</v>
      </c>
      <c r="BF135" s="49">
        <f t="shared" si="30"/>
        <v>0</v>
      </c>
      <c r="BG135" s="62">
        <f t="shared" si="30"/>
        <v>0</v>
      </c>
      <c r="BH135" s="302">
        <f t="shared" si="30"/>
        <v>0</v>
      </c>
      <c r="BI135" s="49">
        <f t="shared" si="30"/>
        <v>0</v>
      </c>
      <c r="BJ135" s="50">
        <f t="shared" si="30"/>
        <v>0</v>
      </c>
      <c r="BK135" s="62">
        <f t="shared" si="30"/>
        <v>0</v>
      </c>
      <c r="BL135" s="231">
        <f t="shared" si="30"/>
        <v>0</v>
      </c>
      <c r="BM135" s="49">
        <f t="shared" si="30"/>
        <v>0</v>
      </c>
      <c r="BN135" s="49">
        <f t="shared" si="30"/>
        <v>0</v>
      </c>
      <c r="BO135" s="49">
        <f t="shared" si="30"/>
        <v>0</v>
      </c>
      <c r="BP135" s="82">
        <f t="shared" si="30"/>
        <v>0</v>
      </c>
      <c r="BQ135" s="227">
        <f t="shared" si="30"/>
        <v>0</v>
      </c>
      <c r="BR135" s="49">
        <f t="shared" si="30"/>
        <v>0</v>
      </c>
      <c r="BS135" s="230">
        <f t="shared" si="30"/>
        <v>0</v>
      </c>
      <c r="BT135" s="242">
        <f t="shared" si="30"/>
        <v>0</v>
      </c>
      <c r="BU135" s="242">
        <f t="shared" si="30"/>
        <v>0</v>
      </c>
      <c r="BV135" s="49">
        <f t="shared" si="30"/>
        <v>0</v>
      </c>
      <c r="BW135" s="49">
        <f t="shared" si="30"/>
        <v>0</v>
      </c>
      <c r="BX135" s="49">
        <f t="shared" si="30"/>
        <v>0</v>
      </c>
      <c r="BY135" s="49">
        <f t="shared" si="30"/>
        <v>0</v>
      </c>
      <c r="BZ135" s="49">
        <f t="shared" si="30"/>
        <v>0</v>
      </c>
      <c r="CA135" s="230">
        <f t="shared" si="30"/>
        <v>0</v>
      </c>
      <c r="CB135" s="49">
        <f t="shared" si="30"/>
        <v>0</v>
      </c>
      <c r="CC135" s="230">
        <f t="shared" si="30"/>
        <v>0</v>
      </c>
      <c r="CD135" s="49">
        <f t="shared" si="30"/>
        <v>0</v>
      </c>
      <c r="CE135" s="231">
        <f t="shared" si="30"/>
        <v>0</v>
      </c>
      <c r="CF135" s="231">
        <f t="shared" si="30"/>
        <v>0</v>
      </c>
      <c r="CG135" s="231">
        <f t="shared" si="30"/>
        <v>0</v>
      </c>
      <c r="CH135" s="242">
        <f t="shared" ref="CH135:EA135" si="31">SUM(CH44:CH49)</f>
        <v>0</v>
      </c>
      <c r="CI135" s="62">
        <f t="shared" si="31"/>
        <v>0</v>
      </c>
      <c r="CJ135" s="230">
        <f t="shared" si="31"/>
        <v>0</v>
      </c>
      <c r="CK135" s="49">
        <f t="shared" si="31"/>
        <v>0</v>
      </c>
      <c r="CL135" s="230">
        <f t="shared" si="31"/>
        <v>0</v>
      </c>
      <c r="CM135" s="242">
        <f t="shared" si="31"/>
        <v>0</v>
      </c>
      <c r="CN135" s="242">
        <f t="shared" si="31"/>
        <v>0</v>
      </c>
      <c r="CO135" s="49">
        <f t="shared" si="31"/>
        <v>0</v>
      </c>
      <c r="CP135" s="49">
        <f t="shared" si="31"/>
        <v>0</v>
      </c>
      <c r="CQ135" s="49">
        <f t="shared" si="31"/>
        <v>0</v>
      </c>
      <c r="CR135" s="230">
        <f t="shared" si="31"/>
        <v>0</v>
      </c>
      <c r="CS135" s="242">
        <f t="shared" si="31"/>
        <v>0</v>
      </c>
      <c r="CT135" s="302">
        <f t="shared" si="31"/>
        <v>0</v>
      </c>
      <c r="CU135" s="231">
        <f t="shared" si="31"/>
        <v>0</v>
      </c>
      <c r="CV135" s="302">
        <f t="shared" si="31"/>
        <v>0</v>
      </c>
      <c r="CW135" s="302">
        <f t="shared" si="31"/>
        <v>0</v>
      </c>
      <c r="CX135" s="82">
        <f t="shared" si="31"/>
        <v>0</v>
      </c>
      <c r="CY135" s="227">
        <f t="shared" si="31"/>
        <v>0</v>
      </c>
      <c r="CZ135" s="242">
        <f t="shared" si="31"/>
        <v>0</v>
      </c>
      <c r="DA135" s="242">
        <f t="shared" si="31"/>
        <v>0</v>
      </c>
      <c r="DB135" s="242">
        <f t="shared" si="31"/>
        <v>0</v>
      </c>
      <c r="DC135" s="49">
        <f t="shared" si="31"/>
        <v>0</v>
      </c>
      <c r="DD135" s="49">
        <f t="shared" si="31"/>
        <v>0</v>
      </c>
      <c r="DE135" s="49">
        <f t="shared" si="31"/>
        <v>0</v>
      </c>
      <c r="DF135" s="230">
        <f t="shared" si="31"/>
        <v>0</v>
      </c>
      <c r="DG135" s="242">
        <f t="shared" si="31"/>
        <v>0</v>
      </c>
      <c r="DH135" s="242">
        <f t="shared" si="31"/>
        <v>0</v>
      </c>
      <c r="DI135" s="242">
        <f t="shared" si="31"/>
        <v>0</v>
      </c>
      <c r="DJ135" s="242">
        <f t="shared" si="31"/>
        <v>0</v>
      </c>
      <c r="DK135" s="82">
        <f t="shared" si="31"/>
        <v>0</v>
      </c>
      <c r="DL135" s="62">
        <f t="shared" si="31"/>
        <v>0</v>
      </c>
      <c r="DM135" s="302">
        <f t="shared" si="31"/>
        <v>0</v>
      </c>
      <c r="DN135" s="49">
        <f t="shared" si="31"/>
        <v>0</v>
      </c>
      <c r="DO135" s="49">
        <f t="shared" si="31"/>
        <v>0</v>
      </c>
      <c r="DP135" s="49">
        <f t="shared" si="31"/>
        <v>0</v>
      </c>
      <c r="DQ135" s="49">
        <f t="shared" si="31"/>
        <v>0</v>
      </c>
      <c r="DR135" s="49">
        <f t="shared" si="31"/>
        <v>0</v>
      </c>
      <c r="DS135" s="50">
        <f t="shared" si="31"/>
        <v>0</v>
      </c>
      <c r="DT135" s="49">
        <f t="shared" si="31"/>
        <v>0</v>
      </c>
      <c r="DU135" s="49">
        <f t="shared" si="31"/>
        <v>0</v>
      </c>
      <c r="DV135" s="49">
        <f t="shared" si="31"/>
        <v>0</v>
      </c>
      <c r="DW135" s="49">
        <f t="shared" si="31"/>
        <v>0</v>
      </c>
      <c r="DX135" s="49">
        <f t="shared" si="31"/>
        <v>0</v>
      </c>
      <c r="DY135" s="49">
        <f t="shared" si="31"/>
        <v>0</v>
      </c>
      <c r="DZ135" s="49">
        <f t="shared" si="31"/>
        <v>0</v>
      </c>
      <c r="EA135" s="50">
        <f t="shared" si="31"/>
        <v>0</v>
      </c>
      <c r="EB135" s="19"/>
    </row>
    <row r="136" spans="1:132" s="12" customFormat="1" ht="12.75" customHeight="1" x14ac:dyDescent="0.3">
      <c r="B136" s="17" t="s">
        <v>704</v>
      </c>
      <c r="C136" s="235">
        <f>SUM(C50:C56)</f>
        <v>6762</v>
      </c>
      <c r="D136" s="235">
        <f>SUM(D50:D56)</f>
        <v>3765</v>
      </c>
      <c r="E136" s="906">
        <f t="shared" si="15"/>
        <v>0.55678793256433012</v>
      </c>
      <c r="F136" s="49">
        <f t="shared" ref="F136:U136" si="32">SUM(F50:F56)</f>
        <v>0</v>
      </c>
      <c r="G136" s="242">
        <f t="shared" si="32"/>
        <v>0</v>
      </c>
      <c r="H136" s="49">
        <f t="shared" si="32"/>
        <v>0</v>
      </c>
      <c r="I136" s="230">
        <f t="shared" si="32"/>
        <v>0</v>
      </c>
      <c r="J136" s="49">
        <f t="shared" si="32"/>
        <v>0</v>
      </c>
      <c r="K136" s="62">
        <f t="shared" si="32"/>
        <v>0</v>
      </c>
      <c r="L136" s="231">
        <f t="shared" si="32"/>
        <v>0</v>
      </c>
      <c r="M136" s="302">
        <f t="shared" si="32"/>
        <v>0</v>
      </c>
      <c r="N136" s="302">
        <f t="shared" si="32"/>
        <v>0</v>
      </c>
      <c r="O136" s="302">
        <f t="shared" si="32"/>
        <v>0</v>
      </c>
      <c r="P136" s="49">
        <f t="shared" si="32"/>
        <v>0</v>
      </c>
      <c r="Q136" s="235">
        <f t="shared" si="32"/>
        <v>0</v>
      </c>
      <c r="R136" s="291">
        <f t="shared" si="32"/>
        <v>0</v>
      </c>
      <c r="S136" s="50">
        <f t="shared" si="32"/>
        <v>0</v>
      </c>
      <c r="T136" s="227">
        <f t="shared" si="32"/>
        <v>0</v>
      </c>
      <c r="U136" s="49">
        <f t="shared" si="32"/>
        <v>0</v>
      </c>
      <c r="V136" s="49">
        <f t="shared" ref="V136:CG136" si="33">SUM(V50:V56)</f>
        <v>0</v>
      </c>
      <c r="W136" s="235">
        <f t="shared" si="33"/>
        <v>0</v>
      </c>
      <c r="X136" s="50">
        <f t="shared" si="33"/>
        <v>0</v>
      </c>
      <c r="Y136" s="49">
        <f t="shared" si="33"/>
        <v>0</v>
      </c>
      <c r="Z136" s="49">
        <f t="shared" si="33"/>
        <v>0</v>
      </c>
      <c r="AA136" s="49">
        <f t="shared" si="33"/>
        <v>0</v>
      </c>
      <c r="AB136" s="49">
        <f t="shared" si="33"/>
        <v>0</v>
      </c>
      <c r="AC136" s="50">
        <f t="shared" si="33"/>
        <v>0</v>
      </c>
      <c r="AD136" s="227">
        <f t="shared" si="33"/>
        <v>0</v>
      </c>
      <c r="AE136" s="49">
        <f t="shared" si="33"/>
        <v>0</v>
      </c>
      <c r="AF136" s="49">
        <f t="shared" si="33"/>
        <v>0</v>
      </c>
      <c r="AG136" s="50">
        <f t="shared" si="33"/>
        <v>0</v>
      </c>
      <c r="AH136" s="49">
        <f t="shared" si="33"/>
        <v>0</v>
      </c>
      <c r="AI136" s="49">
        <f t="shared" si="33"/>
        <v>0</v>
      </c>
      <c r="AJ136" s="49">
        <f t="shared" si="33"/>
        <v>0</v>
      </c>
      <c r="AK136" s="49">
        <f t="shared" si="33"/>
        <v>0</v>
      </c>
      <c r="AL136" s="49">
        <f t="shared" si="33"/>
        <v>0</v>
      </c>
      <c r="AM136" s="49">
        <f t="shared" si="33"/>
        <v>0</v>
      </c>
      <c r="AN136" s="50">
        <f t="shared" si="33"/>
        <v>0</v>
      </c>
      <c r="AO136" s="49">
        <f t="shared" si="33"/>
        <v>1999</v>
      </c>
      <c r="AP136" s="49">
        <f t="shared" si="33"/>
        <v>1696</v>
      </c>
      <c r="AQ136" s="49">
        <f t="shared" si="33"/>
        <v>1510</v>
      </c>
      <c r="AR136" s="50">
        <f t="shared" si="33"/>
        <v>1181</v>
      </c>
      <c r="AS136" s="49">
        <f t="shared" si="33"/>
        <v>0</v>
      </c>
      <c r="AT136" s="49">
        <f t="shared" si="33"/>
        <v>0</v>
      </c>
      <c r="AU136" s="49">
        <f t="shared" si="33"/>
        <v>0</v>
      </c>
      <c r="AV136" s="49">
        <f t="shared" si="33"/>
        <v>0</v>
      </c>
      <c r="AW136" s="50">
        <f t="shared" si="33"/>
        <v>0</v>
      </c>
      <c r="AX136" s="49">
        <f t="shared" si="33"/>
        <v>0</v>
      </c>
      <c r="AY136" s="49">
        <f t="shared" si="33"/>
        <v>0</v>
      </c>
      <c r="AZ136" s="49">
        <f t="shared" si="33"/>
        <v>0</v>
      </c>
      <c r="BA136" s="50">
        <f t="shared" si="33"/>
        <v>0</v>
      </c>
      <c r="BB136" s="49">
        <f t="shared" si="33"/>
        <v>0</v>
      </c>
      <c r="BC136" s="49">
        <f t="shared" si="33"/>
        <v>0</v>
      </c>
      <c r="BD136" s="49">
        <f t="shared" si="33"/>
        <v>0</v>
      </c>
      <c r="BE136" s="49">
        <f t="shared" si="33"/>
        <v>0</v>
      </c>
      <c r="BF136" s="49">
        <f t="shared" si="33"/>
        <v>0</v>
      </c>
      <c r="BG136" s="62">
        <f t="shared" si="33"/>
        <v>0</v>
      </c>
      <c r="BH136" s="302">
        <f t="shared" si="33"/>
        <v>0</v>
      </c>
      <c r="BI136" s="49">
        <f t="shared" si="33"/>
        <v>0</v>
      </c>
      <c r="BJ136" s="50">
        <f t="shared" si="33"/>
        <v>0</v>
      </c>
      <c r="BK136" s="62">
        <f t="shared" si="33"/>
        <v>0</v>
      </c>
      <c r="BL136" s="231">
        <f t="shared" si="33"/>
        <v>0</v>
      </c>
      <c r="BM136" s="49">
        <f t="shared" si="33"/>
        <v>0</v>
      </c>
      <c r="BN136" s="49">
        <f t="shared" si="33"/>
        <v>0</v>
      </c>
      <c r="BO136" s="49">
        <f t="shared" si="33"/>
        <v>0</v>
      </c>
      <c r="BP136" s="82">
        <f t="shared" si="33"/>
        <v>0</v>
      </c>
      <c r="BQ136" s="227">
        <f t="shared" si="33"/>
        <v>0</v>
      </c>
      <c r="BR136" s="49">
        <f t="shared" si="33"/>
        <v>0</v>
      </c>
      <c r="BS136" s="230">
        <f t="shared" si="33"/>
        <v>0</v>
      </c>
      <c r="BT136" s="242">
        <f t="shared" si="33"/>
        <v>0</v>
      </c>
      <c r="BU136" s="242">
        <f t="shared" si="33"/>
        <v>0</v>
      </c>
      <c r="BV136" s="49">
        <f t="shared" si="33"/>
        <v>0</v>
      </c>
      <c r="BW136" s="49">
        <f t="shared" si="33"/>
        <v>0</v>
      </c>
      <c r="BX136" s="49">
        <f t="shared" si="33"/>
        <v>0</v>
      </c>
      <c r="BY136" s="49">
        <f t="shared" si="33"/>
        <v>0</v>
      </c>
      <c r="BZ136" s="49">
        <f t="shared" si="33"/>
        <v>0</v>
      </c>
      <c r="CA136" s="230">
        <f t="shared" si="33"/>
        <v>0</v>
      </c>
      <c r="CB136" s="49">
        <f t="shared" si="33"/>
        <v>0</v>
      </c>
      <c r="CC136" s="230">
        <f t="shared" si="33"/>
        <v>0</v>
      </c>
      <c r="CD136" s="49">
        <f t="shared" si="33"/>
        <v>0</v>
      </c>
      <c r="CE136" s="231">
        <f t="shared" si="33"/>
        <v>0</v>
      </c>
      <c r="CF136" s="231">
        <f t="shared" si="33"/>
        <v>0</v>
      </c>
      <c r="CG136" s="231">
        <f t="shared" si="33"/>
        <v>0</v>
      </c>
      <c r="CH136" s="242">
        <f t="shared" ref="CH136:EA136" si="34">SUM(CH50:CH56)</f>
        <v>0</v>
      </c>
      <c r="CI136" s="62">
        <f t="shared" si="34"/>
        <v>0</v>
      </c>
      <c r="CJ136" s="230">
        <f t="shared" si="34"/>
        <v>0</v>
      </c>
      <c r="CK136" s="49">
        <f t="shared" si="34"/>
        <v>0</v>
      </c>
      <c r="CL136" s="230">
        <f t="shared" si="34"/>
        <v>0</v>
      </c>
      <c r="CM136" s="242">
        <f t="shared" si="34"/>
        <v>0</v>
      </c>
      <c r="CN136" s="242">
        <f t="shared" si="34"/>
        <v>0</v>
      </c>
      <c r="CO136" s="49">
        <f t="shared" si="34"/>
        <v>0</v>
      </c>
      <c r="CP136" s="49">
        <f t="shared" si="34"/>
        <v>0</v>
      </c>
      <c r="CQ136" s="49">
        <f t="shared" si="34"/>
        <v>0</v>
      </c>
      <c r="CR136" s="230">
        <f t="shared" si="34"/>
        <v>0</v>
      </c>
      <c r="CS136" s="242">
        <f t="shared" si="34"/>
        <v>0</v>
      </c>
      <c r="CT136" s="302">
        <f t="shared" si="34"/>
        <v>0</v>
      </c>
      <c r="CU136" s="231">
        <f t="shared" si="34"/>
        <v>0</v>
      </c>
      <c r="CV136" s="302">
        <f t="shared" si="34"/>
        <v>0</v>
      </c>
      <c r="CW136" s="302">
        <f t="shared" si="34"/>
        <v>0</v>
      </c>
      <c r="CX136" s="82">
        <f t="shared" si="34"/>
        <v>0</v>
      </c>
      <c r="CY136" s="227">
        <f t="shared" si="34"/>
        <v>0</v>
      </c>
      <c r="CZ136" s="242">
        <f t="shared" si="34"/>
        <v>0</v>
      </c>
      <c r="DA136" s="242">
        <f t="shared" si="34"/>
        <v>0</v>
      </c>
      <c r="DB136" s="242">
        <f t="shared" si="34"/>
        <v>0</v>
      </c>
      <c r="DC136" s="49">
        <f t="shared" si="34"/>
        <v>0</v>
      </c>
      <c r="DD136" s="49">
        <f t="shared" si="34"/>
        <v>0</v>
      </c>
      <c r="DE136" s="49">
        <f t="shared" si="34"/>
        <v>0</v>
      </c>
      <c r="DF136" s="230">
        <f t="shared" si="34"/>
        <v>0</v>
      </c>
      <c r="DG136" s="242">
        <f t="shared" si="34"/>
        <v>0</v>
      </c>
      <c r="DH136" s="242">
        <f t="shared" si="34"/>
        <v>0</v>
      </c>
      <c r="DI136" s="242">
        <f t="shared" si="34"/>
        <v>0</v>
      </c>
      <c r="DJ136" s="242">
        <f t="shared" si="34"/>
        <v>0</v>
      </c>
      <c r="DK136" s="82">
        <f t="shared" si="34"/>
        <v>0</v>
      </c>
      <c r="DL136" s="62">
        <f t="shared" si="34"/>
        <v>0</v>
      </c>
      <c r="DM136" s="302">
        <f t="shared" si="34"/>
        <v>0</v>
      </c>
      <c r="DN136" s="49">
        <f t="shared" si="34"/>
        <v>0</v>
      </c>
      <c r="DO136" s="49">
        <f t="shared" si="34"/>
        <v>0</v>
      </c>
      <c r="DP136" s="49">
        <f t="shared" si="34"/>
        <v>0</v>
      </c>
      <c r="DQ136" s="49">
        <f t="shared" si="34"/>
        <v>0</v>
      </c>
      <c r="DR136" s="49">
        <f t="shared" si="34"/>
        <v>0</v>
      </c>
      <c r="DS136" s="50">
        <f t="shared" si="34"/>
        <v>0</v>
      </c>
      <c r="DT136" s="49">
        <f t="shared" si="34"/>
        <v>0</v>
      </c>
      <c r="DU136" s="49">
        <f t="shared" si="34"/>
        <v>0</v>
      </c>
      <c r="DV136" s="49">
        <f t="shared" si="34"/>
        <v>0</v>
      </c>
      <c r="DW136" s="49">
        <f t="shared" si="34"/>
        <v>0</v>
      </c>
      <c r="DX136" s="49">
        <f t="shared" si="34"/>
        <v>0</v>
      </c>
      <c r="DY136" s="49">
        <f t="shared" si="34"/>
        <v>0</v>
      </c>
      <c r="DZ136" s="49">
        <f t="shared" si="34"/>
        <v>0</v>
      </c>
      <c r="EA136" s="50">
        <f t="shared" si="34"/>
        <v>0</v>
      </c>
      <c r="EB136" s="19"/>
    </row>
    <row r="137" spans="1:132" s="12" customFormat="1" ht="13" x14ac:dyDescent="0.3">
      <c r="B137" s="17" t="s">
        <v>705</v>
      </c>
      <c r="C137" s="235">
        <f>SUM(C57:C64)</f>
        <v>7317</v>
      </c>
      <c r="D137" s="235">
        <f>SUM(D57:D64)</f>
        <v>5097</v>
      </c>
      <c r="E137" s="906">
        <f t="shared" si="15"/>
        <v>0.6965969659696597</v>
      </c>
      <c r="F137" s="49">
        <f t="shared" ref="F137:U137" si="35">SUM(F57:F64)</f>
        <v>0</v>
      </c>
      <c r="G137" s="242">
        <f t="shared" si="35"/>
        <v>0</v>
      </c>
      <c r="H137" s="49">
        <f t="shared" si="35"/>
        <v>0</v>
      </c>
      <c r="I137" s="230">
        <f t="shared" si="35"/>
        <v>0</v>
      </c>
      <c r="J137" s="49">
        <f t="shared" si="35"/>
        <v>0</v>
      </c>
      <c r="K137" s="62">
        <f t="shared" si="35"/>
        <v>0</v>
      </c>
      <c r="L137" s="231">
        <f t="shared" si="35"/>
        <v>0</v>
      </c>
      <c r="M137" s="302">
        <f t="shared" si="35"/>
        <v>0</v>
      </c>
      <c r="N137" s="302">
        <f t="shared" si="35"/>
        <v>0</v>
      </c>
      <c r="O137" s="302">
        <f t="shared" si="35"/>
        <v>0</v>
      </c>
      <c r="P137" s="49">
        <f t="shared" si="35"/>
        <v>0</v>
      </c>
      <c r="Q137" s="235">
        <f t="shared" si="35"/>
        <v>0</v>
      </c>
      <c r="R137" s="291">
        <f t="shared" si="35"/>
        <v>0</v>
      </c>
      <c r="S137" s="50">
        <f t="shared" si="35"/>
        <v>0</v>
      </c>
      <c r="T137" s="227">
        <f t="shared" si="35"/>
        <v>0</v>
      </c>
      <c r="U137" s="49">
        <f t="shared" si="35"/>
        <v>0</v>
      </c>
      <c r="V137" s="49">
        <f t="shared" ref="V137:CG137" si="36">SUM(V57:V64)</f>
        <v>0</v>
      </c>
      <c r="W137" s="235">
        <f t="shared" si="36"/>
        <v>0</v>
      </c>
      <c r="X137" s="50">
        <f t="shared" si="36"/>
        <v>0</v>
      </c>
      <c r="Y137" s="49">
        <f t="shared" si="36"/>
        <v>0</v>
      </c>
      <c r="Z137" s="49">
        <f t="shared" si="36"/>
        <v>0</v>
      </c>
      <c r="AA137" s="49">
        <f t="shared" si="36"/>
        <v>0</v>
      </c>
      <c r="AB137" s="49">
        <f t="shared" si="36"/>
        <v>0</v>
      </c>
      <c r="AC137" s="50">
        <f t="shared" si="36"/>
        <v>0</v>
      </c>
      <c r="AD137" s="227">
        <f t="shared" si="36"/>
        <v>0</v>
      </c>
      <c r="AE137" s="49">
        <f t="shared" si="36"/>
        <v>0</v>
      </c>
      <c r="AF137" s="49">
        <f t="shared" si="36"/>
        <v>0</v>
      </c>
      <c r="AG137" s="50">
        <f t="shared" si="36"/>
        <v>0</v>
      </c>
      <c r="AH137" s="49">
        <f t="shared" si="36"/>
        <v>0</v>
      </c>
      <c r="AI137" s="49">
        <f t="shared" si="36"/>
        <v>0</v>
      </c>
      <c r="AJ137" s="49">
        <f t="shared" si="36"/>
        <v>0</v>
      </c>
      <c r="AK137" s="49">
        <f t="shared" si="36"/>
        <v>0</v>
      </c>
      <c r="AL137" s="49">
        <f t="shared" si="36"/>
        <v>0</v>
      </c>
      <c r="AM137" s="49">
        <f t="shared" si="36"/>
        <v>0</v>
      </c>
      <c r="AN137" s="50">
        <f t="shared" si="36"/>
        <v>0</v>
      </c>
      <c r="AO137" s="49">
        <f t="shared" si="36"/>
        <v>0</v>
      </c>
      <c r="AP137" s="49">
        <f t="shared" si="36"/>
        <v>0</v>
      </c>
      <c r="AQ137" s="49">
        <f t="shared" si="36"/>
        <v>0</v>
      </c>
      <c r="AR137" s="50">
        <f t="shared" si="36"/>
        <v>0</v>
      </c>
      <c r="AS137" s="49">
        <f>SUM(AS57:AS64)</f>
        <v>1432</v>
      </c>
      <c r="AT137" s="49">
        <f t="shared" si="36"/>
        <v>1283</v>
      </c>
      <c r="AU137" s="49">
        <f t="shared" si="36"/>
        <v>3091</v>
      </c>
      <c r="AV137" s="49">
        <f t="shared" si="36"/>
        <v>2896</v>
      </c>
      <c r="AW137" s="50">
        <f>SUM(AW57:AW64)</f>
        <v>3840</v>
      </c>
      <c r="AX137" s="49">
        <f t="shared" si="36"/>
        <v>0</v>
      </c>
      <c r="AY137" s="49">
        <f t="shared" si="36"/>
        <v>0</v>
      </c>
      <c r="AZ137" s="49">
        <f t="shared" si="36"/>
        <v>0</v>
      </c>
      <c r="BA137" s="50">
        <f t="shared" si="36"/>
        <v>0</v>
      </c>
      <c r="BB137" s="49">
        <f t="shared" si="36"/>
        <v>0</v>
      </c>
      <c r="BC137" s="49">
        <f t="shared" si="36"/>
        <v>0</v>
      </c>
      <c r="BD137" s="49">
        <f t="shared" si="36"/>
        <v>0</v>
      </c>
      <c r="BE137" s="49">
        <f t="shared" si="36"/>
        <v>0</v>
      </c>
      <c r="BF137" s="49">
        <f t="shared" si="36"/>
        <v>0</v>
      </c>
      <c r="BG137" s="62">
        <f t="shared" si="36"/>
        <v>0</v>
      </c>
      <c r="BH137" s="302">
        <f t="shared" si="36"/>
        <v>0</v>
      </c>
      <c r="BI137" s="49">
        <f t="shared" si="36"/>
        <v>0</v>
      </c>
      <c r="BJ137" s="50">
        <f t="shared" si="36"/>
        <v>0</v>
      </c>
      <c r="BK137" s="62">
        <f t="shared" si="36"/>
        <v>0</v>
      </c>
      <c r="BL137" s="231">
        <f t="shared" si="36"/>
        <v>0</v>
      </c>
      <c r="BM137" s="49">
        <f t="shared" si="36"/>
        <v>0</v>
      </c>
      <c r="BN137" s="49">
        <f t="shared" si="36"/>
        <v>0</v>
      </c>
      <c r="BO137" s="49">
        <f t="shared" si="36"/>
        <v>0</v>
      </c>
      <c r="BP137" s="82">
        <f t="shared" si="36"/>
        <v>0</v>
      </c>
      <c r="BQ137" s="227">
        <f t="shared" si="36"/>
        <v>0</v>
      </c>
      <c r="BR137" s="49">
        <f t="shared" si="36"/>
        <v>0</v>
      </c>
      <c r="BS137" s="230">
        <f t="shared" si="36"/>
        <v>0</v>
      </c>
      <c r="BT137" s="242">
        <f t="shared" si="36"/>
        <v>0</v>
      </c>
      <c r="BU137" s="242">
        <f t="shared" si="36"/>
        <v>0</v>
      </c>
      <c r="BV137" s="49">
        <f t="shared" si="36"/>
        <v>0</v>
      </c>
      <c r="BW137" s="49">
        <f t="shared" si="36"/>
        <v>0</v>
      </c>
      <c r="BX137" s="49">
        <f t="shared" si="36"/>
        <v>0</v>
      </c>
      <c r="BY137" s="49">
        <f t="shared" si="36"/>
        <v>0</v>
      </c>
      <c r="BZ137" s="49">
        <f t="shared" si="36"/>
        <v>0</v>
      </c>
      <c r="CA137" s="230">
        <f t="shared" si="36"/>
        <v>0</v>
      </c>
      <c r="CB137" s="49">
        <f t="shared" si="36"/>
        <v>0</v>
      </c>
      <c r="CC137" s="230">
        <f t="shared" si="36"/>
        <v>0</v>
      </c>
      <c r="CD137" s="49">
        <f t="shared" si="36"/>
        <v>0</v>
      </c>
      <c r="CE137" s="231">
        <f t="shared" si="36"/>
        <v>0</v>
      </c>
      <c r="CF137" s="231">
        <f t="shared" si="36"/>
        <v>0</v>
      </c>
      <c r="CG137" s="231">
        <f t="shared" si="36"/>
        <v>0</v>
      </c>
      <c r="CH137" s="242">
        <f t="shared" ref="CH137:EA137" si="37">SUM(CH57:CH64)</f>
        <v>0</v>
      </c>
      <c r="CI137" s="62">
        <f t="shared" si="37"/>
        <v>0</v>
      </c>
      <c r="CJ137" s="230">
        <f t="shared" si="37"/>
        <v>0</v>
      </c>
      <c r="CK137" s="49">
        <f t="shared" si="37"/>
        <v>0</v>
      </c>
      <c r="CL137" s="230">
        <f t="shared" si="37"/>
        <v>0</v>
      </c>
      <c r="CM137" s="242">
        <f t="shared" si="37"/>
        <v>0</v>
      </c>
      <c r="CN137" s="242">
        <f t="shared" si="37"/>
        <v>0</v>
      </c>
      <c r="CO137" s="49">
        <f t="shared" si="37"/>
        <v>0</v>
      </c>
      <c r="CP137" s="49">
        <f t="shared" si="37"/>
        <v>0</v>
      </c>
      <c r="CQ137" s="49">
        <f t="shared" si="37"/>
        <v>0</v>
      </c>
      <c r="CR137" s="230">
        <f t="shared" si="37"/>
        <v>0</v>
      </c>
      <c r="CS137" s="242">
        <f t="shared" si="37"/>
        <v>0</v>
      </c>
      <c r="CT137" s="302">
        <f t="shared" si="37"/>
        <v>0</v>
      </c>
      <c r="CU137" s="231">
        <f t="shared" si="37"/>
        <v>0</v>
      </c>
      <c r="CV137" s="302">
        <f t="shared" si="37"/>
        <v>0</v>
      </c>
      <c r="CW137" s="302">
        <f t="shared" si="37"/>
        <v>0</v>
      </c>
      <c r="CX137" s="82">
        <f t="shared" si="37"/>
        <v>0</v>
      </c>
      <c r="CY137" s="227">
        <f t="shared" si="37"/>
        <v>0</v>
      </c>
      <c r="CZ137" s="242">
        <f t="shared" si="37"/>
        <v>0</v>
      </c>
      <c r="DA137" s="242">
        <f t="shared" si="37"/>
        <v>0</v>
      </c>
      <c r="DB137" s="242">
        <f t="shared" si="37"/>
        <v>0</v>
      </c>
      <c r="DC137" s="49">
        <f t="shared" si="37"/>
        <v>0</v>
      </c>
      <c r="DD137" s="49">
        <f t="shared" si="37"/>
        <v>0</v>
      </c>
      <c r="DE137" s="49">
        <f t="shared" si="37"/>
        <v>0</v>
      </c>
      <c r="DF137" s="230">
        <f t="shared" si="37"/>
        <v>0</v>
      </c>
      <c r="DG137" s="242">
        <f t="shared" si="37"/>
        <v>0</v>
      </c>
      <c r="DH137" s="242">
        <f t="shared" si="37"/>
        <v>0</v>
      </c>
      <c r="DI137" s="242">
        <f t="shared" si="37"/>
        <v>0</v>
      </c>
      <c r="DJ137" s="242">
        <f t="shared" si="37"/>
        <v>0</v>
      </c>
      <c r="DK137" s="82">
        <f t="shared" si="37"/>
        <v>0</v>
      </c>
      <c r="DL137" s="62">
        <f t="shared" si="37"/>
        <v>0</v>
      </c>
      <c r="DM137" s="302">
        <f t="shared" si="37"/>
        <v>0</v>
      </c>
      <c r="DN137" s="49">
        <f t="shared" si="37"/>
        <v>0</v>
      </c>
      <c r="DO137" s="49">
        <f t="shared" si="37"/>
        <v>0</v>
      </c>
      <c r="DP137" s="49">
        <f t="shared" si="37"/>
        <v>0</v>
      </c>
      <c r="DQ137" s="49">
        <f t="shared" si="37"/>
        <v>0</v>
      </c>
      <c r="DR137" s="49">
        <f t="shared" si="37"/>
        <v>0</v>
      </c>
      <c r="DS137" s="50">
        <f t="shared" si="37"/>
        <v>0</v>
      </c>
      <c r="DT137" s="49">
        <f t="shared" si="37"/>
        <v>0</v>
      </c>
      <c r="DU137" s="49">
        <f t="shared" si="37"/>
        <v>0</v>
      </c>
      <c r="DV137" s="49">
        <f t="shared" si="37"/>
        <v>0</v>
      </c>
      <c r="DW137" s="49">
        <f t="shared" si="37"/>
        <v>0</v>
      </c>
      <c r="DX137" s="49">
        <f t="shared" si="37"/>
        <v>0</v>
      </c>
      <c r="DY137" s="49">
        <f t="shared" si="37"/>
        <v>0</v>
      </c>
      <c r="DZ137" s="49">
        <f t="shared" si="37"/>
        <v>0</v>
      </c>
      <c r="EA137" s="50">
        <f t="shared" si="37"/>
        <v>0</v>
      </c>
      <c r="EB137" s="19"/>
    </row>
    <row r="138" spans="1:132" s="12" customFormat="1" ht="12.75" customHeight="1" x14ac:dyDescent="0.3">
      <c r="B138" s="17" t="s">
        <v>832</v>
      </c>
      <c r="C138" s="296">
        <f>SUM(C65)</f>
        <v>19</v>
      </c>
      <c r="D138" s="296">
        <f>SUM(D65)</f>
        <v>12</v>
      </c>
      <c r="E138" s="906">
        <f t="shared" si="15"/>
        <v>0.63157894736842102</v>
      </c>
      <c r="F138" s="49">
        <f t="shared" ref="F138:U138" si="38">SUM(F65)</f>
        <v>0</v>
      </c>
      <c r="G138" s="242">
        <f t="shared" si="38"/>
        <v>0</v>
      </c>
      <c r="H138" s="49">
        <f t="shared" si="38"/>
        <v>0</v>
      </c>
      <c r="I138" s="230">
        <f t="shared" si="38"/>
        <v>0</v>
      </c>
      <c r="J138" s="49">
        <f t="shared" si="38"/>
        <v>0</v>
      </c>
      <c r="K138" s="62">
        <f t="shared" si="38"/>
        <v>0</v>
      </c>
      <c r="L138" s="231">
        <f t="shared" si="38"/>
        <v>0</v>
      </c>
      <c r="M138" s="302">
        <f t="shared" si="38"/>
        <v>0</v>
      </c>
      <c r="N138" s="302">
        <f t="shared" si="38"/>
        <v>0</v>
      </c>
      <c r="O138" s="302">
        <f t="shared" si="38"/>
        <v>0</v>
      </c>
      <c r="P138" s="49">
        <f t="shared" si="38"/>
        <v>0</v>
      </c>
      <c r="Q138" s="235">
        <f t="shared" si="38"/>
        <v>0</v>
      </c>
      <c r="R138" s="291">
        <f t="shared" si="38"/>
        <v>0</v>
      </c>
      <c r="S138" s="50">
        <f t="shared" si="38"/>
        <v>0</v>
      </c>
      <c r="T138" s="227">
        <f t="shared" si="38"/>
        <v>0</v>
      </c>
      <c r="U138" s="49">
        <f t="shared" si="38"/>
        <v>0</v>
      </c>
      <c r="V138" s="49">
        <f t="shared" ref="V138:CG138" si="39">SUM(V65)</f>
        <v>0</v>
      </c>
      <c r="W138" s="235">
        <f t="shared" si="39"/>
        <v>0</v>
      </c>
      <c r="X138" s="50">
        <f t="shared" si="39"/>
        <v>0</v>
      </c>
      <c r="Y138" s="49">
        <f t="shared" si="39"/>
        <v>0</v>
      </c>
      <c r="Z138" s="49">
        <f t="shared" si="39"/>
        <v>0</v>
      </c>
      <c r="AA138" s="49">
        <f t="shared" si="39"/>
        <v>0</v>
      </c>
      <c r="AB138" s="49">
        <f t="shared" si="39"/>
        <v>0</v>
      </c>
      <c r="AC138" s="50">
        <f t="shared" si="39"/>
        <v>0</v>
      </c>
      <c r="AD138" s="227">
        <f t="shared" si="39"/>
        <v>0</v>
      </c>
      <c r="AE138" s="49">
        <f t="shared" si="39"/>
        <v>0</v>
      </c>
      <c r="AF138" s="49">
        <f t="shared" si="39"/>
        <v>0</v>
      </c>
      <c r="AG138" s="50">
        <f t="shared" si="39"/>
        <v>0</v>
      </c>
      <c r="AH138" s="49">
        <f t="shared" si="39"/>
        <v>0</v>
      </c>
      <c r="AI138" s="49">
        <f t="shared" si="39"/>
        <v>0</v>
      </c>
      <c r="AJ138" s="49">
        <f t="shared" si="39"/>
        <v>0</v>
      </c>
      <c r="AK138" s="49">
        <f t="shared" si="39"/>
        <v>0</v>
      </c>
      <c r="AL138" s="49">
        <f t="shared" si="39"/>
        <v>0</v>
      </c>
      <c r="AM138" s="49">
        <f t="shared" si="39"/>
        <v>0</v>
      </c>
      <c r="AN138" s="50">
        <f t="shared" si="39"/>
        <v>0</v>
      </c>
      <c r="AO138" s="49">
        <f t="shared" si="39"/>
        <v>0</v>
      </c>
      <c r="AP138" s="49">
        <f t="shared" si="39"/>
        <v>0</v>
      </c>
      <c r="AQ138" s="49">
        <f t="shared" si="39"/>
        <v>0</v>
      </c>
      <c r="AR138" s="50">
        <f t="shared" si="39"/>
        <v>0</v>
      </c>
      <c r="AS138" s="49">
        <f t="shared" si="39"/>
        <v>0</v>
      </c>
      <c r="AT138" s="49">
        <f t="shared" si="39"/>
        <v>0</v>
      </c>
      <c r="AU138" s="49">
        <f t="shared" si="39"/>
        <v>0</v>
      </c>
      <c r="AV138" s="49">
        <f t="shared" si="39"/>
        <v>0</v>
      </c>
      <c r="AW138" s="50">
        <f t="shared" si="39"/>
        <v>0</v>
      </c>
      <c r="AX138" s="49">
        <f t="shared" si="39"/>
        <v>4</v>
      </c>
      <c r="AY138" s="49">
        <f t="shared" si="39"/>
        <v>3</v>
      </c>
      <c r="AZ138" s="49">
        <f t="shared" si="39"/>
        <v>5</v>
      </c>
      <c r="BA138" s="50">
        <f t="shared" si="39"/>
        <v>5</v>
      </c>
      <c r="BB138" s="49">
        <f t="shared" si="39"/>
        <v>0</v>
      </c>
      <c r="BC138" s="49">
        <f t="shared" si="39"/>
        <v>0</v>
      </c>
      <c r="BD138" s="49">
        <f t="shared" si="39"/>
        <v>0</v>
      </c>
      <c r="BE138" s="49">
        <f t="shared" si="39"/>
        <v>0</v>
      </c>
      <c r="BF138" s="49">
        <f t="shared" si="39"/>
        <v>0</v>
      </c>
      <c r="BG138" s="62">
        <f t="shared" si="39"/>
        <v>0</v>
      </c>
      <c r="BH138" s="302">
        <f t="shared" si="39"/>
        <v>0</v>
      </c>
      <c r="BI138" s="49">
        <f t="shared" si="39"/>
        <v>0</v>
      </c>
      <c r="BJ138" s="50">
        <f t="shared" si="39"/>
        <v>0</v>
      </c>
      <c r="BK138" s="62">
        <f t="shared" si="39"/>
        <v>0</v>
      </c>
      <c r="BL138" s="231">
        <f t="shared" si="39"/>
        <v>0</v>
      </c>
      <c r="BM138" s="49">
        <f t="shared" si="39"/>
        <v>0</v>
      </c>
      <c r="BN138" s="49">
        <f t="shared" si="39"/>
        <v>0</v>
      </c>
      <c r="BO138" s="49">
        <f t="shared" si="39"/>
        <v>0</v>
      </c>
      <c r="BP138" s="82">
        <f t="shared" si="39"/>
        <v>0</v>
      </c>
      <c r="BQ138" s="227">
        <f t="shared" si="39"/>
        <v>0</v>
      </c>
      <c r="BR138" s="49">
        <f t="shared" si="39"/>
        <v>0</v>
      </c>
      <c r="BS138" s="230">
        <f t="shared" si="39"/>
        <v>0</v>
      </c>
      <c r="BT138" s="242">
        <f t="shared" si="39"/>
        <v>0</v>
      </c>
      <c r="BU138" s="242">
        <f t="shared" si="39"/>
        <v>0</v>
      </c>
      <c r="BV138" s="49">
        <f t="shared" si="39"/>
        <v>0</v>
      </c>
      <c r="BW138" s="49">
        <f t="shared" si="39"/>
        <v>0</v>
      </c>
      <c r="BX138" s="49">
        <f t="shared" si="39"/>
        <v>0</v>
      </c>
      <c r="BY138" s="49">
        <f t="shared" si="39"/>
        <v>0</v>
      </c>
      <c r="BZ138" s="49">
        <f t="shared" si="39"/>
        <v>0</v>
      </c>
      <c r="CA138" s="230">
        <f t="shared" si="39"/>
        <v>0</v>
      </c>
      <c r="CB138" s="49">
        <f t="shared" si="39"/>
        <v>0</v>
      </c>
      <c r="CC138" s="230">
        <f t="shared" si="39"/>
        <v>0</v>
      </c>
      <c r="CD138" s="49">
        <f t="shared" si="39"/>
        <v>0</v>
      </c>
      <c r="CE138" s="231">
        <f t="shared" si="39"/>
        <v>0</v>
      </c>
      <c r="CF138" s="231">
        <f t="shared" si="39"/>
        <v>0</v>
      </c>
      <c r="CG138" s="231">
        <f t="shared" si="39"/>
        <v>0</v>
      </c>
      <c r="CH138" s="242">
        <f t="shared" ref="CH138:EA138" si="40">SUM(CH65)</f>
        <v>0</v>
      </c>
      <c r="CI138" s="62">
        <f t="shared" si="40"/>
        <v>0</v>
      </c>
      <c r="CJ138" s="230">
        <f t="shared" si="40"/>
        <v>0</v>
      </c>
      <c r="CK138" s="49">
        <f t="shared" si="40"/>
        <v>0</v>
      </c>
      <c r="CL138" s="230">
        <f t="shared" si="40"/>
        <v>0</v>
      </c>
      <c r="CM138" s="242">
        <f t="shared" si="40"/>
        <v>0</v>
      </c>
      <c r="CN138" s="242">
        <f t="shared" si="40"/>
        <v>0</v>
      </c>
      <c r="CO138" s="49">
        <f t="shared" si="40"/>
        <v>0</v>
      </c>
      <c r="CP138" s="49">
        <f t="shared" si="40"/>
        <v>0</v>
      </c>
      <c r="CQ138" s="49">
        <f t="shared" si="40"/>
        <v>0</v>
      </c>
      <c r="CR138" s="230">
        <f t="shared" si="40"/>
        <v>0</v>
      </c>
      <c r="CS138" s="242">
        <f t="shared" si="40"/>
        <v>0</v>
      </c>
      <c r="CT138" s="302">
        <f t="shared" si="40"/>
        <v>0</v>
      </c>
      <c r="CU138" s="231">
        <f t="shared" si="40"/>
        <v>0</v>
      </c>
      <c r="CV138" s="302">
        <f t="shared" si="40"/>
        <v>0</v>
      </c>
      <c r="CW138" s="302">
        <f t="shared" si="40"/>
        <v>0</v>
      </c>
      <c r="CX138" s="82">
        <f t="shared" si="40"/>
        <v>0</v>
      </c>
      <c r="CY138" s="227">
        <f t="shared" si="40"/>
        <v>0</v>
      </c>
      <c r="CZ138" s="242">
        <f t="shared" si="40"/>
        <v>0</v>
      </c>
      <c r="DA138" s="242">
        <f t="shared" si="40"/>
        <v>0</v>
      </c>
      <c r="DB138" s="242">
        <f t="shared" si="40"/>
        <v>0</v>
      </c>
      <c r="DC138" s="49">
        <f t="shared" si="40"/>
        <v>0</v>
      </c>
      <c r="DD138" s="49">
        <f t="shared" si="40"/>
        <v>0</v>
      </c>
      <c r="DE138" s="49">
        <f t="shared" si="40"/>
        <v>0</v>
      </c>
      <c r="DF138" s="230">
        <f t="shared" si="40"/>
        <v>0</v>
      </c>
      <c r="DG138" s="242">
        <f t="shared" si="40"/>
        <v>0</v>
      </c>
      <c r="DH138" s="242">
        <f t="shared" si="40"/>
        <v>0</v>
      </c>
      <c r="DI138" s="242">
        <f t="shared" si="40"/>
        <v>0</v>
      </c>
      <c r="DJ138" s="242">
        <f t="shared" si="40"/>
        <v>0</v>
      </c>
      <c r="DK138" s="82">
        <f t="shared" si="40"/>
        <v>0</v>
      </c>
      <c r="DL138" s="62">
        <f t="shared" si="40"/>
        <v>0</v>
      </c>
      <c r="DM138" s="302">
        <f t="shared" si="40"/>
        <v>0</v>
      </c>
      <c r="DN138" s="49">
        <f t="shared" si="40"/>
        <v>0</v>
      </c>
      <c r="DO138" s="49">
        <f t="shared" si="40"/>
        <v>0</v>
      </c>
      <c r="DP138" s="49">
        <f t="shared" si="40"/>
        <v>0</v>
      </c>
      <c r="DQ138" s="49">
        <f t="shared" si="40"/>
        <v>0</v>
      </c>
      <c r="DR138" s="49">
        <f t="shared" si="40"/>
        <v>0</v>
      </c>
      <c r="DS138" s="50">
        <f t="shared" si="40"/>
        <v>0</v>
      </c>
      <c r="DT138" s="49">
        <f t="shared" si="40"/>
        <v>0</v>
      </c>
      <c r="DU138" s="49">
        <f t="shared" si="40"/>
        <v>0</v>
      </c>
      <c r="DV138" s="49">
        <f t="shared" si="40"/>
        <v>0</v>
      </c>
      <c r="DW138" s="49">
        <f t="shared" si="40"/>
        <v>0</v>
      </c>
      <c r="DX138" s="49">
        <f t="shared" si="40"/>
        <v>0</v>
      </c>
      <c r="DY138" s="49">
        <f t="shared" si="40"/>
        <v>0</v>
      </c>
      <c r="DZ138" s="49">
        <f t="shared" si="40"/>
        <v>0</v>
      </c>
      <c r="EA138" s="50">
        <f t="shared" si="40"/>
        <v>0</v>
      </c>
      <c r="EB138" s="19"/>
    </row>
    <row r="139" spans="1:132" s="12" customFormat="1" ht="13" x14ac:dyDescent="0.3">
      <c r="B139" s="17" t="s">
        <v>706</v>
      </c>
      <c r="C139" s="235">
        <f>SUM(C66:C74)</f>
        <v>8939</v>
      </c>
      <c r="D139" s="235">
        <f>SUM(D66:D74)</f>
        <v>5857</v>
      </c>
      <c r="E139" s="906">
        <f t="shared" si="15"/>
        <v>0.65521870455308195</v>
      </c>
      <c r="F139" s="49">
        <f>SUM(F66:F74)</f>
        <v>0</v>
      </c>
      <c r="G139" s="242">
        <f>SUM(G66:G74)</f>
        <v>0</v>
      </c>
      <c r="H139" s="49">
        <f t="shared" ref="H139:U139" si="41">SUM(H66:H74)</f>
        <v>0</v>
      </c>
      <c r="I139" s="230">
        <f t="shared" si="41"/>
        <v>0</v>
      </c>
      <c r="J139" s="49">
        <f t="shared" ref="J139" si="42">SUM(J66:J74)</f>
        <v>0</v>
      </c>
      <c r="K139" s="62">
        <f t="shared" si="41"/>
        <v>0</v>
      </c>
      <c r="L139" s="231">
        <f t="shared" ref="L139:M139" si="43">SUM(L66:L74)</f>
        <v>0</v>
      </c>
      <c r="M139" s="302">
        <f t="shared" si="43"/>
        <v>0</v>
      </c>
      <c r="N139" s="302">
        <f t="shared" si="41"/>
        <v>0</v>
      </c>
      <c r="O139" s="302">
        <f t="shared" si="41"/>
        <v>0</v>
      </c>
      <c r="P139" s="49">
        <f>SUM(P66:P74)</f>
        <v>0</v>
      </c>
      <c r="Q139" s="235">
        <f t="shared" si="41"/>
        <v>0</v>
      </c>
      <c r="R139" s="291">
        <f t="shared" ref="R139" si="44">SUM(R66:R74)</f>
        <v>0</v>
      </c>
      <c r="S139" s="50">
        <f t="shared" si="41"/>
        <v>0</v>
      </c>
      <c r="T139" s="227">
        <f t="shared" si="41"/>
        <v>0</v>
      </c>
      <c r="U139" s="49">
        <f t="shared" si="41"/>
        <v>0</v>
      </c>
      <c r="V139" s="49">
        <f t="shared" ref="V139:CG139" si="45">SUM(V66:V74)</f>
        <v>0</v>
      </c>
      <c r="W139" s="235">
        <f t="shared" si="45"/>
        <v>0</v>
      </c>
      <c r="X139" s="50">
        <f t="shared" si="45"/>
        <v>0</v>
      </c>
      <c r="Y139" s="49">
        <f t="shared" si="45"/>
        <v>0</v>
      </c>
      <c r="Z139" s="49">
        <f t="shared" si="45"/>
        <v>0</v>
      </c>
      <c r="AA139" s="49">
        <f t="shared" si="45"/>
        <v>0</v>
      </c>
      <c r="AB139" s="49">
        <f t="shared" si="45"/>
        <v>0</v>
      </c>
      <c r="AC139" s="50">
        <f t="shared" si="45"/>
        <v>0</v>
      </c>
      <c r="AD139" s="227">
        <f t="shared" si="45"/>
        <v>0</v>
      </c>
      <c r="AE139" s="49">
        <f t="shared" si="45"/>
        <v>0</v>
      </c>
      <c r="AF139" s="49">
        <f t="shared" si="45"/>
        <v>0</v>
      </c>
      <c r="AG139" s="50">
        <f t="shared" si="45"/>
        <v>0</v>
      </c>
      <c r="AH139" s="49">
        <f t="shared" si="45"/>
        <v>0</v>
      </c>
      <c r="AI139" s="49">
        <f t="shared" si="45"/>
        <v>0</v>
      </c>
      <c r="AJ139" s="49">
        <f t="shared" si="45"/>
        <v>0</v>
      </c>
      <c r="AK139" s="49">
        <f t="shared" si="45"/>
        <v>0</v>
      </c>
      <c r="AL139" s="49">
        <f t="shared" si="45"/>
        <v>0</v>
      </c>
      <c r="AM139" s="49">
        <f t="shared" si="45"/>
        <v>0</v>
      </c>
      <c r="AN139" s="50">
        <f t="shared" si="45"/>
        <v>0</v>
      </c>
      <c r="AO139" s="49">
        <f t="shared" si="45"/>
        <v>0</v>
      </c>
      <c r="AP139" s="49">
        <f t="shared" si="45"/>
        <v>0</v>
      </c>
      <c r="AQ139" s="49">
        <f t="shared" si="45"/>
        <v>0</v>
      </c>
      <c r="AR139" s="50">
        <f t="shared" si="45"/>
        <v>0</v>
      </c>
      <c r="AS139" s="49">
        <f t="shared" si="45"/>
        <v>0</v>
      </c>
      <c r="AT139" s="49">
        <f t="shared" si="45"/>
        <v>0</v>
      </c>
      <c r="AU139" s="49">
        <f t="shared" si="45"/>
        <v>0</v>
      </c>
      <c r="AV139" s="49">
        <f t="shared" si="45"/>
        <v>0</v>
      </c>
      <c r="AW139" s="50">
        <f t="shared" si="45"/>
        <v>0</v>
      </c>
      <c r="AX139" s="49">
        <f t="shared" si="45"/>
        <v>0</v>
      </c>
      <c r="AY139" s="49">
        <f t="shared" si="45"/>
        <v>0</v>
      </c>
      <c r="AZ139" s="49">
        <f t="shared" si="45"/>
        <v>0</v>
      </c>
      <c r="BA139" s="50">
        <f t="shared" si="45"/>
        <v>0</v>
      </c>
      <c r="BB139" s="49">
        <f t="shared" si="45"/>
        <v>2775</v>
      </c>
      <c r="BC139" s="49">
        <f t="shared" si="45"/>
        <v>1964</v>
      </c>
      <c r="BD139" s="49">
        <f t="shared" si="45"/>
        <v>1432</v>
      </c>
      <c r="BE139" s="49">
        <f t="shared" si="45"/>
        <v>996</v>
      </c>
      <c r="BF139" s="49">
        <f t="shared" si="45"/>
        <v>3062</v>
      </c>
      <c r="BG139" s="62">
        <f t="shared" si="45"/>
        <v>0</v>
      </c>
      <c r="BH139" s="302">
        <f t="shared" si="45"/>
        <v>0</v>
      </c>
      <c r="BI139" s="49">
        <f t="shared" si="45"/>
        <v>0</v>
      </c>
      <c r="BJ139" s="50">
        <f t="shared" si="45"/>
        <v>0</v>
      </c>
      <c r="BK139" s="62">
        <f t="shared" si="45"/>
        <v>0</v>
      </c>
      <c r="BL139" s="231">
        <f t="shared" si="45"/>
        <v>0</v>
      </c>
      <c r="BM139" s="49">
        <f t="shared" si="45"/>
        <v>0</v>
      </c>
      <c r="BN139" s="49">
        <f t="shared" si="45"/>
        <v>0</v>
      </c>
      <c r="BO139" s="49">
        <f t="shared" si="45"/>
        <v>0</v>
      </c>
      <c r="BP139" s="82">
        <f t="shared" si="45"/>
        <v>0</v>
      </c>
      <c r="BQ139" s="227">
        <f t="shared" si="45"/>
        <v>0</v>
      </c>
      <c r="BR139" s="49">
        <f t="shared" si="45"/>
        <v>0</v>
      </c>
      <c r="BS139" s="230">
        <f t="shared" si="45"/>
        <v>0</v>
      </c>
      <c r="BT139" s="242">
        <f t="shared" si="45"/>
        <v>0</v>
      </c>
      <c r="BU139" s="242">
        <f t="shared" si="45"/>
        <v>0</v>
      </c>
      <c r="BV139" s="49">
        <f t="shared" si="45"/>
        <v>0</v>
      </c>
      <c r="BW139" s="49">
        <f t="shared" si="45"/>
        <v>0</v>
      </c>
      <c r="BX139" s="49">
        <f t="shared" si="45"/>
        <v>0</v>
      </c>
      <c r="BY139" s="49">
        <f t="shared" si="45"/>
        <v>0</v>
      </c>
      <c r="BZ139" s="49">
        <f t="shared" si="45"/>
        <v>0</v>
      </c>
      <c r="CA139" s="230">
        <f t="shared" si="45"/>
        <v>0</v>
      </c>
      <c r="CB139" s="49">
        <f t="shared" si="45"/>
        <v>0</v>
      </c>
      <c r="CC139" s="230">
        <f t="shared" si="45"/>
        <v>0</v>
      </c>
      <c r="CD139" s="49">
        <f t="shared" si="45"/>
        <v>0</v>
      </c>
      <c r="CE139" s="231">
        <f t="shared" si="45"/>
        <v>0</v>
      </c>
      <c r="CF139" s="231">
        <f t="shared" si="45"/>
        <v>0</v>
      </c>
      <c r="CG139" s="231">
        <f t="shared" si="45"/>
        <v>0</v>
      </c>
      <c r="CH139" s="242">
        <f t="shared" ref="CH139:EA139" si="46">SUM(CH66:CH74)</f>
        <v>0</v>
      </c>
      <c r="CI139" s="62">
        <f t="shared" si="46"/>
        <v>0</v>
      </c>
      <c r="CJ139" s="230">
        <f t="shared" si="46"/>
        <v>0</v>
      </c>
      <c r="CK139" s="49">
        <f t="shared" si="46"/>
        <v>0</v>
      </c>
      <c r="CL139" s="230">
        <f t="shared" si="46"/>
        <v>0</v>
      </c>
      <c r="CM139" s="242">
        <f t="shared" si="46"/>
        <v>0</v>
      </c>
      <c r="CN139" s="242">
        <f t="shared" si="46"/>
        <v>0</v>
      </c>
      <c r="CO139" s="49">
        <f t="shared" si="46"/>
        <v>0</v>
      </c>
      <c r="CP139" s="49">
        <f t="shared" si="46"/>
        <v>0</v>
      </c>
      <c r="CQ139" s="49">
        <f t="shared" si="46"/>
        <v>0</v>
      </c>
      <c r="CR139" s="230">
        <f t="shared" si="46"/>
        <v>0</v>
      </c>
      <c r="CS139" s="242">
        <f t="shared" si="46"/>
        <v>0</v>
      </c>
      <c r="CT139" s="302">
        <f t="shared" si="46"/>
        <v>0</v>
      </c>
      <c r="CU139" s="231">
        <f t="shared" si="46"/>
        <v>0</v>
      </c>
      <c r="CV139" s="302">
        <f t="shared" si="46"/>
        <v>0</v>
      </c>
      <c r="CW139" s="302">
        <f t="shared" si="46"/>
        <v>0</v>
      </c>
      <c r="CX139" s="82">
        <f t="shared" si="46"/>
        <v>0</v>
      </c>
      <c r="CY139" s="227">
        <f t="shared" si="46"/>
        <v>0</v>
      </c>
      <c r="CZ139" s="242">
        <f t="shared" si="46"/>
        <v>0</v>
      </c>
      <c r="DA139" s="242">
        <f t="shared" si="46"/>
        <v>0</v>
      </c>
      <c r="DB139" s="242">
        <f t="shared" si="46"/>
        <v>0</v>
      </c>
      <c r="DC139" s="49">
        <f t="shared" si="46"/>
        <v>0</v>
      </c>
      <c r="DD139" s="49">
        <f t="shared" si="46"/>
        <v>0</v>
      </c>
      <c r="DE139" s="49">
        <f t="shared" si="46"/>
        <v>0</v>
      </c>
      <c r="DF139" s="230">
        <f t="shared" si="46"/>
        <v>0</v>
      </c>
      <c r="DG139" s="242">
        <f t="shared" si="46"/>
        <v>0</v>
      </c>
      <c r="DH139" s="242">
        <f t="shared" si="46"/>
        <v>0</v>
      </c>
      <c r="DI139" s="242">
        <f t="shared" si="46"/>
        <v>0</v>
      </c>
      <c r="DJ139" s="242">
        <f t="shared" si="46"/>
        <v>0</v>
      </c>
      <c r="DK139" s="82">
        <f t="shared" si="46"/>
        <v>0</v>
      </c>
      <c r="DL139" s="62">
        <f t="shared" si="46"/>
        <v>0</v>
      </c>
      <c r="DM139" s="302">
        <f t="shared" si="46"/>
        <v>0</v>
      </c>
      <c r="DN139" s="49">
        <f t="shared" si="46"/>
        <v>0</v>
      </c>
      <c r="DO139" s="49">
        <f t="shared" si="46"/>
        <v>0</v>
      </c>
      <c r="DP139" s="49">
        <f t="shared" si="46"/>
        <v>0</v>
      </c>
      <c r="DQ139" s="49">
        <f t="shared" si="46"/>
        <v>0</v>
      </c>
      <c r="DR139" s="49">
        <f t="shared" si="46"/>
        <v>0</v>
      </c>
      <c r="DS139" s="50">
        <f t="shared" si="46"/>
        <v>0</v>
      </c>
      <c r="DT139" s="49">
        <f t="shared" si="46"/>
        <v>0</v>
      </c>
      <c r="DU139" s="49">
        <f t="shared" si="46"/>
        <v>0</v>
      </c>
      <c r="DV139" s="49">
        <f t="shared" si="46"/>
        <v>0</v>
      </c>
      <c r="DW139" s="49">
        <f t="shared" si="46"/>
        <v>0</v>
      </c>
      <c r="DX139" s="49">
        <f t="shared" si="46"/>
        <v>0</v>
      </c>
      <c r="DY139" s="49">
        <f t="shared" si="46"/>
        <v>0</v>
      </c>
      <c r="DZ139" s="49">
        <f t="shared" si="46"/>
        <v>0</v>
      </c>
      <c r="EA139" s="50">
        <f t="shared" si="46"/>
        <v>0</v>
      </c>
      <c r="EB139" s="19"/>
    </row>
    <row r="140" spans="1:132" s="12" customFormat="1" ht="12.75" customHeight="1" x14ac:dyDescent="0.3">
      <c r="B140" s="17" t="s">
        <v>707</v>
      </c>
      <c r="C140" s="235">
        <f>SUM(C75:C78)</f>
        <v>4513</v>
      </c>
      <c r="D140" s="235">
        <f>SUM(D75:D78)</f>
        <v>1761</v>
      </c>
      <c r="E140" s="906">
        <f t="shared" si="15"/>
        <v>0.39020607134943497</v>
      </c>
      <c r="F140" s="49">
        <f>SUM(F75:F78)</f>
        <v>0</v>
      </c>
      <c r="G140" s="242">
        <f>SUM(G75:G78)</f>
        <v>0</v>
      </c>
      <c r="H140" s="49">
        <f t="shared" ref="H140:U140" si="47">SUM(H75:H78)</f>
        <v>0</v>
      </c>
      <c r="I140" s="230">
        <f t="shared" si="47"/>
        <v>0</v>
      </c>
      <c r="J140" s="49">
        <f t="shared" ref="J140" si="48">SUM(J75:J78)</f>
        <v>0</v>
      </c>
      <c r="K140" s="62">
        <f t="shared" si="47"/>
        <v>0</v>
      </c>
      <c r="L140" s="231">
        <f t="shared" ref="L140:M140" si="49">SUM(L75:L78)</f>
        <v>0</v>
      </c>
      <c r="M140" s="302">
        <f t="shared" si="49"/>
        <v>0</v>
      </c>
      <c r="N140" s="302">
        <f t="shared" si="47"/>
        <v>0</v>
      </c>
      <c r="O140" s="302">
        <f t="shared" si="47"/>
        <v>0</v>
      </c>
      <c r="P140" s="49">
        <f>SUM(P75:P78)</f>
        <v>0</v>
      </c>
      <c r="Q140" s="235">
        <f t="shared" si="47"/>
        <v>0</v>
      </c>
      <c r="R140" s="291">
        <f t="shared" ref="R140" si="50">SUM(R75:R78)</f>
        <v>0</v>
      </c>
      <c r="S140" s="50">
        <f t="shared" si="47"/>
        <v>0</v>
      </c>
      <c r="T140" s="227">
        <f t="shared" si="47"/>
        <v>0</v>
      </c>
      <c r="U140" s="49">
        <f t="shared" si="47"/>
        <v>0</v>
      </c>
      <c r="V140" s="49">
        <f t="shared" ref="V140:CG140" si="51">SUM(V75:V78)</f>
        <v>0</v>
      </c>
      <c r="W140" s="235">
        <f t="shared" si="51"/>
        <v>0</v>
      </c>
      <c r="X140" s="50">
        <f t="shared" si="51"/>
        <v>0</v>
      </c>
      <c r="Y140" s="49">
        <f t="shared" si="51"/>
        <v>0</v>
      </c>
      <c r="Z140" s="49">
        <f t="shared" si="51"/>
        <v>0</v>
      </c>
      <c r="AA140" s="49">
        <f t="shared" si="51"/>
        <v>0</v>
      </c>
      <c r="AB140" s="49">
        <f t="shared" si="51"/>
        <v>0</v>
      </c>
      <c r="AC140" s="50">
        <f t="shared" si="51"/>
        <v>0</v>
      </c>
      <c r="AD140" s="227">
        <f t="shared" si="51"/>
        <v>0</v>
      </c>
      <c r="AE140" s="49">
        <f t="shared" si="51"/>
        <v>0</v>
      </c>
      <c r="AF140" s="49">
        <f t="shared" si="51"/>
        <v>0</v>
      </c>
      <c r="AG140" s="50">
        <f t="shared" si="51"/>
        <v>0</v>
      </c>
      <c r="AH140" s="49">
        <f t="shared" si="51"/>
        <v>0</v>
      </c>
      <c r="AI140" s="49">
        <f t="shared" si="51"/>
        <v>0</v>
      </c>
      <c r="AJ140" s="49">
        <f t="shared" si="51"/>
        <v>0</v>
      </c>
      <c r="AK140" s="49">
        <f t="shared" si="51"/>
        <v>0</v>
      </c>
      <c r="AL140" s="49">
        <f t="shared" si="51"/>
        <v>0</v>
      </c>
      <c r="AM140" s="49">
        <f t="shared" si="51"/>
        <v>0</v>
      </c>
      <c r="AN140" s="50">
        <f t="shared" si="51"/>
        <v>0</v>
      </c>
      <c r="AO140" s="49">
        <f t="shared" si="51"/>
        <v>0</v>
      </c>
      <c r="AP140" s="49">
        <f t="shared" si="51"/>
        <v>0</v>
      </c>
      <c r="AQ140" s="49">
        <f t="shared" si="51"/>
        <v>0</v>
      </c>
      <c r="AR140" s="50">
        <f t="shared" si="51"/>
        <v>0</v>
      </c>
      <c r="AS140" s="49">
        <f t="shared" si="51"/>
        <v>0</v>
      </c>
      <c r="AT140" s="49">
        <f t="shared" si="51"/>
        <v>0</v>
      </c>
      <c r="AU140" s="49">
        <f t="shared" si="51"/>
        <v>0</v>
      </c>
      <c r="AV140" s="49">
        <f t="shared" si="51"/>
        <v>0</v>
      </c>
      <c r="AW140" s="50">
        <f t="shared" si="51"/>
        <v>0</v>
      </c>
      <c r="AX140" s="49">
        <f t="shared" si="51"/>
        <v>0</v>
      </c>
      <c r="AY140" s="49">
        <f t="shared" si="51"/>
        <v>0</v>
      </c>
      <c r="AZ140" s="49">
        <f t="shared" si="51"/>
        <v>0</v>
      </c>
      <c r="BA140" s="50">
        <f t="shared" si="51"/>
        <v>0</v>
      </c>
      <c r="BB140" s="49">
        <f t="shared" si="51"/>
        <v>0</v>
      </c>
      <c r="BC140" s="49">
        <f t="shared" si="51"/>
        <v>0</v>
      </c>
      <c r="BD140" s="49">
        <f t="shared" si="51"/>
        <v>0</v>
      </c>
      <c r="BE140" s="49">
        <f t="shared" si="51"/>
        <v>0</v>
      </c>
      <c r="BF140" s="49">
        <f t="shared" si="51"/>
        <v>0</v>
      </c>
      <c r="BG140" s="62">
        <f t="shared" si="51"/>
        <v>1239</v>
      </c>
      <c r="BH140" s="302">
        <f t="shared" si="51"/>
        <v>1109</v>
      </c>
      <c r="BI140" s="49">
        <f t="shared" si="51"/>
        <v>511</v>
      </c>
      <c r="BJ140" s="50">
        <f t="shared" si="51"/>
        <v>561</v>
      </c>
      <c r="BK140" s="62">
        <f t="shared" si="51"/>
        <v>0</v>
      </c>
      <c r="BL140" s="231">
        <f t="shared" si="51"/>
        <v>0</v>
      </c>
      <c r="BM140" s="49">
        <f t="shared" si="51"/>
        <v>0</v>
      </c>
      <c r="BN140" s="49">
        <f t="shared" si="51"/>
        <v>0</v>
      </c>
      <c r="BO140" s="49">
        <f t="shared" si="51"/>
        <v>0</v>
      </c>
      <c r="BP140" s="82">
        <f t="shared" si="51"/>
        <v>0</v>
      </c>
      <c r="BQ140" s="227">
        <f t="shared" si="51"/>
        <v>0</v>
      </c>
      <c r="BR140" s="49">
        <f t="shared" si="51"/>
        <v>0</v>
      </c>
      <c r="BS140" s="230">
        <f t="shared" si="51"/>
        <v>0</v>
      </c>
      <c r="BT140" s="242">
        <f t="shared" si="51"/>
        <v>0</v>
      </c>
      <c r="BU140" s="242">
        <f t="shared" si="51"/>
        <v>0</v>
      </c>
      <c r="BV140" s="49">
        <f t="shared" si="51"/>
        <v>0</v>
      </c>
      <c r="BW140" s="49">
        <f t="shared" si="51"/>
        <v>0</v>
      </c>
      <c r="BX140" s="49">
        <f t="shared" si="51"/>
        <v>0</v>
      </c>
      <c r="BY140" s="49">
        <f t="shared" si="51"/>
        <v>0</v>
      </c>
      <c r="BZ140" s="49">
        <f t="shared" si="51"/>
        <v>0</v>
      </c>
      <c r="CA140" s="230">
        <f t="shared" si="51"/>
        <v>0</v>
      </c>
      <c r="CB140" s="49">
        <f t="shared" si="51"/>
        <v>0</v>
      </c>
      <c r="CC140" s="230">
        <f t="shared" si="51"/>
        <v>0</v>
      </c>
      <c r="CD140" s="49">
        <f t="shared" si="51"/>
        <v>0</v>
      </c>
      <c r="CE140" s="231">
        <f t="shared" si="51"/>
        <v>0</v>
      </c>
      <c r="CF140" s="231">
        <f t="shared" si="51"/>
        <v>0</v>
      </c>
      <c r="CG140" s="231">
        <f t="shared" si="51"/>
        <v>0</v>
      </c>
      <c r="CH140" s="242">
        <f t="shared" ref="CH140:EA140" si="52">SUM(CH75:CH78)</f>
        <v>0</v>
      </c>
      <c r="CI140" s="62">
        <f t="shared" si="52"/>
        <v>0</v>
      </c>
      <c r="CJ140" s="230">
        <f t="shared" si="52"/>
        <v>0</v>
      </c>
      <c r="CK140" s="49">
        <f t="shared" si="52"/>
        <v>0</v>
      </c>
      <c r="CL140" s="230">
        <f t="shared" si="52"/>
        <v>0</v>
      </c>
      <c r="CM140" s="242">
        <f t="shared" si="52"/>
        <v>0</v>
      </c>
      <c r="CN140" s="242">
        <f t="shared" si="52"/>
        <v>0</v>
      </c>
      <c r="CO140" s="49">
        <f t="shared" si="52"/>
        <v>0</v>
      </c>
      <c r="CP140" s="49">
        <f t="shared" si="52"/>
        <v>0</v>
      </c>
      <c r="CQ140" s="49">
        <f t="shared" si="52"/>
        <v>0</v>
      </c>
      <c r="CR140" s="230">
        <f t="shared" si="52"/>
        <v>0</v>
      </c>
      <c r="CS140" s="242">
        <f t="shared" si="52"/>
        <v>0</v>
      </c>
      <c r="CT140" s="302">
        <f t="shared" si="52"/>
        <v>0</v>
      </c>
      <c r="CU140" s="231">
        <f t="shared" si="52"/>
        <v>0</v>
      </c>
      <c r="CV140" s="302">
        <f t="shared" si="52"/>
        <v>0</v>
      </c>
      <c r="CW140" s="302">
        <f t="shared" si="52"/>
        <v>0</v>
      </c>
      <c r="CX140" s="82">
        <f t="shared" si="52"/>
        <v>0</v>
      </c>
      <c r="CY140" s="227">
        <f t="shared" si="52"/>
        <v>0</v>
      </c>
      <c r="CZ140" s="242">
        <f t="shared" si="52"/>
        <v>0</v>
      </c>
      <c r="DA140" s="242">
        <f t="shared" si="52"/>
        <v>0</v>
      </c>
      <c r="DB140" s="242">
        <f t="shared" si="52"/>
        <v>0</v>
      </c>
      <c r="DC140" s="49">
        <f t="shared" si="52"/>
        <v>0</v>
      </c>
      <c r="DD140" s="49">
        <f t="shared" si="52"/>
        <v>0</v>
      </c>
      <c r="DE140" s="49">
        <f t="shared" si="52"/>
        <v>0</v>
      </c>
      <c r="DF140" s="230">
        <f t="shared" si="52"/>
        <v>0</v>
      </c>
      <c r="DG140" s="242">
        <f t="shared" si="52"/>
        <v>0</v>
      </c>
      <c r="DH140" s="242">
        <f t="shared" si="52"/>
        <v>0</v>
      </c>
      <c r="DI140" s="242">
        <f t="shared" si="52"/>
        <v>0</v>
      </c>
      <c r="DJ140" s="242">
        <f t="shared" si="52"/>
        <v>0</v>
      </c>
      <c r="DK140" s="82">
        <f t="shared" si="52"/>
        <v>0</v>
      </c>
      <c r="DL140" s="62">
        <f t="shared" si="52"/>
        <v>0</v>
      </c>
      <c r="DM140" s="302">
        <f t="shared" si="52"/>
        <v>0</v>
      </c>
      <c r="DN140" s="49">
        <f t="shared" si="52"/>
        <v>0</v>
      </c>
      <c r="DO140" s="49">
        <f t="shared" si="52"/>
        <v>0</v>
      </c>
      <c r="DP140" s="49">
        <f t="shared" si="52"/>
        <v>0</v>
      </c>
      <c r="DQ140" s="49">
        <f t="shared" si="52"/>
        <v>0</v>
      </c>
      <c r="DR140" s="49">
        <f t="shared" si="52"/>
        <v>0</v>
      </c>
      <c r="DS140" s="50">
        <f t="shared" si="52"/>
        <v>0</v>
      </c>
      <c r="DT140" s="49">
        <f t="shared" si="52"/>
        <v>0</v>
      </c>
      <c r="DU140" s="49">
        <f t="shared" si="52"/>
        <v>0</v>
      </c>
      <c r="DV140" s="49">
        <f t="shared" si="52"/>
        <v>0</v>
      </c>
      <c r="DW140" s="49">
        <f t="shared" si="52"/>
        <v>0</v>
      </c>
      <c r="DX140" s="49">
        <f t="shared" si="52"/>
        <v>0</v>
      </c>
      <c r="DY140" s="49">
        <f t="shared" si="52"/>
        <v>0</v>
      </c>
      <c r="DZ140" s="49">
        <f t="shared" si="52"/>
        <v>0</v>
      </c>
      <c r="EA140" s="50">
        <f t="shared" si="52"/>
        <v>0</v>
      </c>
      <c r="EB140" s="19"/>
    </row>
    <row r="141" spans="1:132" s="12" customFormat="1" ht="13" x14ac:dyDescent="0.3">
      <c r="B141" s="17" t="s">
        <v>19</v>
      </c>
      <c r="C141" s="235">
        <f>SUM(C79:C85)</f>
        <v>6490</v>
      </c>
      <c r="D141" s="235">
        <f>SUM(D79:D85)</f>
        <v>2521</v>
      </c>
      <c r="E141" s="906">
        <f t="shared" si="15"/>
        <v>0.38844375963020028</v>
      </c>
      <c r="F141" s="49">
        <f>SUM(F79:F85)</f>
        <v>0</v>
      </c>
      <c r="G141" s="242">
        <f>SUM(G79:G85)</f>
        <v>0</v>
      </c>
      <c r="H141" s="49">
        <f t="shared" ref="H141:U141" si="53">SUM(H79:H85)</f>
        <v>0</v>
      </c>
      <c r="I141" s="230">
        <f t="shared" si="53"/>
        <v>0</v>
      </c>
      <c r="J141" s="49">
        <f t="shared" ref="J141" si="54">SUM(J79:J85)</f>
        <v>0</v>
      </c>
      <c r="K141" s="62">
        <f t="shared" si="53"/>
        <v>0</v>
      </c>
      <c r="L141" s="231">
        <f t="shared" ref="L141:M141" si="55">SUM(L79:L85)</f>
        <v>0</v>
      </c>
      <c r="M141" s="302">
        <f t="shared" si="55"/>
        <v>0</v>
      </c>
      <c r="N141" s="302">
        <f t="shared" si="53"/>
        <v>0</v>
      </c>
      <c r="O141" s="302">
        <f t="shared" si="53"/>
        <v>0</v>
      </c>
      <c r="P141" s="49">
        <f>SUM(P79:P85)</f>
        <v>0</v>
      </c>
      <c r="Q141" s="235">
        <f t="shared" si="53"/>
        <v>0</v>
      </c>
      <c r="R141" s="291">
        <f t="shared" ref="R141" si="56">SUM(R79:R85)</f>
        <v>0</v>
      </c>
      <c r="S141" s="50">
        <f t="shared" si="53"/>
        <v>0</v>
      </c>
      <c r="T141" s="227">
        <f t="shared" si="53"/>
        <v>0</v>
      </c>
      <c r="U141" s="49">
        <f t="shared" si="53"/>
        <v>0</v>
      </c>
      <c r="V141" s="49">
        <f t="shared" ref="V141:CG141" si="57">SUM(V79:V85)</f>
        <v>0</v>
      </c>
      <c r="W141" s="235">
        <f t="shared" si="57"/>
        <v>0</v>
      </c>
      <c r="X141" s="50">
        <f t="shared" si="57"/>
        <v>0</v>
      </c>
      <c r="Y141" s="49">
        <f t="shared" si="57"/>
        <v>0</v>
      </c>
      <c r="Z141" s="49">
        <f t="shared" si="57"/>
        <v>0</v>
      </c>
      <c r="AA141" s="49">
        <f t="shared" si="57"/>
        <v>0</v>
      </c>
      <c r="AB141" s="49">
        <f t="shared" si="57"/>
        <v>0</v>
      </c>
      <c r="AC141" s="50">
        <f t="shared" si="57"/>
        <v>0</v>
      </c>
      <c r="AD141" s="227">
        <f t="shared" si="57"/>
        <v>0</v>
      </c>
      <c r="AE141" s="49">
        <f t="shared" si="57"/>
        <v>0</v>
      </c>
      <c r="AF141" s="49">
        <f t="shared" si="57"/>
        <v>0</v>
      </c>
      <c r="AG141" s="50">
        <f t="shared" si="57"/>
        <v>0</v>
      </c>
      <c r="AH141" s="49">
        <f t="shared" si="57"/>
        <v>0</v>
      </c>
      <c r="AI141" s="49">
        <f t="shared" si="57"/>
        <v>0</v>
      </c>
      <c r="AJ141" s="49">
        <f t="shared" si="57"/>
        <v>0</v>
      </c>
      <c r="AK141" s="49">
        <f t="shared" si="57"/>
        <v>0</v>
      </c>
      <c r="AL141" s="49">
        <f t="shared" si="57"/>
        <v>0</v>
      </c>
      <c r="AM141" s="49">
        <f t="shared" si="57"/>
        <v>0</v>
      </c>
      <c r="AN141" s="50">
        <f t="shared" si="57"/>
        <v>0</v>
      </c>
      <c r="AO141" s="49">
        <f t="shared" si="57"/>
        <v>0</v>
      </c>
      <c r="AP141" s="49">
        <f t="shared" si="57"/>
        <v>0</v>
      </c>
      <c r="AQ141" s="49">
        <f t="shared" si="57"/>
        <v>0</v>
      </c>
      <c r="AR141" s="50">
        <f t="shared" si="57"/>
        <v>0</v>
      </c>
      <c r="AS141" s="49">
        <f t="shared" si="57"/>
        <v>0</v>
      </c>
      <c r="AT141" s="49">
        <f t="shared" si="57"/>
        <v>0</v>
      </c>
      <c r="AU141" s="49">
        <f t="shared" si="57"/>
        <v>0</v>
      </c>
      <c r="AV141" s="49">
        <f t="shared" si="57"/>
        <v>0</v>
      </c>
      <c r="AW141" s="50">
        <f t="shared" si="57"/>
        <v>0</v>
      </c>
      <c r="AX141" s="49">
        <f t="shared" si="57"/>
        <v>0</v>
      </c>
      <c r="AY141" s="49">
        <f t="shared" si="57"/>
        <v>0</v>
      </c>
      <c r="AZ141" s="49">
        <f t="shared" si="57"/>
        <v>0</v>
      </c>
      <c r="BA141" s="50">
        <f t="shared" si="57"/>
        <v>0</v>
      </c>
      <c r="BB141" s="49">
        <f t="shared" si="57"/>
        <v>0</v>
      </c>
      <c r="BC141" s="49">
        <f t="shared" si="57"/>
        <v>0</v>
      </c>
      <c r="BD141" s="49">
        <f t="shared" si="57"/>
        <v>0</v>
      </c>
      <c r="BE141" s="49">
        <f t="shared" si="57"/>
        <v>0</v>
      </c>
      <c r="BF141" s="49">
        <f t="shared" si="57"/>
        <v>0</v>
      </c>
      <c r="BG141" s="62">
        <f t="shared" si="57"/>
        <v>0</v>
      </c>
      <c r="BH141" s="302">
        <f t="shared" si="57"/>
        <v>0</v>
      </c>
      <c r="BI141" s="49">
        <f t="shared" si="57"/>
        <v>0</v>
      </c>
      <c r="BJ141" s="50">
        <f t="shared" si="57"/>
        <v>0</v>
      </c>
      <c r="BK141" s="62">
        <f t="shared" si="57"/>
        <v>1498</v>
      </c>
      <c r="BL141" s="231">
        <f t="shared" si="57"/>
        <v>878</v>
      </c>
      <c r="BM141" s="49">
        <f t="shared" si="57"/>
        <v>1240</v>
      </c>
      <c r="BN141" s="49">
        <f t="shared" si="57"/>
        <v>683</v>
      </c>
      <c r="BO141" s="49">
        <f t="shared" si="57"/>
        <v>1016</v>
      </c>
      <c r="BP141" s="82">
        <f t="shared" si="57"/>
        <v>1050</v>
      </c>
      <c r="BQ141" s="227">
        <f t="shared" si="57"/>
        <v>0</v>
      </c>
      <c r="BR141" s="49">
        <f t="shared" si="57"/>
        <v>0</v>
      </c>
      <c r="BS141" s="230">
        <f t="shared" si="57"/>
        <v>0</v>
      </c>
      <c r="BT141" s="242">
        <f t="shared" si="57"/>
        <v>0</v>
      </c>
      <c r="BU141" s="242">
        <f t="shared" si="57"/>
        <v>0</v>
      </c>
      <c r="BV141" s="49">
        <f t="shared" si="57"/>
        <v>0</v>
      </c>
      <c r="BW141" s="49">
        <f t="shared" si="57"/>
        <v>0</v>
      </c>
      <c r="BX141" s="49">
        <f t="shared" si="57"/>
        <v>0</v>
      </c>
      <c r="BY141" s="49">
        <f t="shared" si="57"/>
        <v>0</v>
      </c>
      <c r="BZ141" s="49">
        <f t="shared" si="57"/>
        <v>0</v>
      </c>
      <c r="CA141" s="230">
        <f t="shared" si="57"/>
        <v>0</v>
      </c>
      <c r="CB141" s="49">
        <f t="shared" si="57"/>
        <v>0</v>
      </c>
      <c r="CC141" s="230">
        <f t="shared" si="57"/>
        <v>0</v>
      </c>
      <c r="CD141" s="49">
        <f t="shared" si="57"/>
        <v>0</v>
      </c>
      <c r="CE141" s="231">
        <f t="shared" si="57"/>
        <v>0</v>
      </c>
      <c r="CF141" s="231">
        <f t="shared" si="57"/>
        <v>0</v>
      </c>
      <c r="CG141" s="231">
        <f t="shared" si="57"/>
        <v>0</v>
      </c>
      <c r="CH141" s="242">
        <f t="shared" ref="CH141:EA141" si="58">SUM(CH79:CH85)</f>
        <v>0</v>
      </c>
      <c r="CI141" s="62">
        <f t="shared" si="58"/>
        <v>0</v>
      </c>
      <c r="CJ141" s="230">
        <f t="shared" si="58"/>
        <v>0</v>
      </c>
      <c r="CK141" s="49">
        <f t="shared" si="58"/>
        <v>0</v>
      </c>
      <c r="CL141" s="230">
        <f t="shared" si="58"/>
        <v>0</v>
      </c>
      <c r="CM141" s="242">
        <f t="shared" si="58"/>
        <v>0</v>
      </c>
      <c r="CN141" s="242">
        <f t="shared" si="58"/>
        <v>0</v>
      </c>
      <c r="CO141" s="49">
        <f t="shared" si="58"/>
        <v>0</v>
      </c>
      <c r="CP141" s="49">
        <f t="shared" si="58"/>
        <v>0</v>
      </c>
      <c r="CQ141" s="49">
        <f t="shared" si="58"/>
        <v>0</v>
      </c>
      <c r="CR141" s="230">
        <f t="shared" si="58"/>
        <v>0</v>
      </c>
      <c r="CS141" s="242">
        <f t="shared" si="58"/>
        <v>0</v>
      </c>
      <c r="CT141" s="302">
        <f t="shared" si="58"/>
        <v>0</v>
      </c>
      <c r="CU141" s="231">
        <f t="shared" si="58"/>
        <v>0</v>
      </c>
      <c r="CV141" s="302">
        <f t="shared" si="58"/>
        <v>0</v>
      </c>
      <c r="CW141" s="302">
        <f t="shared" si="58"/>
        <v>0</v>
      </c>
      <c r="CX141" s="82">
        <f t="shared" si="58"/>
        <v>0</v>
      </c>
      <c r="CY141" s="227">
        <f t="shared" si="58"/>
        <v>0</v>
      </c>
      <c r="CZ141" s="242">
        <f t="shared" si="58"/>
        <v>0</v>
      </c>
      <c r="DA141" s="242">
        <f t="shared" si="58"/>
        <v>0</v>
      </c>
      <c r="DB141" s="242">
        <f t="shared" si="58"/>
        <v>0</v>
      </c>
      <c r="DC141" s="49">
        <f t="shared" si="58"/>
        <v>0</v>
      </c>
      <c r="DD141" s="49">
        <f t="shared" si="58"/>
        <v>0</v>
      </c>
      <c r="DE141" s="49">
        <f t="shared" si="58"/>
        <v>0</v>
      </c>
      <c r="DF141" s="230">
        <f t="shared" si="58"/>
        <v>0</v>
      </c>
      <c r="DG141" s="242">
        <f t="shared" si="58"/>
        <v>0</v>
      </c>
      <c r="DH141" s="242">
        <f t="shared" si="58"/>
        <v>0</v>
      </c>
      <c r="DI141" s="242">
        <f t="shared" si="58"/>
        <v>0</v>
      </c>
      <c r="DJ141" s="242">
        <f t="shared" si="58"/>
        <v>0</v>
      </c>
      <c r="DK141" s="82">
        <f t="shared" si="58"/>
        <v>0</v>
      </c>
      <c r="DL141" s="62">
        <f t="shared" si="58"/>
        <v>0</v>
      </c>
      <c r="DM141" s="302">
        <f t="shared" si="58"/>
        <v>0</v>
      </c>
      <c r="DN141" s="49">
        <f t="shared" si="58"/>
        <v>0</v>
      </c>
      <c r="DO141" s="49">
        <f t="shared" si="58"/>
        <v>0</v>
      </c>
      <c r="DP141" s="49">
        <f t="shared" si="58"/>
        <v>0</v>
      </c>
      <c r="DQ141" s="49">
        <f t="shared" si="58"/>
        <v>0</v>
      </c>
      <c r="DR141" s="49">
        <f t="shared" si="58"/>
        <v>0</v>
      </c>
      <c r="DS141" s="50">
        <f t="shared" si="58"/>
        <v>0</v>
      </c>
      <c r="DT141" s="49">
        <f t="shared" si="58"/>
        <v>0</v>
      </c>
      <c r="DU141" s="49">
        <f t="shared" si="58"/>
        <v>0</v>
      </c>
      <c r="DV141" s="49">
        <f t="shared" si="58"/>
        <v>0</v>
      </c>
      <c r="DW141" s="49">
        <f t="shared" si="58"/>
        <v>0</v>
      </c>
      <c r="DX141" s="49">
        <f t="shared" si="58"/>
        <v>0</v>
      </c>
      <c r="DY141" s="49">
        <f t="shared" si="58"/>
        <v>0</v>
      </c>
      <c r="DZ141" s="49">
        <f t="shared" si="58"/>
        <v>0</v>
      </c>
      <c r="EA141" s="50">
        <f t="shared" si="58"/>
        <v>0</v>
      </c>
      <c r="EB141" s="19"/>
    </row>
    <row r="142" spans="1:132" s="12" customFormat="1" ht="12.75" customHeight="1" x14ac:dyDescent="0.3">
      <c r="B142" s="17" t="s">
        <v>778</v>
      </c>
      <c r="C142" s="235">
        <f>SUM(C86:C97)</f>
        <v>13173</v>
      </c>
      <c r="D142" s="235">
        <f>SUM(D86:D97)</f>
        <v>5871</v>
      </c>
      <c r="E142" s="906">
        <f t="shared" si="15"/>
        <v>0.44568435436119336</v>
      </c>
      <c r="F142" s="49">
        <f>SUM(F86:F97)</f>
        <v>0</v>
      </c>
      <c r="G142" s="242">
        <f>SUM(G86:G97)</f>
        <v>0</v>
      </c>
      <c r="H142" s="49">
        <f t="shared" ref="H142:U142" si="59">SUM(H86:H97)</f>
        <v>0</v>
      </c>
      <c r="I142" s="230">
        <f t="shared" si="59"/>
        <v>0</v>
      </c>
      <c r="J142" s="49">
        <f t="shared" ref="J142" si="60">SUM(J86:J97)</f>
        <v>0</v>
      </c>
      <c r="K142" s="62">
        <f t="shared" si="59"/>
        <v>0</v>
      </c>
      <c r="L142" s="231">
        <f t="shared" ref="L142:M142" si="61">SUM(L86:L97)</f>
        <v>0</v>
      </c>
      <c r="M142" s="302">
        <f t="shared" si="61"/>
        <v>0</v>
      </c>
      <c r="N142" s="302">
        <f t="shared" si="59"/>
        <v>0</v>
      </c>
      <c r="O142" s="302">
        <f t="shared" si="59"/>
        <v>0</v>
      </c>
      <c r="P142" s="49">
        <f>SUM(P86:P97)</f>
        <v>0</v>
      </c>
      <c r="Q142" s="235">
        <f t="shared" si="59"/>
        <v>0</v>
      </c>
      <c r="R142" s="291">
        <f t="shared" ref="R142" si="62">SUM(R86:R97)</f>
        <v>0</v>
      </c>
      <c r="S142" s="50">
        <f t="shared" si="59"/>
        <v>0</v>
      </c>
      <c r="T142" s="227">
        <f t="shared" si="59"/>
        <v>0</v>
      </c>
      <c r="U142" s="49">
        <f t="shared" si="59"/>
        <v>0</v>
      </c>
      <c r="V142" s="49">
        <f t="shared" ref="V142:CG142" si="63">SUM(V86:V97)</f>
        <v>0</v>
      </c>
      <c r="W142" s="235">
        <f t="shared" si="63"/>
        <v>0</v>
      </c>
      <c r="X142" s="50">
        <f t="shared" si="63"/>
        <v>0</v>
      </c>
      <c r="Y142" s="49">
        <f t="shared" si="63"/>
        <v>0</v>
      </c>
      <c r="Z142" s="49">
        <f t="shared" si="63"/>
        <v>0</v>
      </c>
      <c r="AA142" s="49">
        <f t="shared" si="63"/>
        <v>0</v>
      </c>
      <c r="AB142" s="49">
        <f t="shared" si="63"/>
        <v>0</v>
      </c>
      <c r="AC142" s="50">
        <f t="shared" si="63"/>
        <v>0</v>
      </c>
      <c r="AD142" s="227">
        <f t="shared" si="63"/>
        <v>0</v>
      </c>
      <c r="AE142" s="49">
        <f t="shared" si="63"/>
        <v>0</v>
      </c>
      <c r="AF142" s="49">
        <f t="shared" si="63"/>
        <v>0</v>
      </c>
      <c r="AG142" s="50">
        <f t="shared" si="63"/>
        <v>0</v>
      </c>
      <c r="AH142" s="49">
        <f t="shared" si="63"/>
        <v>0</v>
      </c>
      <c r="AI142" s="49">
        <f t="shared" si="63"/>
        <v>0</v>
      </c>
      <c r="AJ142" s="49">
        <f t="shared" si="63"/>
        <v>0</v>
      </c>
      <c r="AK142" s="49">
        <f t="shared" si="63"/>
        <v>0</v>
      </c>
      <c r="AL142" s="49">
        <f t="shared" si="63"/>
        <v>0</v>
      </c>
      <c r="AM142" s="49">
        <f t="shared" si="63"/>
        <v>0</v>
      </c>
      <c r="AN142" s="50">
        <f t="shared" si="63"/>
        <v>0</v>
      </c>
      <c r="AO142" s="49">
        <f t="shared" si="63"/>
        <v>0</v>
      </c>
      <c r="AP142" s="49">
        <f t="shared" si="63"/>
        <v>0</v>
      </c>
      <c r="AQ142" s="49">
        <f t="shared" si="63"/>
        <v>0</v>
      </c>
      <c r="AR142" s="50">
        <f t="shared" si="63"/>
        <v>0</v>
      </c>
      <c r="AS142" s="49">
        <f t="shared" si="63"/>
        <v>0</v>
      </c>
      <c r="AT142" s="49">
        <f t="shared" si="63"/>
        <v>0</v>
      </c>
      <c r="AU142" s="49">
        <f t="shared" si="63"/>
        <v>0</v>
      </c>
      <c r="AV142" s="49">
        <f t="shared" si="63"/>
        <v>0</v>
      </c>
      <c r="AW142" s="50">
        <f t="shared" si="63"/>
        <v>0</v>
      </c>
      <c r="AX142" s="49">
        <f t="shared" si="63"/>
        <v>0</v>
      </c>
      <c r="AY142" s="49">
        <f t="shared" si="63"/>
        <v>0</v>
      </c>
      <c r="AZ142" s="49">
        <f t="shared" si="63"/>
        <v>0</v>
      </c>
      <c r="BA142" s="50">
        <f t="shared" si="63"/>
        <v>0</v>
      </c>
      <c r="BB142" s="49">
        <f t="shared" si="63"/>
        <v>0</v>
      </c>
      <c r="BC142" s="49">
        <f t="shared" si="63"/>
        <v>0</v>
      </c>
      <c r="BD142" s="49">
        <f t="shared" si="63"/>
        <v>0</v>
      </c>
      <c r="BE142" s="49">
        <f t="shared" si="63"/>
        <v>0</v>
      </c>
      <c r="BF142" s="49">
        <f t="shared" si="63"/>
        <v>0</v>
      </c>
      <c r="BG142" s="62">
        <f t="shared" si="63"/>
        <v>0</v>
      </c>
      <c r="BH142" s="302">
        <f t="shared" si="63"/>
        <v>0</v>
      </c>
      <c r="BI142" s="49">
        <f t="shared" si="63"/>
        <v>0</v>
      </c>
      <c r="BJ142" s="50">
        <f t="shared" si="63"/>
        <v>0</v>
      </c>
      <c r="BK142" s="62">
        <f t="shared" si="63"/>
        <v>0</v>
      </c>
      <c r="BL142" s="231">
        <f t="shared" si="63"/>
        <v>0</v>
      </c>
      <c r="BM142" s="49">
        <f t="shared" si="63"/>
        <v>0</v>
      </c>
      <c r="BN142" s="49">
        <f t="shared" si="63"/>
        <v>0</v>
      </c>
      <c r="BO142" s="49">
        <f t="shared" si="63"/>
        <v>0</v>
      </c>
      <c r="BP142" s="82">
        <f t="shared" si="63"/>
        <v>0</v>
      </c>
      <c r="BQ142" s="227">
        <f t="shared" si="63"/>
        <v>3617</v>
      </c>
      <c r="BR142" s="49">
        <f t="shared" si="63"/>
        <v>3137</v>
      </c>
      <c r="BS142" s="230">
        <f t="shared" si="63"/>
        <v>2076</v>
      </c>
      <c r="BT142" s="242">
        <f t="shared" si="63"/>
        <v>3505</v>
      </c>
      <c r="BU142" s="242">
        <f t="shared" si="63"/>
        <v>3996</v>
      </c>
      <c r="BV142" s="49">
        <f t="shared" si="63"/>
        <v>2089</v>
      </c>
      <c r="BW142" s="49">
        <f t="shared" si="63"/>
        <v>3023</v>
      </c>
      <c r="BX142" s="49">
        <f t="shared" si="63"/>
        <v>1795</v>
      </c>
      <c r="BY142" s="49">
        <f t="shared" si="63"/>
        <v>2991</v>
      </c>
      <c r="BZ142" s="49">
        <f t="shared" si="63"/>
        <v>2776</v>
      </c>
      <c r="CA142" s="230">
        <f t="shared" si="63"/>
        <v>1849</v>
      </c>
      <c r="CB142" s="49">
        <f t="shared" si="63"/>
        <v>701</v>
      </c>
      <c r="CC142" s="230">
        <f t="shared" si="63"/>
        <v>442</v>
      </c>
      <c r="CD142" s="49">
        <f t="shared" si="63"/>
        <v>541</v>
      </c>
      <c r="CE142" s="231">
        <f t="shared" si="63"/>
        <v>964</v>
      </c>
      <c r="CF142" s="231">
        <f t="shared" si="63"/>
        <v>896</v>
      </c>
      <c r="CG142" s="231">
        <f t="shared" si="63"/>
        <v>628</v>
      </c>
      <c r="CH142" s="242">
        <f t="shared" ref="CH142:EA142" si="64">SUM(CH86:CH97)</f>
        <v>709</v>
      </c>
      <c r="CI142" s="62">
        <f t="shared" si="64"/>
        <v>0</v>
      </c>
      <c r="CJ142" s="230">
        <f t="shared" si="64"/>
        <v>0</v>
      </c>
      <c r="CK142" s="49">
        <f t="shared" si="64"/>
        <v>0</v>
      </c>
      <c r="CL142" s="230">
        <f t="shared" si="64"/>
        <v>0</v>
      </c>
      <c r="CM142" s="242">
        <f t="shared" si="64"/>
        <v>0</v>
      </c>
      <c r="CN142" s="242">
        <f t="shared" si="64"/>
        <v>0</v>
      </c>
      <c r="CO142" s="49">
        <f t="shared" si="64"/>
        <v>0</v>
      </c>
      <c r="CP142" s="49">
        <f t="shared" si="64"/>
        <v>0</v>
      </c>
      <c r="CQ142" s="49">
        <f t="shared" si="64"/>
        <v>0</v>
      </c>
      <c r="CR142" s="230">
        <f t="shared" si="64"/>
        <v>0</v>
      </c>
      <c r="CS142" s="242">
        <f t="shared" si="64"/>
        <v>0</v>
      </c>
      <c r="CT142" s="302">
        <f t="shared" si="64"/>
        <v>0</v>
      </c>
      <c r="CU142" s="231">
        <f t="shared" si="64"/>
        <v>0</v>
      </c>
      <c r="CV142" s="302">
        <f t="shared" si="64"/>
        <v>0</v>
      </c>
      <c r="CW142" s="302">
        <f t="shared" si="64"/>
        <v>0</v>
      </c>
      <c r="CX142" s="82">
        <f t="shared" si="64"/>
        <v>0</v>
      </c>
      <c r="CY142" s="227">
        <f t="shared" si="64"/>
        <v>0</v>
      </c>
      <c r="CZ142" s="242">
        <f t="shared" si="64"/>
        <v>0</v>
      </c>
      <c r="DA142" s="242">
        <f t="shared" si="64"/>
        <v>0</v>
      </c>
      <c r="DB142" s="242">
        <f t="shared" si="64"/>
        <v>0</v>
      </c>
      <c r="DC142" s="49">
        <f t="shared" si="64"/>
        <v>0</v>
      </c>
      <c r="DD142" s="49">
        <f t="shared" si="64"/>
        <v>0</v>
      </c>
      <c r="DE142" s="49">
        <f t="shared" si="64"/>
        <v>0</v>
      </c>
      <c r="DF142" s="230">
        <f t="shared" si="64"/>
        <v>0</v>
      </c>
      <c r="DG142" s="242">
        <f t="shared" si="64"/>
        <v>0</v>
      </c>
      <c r="DH142" s="242">
        <f t="shared" si="64"/>
        <v>0</v>
      </c>
      <c r="DI142" s="242">
        <f t="shared" si="64"/>
        <v>0</v>
      </c>
      <c r="DJ142" s="242">
        <f t="shared" si="64"/>
        <v>0</v>
      </c>
      <c r="DK142" s="82">
        <f t="shared" si="64"/>
        <v>0</v>
      </c>
      <c r="DL142" s="62">
        <f t="shared" si="64"/>
        <v>0</v>
      </c>
      <c r="DM142" s="302">
        <f t="shared" si="64"/>
        <v>0</v>
      </c>
      <c r="DN142" s="49">
        <f t="shared" si="64"/>
        <v>0</v>
      </c>
      <c r="DO142" s="49">
        <f t="shared" si="64"/>
        <v>0</v>
      </c>
      <c r="DP142" s="49">
        <f t="shared" si="64"/>
        <v>0</v>
      </c>
      <c r="DQ142" s="49">
        <f t="shared" si="64"/>
        <v>0</v>
      </c>
      <c r="DR142" s="49">
        <f t="shared" si="64"/>
        <v>0</v>
      </c>
      <c r="DS142" s="50">
        <f t="shared" si="64"/>
        <v>0</v>
      </c>
      <c r="DT142" s="49">
        <f t="shared" si="64"/>
        <v>0</v>
      </c>
      <c r="DU142" s="49">
        <f t="shared" si="64"/>
        <v>0</v>
      </c>
      <c r="DV142" s="49">
        <f t="shared" si="64"/>
        <v>0</v>
      </c>
      <c r="DW142" s="49">
        <f t="shared" si="64"/>
        <v>0</v>
      </c>
      <c r="DX142" s="49">
        <f t="shared" si="64"/>
        <v>0</v>
      </c>
      <c r="DY142" s="49">
        <f t="shared" si="64"/>
        <v>0</v>
      </c>
      <c r="DZ142" s="49">
        <f t="shared" si="64"/>
        <v>0</v>
      </c>
      <c r="EA142" s="50">
        <f t="shared" si="64"/>
        <v>0</v>
      </c>
      <c r="EB142" s="19"/>
    </row>
    <row r="143" spans="1:132" s="12" customFormat="1" ht="13" x14ac:dyDescent="0.3">
      <c r="B143" s="17" t="s">
        <v>708</v>
      </c>
      <c r="C143" s="235">
        <f>SUM(C98:C105)</f>
        <v>7271</v>
      </c>
      <c r="D143" s="235">
        <f>SUM(D98:D105)</f>
        <v>3615</v>
      </c>
      <c r="E143" s="906">
        <f t="shared" si="15"/>
        <v>0.49718058038784213</v>
      </c>
      <c r="F143" s="49">
        <f>SUM(F98:F105)</f>
        <v>0</v>
      </c>
      <c r="G143" s="242">
        <f>SUM(G98:G105)</f>
        <v>0</v>
      </c>
      <c r="H143" s="49">
        <f t="shared" ref="H143:U143" si="65">SUM(H98:H105)</f>
        <v>0</v>
      </c>
      <c r="I143" s="230">
        <f t="shared" si="65"/>
        <v>0</v>
      </c>
      <c r="J143" s="49">
        <f t="shared" ref="J143" si="66">SUM(J98:J105)</f>
        <v>0</v>
      </c>
      <c r="K143" s="62">
        <f t="shared" si="65"/>
        <v>0</v>
      </c>
      <c r="L143" s="231">
        <f t="shared" ref="L143:M143" si="67">SUM(L98:L105)</f>
        <v>0</v>
      </c>
      <c r="M143" s="302">
        <f t="shared" si="67"/>
        <v>0</v>
      </c>
      <c r="N143" s="302">
        <f t="shared" si="65"/>
        <v>0</v>
      </c>
      <c r="O143" s="302">
        <f t="shared" si="65"/>
        <v>0</v>
      </c>
      <c r="P143" s="49">
        <f>SUM(P98:P105)</f>
        <v>0</v>
      </c>
      <c r="Q143" s="235">
        <f t="shared" si="65"/>
        <v>0</v>
      </c>
      <c r="R143" s="291">
        <f t="shared" ref="R143" si="68">SUM(R98:R105)</f>
        <v>0</v>
      </c>
      <c r="S143" s="50">
        <f t="shared" si="65"/>
        <v>0</v>
      </c>
      <c r="T143" s="227">
        <f t="shared" si="65"/>
        <v>0</v>
      </c>
      <c r="U143" s="49">
        <f t="shared" si="65"/>
        <v>0</v>
      </c>
      <c r="V143" s="49">
        <f t="shared" ref="V143:CG143" si="69">SUM(V98:V105)</f>
        <v>0</v>
      </c>
      <c r="W143" s="235">
        <f t="shared" si="69"/>
        <v>0</v>
      </c>
      <c r="X143" s="50">
        <f t="shared" si="69"/>
        <v>0</v>
      </c>
      <c r="Y143" s="49">
        <f t="shared" si="69"/>
        <v>0</v>
      </c>
      <c r="Z143" s="49">
        <f t="shared" si="69"/>
        <v>0</v>
      </c>
      <c r="AA143" s="49">
        <f t="shared" si="69"/>
        <v>0</v>
      </c>
      <c r="AB143" s="49">
        <f t="shared" si="69"/>
        <v>0</v>
      </c>
      <c r="AC143" s="50">
        <f t="shared" si="69"/>
        <v>0</v>
      </c>
      <c r="AD143" s="227">
        <f t="shared" si="69"/>
        <v>0</v>
      </c>
      <c r="AE143" s="49">
        <f t="shared" si="69"/>
        <v>0</v>
      </c>
      <c r="AF143" s="49">
        <f t="shared" si="69"/>
        <v>0</v>
      </c>
      <c r="AG143" s="50">
        <f t="shared" si="69"/>
        <v>0</v>
      </c>
      <c r="AH143" s="49">
        <f t="shared" si="69"/>
        <v>0</v>
      </c>
      <c r="AI143" s="49">
        <f t="shared" si="69"/>
        <v>0</v>
      </c>
      <c r="AJ143" s="49">
        <f t="shared" si="69"/>
        <v>0</v>
      </c>
      <c r="AK143" s="49">
        <f t="shared" si="69"/>
        <v>0</v>
      </c>
      <c r="AL143" s="49">
        <f t="shared" si="69"/>
        <v>0</v>
      </c>
      <c r="AM143" s="49">
        <f t="shared" si="69"/>
        <v>0</v>
      </c>
      <c r="AN143" s="50">
        <f t="shared" si="69"/>
        <v>0</v>
      </c>
      <c r="AO143" s="49">
        <f t="shared" si="69"/>
        <v>0</v>
      </c>
      <c r="AP143" s="49">
        <f t="shared" si="69"/>
        <v>0</v>
      </c>
      <c r="AQ143" s="49">
        <f t="shared" si="69"/>
        <v>0</v>
      </c>
      <c r="AR143" s="50">
        <f t="shared" si="69"/>
        <v>0</v>
      </c>
      <c r="AS143" s="49">
        <f t="shared" si="69"/>
        <v>0</v>
      </c>
      <c r="AT143" s="49">
        <f t="shared" si="69"/>
        <v>0</v>
      </c>
      <c r="AU143" s="49">
        <f t="shared" si="69"/>
        <v>0</v>
      </c>
      <c r="AV143" s="49">
        <f t="shared" si="69"/>
        <v>0</v>
      </c>
      <c r="AW143" s="50">
        <f t="shared" si="69"/>
        <v>0</v>
      </c>
      <c r="AX143" s="49">
        <f t="shared" si="69"/>
        <v>0</v>
      </c>
      <c r="AY143" s="49">
        <f t="shared" si="69"/>
        <v>0</v>
      </c>
      <c r="AZ143" s="49">
        <f t="shared" si="69"/>
        <v>0</v>
      </c>
      <c r="BA143" s="50">
        <f t="shared" si="69"/>
        <v>0</v>
      </c>
      <c r="BB143" s="49">
        <f t="shared" si="69"/>
        <v>0</v>
      </c>
      <c r="BC143" s="49">
        <f t="shared" si="69"/>
        <v>0</v>
      </c>
      <c r="BD143" s="49">
        <f t="shared" si="69"/>
        <v>0</v>
      </c>
      <c r="BE143" s="49">
        <f t="shared" si="69"/>
        <v>0</v>
      </c>
      <c r="BF143" s="49">
        <f t="shared" si="69"/>
        <v>0</v>
      </c>
      <c r="BG143" s="62">
        <f t="shared" si="69"/>
        <v>0</v>
      </c>
      <c r="BH143" s="302">
        <f t="shared" si="69"/>
        <v>0</v>
      </c>
      <c r="BI143" s="49">
        <f t="shared" si="69"/>
        <v>0</v>
      </c>
      <c r="BJ143" s="50">
        <f t="shared" si="69"/>
        <v>0</v>
      </c>
      <c r="BK143" s="62">
        <f t="shared" si="69"/>
        <v>0</v>
      </c>
      <c r="BL143" s="231">
        <f t="shared" si="69"/>
        <v>0</v>
      </c>
      <c r="BM143" s="49">
        <f t="shared" si="69"/>
        <v>0</v>
      </c>
      <c r="BN143" s="49">
        <f t="shared" si="69"/>
        <v>0</v>
      </c>
      <c r="BO143" s="49">
        <f t="shared" si="69"/>
        <v>0</v>
      </c>
      <c r="BP143" s="82">
        <f t="shared" si="69"/>
        <v>0</v>
      </c>
      <c r="BQ143" s="227">
        <f t="shared" si="69"/>
        <v>0</v>
      </c>
      <c r="BR143" s="49">
        <f t="shared" si="69"/>
        <v>0</v>
      </c>
      <c r="BS143" s="230">
        <f t="shared" si="69"/>
        <v>0</v>
      </c>
      <c r="BT143" s="242">
        <f t="shared" si="69"/>
        <v>0</v>
      </c>
      <c r="BU143" s="242">
        <f t="shared" si="69"/>
        <v>0</v>
      </c>
      <c r="BV143" s="49">
        <f t="shared" si="69"/>
        <v>0</v>
      </c>
      <c r="BW143" s="49">
        <f t="shared" si="69"/>
        <v>0</v>
      </c>
      <c r="BX143" s="49">
        <f t="shared" si="69"/>
        <v>0</v>
      </c>
      <c r="BY143" s="49">
        <f t="shared" si="69"/>
        <v>0</v>
      </c>
      <c r="BZ143" s="49">
        <f t="shared" si="69"/>
        <v>0</v>
      </c>
      <c r="CA143" s="230">
        <f t="shared" si="69"/>
        <v>0</v>
      </c>
      <c r="CB143" s="49">
        <f t="shared" si="69"/>
        <v>0</v>
      </c>
      <c r="CC143" s="230">
        <f t="shared" si="69"/>
        <v>0</v>
      </c>
      <c r="CD143" s="49">
        <f t="shared" si="69"/>
        <v>0</v>
      </c>
      <c r="CE143" s="231">
        <f t="shared" si="69"/>
        <v>0</v>
      </c>
      <c r="CF143" s="231">
        <f t="shared" si="69"/>
        <v>0</v>
      </c>
      <c r="CG143" s="231">
        <f t="shared" si="69"/>
        <v>0</v>
      </c>
      <c r="CH143" s="242">
        <f t="shared" ref="CH143:EA143" si="70">SUM(CH98:CH105)</f>
        <v>0</v>
      </c>
      <c r="CI143" s="62">
        <f t="shared" si="70"/>
        <v>1386</v>
      </c>
      <c r="CJ143" s="230">
        <f t="shared" si="70"/>
        <v>2032</v>
      </c>
      <c r="CK143" s="49">
        <f t="shared" si="70"/>
        <v>954</v>
      </c>
      <c r="CL143" s="230">
        <f t="shared" si="70"/>
        <v>2025</v>
      </c>
      <c r="CM143" s="242">
        <f t="shared" si="70"/>
        <v>2510</v>
      </c>
      <c r="CN143" s="242">
        <f t="shared" si="70"/>
        <v>2442</v>
      </c>
      <c r="CO143" s="49">
        <f t="shared" si="70"/>
        <v>2082</v>
      </c>
      <c r="CP143" s="49">
        <f t="shared" si="70"/>
        <v>1752</v>
      </c>
      <c r="CQ143" s="49">
        <f t="shared" si="70"/>
        <v>1820</v>
      </c>
      <c r="CR143" s="230">
        <f t="shared" si="70"/>
        <v>1557</v>
      </c>
      <c r="CS143" s="242">
        <f t="shared" si="70"/>
        <v>512</v>
      </c>
      <c r="CT143" s="302">
        <f t="shared" si="70"/>
        <v>377</v>
      </c>
      <c r="CU143" s="231">
        <f t="shared" si="70"/>
        <v>233</v>
      </c>
      <c r="CV143" s="302">
        <f t="shared" si="70"/>
        <v>648</v>
      </c>
      <c r="CW143" s="302">
        <f t="shared" si="70"/>
        <v>714</v>
      </c>
      <c r="CX143" s="82">
        <f t="shared" si="70"/>
        <v>343</v>
      </c>
      <c r="CY143" s="227">
        <f t="shared" si="70"/>
        <v>0</v>
      </c>
      <c r="CZ143" s="242">
        <f t="shared" si="70"/>
        <v>0</v>
      </c>
      <c r="DA143" s="242">
        <f t="shared" si="70"/>
        <v>0</v>
      </c>
      <c r="DB143" s="242">
        <f t="shared" si="70"/>
        <v>0</v>
      </c>
      <c r="DC143" s="49">
        <f t="shared" si="70"/>
        <v>0</v>
      </c>
      <c r="DD143" s="49">
        <f t="shared" si="70"/>
        <v>0</v>
      </c>
      <c r="DE143" s="49">
        <f t="shared" si="70"/>
        <v>0</v>
      </c>
      <c r="DF143" s="230">
        <f t="shared" si="70"/>
        <v>0</v>
      </c>
      <c r="DG143" s="242">
        <f t="shared" si="70"/>
        <v>0</v>
      </c>
      <c r="DH143" s="242">
        <f t="shared" si="70"/>
        <v>0</v>
      </c>
      <c r="DI143" s="242">
        <f t="shared" si="70"/>
        <v>0</v>
      </c>
      <c r="DJ143" s="242">
        <f t="shared" si="70"/>
        <v>0</v>
      </c>
      <c r="DK143" s="82">
        <f t="shared" si="70"/>
        <v>0</v>
      </c>
      <c r="DL143" s="62">
        <f t="shared" si="70"/>
        <v>0</v>
      </c>
      <c r="DM143" s="302">
        <f t="shared" si="70"/>
        <v>0</v>
      </c>
      <c r="DN143" s="49">
        <f t="shared" si="70"/>
        <v>0</v>
      </c>
      <c r="DO143" s="49">
        <f t="shared" si="70"/>
        <v>0</v>
      </c>
      <c r="DP143" s="49">
        <f t="shared" si="70"/>
        <v>0</v>
      </c>
      <c r="DQ143" s="49">
        <f t="shared" si="70"/>
        <v>0</v>
      </c>
      <c r="DR143" s="49">
        <f t="shared" si="70"/>
        <v>0</v>
      </c>
      <c r="DS143" s="50">
        <f t="shared" si="70"/>
        <v>0</v>
      </c>
      <c r="DT143" s="49">
        <f t="shared" si="70"/>
        <v>0</v>
      </c>
      <c r="DU143" s="49">
        <f t="shared" si="70"/>
        <v>0</v>
      </c>
      <c r="DV143" s="49">
        <f t="shared" si="70"/>
        <v>0</v>
      </c>
      <c r="DW143" s="49">
        <f t="shared" si="70"/>
        <v>0</v>
      </c>
      <c r="DX143" s="49">
        <f t="shared" si="70"/>
        <v>0</v>
      </c>
      <c r="DY143" s="49">
        <f t="shared" si="70"/>
        <v>0</v>
      </c>
      <c r="DZ143" s="49">
        <f t="shared" si="70"/>
        <v>0</v>
      </c>
      <c r="EA143" s="50">
        <f t="shared" si="70"/>
        <v>0</v>
      </c>
      <c r="EB143" s="19"/>
    </row>
    <row r="144" spans="1:132" s="12" customFormat="1" ht="12.75" customHeight="1" x14ac:dyDescent="0.3">
      <c r="B144" s="17" t="s">
        <v>709</v>
      </c>
      <c r="C144" s="235">
        <f>SUM(C106:C112)</f>
        <v>7722</v>
      </c>
      <c r="D144" s="235">
        <f>SUM(D106:D112)</f>
        <v>4002</v>
      </c>
      <c r="E144" s="906">
        <f t="shared" si="15"/>
        <v>0.51825951825951821</v>
      </c>
      <c r="F144" s="49">
        <f>SUM(F106:F112)</f>
        <v>0</v>
      </c>
      <c r="G144" s="242">
        <f>SUM(G106:G112)</f>
        <v>0</v>
      </c>
      <c r="H144" s="49">
        <f t="shared" ref="H144:U144" si="71">SUM(H106:H112)</f>
        <v>0</v>
      </c>
      <c r="I144" s="230">
        <f t="shared" si="71"/>
        <v>0</v>
      </c>
      <c r="J144" s="49">
        <f t="shared" ref="J144" si="72">SUM(J106:J112)</f>
        <v>0</v>
      </c>
      <c r="K144" s="62">
        <f t="shared" si="71"/>
        <v>0</v>
      </c>
      <c r="L144" s="231">
        <f t="shared" ref="L144:M144" si="73">SUM(L106:L112)</f>
        <v>0</v>
      </c>
      <c r="M144" s="302">
        <f t="shared" si="73"/>
        <v>0</v>
      </c>
      <c r="N144" s="302">
        <f t="shared" si="71"/>
        <v>0</v>
      </c>
      <c r="O144" s="302">
        <f t="shared" si="71"/>
        <v>0</v>
      </c>
      <c r="P144" s="49">
        <f>SUM(P106:P112)</f>
        <v>0</v>
      </c>
      <c r="Q144" s="235">
        <f t="shared" si="71"/>
        <v>0</v>
      </c>
      <c r="R144" s="291">
        <f t="shared" ref="R144" si="74">SUM(R106:R112)</f>
        <v>0</v>
      </c>
      <c r="S144" s="50">
        <f t="shared" si="71"/>
        <v>0</v>
      </c>
      <c r="T144" s="227">
        <f t="shared" si="71"/>
        <v>0</v>
      </c>
      <c r="U144" s="49">
        <f t="shared" si="71"/>
        <v>0</v>
      </c>
      <c r="V144" s="49">
        <f t="shared" ref="V144:CG144" si="75">SUM(V106:V112)</f>
        <v>0</v>
      </c>
      <c r="W144" s="235">
        <f t="shared" si="75"/>
        <v>0</v>
      </c>
      <c r="X144" s="50">
        <f t="shared" si="75"/>
        <v>0</v>
      </c>
      <c r="Y144" s="49">
        <f t="shared" si="75"/>
        <v>0</v>
      </c>
      <c r="Z144" s="49">
        <f t="shared" si="75"/>
        <v>0</v>
      </c>
      <c r="AA144" s="49">
        <f t="shared" si="75"/>
        <v>0</v>
      </c>
      <c r="AB144" s="49">
        <f t="shared" si="75"/>
        <v>0</v>
      </c>
      <c r="AC144" s="50">
        <f t="shared" si="75"/>
        <v>0</v>
      </c>
      <c r="AD144" s="227">
        <f t="shared" si="75"/>
        <v>0</v>
      </c>
      <c r="AE144" s="49">
        <f t="shared" si="75"/>
        <v>0</v>
      </c>
      <c r="AF144" s="49">
        <f t="shared" si="75"/>
        <v>0</v>
      </c>
      <c r="AG144" s="50">
        <f t="shared" si="75"/>
        <v>0</v>
      </c>
      <c r="AH144" s="49">
        <f t="shared" si="75"/>
        <v>0</v>
      </c>
      <c r="AI144" s="49">
        <f t="shared" si="75"/>
        <v>0</v>
      </c>
      <c r="AJ144" s="49">
        <f t="shared" si="75"/>
        <v>0</v>
      </c>
      <c r="AK144" s="49">
        <f t="shared" si="75"/>
        <v>0</v>
      </c>
      <c r="AL144" s="49">
        <f t="shared" si="75"/>
        <v>0</v>
      </c>
      <c r="AM144" s="49">
        <f t="shared" si="75"/>
        <v>0</v>
      </c>
      <c r="AN144" s="50">
        <f t="shared" si="75"/>
        <v>0</v>
      </c>
      <c r="AO144" s="49">
        <f t="shared" si="75"/>
        <v>0</v>
      </c>
      <c r="AP144" s="49">
        <f t="shared" si="75"/>
        <v>0</v>
      </c>
      <c r="AQ144" s="49">
        <f t="shared" si="75"/>
        <v>0</v>
      </c>
      <c r="AR144" s="50">
        <f t="shared" si="75"/>
        <v>0</v>
      </c>
      <c r="AS144" s="49">
        <f t="shared" si="75"/>
        <v>0</v>
      </c>
      <c r="AT144" s="49">
        <f t="shared" si="75"/>
        <v>0</v>
      </c>
      <c r="AU144" s="49">
        <f t="shared" si="75"/>
        <v>0</v>
      </c>
      <c r="AV144" s="49">
        <f t="shared" si="75"/>
        <v>0</v>
      </c>
      <c r="AW144" s="50">
        <f t="shared" si="75"/>
        <v>0</v>
      </c>
      <c r="AX144" s="49">
        <f t="shared" si="75"/>
        <v>0</v>
      </c>
      <c r="AY144" s="49">
        <f t="shared" si="75"/>
        <v>0</v>
      </c>
      <c r="AZ144" s="49">
        <f t="shared" si="75"/>
        <v>0</v>
      </c>
      <c r="BA144" s="50">
        <f t="shared" si="75"/>
        <v>0</v>
      </c>
      <c r="BB144" s="49">
        <f t="shared" si="75"/>
        <v>0</v>
      </c>
      <c r="BC144" s="49">
        <f t="shared" si="75"/>
        <v>0</v>
      </c>
      <c r="BD144" s="49">
        <f t="shared" si="75"/>
        <v>0</v>
      </c>
      <c r="BE144" s="49">
        <f t="shared" si="75"/>
        <v>0</v>
      </c>
      <c r="BF144" s="49">
        <f t="shared" si="75"/>
        <v>0</v>
      </c>
      <c r="BG144" s="62">
        <f t="shared" si="75"/>
        <v>0</v>
      </c>
      <c r="BH144" s="302">
        <f t="shared" si="75"/>
        <v>0</v>
      </c>
      <c r="BI144" s="49">
        <f t="shared" si="75"/>
        <v>0</v>
      </c>
      <c r="BJ144" s="50">
        <f t="shared" si="75"/>
        <v>0</v>
      </c>
      <c r="BK144" s="62">
        <f t="shared" si="75"/>
        <v>0</v>
      </c>
      <c r="BL144" s="231">
        <f t="shared" si="75"/>
        <v>0</v>
      </c>
      <c r="BM144" s="49">
        <f t="shared" si="75"/>
        <v>0</v>
      </c>
      <c r="BN144" s="49">
        <f t="shared" si="75"/>
        <v>0</v>
      </c>
      <c r="BO144" s="49">
        <f t="shared" si="75"/>
        <v>0</v>
      </c>
      <c r="BP144" s="82">
        <f t="shared" si="75"/>
        <v>0</v>
      </c>
      <c r="BQ144" s="227">
        <f t="shared" si="75"/>
        <v>0</v>
      </c>
      <c r="BR144" s="49">
        <f t="shared" si="75"/>
        <v>0</v>
      </c>
      <c r="BS144" s="230">
        <f t="shared" si="75"/>
        <v>0</v>
      </c>
      <c r="BT144" s="242">
        <f t="shared" si="75"/>
        <v>0</v>
      </c>
      <c r="BU144" s="242">
        <f t="shared" si="75"/>
        <v>0</v>
      </c>
      <c r="BV144" s="49">
        <f t="shared" si="75"/>
        <v>0</v>
      </c>
      <c r="BW144" s="49">
        <f t="shared" si="75"/>
        <v>0</v>
      </c>
      <c r="BX144" s="49">
        <f t="shared" si="75"/>
        <v>0</v>
      </c>
      <c r="BY144" s="49">
        <f t="shared" si="75"/>
        <v>0</v>
      </c>
      <c r="BZ144" s="49">
        <f t="shared" si="75"/>
        <v>0</v>
      </c>
      <c r="CA144" s="230">
        <f t="shared" si="75"/>
        <v>0</v>
      </c>
      <c r="CB144" s="49">
        <f t="shared" si="75"/>
        <v>0</v>
      </c>
      <c r="CC144" s="230">
        <f t="shared" si="75"/>
        <v>0</v>
      </c>
      <c r="CD144" s="49">
        <f t="shared" si="75"/>
        <v>0</v>
      </c>
      <c r="CE144" s="231">
        <f t="shared" si="75"/>
        <v>0</v>
      </c>
      <c r="CF144" s="231">
        <f t="shared" si="75"/>
        <v>0</v>
      </c>
      <c r="CG144" s="231">
        <f t="shared" si="75"/>
        <v>0</v>
      </c>
      <c r="CH144" s="242">
        <f t="shared" ref="CH144:EA144" si="76">SUM(CH106:CH112)</f>
        <v>0</v>
      </c>
      <c r="CI144" s="62">
        <f t="shared" si="76"/>
        <v>0</v>
      </c>
      <c r="CJ144" s="230">
        <f t="shared" si="76"/>
        <v>0</v>
      </c>
      <c r="CK144" s="49">
        <f t="shared" si="76"/>
        <v>0</v>
      </c>
      <c r="CL144" s="230">
        <f t="shared" si="76"/>
        <v>0</v>
      </c>
      <c r="CM144" s="242">
        <f t="shared" si="76"/>
        <v>0</v>
      </c>
      <c r="CN144" s="242">
        <f t="shared" si="76"/>
        <v>0</v>
      </c>
      <c r="CO144" s="49">
        <f t="shared" si="76"/>
        <v>0</v>
      </c>
      <c r="CP144" s="49">
        <f t="shared" si="76"/>
        <v>0</v>
      </c>
      <c r="CQ144" s="49">
        <f t="shared" si="76"/>
        <v>0</v>
      </c>
      <c r="CR144" s="230">
        <f t="shared" si="76"/>
        <v>0</v>
      </c>
      <c r="CS144" s="242">
        <f t="shared" si="76"/>
        <v>0</v>
      </c>
      <c r="CT144" s="302">
        <f t="shared" si="76"/>
        <v>0</v>
      </c>
      <c r="CU144" s="231">
        <f t="shared" si="76"/>
        <v>0</v>
      </c>
      <c r="CV144" s="302">
        <f t="shared" si="76"/>
        <v>0</v>
      </c>
      <c r="CW144" s="302">
        <f t="shared" si="76"/>
        <v>0</v>
      </c>
      <c r="CX144" s="82">
        <f t="shared" si="76"/>
        <v>0</v>
      </c>
      <c r="CY144" s="227">
        <f t="shared" si="76"/>
        <v>2683</v>
      </c>
      <c r="CZ144" s="242">
        <f t="shared" si="76"/>
        <v>2487</v>
      </c>
      <c r="DA144" s="242">
        <f t="shared" si="76"/>
        <v>2540</v>
      </c>
      <c r="DB144" s="242">
        <f t="shared" si="76"/>
        <v>2503</v>
      </c>
      <c r="DC144" s="49">
        <f t="shared" si="76"/>
        <v>1998</v>
      </c>
      <c r="DD144" s="49">
        <f t="shared" si="76"/>
        <v>1774</v>
      </c>
      <c r="DE144" s="49">
        <f t="shared" si="76"/>
        <v>1966</v>
      </c>
      <c r="DF144" s="230">
        <f t="shared" si="76"/>
        <v>1714</v>
      </c>
      <c r="DG144" s="242">
        <f t="shared" si="76"/>
        <v>284</v>
      </c>
      <c r="DH144" s="242">
        <f t="shared" si="76"/>
        <v>160</v>
      </c>
      <c r="DI144" s="242">
        <f t="shared" si="76"/>
        <v>355</v>
      </c>
      <c r="DJ144" s="242">
        <f t="shared" si="76"/>
        <v>846</v>
      </c>
      <c r="DK144" s="82">
        <f t="shared" si="76"/>
        <v>980</v>
      </c>
      <c r="DL144" s="62">
        <f t="shared" si="76"/>
        <v>0</v>
      </c>
      <c r="DM144" s="302">
        <f t="shared" si="76"/>
        <v>0</v>
      </c>
      <c r="DN144" s="49">
        <f t="shared" si="76"/>
        <v>0</v>
      </c>
      <c r="DO144" s="49">
        <f t="shared" si="76"/>
        <v>0</v>
      </c>
      <c r="DP144" s="49">
        <f t="shared" si="76"/>
        <v>0</v>
      </c>
      <c r="DQ144" s="49">
        <f t="shared" si="76"/>
        <v>0</v>
      </c>
      <c r="DR144" s="49">
        <f t="shared" si="76"/>
        <v>0</v>
      </c>
      <c r="DS144" s="50">
        <f t="shared" si="76"/>
        <v>0</v>
      </c>
      <c r="DT144" s="49">
        <f t="shared" si="76"/>
        <v>0</v>
      </c>
      <c r="DU144" s="49">
        <f t="shared" si="76"/>
        <v>0</v>
      </c>
      <c r="DV144" s="49">
        <f t="shared" si="76"/>
        <v>0</v>
      </c>
      <c r="DW144" s="49">
        <f t="shared" si="76"/>
        <v>0</v>
      </c>
      <c r="DX144" s="49">
        <f t="shared" si="76"/>
        <v>0</v>
      </c>
      <c r="DY144" s="49">
        <f t="shared" si="76"/>
        <v>0</v>
      </c>
      <c r="DZ144" s="49">
        <f t="shared" si="76"/>
        <v>0</v>
      </c>
      <c r="EA144" s="50">
        <f t="shared" si="76"/>
        <v>0</v>
      </c>
      <c r="EB144" s="19"/>
    </row>
    <row r="145" spans="1:132" s="12" customFormat="1" ht="13" x14ac:dyDescent="0.3">
      <c r="B145" s="17" t="s">
        <v>733</v>
      </c>
      <c r="C145" s="235">
        <f>SUM(C113:C120)</f>
        <v>6843</v>
      </c>
      <c r="D145" s="235">
        <f>SUM(D113:D120)</f>
        <v>3294</v>
      </c>
      <c r="E145" s="906">
        <f t="shared" si="15"/>
        <v>0.48136782113108284</v>
      </c>
      <c r="F145" s="49">
        <f>SUM(F113:F120)</f>
        <v>0</v>
      </c>
      <c r="G145" s="242">
        <f>SUM(G113:G120)</f>
        <v>0</v>
      </c>
      <c r="H145" s="49">
        <f t="shared" ref="H145:U145" si="77">SUM(H113:H120)</f>
        <v>0</v>
      </c>
      <c r="I145" s="230">
        <f t="shared" si="77"/>
        <v>0</v>
      </c>
      <c r="J145" s="49">
        <f t="shared" ref="J145" si="78">SUM(J113:J120)</f>
        <v>0</v>
      </c>
      <c r="K145" s="62">
        <f t="shared" si="77"/>
        <v>0</v>
      </c>
      <c r="L145" s="231">
        <f t="shared" ref="L145:M145" si="79">SUM(L113:L120)</f>
        <v>0</v>
      </c>
      <c r="M145" s="302">
        <f t="shared" si="79"/>
        <v>0</v>
      </c>
      <c r="N145" s="302">
        <f t="shared" si="77"/>
        <v>0</v>
      </c>
      <c r="O145" s="302">
        <f t="shared" si="77"/>
        <v>0</v>
      </c>
      <c r="P145" s="49">
        <f>SUM(P113:P120)</f>
        <v>0</v>
      </c>
      <c r="Q145" s="235">
        <f t="shared" si="77"/>
        <v>0</v>
      </c>
      <c r="R145" s="291">
        <f t="shared" ref="R145" si="80">SUM(R113:R120)</f>
        <v>0</v>
      </c>
      <c r="S145" s="50">
        <f t="shared" si="77"/>
        <v>0</v>
      </c>
      <c r="T145" s="227">
        <f t="shared" si="77"/>
        <v>0</v>
      </c>
      <c r="U145" s="49">
        <f t="shared" si="77"/>
        <v>0</v>
      </c>
      <c r="V145" s="49">
        <f t="shared" ref="V145:CG145" si="81">SUM(V113:V120)</f>
        <v>0</v>
      </c>
      <c r="W145" s="235">
        <f t="shared" si="81"/>
        <v>0</v>
      </c>
      <c r="X145" s="50">
        <f t="shared" si="81"/>
        <v>0</v>
      </c>
      <c r="Y145" s="49">
        <f t="shared" si="81"/>
        <v>0</v>
      </c>
      <c r="Z145" s="49">
        <f t="shared" si="81"/>
        <v>0</v>
      </c>
      <c r="AA145" s="49">
        <f t="shared" si="81"/>
        <v>0</v>
      </c>
      <c r="AB145" s="49">
        <f t="shared" si="81"/>
        <v>0</v>
      </c>
      <c r="AC145" s="50">
        <f t="shared" si="81"/>
        <v>0</v>
      </c>
      <c r="AD145" s="227">
        <f t="shared" si="81"/>
        <v>0</v>
      </c>
      <c r="AE145" s="49">
        <f t="shared" si="81"/>
        <v>0</v>
      </c>
      <c r="AF145" s="49">
        <f t="shared" si="81"/>
        <v>0</v>
      </c>
      <c r="AG145" s="50">
        <f t="shared" si="81"/>
        <v>0</v>
      </c>
      <c r="AH145" s="49">
        <f t="shared" si="81"/>
        <v>0</v>
      </c>
      <c r="AI145" s="49">
        <f t="shared" si="81"/>
        <v>0</v>
      </c>
      <c r="AJ145" s="49">
        <f t="shared" si="81"/>
        <v>0</v>
      </c>
      <c r="AK145" s="49">
        <f t="shared" si="81"/>
        <v>0</v>
      </c>
      <c r="AL145" s="49">
        <f t="shared" si="81"/>
        <v>0</v>
      </c>
      <c r="AM145" s="49">
        <f t="shared" si="81"/>
        <v>0</v>
      </c>
      <c r="AN145" s="50">
        <f t="shared" si="81"/>
        <v>0</v>
      </c>
      <c r="AO145" s="49">
        <f t="shared" si="81"/>
        <v>0</v>
      </c>
      <c r="AP145" s="49">
        <f t="shared" si="81"/>
        <v>0</v>
      </c>
      <c r="AQ145" s="49">
        <f t="shared" si="81"/>
        <v>0</v>
      </c>
      <c r="AR145" s="50">
        <f t="shared" si="81"/>
        <v>0</v>
      </c>
      <c r="AS145" s="49">
        <f t="shared" si="81"/>
        <v>0</v>
      </c>
      <c r="AT145" s="49">
        <f t="shared" si="81"/>
        <v>0</v>
      </c>
      <c r="AU145" s="49">
        <f t="shared" si="81"/>
        <v>0</v>
      </c>
      <c r="AV145" s="49">
        <f t="shared" si="81"/>
        <v>0</v>
      </c>
      <c r="AW145" s="50">
        <f t="shared" si="81"/>
        <v>0</v>
      </c>
      <c r="AX145" s="49">
        <f t="shared" si="81"/>
        <v>0</v>
      </c>
      <c r="AY145" s="49">
        <f t="shared" si="81"/>
        <v>0</v>
      </c>
      <c r="AZ145" s="49">
        <f t="shared" si="81"/>
        <v>0</v>
      </c>
      <c r="BA145" s="50">
        <f t="shared" si="81"/>
        <v>0</v>
      </c>
      <c r="BB145" s="49">
        <f t="shared" si="81"/>
        <v>0</v>
      </c>
      <c r="BC145" s="49">
        <f t="shared" si="81"/>
        <v>0</v>
      </c>
      <c r="BD145" s="49">
        <f t="shared" si="81"/>
        <v>0</v>
      </c>
      <c r="BE145" s="49">
        <f t="shared" si="81"/>
        <v>0</v>
      </c>
      <c r="BF145" s="49">
        <f t="shared" si="81"/>
        <v>0</v>
      </c>
      <c r="BG145" s="62">
        <f t="shared" si="81"/>
        <v>0</v>
      </c>
      <c r="BH145" s="302">
        <f t="shared" si="81"/>
        <v>0</v>
      </c>
      <c r="BI145" s="49">
        <f t="shared" si="81"/>
        <v>0</v>
      </c>
      <c r="BJ145" s="50">
        <f t="shared" si="81"/>
        <v>0</v>
      </c>
      <c r="BK145" s="62">
        <f t="shared" si="81"/>
        <v>0</v>
      </c>
      <c r="BL145" s="231">
        <f t="shared" si="81"/>
        <v>0</v>
      </c>
      <c r="BM145" s="49">
        <f t="shared" si="81"/>
        <v>0</v>
      </c>
      <c r="BN145" s="49">
        <f t="shared" si="81"/>
        <v>0</v>
      </c>
      <c r="BO145" s="49">
        <f t="shared" si="81"/>
        <v>0</v>
      </c>
      <c r="BP145" s="82">
        <f t="shared" si="81"/>
        <v>0</v>
      </c>
      <c r="BQ145" s="227">
        <f t="shared" si="81"/>
        <v>0</v>
      </c>
      <c r="BR145" s="49">
        <f t="shared" si="81"/>
        <v>0</v>
      </c>
      <c r="BS145" s="230">
        <f t="shared" si="81"/>
        <v>0</v>
      </c>
      <c r="BT145" s="242">
        <f t="shared" si="81"/>
        <v>0</v>
      </c>
      <c r="BU145" s="242">
        <f t="shared" si="81"/>
        <v>0</v>
      </c>
      <c r="BV145" s="49">
        <f t="shared" si="81"/>
        <v>0</v>
      </c>
      <c r="BW145" s="49">
        <f t="shared" si="81"/>
        <v>0</v>
      </c>
      <c r="BX145" s="49">
        <f t="shared" si="81"/>
        <v>0</v>
      </c>
      <c r="BY145" s="49">
        <f t="shared" si="81"/>
        <v>0</v>
      </c>
      <c r="BZ145" s="49">
        <f t="shared" si="81"/>
        <v>0</v>
      </c>
      <c r="CA145" s="230">
        <f t="shared" si="81"/>
        <v>0</v>
      </c>
      <c r="CB145" s="49">
        <f t="shared" si="81"/>
        <v>0</v>
      </c>
      <c r="CC145" s="230">
        <f t="shared" si="81"/>
        <v>0</v>
      </c>
      <c r="CD145" s="49">
        <f t="shared" si="81"/>
        <v>0</v>
      </c>
      <c r="CE145" s="231">
        <f t="shared" si="81"/>
        <v>0</v>
      </c>
      <c r="CF145" s="231">
        <f t="shared" si="81"/>
        <v>0</v>
      </c>
      <c r="CG145" s="231">
        <f t="shared" si="81"/>
        <v>0</v>
      </c>
      <c r="CH145" s="242">
        <f t="shared" ref="CH145:EA145" si="82">SUM(CH113:CH120)</f>
        <v>0</v>
      </c>
      <c r="CI145" s="62">
        <f t="shared" si="82"/>
        <v>0</v>
      </c>
      <c r="CJ145" s="230">
        <f t="shared" si="82"/>
        <v>0</v>
      </c>
      <c r="CK145" s="49">
        <f t="shared" si="82"/>
        <v>0</v>
      </c>
      <c r="CL145" s="230">
        <f t="shared" si="82"/>
        <v>0</v>
      </c>
      <c r="CM145" s="242">
        <f t="shared" si="82"/>
        <v>0</v>
      </c>
      <c r="CN145" s="242">
        <f t="shared" si="82"/>
        <v>0</v>
      </c>
      <c r="CO145" s="49">
        <f t="shared" si="82"/>
        <v>0</v>
      </c>
      <c r="CP145" s="49">
        <f t="shared" si="82"/>
        <v>0</v>
      </c>
      <c r="CQ145" s="49">
        <f t="shared" si="82"/>
        <v>0</v>
      </c>
      <c r="CR145" s="230">
        <f t="shared" si="82"/>
        <v>0</v>
      </c>
      <c r="CS145" s="242">
        <f t="shared" si="82"/>
        <v>0</v>
      </c>
      <c r="CT145" s="302">
        <f t="shared" si="82"/>
        <v>0</v>
      </c>
      <c r="CU145" s="231">
        <f t="shared" si="82"/>
        <v>0</v>
      </c>
      <c r="CV145" s="302">
        <f t="shared" si="82"/>
        <v>0</v>
      </c>
      <c r="CW145" s="302">
        <f t="shared" si="82"/>
        <v>0</v>
      </c>
      <c r="CX145" s="82">
        <f t="shared" si="82"/>
        <v>0</v>
      </c>
      <c r="CY145" s="227">
        <f t="shared" si="82"/>
        <v>0</v>
      </c>
      <c r="CZ145" s="242">
        <f t="shared" si="82"/>
        <v>0</v>
      </c>
      <c r="DA145" s="242">
        <f t="shared" si="82"/>
        <v>0</v>
      </c>
      <c r="DB145" s="242">
        <f t="shared" si="82"/>
        <v>0</v>
      </c>
      <c r="DC145" s="49">
        <f t="shared" si="82"/>
        <v>0</v>
      </c>
      <c r="DD145" s="49">
        <f t="shared" si="82"/>
        <v>0</v>
      </c>
      <c r="DE145" s="49">
        <f t="shared" si="82"/>
        <v>0</v>
      </c>
      <c r="DF145" s="230">
        <f t="shared" si="82"/>
        <v>0</v>
      </c>
      <c r="DG145" s="242">
        <f t="shared" si="82"/>
        <v>0</v>
      </c>
      <c r="DH145" s="242">
        <f t="shared" si="82"/>
        <v>0</v>
      </c>
      <c r="DI145" s="242">
        <f t="shared" si="82"/>
        <v>0</v>
      </c>
      <c r="DJ145" s="242">
        <f t="shared" si="82"/>
        <v>0</v>
      </c>
      <c r="DK145" s="82">
        <f t="shared" si="82"/>
        <v>0</v>
      </c>
      <c r="DL145" s="62">
        <f t="shared" si="82"/>
        <v>2528</v>
      </c>
      <c r="DM145" s="302">
        <f t="shared" si="82"/>
        <v>587</v>
      </c>
      <c r="DN145" s="49">
        <f t="shared" si="82"/>
        <v>1445</v>
      </c>
      <c r="DO145" s="49">
        <f t="shared" si="82"/>
        <v>981</v>
      </c>
      <c r="DP145" s="49">
        <f t="shared" si="82"/>
        <v>1082</v>
      </c>
      <c r="DQ145" s="49">
        <f t="shared" si="82"/>
        <v>1007</v>
      </c>
      <c r="DR145" s="49">
        <f t="shared" si="82"/>
        <v>1038</v>
      </c>
      <c r="DS145" s="50">
        <f t="shared" si="82"/>
        <v>995</v>
      </c>
      <c r="DT145" s="49">
        <f t="shared" si="82"/>
        <v>0</v>
      </c>
      <c r="DU145" s="49">
        <f t="shared" si="82"/>
        <v>0</v>
      </c>
      <c r="DV145" s="49">
        <f t="shared" si="82"/>
        <v>0</v>
      </c>
      <c r="DW145" s="49">
        <f t="shared" si="82"/>
        <v>0</v>
      </c>
      <c r="DX145" s="49">
        <f t="shared" si="82"/>
        <v>0</v>
      </c>
      <c r="DY145" s="49">
        <f t="shared" si="82"/>
        <v>0</v>
      </c>
      <c r="DZ145" s="49">
        <f t="shared" si="82"/>
        <v>0</v>
      </c>
      <c r="EA145" s="50">
        <f t="shared" si="82"/>
        <v>0</v>
      </c>
      <c r="EB145" s="19"/>
    </row>
    <row r="146" spans="1:132" s="12" customFormat="1" ht="13.5" customHeight="1" thickBot="1" x14ac:dyDescent="0.35">
      <c r="A146" s="32"/>
      <c r="B146" s="33" t="s">
        <v>20</v>
      </c>
      <c r="C146" s="286">
        <f>SUM(C121:C125)</f>
        <v>7066</v>
      </c>
      <c r="D146" s="286">
        <f>SUM(D121:D125)</f>
        <v>4631</v>
      </c>
      <c r="E146" s="907">
        <f t="shared" si="15"/>
        <v>0.65539201811491654</v>
      </c>
      <c r="F146" s="245">
        <f>SUM(F121:F125)</f>
        <v>0</v>
      </c>
      <c r="G146" s="244">
        <f>SUM(G121:G125)</f>
        <v>0</v>
      </c>
      <c r="H146" s="245">
        <f t="shared" ref="H146:U146" si="83">SUM(H121:H125)</f>
        <v>0</v>
      </c>
      <c r="I146" s="246">
        <f t="shared" si="83"/>
        <v>0</v>
      </c>
      <c r="J146" s="245">
        <f t="shared" ref="J146" si="84">SUM(J121:J125)</f>
        <v>0</v>
      </c>
      <c r="K146" s="251">
        <f t="shared" si="83"/>
        <v>0</v>
      </c>
      <c r="L146" s="285">
        <f t="shared" ref="L146:M146" si="85">SUM(L121:L125)</f>
        <v>0</v>
      </c>
      <c r="M146" s="303">
        <f t="shared" si="85"/>
        <v>0</v>
      </c>
      <c r="N146" s="303">
        <f t="shared" si="83"/>
        <v>0</v>
      </c>
      <c r="O146" s="303">
        <f t="shared" si="83"/>
        <v>0</v>
      </c>
      <c r="P146" s="245">
        <f>SUM(P121:P125)</f>
        <v>0</v>
      </c>
      <c r="Q146" s="286">
        <f t="shared" si="83"/>
        <v>0</v>
      </c>
      <c r="R146" s="523">
        <f t="shared" ref="R146" si="86">SUM(R121:R125)</f>
        <v>0</v>
      </c>
      <c r="S146" s="250">
        <f t="shared" si="83"/>
        <v>0</v>
      </c>
      <c r="T146" s="514">
        <f t="shared" si="83"/>
        <v>0</v>
      </c>
      <c r="U146" s="245">
        <f t="shared" si="83"/>
        <v>0</v>
      </c>
      <c r="V146" s="245">
        <f t="shared" ref="V146:CG146" si="87">SUM(V121:V125)</f>
        <v>0</v>
      </c>
      <c r="W146" s="286">
        <f t="shared" si="87"/>
        <v>0</v>
      </c>
      <c r="X146" s="250">
        <f t="shared" si="87"/>
        <v>0</v>
      </c>
      <c r="Y146" s="245">
        <f t="shared" si="87"/>
        <v>0</v>
      </c>
      <c r="Z146" s="245">
        <f t="shared" si="87"/>
        <v>0</v>
      </c>
      <c r="AA146" s="245">
        <f t="shared" si="87"/>
        <v>0</v>
      </c>
      <c r="AB146" s="245">
        <f t="shared" si="87"/>
        <v>0</v>
      </c>
      <c r="AC146" s="250">
        <f t="shared" si="87"/>
        <v>0</v>
      </c>
      <c r="AD146" s="514">
        <f t="shared" si="87"/>
        <v>0</v>
      </c>
      <c r="AE146" s="245">
        <f t="shared" si="87"/>
        <v>0</v>
      </c>
      <c r="AF146" s="245">
        <f t="shared" si="87"/>
        <v>0</v>
      </c>
      <c r="AG146" s="250">
        <f t="shared" si="87"/>
        <v>0</v>
      </c>
      <c r="AH146" s="245">
        <f t="shared" si="87"/>
        <v>0</v>
      </c>
      <c r="AI146" s="245">
        <f t="shared" si="87"/>
        <v>0</v>
      </c>
      <c r="AJ146" s="245">
        <f t="shared" si="87"/>
        <v>0</v>
      </c>
      <c r="AK146" s="245">
        <f t="shared" si="87"/>
        <v>0</v>
      </c>
      <c r="AL146" s="245">
        <f t="shared" si="87"/>
        <v>0</v>
      </c>
      <c r="AM146" s="245">
        <f t="shared" si="87"/>
        <v>0</v>
      </c>
      <c r="AN146" s="250">
        <f t="shared" si="87"/>
        <v>0</v>
      </c>
      <c r="AO146" s="245">
        <f t="shared" si="87"/>
        <v>0</v>
      </c>
      <c r="AP146" s="245">
        <f t="shared" si="87"/>
        <v>0</v>
      </c>
      <c r="AQ146" s="245">
        <f t="shared" si="87"/>
        <v>0</v>
      </c>
      <c r="AR146" s="250">
        <f t="shared" si="87"/>
        <v>0</v>
      </c>
      <c r="AS146" s="245">
        <f t="shared" si="87"/>
        <v>0</v>
      </c>
      <c r="AT146" s="245">
        <f t="shared" si="87"/>
        <v>0</v>
      </c>
      <c r="AU146" s="245">
        <f t="shared" si="87"/>
        <v>0</v>
      </c>
      <c r="AV146" s="245">
        <f t="shared" si="87"/>
        <v>0</v>
      </c>
      <c r="AW146" s="250">
        <f t="shared" si="87"/>
        <v>0</v>
      </c>
      <c r="AX146" s="245">
        <f t="shared" si="87"/>
        <v>0</v>
      </c>
      <c r="AY146" s="245">
        <f t="shared" si="87"/>
        <v>0</v>
      </c>
      <c r="AZ146" s="245">
        <f t="shared" si="87"/>
        <v>0</v>
      </c>
      <c r="BA146" s="250">
        <f t="shared" si="87"/>
        <v>0</v>
      </c>
      <c r="BB146" s="245">
        <f t="shared" si="87"/>
        <v>0</v>
      </c>
      <c r="BC146" s="245">
        <f t="shared" si="87"/>
        <v>0</v>
      </c>
      <c r="BD146" s="245">
        <f t="shared" si="87"/>
        <v>0</v>
      </c>
      <c r="BE146" s="245">
        <f t="shared" si="87"/>
        <v>0</v>
      </c>
      <c r="BF146" s="245">
        <f t="shared" si="87"/>
        <v>0</v>
      </c>
      <c r="BG146" s="251">
        <f t="shared" si="87"/>
        <v>0</v>
      </c>
      <c r="BH146" s="303">
        <f t="shared" si="87"/>
        <v>0</v>
      </c>
      <c r="BI146" s="245">
        <f t="shared" si="87"/>
        <v>0</v>
      </c>
      <c r="BJ146" s="250">
        <f t="shared" si="87"/>
        <v>0</v>
      </c>
      <c r="BK146" s="251">
        <f t="shared" si="87"/>
        <v>0</v>
      </c>
      <c r="BL146" s="285">
        <f t="shared" si="87"/>
        <v>0</v>
      </c>
      <c r="BM146" s="245">
        <f t="shared" si="87"/>
        <v>0</v>
      </c>
      <c r="BN146" s="245">
        <f t="shared" si="87"/>
        <v>0</v>
      </c>
      <c r="BO146" s="245">
        <f t="shared" si="87"/>
        <v>0</v>
      </c>
      <c r="BP146" s="247">
        <f t="shared" si="87"/>
        <v>0</v>
      </c>
      <c r="BQ146" s="514">
        <f t="shared" si="87"/>
        <v>0</v>
      </c>
      <c r="BR146" s="245">
        <f t="shared" si="87"/>
        <v>0</v>
      </c>
      <c r="BS146" s="246">
        <f t="shared" si="87"/>
        <v>0</v>
      </c>
      <c r="BT146" s="244">
        <f t="shared" si="87"/>
        <v>0</v>
      </c>
      <c r="BU146" s="244">
        <f t="shared" si="87"/>
        <v>0</v>
      </c>
      <c r="BV146" s="245">
        <f t="shared" si="87"/>
        <v>0</v>
      </c>
      <c r="BW146" s="245">
        <f t="shared" si="87"/>
        <v>0</v>
      </c>
      <c r="BX146" s="245">
        <f t="shared" si="87"/>
        <v>0</v>
      </c>
      <c r="BY146" s="245">
        <f t="shared" si="87"/>
        <v>0</v>
      </c>
      <c r="BZ146" s="245">
        <f t="shared" si="87"/>
        <v>0</v>
      </c>
      <c r="CA146" s="246">
        <f t="shared" si="87"/>
        <v>0</v>
      </c>
      <c r="CB146" s="245">
        <f t="shared" si="87"/>
        <v>0</v>
      </c>
      <c r="CC146" s="246">
        <f t="shared" si="87"/>
        <v>0</v>
      </c>
      <c r="CD146" s="245">
        <f t="shared" si="87"/>
        <v>0</v>
      </c>
      <c r="CE146" s="285">
        <f t="shared" si="87"/>
        <v>0</v>
      </c>
      <c r="CF146" s="285">
        <f t="shared" si="87"/>
        <v>0</v>
      </c>
      <c r="CG146" s="285">
        <f t="shared" si="87"/>
        <v>0</v>
      </c>
      <c r="CH146" s="244">
        <f t="shared" ref="CH146:EA146" si="88">SUM(CH121:CH125)</f>
        <v>0</v>
      </c>
      <c r="CI146" s="251">
        <f t="shared" si="88"/>
        <v>0</v>
      </c>
      <c r="CJ146" s="246">
        <f t="shared" si="88"/>
        <v>0</v>
      </c>
      <c r="CK146" s="245">
        <f t="shared" si="88"/>
        <v>0</v>
      </c>
      <c r="CL146" s="246">
        <f t="shared" si="88"/>
        <v>0</v>
      </c>
      <c r="CM146" s="244">
        <f t="shared" si="88"/>
        <v>0</v>
      </c>
      <c r="CN146" s="244">
        <f t="shared" si="88"/>
        <v>0</v>
      </c>
      <c r="CO146" s="245">
        <f t="shared" si="88"/>
        <v>0</v>
      </c>
      <c r="CP146" s="245">
        <f t="shared" si="88"/>
        <v>0</v>
      </c>
      <c r="CQ146" s="245">
        <f t="shared" si="88"/>
        <v>0</v>
      </c>
      <c r="CR146" s="246">
        <f t="shared" si="88"/>
        <v>0</v>
      </c>
      <c r="CS146" s="244">
        <f t="shared" si="88"/>
        <v>0</v>
      </c>
      <c r="CT146" s="303">
        <f t="shared" si="88"/>
        <v>0</v>
      </c>
      <c r="CU146" s="285">
        <f t="shared" si="88"/>
        <v>0</v>
      </c>
      <c r="CV146" s="303">
        <f t="shared" si="88"/>
        <v>0</v>
      </c>
      <c r="CW146" s="303">
        <f t="shared" si="88"/>
        <v>0</v>
      </c>
      <c r="CX146" s="247">
        <f t="shared" si="88"/>
        <v>0</v>
      </c>
      <c r="CY146" s="514">
        <f t="shared" si="88"/>
        <v>0</v>
      </c>
      <c r="CZ146" s="244">
        <f t="shared" si="88"/>
        <v>0</v>
      </c>
      <c r="DA146" s="244">
        <f t="shared" si="88"/>
        <v>0</v>
      </c>
      <c r="DB146" s="244">
        <f t="shared" si="88"/>
        <v>0</v>
      </c>
      <c r="DC146" s="245">
        <f t="shared" si="88"/>
        <v>0</v>
      </c>
      <c r="DD146" s="245">
        <f t="shared" si="88"/>
        <v>0</v>
      </c>
      <c r="DE146" s="245">
        <f t="shared" si="88"/>
        <v>0</v>
      </c>
      <c r="DF146" s="246">
        <f t="shared" si="88"/>
        <v>0</v>
      </c>
      <c r="DG146" s="244">
        <f t="shared" si="88"/>
        <v>0</v>
      </c>
      <c r="DH146" s="244">
        <f t="shared" si="88"/>
        <v>0</v>
      </c>
      <c r="DI146" s="244">
        <f t="shared" si="88"/>
        <v>0</v>
      </c>
      <c r="DJ146" s="244">
        <f t="shared" si="88"/>
        <v>0</v>
      </c>
      <c r="DK146" s="247">
        <f t="shared" si="88"/>
        <v>0</v>
      </c>
      <c r="DL146" s="251">
        <f t="shared" si="88"/>
        <v>0</v>
      </c>
      <c r="DM146" s="303">
        <f t="shared" si="88"/>
        <v>0</v>
      </c>
      <c r="DN146" s="245">
        <f t="shared" si="88"/>
        <v>0</v>
      </c>
      <c r="DO146" s="245">
        <f t="shared" si="88"/>
        <v>0</v>
      </c>
      <c r="DP146" s="245">
        <f t="shared" si="88"/>
        <v>0</v>
      </c>
      <c r="DQ146" s="245">
        <f t="shared" si="88"/>
        <v>0</v>
      </c>
      <c r="DR146" s="245">
        <f t="shared" si="88"/>
        <v>0</v>
      </c>
      <c r="DS146" s="250">
        <f t="shared" si="88"/>
        <v>0</v>
      </c>
      <c r="DT146" s="245">
        <f t="shared" si="88"/>
        <v>2474</v>
      </c>
      <c r="DU146" s="245">
        <f t="shared" si="88"/>
        <v>2133</v>
      </c>
      <c r="DV146" s="245">
        <f t="shared" si="88"/>
        <v>2599</v>
      </c>
      <c r="DW146" s="245">
        <f t="shared" si="88"/>
        <v>1922</v>
      </c>
      <c r="DX146" s="245">
        <f t="shared" si="88"/>
        <v>2214</v>
      </c>
      <c r="DY146" s="245">
        <f t="shared" si="88"/>
        <v>2596</v>
      </c>
      <c r="DZ146" s="245">
        <f t="shared" si="88"/>
        <v>2149</v>
      </c>
      <c r="EA146" s="250">
        <f t="shared" si="88"/>
        <v>2320</v>
      </c>
      <c r="EB146" s="19"/>
    </row>
    <row r="147" spans="1:132" ht="13" thickTop="1" x14ac:dyDescent="0.25">
      <c r="A147" s="20"/>
      <c r="B147" s="20"/>
      <c r="C147" s="310"/>
      <c r="D147" s="310"/>
      <c r="E147" s="902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99"/>
      <c r="CK147" s="20"/>
      <c r="CL147" s="99"/>
      <c r="CM147" s="20"/>
      <c r="CN147" s="20"/>
      <c r="CO147" s="20"/>
      <c r="CP147" s="20"/>
      <c r="CQ147" s="20"/>
      <c r="CR147" s="20"/>
      <c r="CS147" s="20"/>
      <c r="CT147" s="20"/>
      <c r="CU147" s="99"/>
      <c r="CV147" s="99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</row>
    <row r="148" spans="1:132" x14ac:dyDescent="0.25">
      <c r="CJ148" s="24"/>
      <c r="CL148" s="24"/>
      <c r="CU148" s="24"/>
      <c r="CV148" s="24"/>
    </row>
    <row r="149" spans="1:132" x14ac:dyDescent="0.25">
      <c r="CJ149" s="24"/>
      <c r="CL149" s="24"/>
      <c r="CU149" s="24"/>
      <c r="CV149" s="24"/>
    </row>
    <row r="150" spans="1:132" x14ac:dyDescent="0.25">
      <c r="CJ150" s="24"/>
      <c r="CL150" s="24"/>
      <c r="CU150" s="24"/>
      <c r="CV150" s="24"/>
    </row>
    <row r="151" spans="1:132" x14ac:dyDescent="0.25">
      <c r="CJ151" s="24"/>
      <c r="CL151" s="24"/>
      <c r="CU151" s="24"/>
      <c r="CV151" s="24"/>
    </row>
    <row r="152" spans="1:132" x14ac:dyDescent="0.25">
      <c r="CJ152" s="24"/>
      <c r="CL152" s="24"/>
      <c r="CU152" s="24"/>
      <c r="CV152" s="24"/>
    </row>
    <row r="153" spans="1:132" x14ac:dyDescent="0.25">
      <c r="CJ153" s="24"/>
      <c r="CL153" s="24"/>
      <c r="CU153" s="24"/>
      <c r="CV153" s="24"/>
    </row>
    <row r="154" spans="1:132" x14ac:dyDescent="0.25">
      <c r="CJ154" s="24"/>
      <c r="CL154" s="24"/>
      <c r="CU154" s="24"/>
      <c r="CV154" s="24"/>
    </row>
    <row r="155" spans="1:132" x14ac:dyDescent="0.25">
      <c r="CJ155" s="24"/>
      <c r="CL155" s="24"/>
      <c r="CU155" s="24"/>
      <c r="CV155" s="24"/>
    </row>
    <row r="156" spans="1:132" x14ac:dyDescent="0.25">
      <c r="CJ156" s="24"/>
      <c r="CL156" s="24"/>
      <c r="CU156" s="24"/>
      <c r="CV156" s="24"/>
    </row>
    <row r="157" spans="1:132" x14ac:dyDescent="0.25">
      <c r="CJ157" s="24"/>
      <c r="CL157" s="24"/>
      <c r="CU157" s="24"/>
      <c r="CV157" s="24"/>
    </row>
    <row r="158" spans="1:132" x14ac:dyDescent="0.25">
      <c r="CJ158" s="24"/>
      <c r="CL158" s="24"/>
      <c r="CU158" s="24"/>
      <c r="CV158" s="24"/>
    </row>
    <row r="159" spans="1:132" x14ac:dyDescent="0.25">
      <c r="CJ159" s="24"/>
      <c r="CL159" s="24"/>
      <c r="CU159" s="24"/>
      <c r="CV159" s="24"/>
    </row>
    <row r="160" spans="1:132" x14ac:dyDescent="0.25">
      <c r="CJ160" s="24"/>
      <c r="CL160" s="24"/>
      <c r="CU160" s="24"/>
      <c r="CV160" s="24"/>
    </row>
    <row r="161" spans="88:100" x14ac:dyDescent="0.25">
      <c r="CJ161" s="24"/>
      <c r="CL161" s="24"/>
      <c r="CU161" s="24"/>
      <c r="CV161" s="24"/>
    </row>
    <row r="162" spans="88:100" x14ac:dyDescent="0.25">
      <c r="CJ162" s="24"/>
      <c r="CL162" s="24"/>
      <c r="CU162" s="24"/>
      <c r="CV162" s="24"/>
    </row>
    <row r="163" spans="88:100" x14ac:dyDescent="0.25">
      <c r="CJ163" s="24"/>
      <c r="CL163" s="24"/>
      <c r="CU163" s="24"/>
      <c r="CV163" s="24"/>
    </row>
    <row r="164" spans="88:100" x14ac:dyDescent="0.25">
      <c r="CJ164" s="24"/>
      <c r="CL164" s="24"/>
      <c r="CU164" s="24"/>
      <c r="CV164" s="24"/>
    </row>
    <row r="165" spans="88:100" x14ac:dyDescent="0.25">
      <c r="CJ165" s="24"/>
      <c r="CL165" s="24"/>
      <c r="CU165" s="24"/>
      <c r="CV165" s="24"/>
    </row>
    <row r="166" spans="88:100" x14ac:dyDescent="0.25">
      <c r="CJ166" s="24"/>
      <c r="CL166" s="24"/>
      <c r="CU166" s="24"/>
      <c r="CV166" s="24"/>
    </row>
    <row r="167" spans="88:100" x14ac:dyDescent="0.25">
      <c r="CJ167" s="24"/>
      <c r="CL167" s="24"/>
      <c r="CU167" s="24"/>
      <c r="CV167" s="24"/>
    </row>
    <row r="168" spans="88:100" x14ac:dyDescent="0.25">
      <c r="CJ168" s="24"/>
      <c r="CL168" s="24"/>
      <c r="CU168" s="24"/>
      <c r="CV168" s="24"/>
    </row>
    <row r="169" spans="88:100" x14ac:dyDescent="0.25">
      <c r="CJ169" s="24"/>
      <c r="CL169" s="24"/>
      <c r="CU169" s="24"/>
      <c r="CV169" s="24"/>
    </row>
    <row r="170" spans="88:100" x14ac:dyDescent="0.25">
      <c r="CJ170" s="24"/>
      <c r="CL170" s="24"/>
      <c r="CU170" s="24"/>
      <c r="CV170" s="24"/>
    </row>
    <row r="171" spans="88:100" x14ac:dyDescent="0.25">
      <c r="CJ171" s="24"/>
      <c r="CL171" s="24"/>
      <c r="CU171" s="24"/>
      <c r="CV171" s="24"/>
    </row>
    <row r="172" spans="88:100" x14ac:dyDescent="0.25">
      <c r="CJ172" s="24"/>
      <c r="CL172" s="24"/>
      <c r="CU172" s="24"/>
      <c r="CV172" s="24"/>
    </row>
    <row r="173" spans="88:100" x14ac:dyDescent="0.25">
      <c r="CJ173" s="24"/>
      <c r="CL173" s="24"/>
      <c r="CU173" s="24"/>
      <c r="CV173" s="24"/>
    </row>
    <row r="174" spans="88:100" x14ac:dyDescent="0.25">
      <c r="CJ174" s="24"/>
      <c r="CL174" s="24"/>
      <c r="CU174" s="24"/>
      <c r="CV174" s="24"/>
    </row>
    <row r="175" spans="88:100" x14ac:dyDescent="0.25">
      <c r="CJ175" s="24"/>
      <c r="CL175" s="24"/>
      <c r="CU175" s="24"/>
      <c r="CV175" s="24"/>
    </row>
    <row r="176" spans="88:100" x14ac:dyDescent="0.25">
      <c r="CJ176" s="24"/>
      <c r="CL176" s="24"/>
      <c r="CU176" s="24"/>
      <c r="CV176" s="24"/>
    </row>
    <row r="177" spans="88:100" x14ac:dyDescent="0.25">
      <c r="CJ177" s="24"/>
      <c r="CL177" s="24"/>
      <c r="CU177" s="24"/>
      <c r="CV177" s="24"/>
    </row>
    <row r="178" spans="88:100" x14ac:dyDescent="0.25">
      <c r="CJ178" s="24"/>
      <c r="CL178" s="24"/>
      <c r="CU178" s="24"/>
      <c r="CV178" s="24"/>
    </row>
    <row r="179" spans="88:100" x14ac:dyDescent="0.25">
      <c r="CJ179" s="24"/>
      <c r="CL179" s="24"/>
      <c r="CU179" s="24"/>
      <c r="CV179" s="24"/>
    </row>
    <row r="180" spans="88:100" x14ac:dyDescent="0.25">
      <c r="CJ180" s="24"/>
      <c r="CL180" s="24"/>
      <c r="CU180" s="24"/>
      <c r="CV180" s="24"/>
    </row>
    <row r="181" spans="88:100" x14ac:dyDescent="0.25">
      <c r="CJ181" s="24"/>
      <c r="CL181" s="24"/>
      <c r="CU181" s="24"/>
      <c r="CV181" s="24"/>
    </row>
    <row r="182" spans="88:100" x14ac:dyDescent="0.25">
      <c r="CJ182" s="24"/>
      <c r="CL182" s="24"/>
      <c r="CU182" s="24"/>
      <c r="CV182" s="24"/>
    </row>
    <row r="183" spans="88:100" x14ac:dyDescent="0.25">
      <c r="CJ183" s="24"/>
      <c r="CL183" s="24"/>
      <c r="CU183" s="24"/>
      <c r="CV183" s="24"/>
    </row>
    <row r="184" spans="88:100" x14ac:dyDescent="0.25">
      <c r="CJ184" s="24"/>
      <c r="CL184" s="24"/>
      <c r="CU184" s="24"/>
      <c r="CV184" s="24"/>
    </row>
    <row r="185" spans="88:100" x14ac:dyDescent="0.25">
      <c r="CJ185" s="24"/>
      <c r="CL185" s="24"/>
      <c r="CU185" s="24"/>
      <c r="CV185" s="24"/>
    </row>
    <row r="186" spans="88:100" x14ac:dyDescent="0.25">
      <c r="CJ186" s="24"/>
      <c r="CL186" s="24"/>
      <c r="CU186" s="24"/>
      <c r="CV186" s="24"/>
    </row>
    <row r="187" spans="88:100" x14ac:dyDescent="0.25">
      <c r="CJ187" s="24"/>
      <c r="CL187" s="24"/>
      <c r="CU187" s="24"/>
      <c r="CV187" s="24"/>
    </row>
    <row r="188" spans="88:100" x14ac:dyDescent="0.25">
      <c r="CJ188" s="24"/>
      <c r="CL188" s="24"/>
      <c r="CU188" s="24"/>
      <c r="CV188" s="24"/>
    </row>
    <row r="189" spans="88:100" x14ac:dyDescent="0.25">
      <c r="CJ189" s="24"/>
      <c r="CL189" s="24"/>
      <c r="CU189" s="24"/>
      <c r="CV189" s="24"/>
    </row>
    <row r="190" spans="88:100" x14ac:dyDescent="0.25">
      <c r="CJ190" s="24"/>
      <c r="CL190" s="24"/>
      <c r="CU190" s="24"/>
      <c r="CV190" s="24"/>
    </row>
    <row r="191" spans="88:100" x14ac:dyDescent="0.25">
      <c r="CJ191" s="24"/>
      <c r="CL191" s="24"/>
      <c r="CU191" s="24"/>
      <c r="CV191" s="24"/>
    </row>
    <row r="192" spans="88:100" x14ac:dyDescent="0.25">
      <c r="CJ192" s="24"/>
      <c r="CL192" s="24"/>
      <c r="CU192" s="24"/>
      <c r="CV192" s="24"/>
    </row>
    <row r="193" spans="88:100" x14ac:dyDescent="0.25">
      <c r="CJ193" s="24"/>
      <c r="CL193" s="24"/>
      <c r="CU193" s="24"/>
      <c r="CV193" s="24"/>
    </row>
    <row r="194" spans="88:100" x14ac:dyDescent="0.25">
      <c r="CJ194" s="24"/>
      <c r="CL194" s="24"/>
      <c r="CU194" s="24"/>
      <c r="CV194" s="24"/>
    </row>
    <row r="195" spans="88:100" x14ac:dyDescent="0.25">
      <c r="CJ195" s="24"/>
      <c r="CL195" s="24"/>
      <c r="CU195" s="24"/>
      <c r="CV195" s="24"/>
    </row>
    <row r="196" spans="88:100" x14ac:dyDescent="0.25">
      <c r="CJ196" s="24"/>
      <c r="CL196" s="24"/>
      <c r="CU196" s="24"/>
      <c r="CV196" s="24"/>
    </row>
    <row r="197" spans="88:100" x14ac:dyDescent="0.25">
      <c r="CJ197" s="24"/>
      <c r="CL197" s="24"/>
      <c r="CU197" s="24"/>
      <c r="CV197" s="24"/>
    </row>
    <row r="198" spans="88:100" x14ac:dyDescent="0.25">
      <c r="CJ198" s="24"/>
      <c r="CL198" s="24"/>
      <c r="CU198" s="24"/>
      <c r="CV198" s="24"/>
    </row>
    <row r="199" spans="88:100" x14ac:dyDescent="0.25">
      <c r="CJ199" s="24"/>
      <c r="CL199" s="24"/>
      <c r="CU199" s="24"/>
      <c r="CV199" s="24"/>
    </row>
    <row r="200" spans="88:100" x14ac:dyDescent="0.25">
      <c r="CJ200" s="24"/>
      <c r="CL200" s="24"/>
      <c r="CU200" s="24"/>
      <c r="CV200" s="24"/>
    </row>
    <row r="201" spans="88:100" x14ac:dyDescent="0.25">
      <c r="CJ201" s="24"/>
      <c r="CL201" s="24"/>
    </row>
    <row r="202" spans="88:100" x14ac:dyDescent="0.25">
      <c r="CJ202" s="24"/>
      <c r="CL202" s="24"/>
    </row>
    <row r="203" spans="88:100" x14ac:dyDescent="0.25">
      <c r="CJ203" s="24"/>
      <c r="CL203" s="24"/>
    </row>
    <row r="204" spans="88:100" x14ac:dyDescent="0.25">
      <c r="CJ204" s="24"/>
      <c r="CL204" s="24"/>
    </row>
    <row r="205" spans="88:100" x14ac:dyDescent="0.25">
      <c r="CJ205" s="24"/>
      <c r="CL205" s="24"/>
    </row>
    <row r="206" spans="88:100" x14ac:dyDescent="0.25">
      <c r="CJ206" s="24"/>
      <c r="CL206" s="24"/>
    </row>
    <row r="207" spans="88:100" x14ac:dyDescent="0.25">
      <c r="CJ207" s="24"/>
      <c r="CL207" s="24"/>
    </row>
    <row r="208" spans="88:100" x14ac:dyDescent="0.25">
      <c r="CJ208" s="24"/>
      <c r="CL208" s="24"/>
    </row>
    <row r="209" spans="88:90" x14ac:dyDescent="0.25">
      <c r="CJ209" s="24"/>
      <c r="CL209" s="24"/>
    </row>
    <row r="210" spans="88:90" x14ac:dyDescent="0.25">
      <c r="CJ210" s="24"/>
      <c r="CL210" s="24"/>
    </row>
    <row r="211" spans="88:90" x14ac:dyDescent="0.25">
      <c r="CJ211" s="24"/>
      <c r="CL211" s="24"/>
    </row>
    <row r="212" spans="88:90" x14ac:dyDescent="0.25">
      <c r="CJ212" s="24"/>
      <c r="CL212" s="24"/>
    </row>
    <row r="213" spans="88:90" x14ac:dyDescent="0.25">
      <c r="CJ213" s="24"/>
      <c r="CL213" s="24"/>
    </row>
    <row r="214" spans="88:90" x14ac:dyDescent="0.25">
      <c r="CJ214" s="24"/>
      <c r="CL214" s="24"/>
    </row>
    <row r="215" spans="88:90" x14ac:dyDescent="0.25">
      <c r="CJ215" s="24"/>
      <c r="CL215" s="24"/>
    </row>
    <row r="216" spans="88:90" x14ac:dyDescent="0.25">
      <c r="CJ216" s="24"/>
      <c r="CL216" s="24"/>
    </row>
    <row r="217" spans="88:90" x14ac:dyDescent="0.25">
      <c r="CJ217" s="24"/>
      <c r="CL217" s="24"/>
    </row>
    <row r="218" spans="88:90" x14ac:dyDescent="0.25">
      <c r="CJ218" s="24"/>
      <c r="CL218" s="24"/>
    </row>
    <row r="219" spans="88:90" x14ac:dyDescent="0.25">
      <c r="CJ219" s="24"/>
      <c r="CL219" s="24"/>
    </row>
    <row r="220" spans="88:90" x14ac:dyDescent="0.25">
      <c r="CJ220" s="24"/>
      <c r="CL220" s="24"/>
    </row>
    <row r="221" spans="88:90" x14ac:dyDescent="0.25">
      <c r="CJ221" s="24"/>
      <c r="CL221" s="24"/>
    </row>
    <row r="222" spans="88:90" x14ac:dyDescent="0.25">
      <c r="CJ222" s="24"/>
      <c r="CL222" s="24"/>
    </row>
    <row r="223" spans="88:90" x14ac:dyDescent="0.25">
      <c r="CJ223" s="24"/>
      <c r="CL223" s="24"/>
    </row>
    <row r="224" spans="88:90" x14ac:dyDescent="0.25">
      <c r="CJ224" s="24"/>
      <c r="CL224" s="24"/>
    </row>
    <row r="225" spans="88:90" x14ac:dyDescent="0.25">
      <c r="CJ225" s="24"/>
      <c r="CL225" s="24"/>
    </row>
    <row r="226" spans="88:90" x14ac:dyDescent="0.25">
      <c r="CJ226" s="24"/>
      <c r="CL226" s="24"/>
    </row>
    <row r="227" spans="88:90" x14ac:dyDescent="0.25">
      <c r="CJ227" s="24"/>
      <c r="CL227" s="24"/>
    </row>
    <row r="228" spans="88:90" x14ac:dyDescent="0.25">
      <c r="CJ228" s="24"/>
      <c r="CL228" s="24"/>
    </row>
    <row r="229" spans="88:90" x14ac:dyDescent="0.25">
      <c r="CJ229" s="24"/>
      <c r="CL229" s="24"/>
    </row>
    <row r="230" spans="88:90" x14ac:dyDescent="0.25">
      <c r="CJ230" s="24"/>
      <c r="CL230" s="24"/>
    </row>
    <row r="231" spans="88:90" x14ac:dyDescent="0.25">
      <c r="CJ231" s="24"/>
      <c r="CL231" s="24"/>
    </row>
    <row r="232" spans="88:90" x14ac:dyDescent="0.25">
      <c r="CJ232" s="24"/>
      <c r="CL232" s="24"/>
    </row>
    <row r="233" spans="88:90" x14ac:dyDescent="0.25">
      <c r="CJ233" s="24"/>
      <c r="CL233" s="24"/>
    </row>
    <row r="234" spans="88:90" x14ac:dyDescent="0.25">
      <c r="CJ234" s="24"/>
      <c r="CL234" s="24"/>
    </row>
    <row r="235" spans="88:90" x14ac:dyDescent="0.25">
      <c r="CJ235" s="24"/>
      <c r="CL235" s="24"/>
    </row>
    <row r="236" spans="88:90" x14ac:dyDescent="0.25">
      <c r="CJ236" s="24"/>
      <c r="CL236" s="24"/>
    </row>
    <row r="237" spans="88:90" x14ac:dyDescent="0.25">
      <c r="CJ237" s="24"/>
      <c r="CL237" s="24"/>
    </row>
    <row r="238" spans="88:90" x14ac:dyDescent="0.25">
      <c r="CJ238" s="24"/>
      <c r="CL238" s="24"/>
    </row>
    <row r="239" spans="88:90" x14ac:dyDescent="0.25">
      <c r="CJ239" s="24"/>
      <c r="CL239" s="24"/>
    </row>
    <row r="240" spans="88:90" x14ac:dyDescent="0.25">
      <c r="CJ240" s="24"/>
      <c r="CL240" s="24"/>
    </row>
    <row r="241" spans="88:90" x14ac:dyDescent="0.25">
      <c r="CJ241" s="24"/>
      <c r="CL241" s="24"/>
    </row>
    <row r="242" spans="88:90" x14ac:dyDescent="0.25">
      <c r="CJ242" s="24"/>
      <c r="CL242" s="24"/>
    </row>
    <row r="243" spans="88:90" x14ac:dyDescent="0.25">
      <c r="CJ243" s="24"/>
      <c r="CL243" s="24"/>
    </row>
    <row r="244" spans="88:90" x14ac:dyDescent="0.25">
      <c r="CJ244" s="24"/>
      <c r="CL244" s="24"/>
    </row>
    <row r="245" spans="88:90" x14ac:dyDescent="0.25">
      <c r="CJ245" s="24"/>
      <c r="CL245" s="24"/>
    </row>
    <row r="246" spans="88:90" x14ac:dyDescent="0.25">
      <c r="CJ246" s="24"/>
      <c r="CL246" s="24"/>
    </row>
    <row r="247" spans="88:90" x14ac:dyDescent="0.25">
      <c r="CJ247" s="24"/>
      <c r="CL247" s="24"/>
    </row>
    <row r="248" spans="88:90" x14ac:dyDescent="0.25">
      <c r="CJ248" s="24"/>
      <c r="CL248" s="24"/>
    </row>
    <row r="249" spans="88:90" x14ac:dyDescent="0.25">
      <c r="CJ249" s="24"/>
      <c r="CL249" s="24"/>
    </row>
    <row r="250" spans="88:90" x14ac:dyDescent="0.25">
      <c r="CJ250" s="24"/>
      <c r="CL250" s="24"/>
    </row>
    <row r="251" spans="88:90" x14ac:dyDescent="0.25">
      <c r="CJ251" s="24"/>
      <c r="CL251" s="24"/>
    </row>
    <row r="252" spans="88:90" x14ac:dyDescent="0.25">
      <c r="CJ252" s="24"/>
      <c r="CL252" s="24"/>
    </row>
    <row r="253" spans="88:90" x14ac:dyDescent="0.25">
      <c r="CJ253" s="24"/>
      <c r="CL253" s="24"/>
    </row>
    <row r="254" spans="88:90" x14ac:dyDescent="0.25">
      <c r="CJ254" s="24"/>
      <c r="CL254" s="24"/>
    </row>
    <row r="255" spans="88:90" x14ac:dyDescent="0.25">
      <c r="CJ255" s="24"/>
      <c r="CL255" s="24"/>
    </row>
    <row r="256" spans="88:90" x14ac:dyDescent="0.25">
      <c r="CJ256" s="24"/>
      <c r="CL256" s="24"/>
    </row>
    <row r="257" spans="88:90" x14ac:dyDescent="0.25">
      <c r="CJ257" s="24"/>
      <c r="CL257" s="24"/>
    </row>
    <row r="258" spans="88:90" x14ac:dyDescent="0.25">
      <c r="CJ258" s="24"/>
      <c r="CL258" s="24"/>
    </row>
    <row r="259" spans="88:90" x14ac:dyDescent="0.25">
      <c r="CJ259" s="24"/>
      <c r="CL259" s="24"/>
    </row>
    <row r="260" spans="88:90" x14ac:dyDescent="0.25">
      <c r="CJ260" s="24"/>
      <c r="CL260" s="24"/>
    </row>
    <row r="261" spans="88:90" x14ac:dyDescent="0.25">
      <c r="CJ261" s="24"/>
      <c r="CL261" s="24"/>
    </row>
    <row r="262" spans="88:90" x14ac:dyDescent="0.25">
      <c r="CJ262" s="24"/>
      <c r="CL262" s="24"/>
    </row>
    <row r="263" spans="88:90" x14ac:dyDescent="0.25">
      <c r="CJ263" s="24"/>
      <c r="CL263" s="24"/>
    </row>
    <row r="264" spans="88:90" x14ac:dyDescent="0.25">
      <c r="CJ264" s="24"/>
      <c r="CL264" s="24"/>
    </row>
    <row r="265" spans="88:90" x14ac:dyDescent="0.25">
      <c r="CJ265" s="24"/>
      <c r="CL265" s="24"/>
    </row>
    <row r="266" spans="88:90" x14ac:dyDescent="0.25">
      <c r="CJ266" s="24"/>
      <c r="CL266" s="24"/>
    </row>
    <row r="267" spans="88:90" x14ac:dyDescent="0.25">
      <c r="CJ267" s="24"/>
      <c r="CL267" s="24"/>
    </row>
    <row r="268" spans="88:90" x14ac:dyDescent="0.25">
      <c r="CJ268" s="24"/>
      <c r="CL268" s="24"/>
    </row>
    <row r="269" spans="88:90" x14ac:dyDescent="0.25">
      <c r="CJ269" s="24"/>
      <c r="CL269" s="24"/>
    </row>
    <row r="270" spans="88:90" x14ac:dyDescent="0.25">
      <c r="CJ270" s="24"/>
      <c r="CL270" s="24"/>
    </row>
    <row r="271" spans="88:90" x14ac:dyDescent="0.25">
      <c r="CJ271" s="24"/>
      <c r="CL271" s="24"/>
    </row>
    <row r="272" spans="88:90" x14ac:dyDescent="0.25">
      <c r="CJ272" s="24"/>
      <c r="CL272" s="24"/>
    </row>
    <row r="273" spans="88:90" x14ac:dyDescent="0.25">
      <c r="CJ273" s="24"/>
      <c r="CL273" s="24"/>
    </row>
    <row r="274" spans="88:90" x14ac:dyDescent="0.25">
      <c r="CJ274" s="24"/>
      <c r="CL274" s="24"/>
    </row>
    <row r="275" spans="88:90" x14ac:dyDescent="0.25">
      <c r="CJ275" s="24"/>
      <c r="CL275" s="24"/>
    </row>
    <row r="276" spans="88:90" x14ac:dyDescent="0.25">
      <c r="CJ276" s="24"/>
      <c r="CL276" s="24"/>
    </row>
    <row r="277" spans="88:90" x14ac:dyDescent="0.25">
      <c r="CJ277" s="24"/>
      <c r="CL277" s="24"/>
    </row>
    <row r="278" spans="88:90" x14ac:dyDescent="0.25">
      <c r="CJ278" s="24"/>
      <c r="CL278" s="24"/>
    </row>
    <row r="279" spans="88:90" x14ac:dyDescent="0.25">
      <c r="CJ279" s="24"/>
      <c r="CL279" s="24"/>
    </row>
    <row r="280" spans="88:90" x14ac:dyDescent="0.25">
      <c r="CJ280" s="24"/>
      <c r="CL280" s="24"/>
    </row>
    <row r="281" spans="88:90" x14ac:dyDescent="0.25">
      <c r="CJ281" s="24"/>
      <c r="CL281" s="24"/>
    </row>
    <row r="282" spans="88:90" x14ac:dyDescent="0.25">
      <c r="CJ282" s="24"/>
      <c r="CL282" s="24"/>
    </row>
    <row r="283" spans="88:90" x14ac:dyDescent="0.25">
      <c r="CJ283" s="24"/>
      <c r="CL283" s="24"/>
    </row>
    <row r="284" spans="88:90" x14ac:dyDescent="0.25">
      <c r="CJ284" s="24"/>
      <c r="CL284" s="24"/>
    </row>
    <row r="285" spans="88:90" x14ac:dyDescent="0.25">
      <c r="CJ285" s="24"/>
      <c r="CL285" s="24"/>
    </row>
    <row r="286" spans="88:90" x14ac:dyDescent="0.25">
      <c r="CJ286" s="24"/>
      <c r="CL286" s="24"/>
    </row>
    <row r="287" spans="88:90" x14ac:dyDescent="0.25">
      <c r="CJ287" s="24"/>
      <c r="CL287" s="24"/>
    </row>
    <row r="288" spans="88:90" x14ac:dyDescent="0.25">
      <c r="CJ288" s="24"/>
      <c r="CL288" s="24"/>
    </row>
    <row r="289" spans="88:90" x14ac:dyDescent="0.25">
      <c r="CJ289" s="24"/>
      <c r="CL289" s="24"/>
    </row>
    <row r="290" spans="88:90" x14ac:dyDescent="0.25">
      <c r="CJ290" s="24"/>
      <c r="CL290" s="24"/>
    </row>
    <row r="291" spans="88:90" x14ac:dyDescent="0.25">
      <c r="CJ291" s="24"/>
      <c r="CL291" s="24"/>
    </row>
    <row r="292" spans="88:90" x14ac:dyDescent="0.25">
      <c r="CJ292" s="24"/>
      <c r="CL292" s="24"/>
    </row>
    <row r="293" spans="88:90" x14ac:dyDescent="0.25">
      <c r="CJ293" s="24"/>
      <c r="CL293" s="24"/>
    </row>
    <row r="294" spans="88:90" x14ac:dyDescent="0.25">
      <c r="CJ294" s="24"/>
      <c r="CL294" s="24"/>
    </row>
    <row r="295" spans="88:90" x14ac:dyDescent="0.25">
      <c r="CJ295" s="24"/>
      <c r="CL295" s="24"/>
    </row>
    <row r="296" spans="88:90" x14ac:dyDescent="0.25">
      <c r="CJ296" s="24"/>
      <c r="CL296" s="24"/>
    </row>
    <row r="297" spans="88:90" x14ac:dyDescent="0.25">
      <c r="CJ297" s="24"/>
      <c r="CL297" s="24"/>
    </row>
    <row r="298" spans="88:90" x14ac:dyDescent="0.25">
      <c r="CJ298" s="24"/>
      <c r="CL298" s="24"/>
    </row>
    <row r="299" spans="88:90" x14ac:dyDescent="0.25">
      <c r="CJ299" s="24"/>
      <c r="CL299" s="24"/>
    </row>
    <row r="300" spans="88:90" x14ac:dyDescent="0.25">
      <c r="CJ300" s="24"/>
      <c r="CL300" s="24"/>
    </row>
    <row r="301" spans="88:90" x14ac:dyDescent="0.25">
      <c r="CJ301" s="24"/>
      <c r="CL301" s="24"/>
    </row>
    <row r="302" spans="88:90" x14ac:dyDescent="0.25">
      <c r="CJ302" s="24"/>
      <c r="CL302" s="24"/>
    </row>
    <row r="303" spans="88:90" x14ac:dyDescent="0.25">
      <c r="CJ303" s="24"/>
      <c r="CL303" s="24"/>
    </row>
    <row r="304" spans="88:90" x14ac:dyDescent="0.25">
      <c r="CJ304" s="24"/>
      <c r="CL304" s="24"/>
    </row>
    <row r="305" spans="88:90" x14ac:dyDescent="0.25">
      <c r="CJ305" s="24"/>
      <c r="CL305" s="24"/>
    </row>
    <row r="306" spans="88:90" x14ac:dyDescent="0.25">
      <c r="CJ306" s="24"/>
      <c r="CL306" s="24"/>
    </row>
    <row r="307" spans="88:90" x14ac:dyDescent="0.25">
      <c r="CJ307" s="24"/>
      <c r="CL307" s="24"/>
    </row>
    <row r="308" spans="88:90" x14ac:dyDescent="0.25">
      <c r="CJ308" s="24"/>
      <c r="CL308" s="24"/>
    </row>
    <row r="309" spans="88:90" x14ac:dyDescent="0.25">
      <c r="CJ309" s="24"/>
      <c r="CL309" s="24"/>
    </row>
    <row r="310" spans="88:90" x14ac:dyDescent="0.25">
      <c r="CJ310" s="24"/>
      <c r="CL310" s="24"/>
    </row>
    <row r="311" spans="88:90" x14ac:dyDescent="0.25">
      <c r="CJ311" s="24"/>
      <c r="CL311" s="24"/>
    </row>
    <row r="312" spans="88:90" x14ac:dyDescent="0.25">
      <c r="CJ312" s="24"/>
      <c r="CL312" s="24"/>
    </row>
    <row r="313" spans="88:90" x14ac:dyDescent="0.25">
      <c r="CJ313" s="24"/>
      <c r="CL313" s="24"/>
    </row>
    <row r="314" spans="88:90" x14ac:dyDescent="0.25">
      <c r="CJ314" s="24"/>
      <c r="CL314" s="24"/>
    </row>
    <row r="315" spans="88:90" x14ac:dyDescent="0.25">
      <c r="CJ315" s="24"/>
      <c r="CL315" s="24"/>
    </row>
    <row r="316" spans="88:90" x14ac:dyDescent="0.25">
      <c r="CJ316" s="24"/>
      <c r="CL316" s="24"/>
    </row>
    <row r="317" spans="88:90" x14ac:dyDescent="0.25">
      <c r="CJ317" s="24"/>
      <c r="CL317" s="24"/>
    </row>
    <row r="318" spans="88:90" x14ac:dyDescent="0.25">
      <c r="CJ318" s="24"/>
      <c r="CL318" s="24"/>
    </row>
    <row r="319" spans="88:90" x14ac:dyDescent="0.25">
      <c r="CJ319" s="24"/>
      <c r="CL319" s="24"/>
    </row>
    <row r="320" spans="88:90" x14ac:dyDescent="0.25">
      <c r="CJ320" s="24"/>
      <c r="CL320" s="24"/>
    </row>
    <row r="321" spans="88:90" x14ac:dyDescent="0.25">
      <c r="CJ321" s="24"/>
      <c r="CL321" s="24"/>
    </row>
    <row r="322" spans="88:90" x14ac:dyDescent="0.25">
      <c r="CJ322" s="24"/>
      <c r="CL322" s="24"/>
    </row>
    <row r="323" spans="88:90" x14ac:dyDescent="0.25">
      <c r="CJ323" s="24"/>
      <c r="CL323" s="24"/>
    </row>
    <row r="324" spans="88:90" x14ac:dyDescent="0.25">
      <c r="CJ324" s="24"/>
      <c r="CL324" s="24"/>
    </row>
    <row r="325" spans="88:90" x14ac:dyDescent="0.25">
      <c r="CJ325" s="24"/>
      <c r="CL325" s="24"/>
    </row>
    <row r="326" spans="88:90" x14ac:dyDescent="0.25">
      <c r="CJ326" s="24"/>
      <c r="CL326" s="24"/>
    </row>
    <row r="327" spans="88:90" x14ac:dyDescent="0.25">
      <c r="CJ327" s="24"/>
      <c r="CL327" s="24"/>
    </row>
    <row r="328" spans="88:90" x14ac:dyDescent="0.25">
      <c r="CJ328" s="24"/>
      <c r="CL328" s="24"/>
    </row>
    <row r="329" spans="88:90" x14ac:dyDescent="0.25">
      <c r="CJ329" s="24"/>
      <c r="CL329" s="24"/>
    </row>
    <row r="330" spans="88:90" x14ac:dyDescent="0.25">
      <c r="CJ330" s="24"/>
      <c r="CL330" s="24"/>
    </row>
    <row r="331" spans="88:90" x14ac:dyDescent="0.25">
      <c r="CJ331" s="24"/>
      <c r="CL331" s="24"/>
    </row>
    <row r="332" spans="88:90" x14ac:dyDescent="0.25">
      <c r="CJ332" s="24"/>
      <c r="CL332" s="24"/>
    </row>
    <row r="333" spans="88:90" x14ac:dyDescent="0.25">
      <c r="CJ333" s="24"/>
      <c r="CL333" s="24"/>
    </row>
    <row r="334" spans="88:90" x14ac:dyDescent="0.25">
      <c r="CJ334" s="24"/>
      <c r="CL334" s="24"/>
    </row>
    <row r="335" spans="88:90" x14ac:dyDescent="0.25">
      <c r="CJ335" s="24"/>
      <c r="CL335" s="24"/>
    </row>
    <row r="336" spans="88:90" x14ac:dyDescent="0.25">
      <c r="CJ336" s="24"/>
      <c r="CL336" s="24"/>
    </row>
    <row r="337" spans="88:90" x14ac:dyDescent="0.25">
      <c r="CJ337" s="24"/>
      <c r="CL337" s="24"/>
    </row>
    <row r="338" spans="88:90" x14ac:dyDescent="0.25">
      <c r="CJ338" s="24"/>
      <c r="CL338" s="24"/>
    </row>
    <row r="339" spans="88:90" x14ac:dyDescent="0.25">
      <c r="CJ339" s="24"/>
      <c r="CL339" s="24"/>
    </row>
    <row r="340" spans="88:90" x14ac:dyDescent="0.25">
      <c r="CJ340" s="24"/>
      <c r="CL340" s="24"/>
    </row>
    <row r="341" spans="88:90" x14ac:dyDescent="0.25">
      <c r="CJ341" s="24"/>
      <c r="CL341" s="24"/>
    </row>
    <row r="342" spans="88:90" x14ac:dyDescent="0.25">
      <c r="CJ342" s="24"/>
      <c r="CL342" s="24"/>
    </row>
    <row r="343" spans="88:90" x14ac:dyDescent="0.25">
      <c r="CJ343" s="24"/>
      <c r="CL343" s="24"/>
    </row>
    <row r="344" spans="88:90" x14ac:dyDescent="0.25">
      <c r="CJ344" s="24"/>
      <c r="CL344" s="24"/>
    </row>
    <row r="345" spans="88:90" x14ac:dyDescent="0.25">
      <c r="CJ345" s="24"/>
      <c r="CL345" s="24"/>
    </row>
    <row r="346" spans="88:90" x14ac:dyDescent="0.25">
      <c r="CJ346" s="24"/>
      <c r="CL346" s="24"/>
    </row>
    <row r="347" spans="88:90" x14ac:dyDescent="0.25">
      <c r="CJ347" s="24"/>
      <c r="CL347" s="24"/>
    </row>
    <row r="348" spans="88:90" x14ac:dyDescent="0.25">
      <c r="CJ348" s="24"/>
      <c r="CL348" s="24"/>
    </row>
    <row r="349" spans="88:90" x14ac:dyDescent="0.25">
      <c r="CJ349" s="24"/>
      <c r="CL349" s="24"/>
    </row>
    <row r="350" spans="88:90" x14ac:dyDescent="0.25">
      <c r="CJ350" s="24"/>
      <c r="CL350" s="24"/>
    </row>
    <row r="351" spans="88:90" x14ac:dyDescent="0.25">
      <c r="CJ351" s="24"/>
      <c r="CL351" s="24"/>
    </row>
    <row r="352" spans="88:90" x14ac:dyDescent="0.25">
      <c r="CJ352" s="24"/>
      <c r="CL352" s="24"/>
    </row>
    <row r="353" spans="88:90" x14ac:dyDescent="0.25">
      <c r="CJ353" s="24"/>
      <c r="CL353" s="24"/>
    </row>
    <row r="354" spans="88:90" x14ac:dyDescent="0.25">
      <c r="CJ354" s="24"/>
      <c r="CL354" s="24"/>
    </row>
    <row r="355" spans="88:90" x14ac:dyDescent="0.25">
      <c r="CJ355" s="24"/>
      <c r="CL355" s="24"/>
    </row>
    <row r="356" spans="88:90" x14ac:dyDescent="0.25">
      <c r="CJ356" s="24"/>
      <c r="CL356" s="24"/>
    </row>
    <row r="357" spans="88:90" x14ac:dyDescent="0.25">
      <c r="CJ357" s="24"/>
      <c r="CL357" s="24"/>
    </row>
    <row r="358" spans="88:90" x14ac:dyDescent="0.25">
      <c r="CJ358" s="24"/>
      <c r="CL358" s="24"/>
    </row>
    <row r="359" spans="88:90" x14ac:dyDescent="0.25">
      <c r="CJ359" s="24"/>
      <c r="CL359" s="24"/>
    </row>
    <row r="360" spans="88:90" x14ac:dyDescent="0.25">
      <c r="CJ360" s="24"/>
      <c r="CL360" s="24"/>
    </row>
    <row r="361" spans="88:90" x14ac:dyDescent="0.25">
      <c r="CJ361" s="24"/>
      <c r="CL361" s="24"/>
    </row>
    <row r="362" spans="88:90" x14ac:dyDescent="0.25">
      <c r="CJ362" s="24"/>
      <c r="CL362" s="24"/>
    </row>
    <row r="363" spans="88:90" x14ac:dyDescent="0.25">
      <c r="CJ363" s="24"/>
      <c r="CL363" s="24"/>
    </row>
    <row r="364" spans="88:90" x14ac:dyDescent="0.25">
      <c r="CJ364" s="24"/>
      <c r="CL364" s="24"/>
    </row>
    <row r="365" spans="88:90" x14ac:dyDescent="0.25">
      <c r="CJ365" s="24"/>
      <c r="CL365" s="24"/>
    </row>
    <row r="366" spans="88:90" x14ac:dyDescent="0.25">
      <c r="CJ366" s="24"/>
      <c r="CL366" s="24"/>
    </row>
    <row r="367" spans="88:90" x14ac:dyDescent="0.25">
      <c r="CJ367" s="24"/>
      <c r="CL367" s="24"/>
    </row>
    <row r="368" spans="88:90" x14ac:dyDescent="0.25">
      <c r="CJ368" s="24"/>
      <c r="CL368" s="24"/>
    </row>
    <row r="369" spans="88:90" x14ac:dyDescent="0.25">
      <c r="CJ369" s="24"/>
      <c r="CL369" s="24"/>
    </row>
    <row r="370" spans="88:90" x14ac:dyDescent="0.25">
      <c r="CJ370" s="24"/>
      <c r="CL370" s="24"/>
    </row>
    <row r="371" spans="88:90" x14ac:dyDescent="0.25">
      <c r="CJ371" s="24"/>
      <c r="CL371" s="24"/>
    </row>
    <row r="372" spans="88:90" x14ac:dyDescent="0.25">
      <c r="CJ372" s="24"/>
      <c r="CL372" s="24"/>
    </row>
    <row r="373" spans="88:90" x14ac:dyDescent="0.25">
      <c r="CJ373" s="24"/>
      <c r="CL373" s="24"/>
    </row>
    <row r="374" spans="88:90" x14ac:dyDescent="0.25">
      <c r="CJ374" s="24"/>
      <c r="CL374" s="24"/>
    </row>
    <row r="375" spans="88:90" x14ac:dyDescent="0.25">
      <c r="CJ375" s="24"/>
      <c r="CL375" s="24"/>
    </row>
    <row r="376" spans="88:90" x14ac:dyDescent="0.25">
      <c r="CJ376" s="24"/>
      <c r="CL376" s="24"/>
    </row>
    <row r="377" spans="88:90" x14ac:dyDescent="0.25">
      <c r="CJ377" s="24"/>
      <c r="CL377" s="24"/>
    </row>
    <row r="378" spans="88:90" x14ac:dyDescent="0.25">
      <c r="CJ378" s="24"/>
      <c r="CL378" s="24"/>
    </row>
    <row r="379" spans="88:90" x14ac:dyDescent="0.25">
      <c r="CJ379" s="24"/>
      <c r="CL379" s="24"/>
    </row>
    <row r="380" spans="88:90" x14ac:dyDescent="0.25">
      <c r="CJ380" s="24"/>
      <c r="CL380" s="24"/>
    </row>
    <row r="381" spans="88:90" x14ac:dyDescent="0.25">
      <c r="CJ381" s="24"/>
      <c r="CL381" s="24"/>
    </row>
    <row r="382" spans="88:90" x14ac:dyDescent="0.25">
      <c r="CJ382" s="24"/>
      <c r="CL382" s="24"/>
    </row>
    <row r="383" spans="88:90" x14ac:dyDescent="0.25">
      <c r="CJ383" s="24"/>
      <c r="CL383" s="24"/>
    </row>
    <row r="384" spans="88:90" x14ac:dyDescent="0.25">
      <c r="CJ384" s="24"/>
      <c r="CL384" s="24"/>
    </row>
    <row r="385" spans="88:90" x14ac:dyDescent="0.25">
      <c r="CJ385" s="24"/>
      <c r="CL385" s="24"/>
    </row>
    <row r="386" spans="88:90" x14ac:dyDescent="0.25">
      <c r="CJ386" s="24"/>
      <c r="CL386" s="24"/>
    </row>
    <row r="387" spans="88:90" x14ac:dyDescent="0.25">
      <c r="CJ387" s="24"/>
      <c r="CL387" s="24"/>
    </row>
    <row r="388" spans="88:90" x14ac:dyDescent="0.25">
      <c r="CJ388" s="24"/>
      <c r="CL388" s="24"/>
    </row>
    <row r="389" spans="88:90" x14ac:dyDescent="0.25">
      <c r="CJ389" s="24"/>
      <c r="CL389" s="24"/>
    </row>
    <row r="390" spans="88:90" x14ac:dyDescent="0.25">
      <c r="CJ390" s="24"/>
      <c r="CL390" s="24"/>
    </row>
    <row r="391" spans="88:90" x14ac:dyDescent="0.25">
      <c r="CJ391" s="24"/>
      <c r="CL391" s="24"/>
    </row>
    <row r="392" spans="88:90" x14ac:dyDescent="0.25">
      <c r="CJ392" s="24"/>
      <c r="CL392" s="24"/>
    </row>
    <row r="393" spans="88:90" x14ac:dyDescent="0.25">
      <c r="CJ393" s="24"/>
      <c r="CL393" s="24"/>
    </row>
    <row r="394" spans="88:90" x14ac:dyDescent="0.25">
      <c r="CJ394" s="24"/>
      <c r="CL394" s="24"/>
    </row>
    <row r="395" spans="88:90" x14ac:dyDescent="0.25">
      <c r="CJ395" s="24"/>
      <c r="CL395" s="24"/>
    </row>
    <row r="396" spans="88:90" x14ac:dyDescent="0.25">
      <c r="CJ396" s="24"/>
      <c r="CL396" s="24"/>
    </row>
    <row r="397" spans="88:90" x14ac:dyDescent="0.25">
      <c r="CJ397" s="24"/>
      <c r="CL397" s="24"/>
    </row>
    <row r="398" spans="88:90" x14ac:dyDescent="0.25">
      <c r="CJ398" s="24"/>
      <c r="CL398" s="24"/>
    </row>
    <row r="399" spans="88:90" x14ac:dyDescent="0.25">
      <c r="CJ399" s="24"/>
      <c r="CL399" s="24"/>
    </row>
    <row r="400" spans="88:90" x14ac:dyDescent="0.25">
      <c r="CJ400" s="24"/>
      <c r="CL400" s="24"/>
    </row>
    <row r="401" spans="88:90" x14ac:dyDescent="0.25">
      <c r="CJ401" s="24"/>
      <c r="CL401" s="24"/>
    </row>
    <row r="402" spans="88:90" x14ac:dyDescent="0.25">
      <c r="CJ402" s="24"/>
      <c r="CL402" s="24"/>
    </row>
    <row r="403" spans="88:90" x14ac:dyDescent="0.25">
      <c r="CJ403" s="24"/>
      <c r="CL403" s="24"/>
    </row>
    <row r="404" spans="88:90" x14ac:dyDescent="0.25">
      <c r="CJ404" s="24"/>
      <c r="CL404" s="24"/>
    </row>
    <row r="405" spans="88:90" x14ac:dyDescent="0.25">
      <c r="CJ405" s="24"/>
      <c r="CL405" s="24"/>
    </row>
    <row r="406" spans="88:90" x14ac:dyDescent="0.25">
      <c r="CJ406" s="24"/>
      <c r="CL406" s="24"/>
    </row>
    <row r="407" spans="88:90" x14ac:dyDescent="0.25">
      <c r="CJ407" s="24"/>
      <c r="CL407" s="24"/>
    </row>
    <row r="408" spans="88:90" x14ac:dyDescent="0.25">
      <c r="CJ408" s="24"/>
      <c r="CL408" s="24"/>
    </row>
    <row r="409" spans="88:90" x14ac:dyDescent="0.25">
      <c r="CJ409" s="24"/>
      <c r="CL409" s="24"/>
    </row>
    <row r="410" spans="88:90" x14ac:dyDescent="0.25">
      <c r="CJ410" s="24"/>
      <c r="CL410" s="24"/>
    </row>
    <row r="411" spans="88:90" x14ac:dyDescent="0.25">
      <c r="CJ411" s="24"/>
      <c r="CL411" s="24"/>
    </row>
    <row r="412" spans="88:90" x14ac:dyDescent="0.25">
      <c r="CJ412" s="24"/>
      <c r="CL412" s="24"/>
    </row>
    <row r="413" spans="88:90" x14ac:dyDescent="0.25">
      <c r="CJ413" s="24"/>
      <c r="CL413" s="24"/>
    </row>
    <row r="414" spans="88:90" x14ac:dyDescent="0.25">
      <c r="CJ414" s="24"/>
      <c r="CL414" s="24"/>
    </row>
    <row r="415" spans="88:90" x14ac:dyDescent="0.25">
      <c r="CJ415" s="24"/>
      <c r="CL415" s="24"/>
    </row>
    <row r="416" spans="88:90" x14ac:dyDescent="0.25">
      <c r="CJ416" s="24"/>
      <c r="CL416" s="24"/>
    </row>
    <row r="417" spans="88:90" x14ac:dyDescent="0.25">
      <c r="CJ417" s="24"/>
      <c r="CL417" s="24"/>
    </row>
    <row r="418" spans="88:90" x14ac:dyDescent="0.25">
      <c r="CJ418" s="24"/>
      <c r="CL418" s="24"/>
    </row>
    <row r="419" spans="88:90" x14ac:dyDescent="0.25">
      <c r="CJ419" s="24"/>
      <c r="CL419" s="24"/>
    </row>
    <row r="420" spans="88:90" x14ac:dyDescent="0.25">
      <c r="CJ420" s="24"/>
      <c r="CL420" s="24"/>
    </row>
    <row r="421" spans="88:90" x14ac:dyDescent="0.25">
      <c r="CJ421" s="24"/>
      <c r="CL421" s="24"/>
    </row>
    <row r="422" spans="88:90" x14ac:dyDescent="0.25">
      <c r="CJ422" s="24"/>
      <c r="CL422" s="24"/>
    </row>
    <row r="423" spans="88:90" x14ac:dyDescent="0.25">
      <c r="CJ423" s="24"/>
      <c r="CL423" s="24"/>
    </row>
    <row r="424" spans="88:90" x14ac:dyDescent="0.25">
      <c r="CJ424" s="24"/>
      <c r="CL424" s="24"/>
    </row>
    <row r="425" spans="88:90" x14ac:dyDescent="0.25">
      <c r="CJ425" s="24"/>
      <c r="CL425" s="24"/>
    </row>
    <row r="426" spans="88:90" x14ac:dyDescent="0.25">
      <c r="CJ426" s="24"/>
      <c r="CL426" s="24"/>
    </row>
    <row r="427" spans="88:90" x14ac:dyDescent="0.25">
      <c r="CJ427" s="24"/>
      <c r="CL427" s="24"/>
    </row>
    <row r="428" spans="88:90" x14ac:dyDescent="0.25">
      <c r="CJ428" s="24"/>
      <c r="CL428" s="24"/>
    </row>
    <row r="429" spans="88:90" x14ac:dyDescent="0.25">
      <c r="CJ429" s="24"/>
      <c r="CL429" s="24"/>
    </row>
    <row r="430" spans="88:90" x14ac:dyDescent="0.25">
      <c r="CJ430" s="24"/>
      <c r="CL430" s="24"/>
    </row>
    <row r="431" spans="88:90" x14ac:dyDescent="0.25">
      <c r="CJ431" s="24"/>
      <c r="CL431" s="24"/>
    </row>
    <row r="432" spans="88:90" x14ac:dyDescent="0.25">
      <c r="CJ432" s="24"/>
      <c r="CL432" s="24"/>
    </row>
    <row r="433" spans="88:90" x14ac:dyDescent="0.25">
      <c r="CJ433" s="24"/>
      <c r="CL433" s="24"/>
    </row>
    <row r="434" spans="88:90" x14ac:dyDescent="0.25">
      <c r="CJ434" s="24"/>
      <c r="CL434" s="24"/>
    </row>
    <row r="435" spans="88:90" x14ac:dyDescent="0.25">
      <c r="CJ435" s="24"/>
      <c r="CL435" s="24"/>
    </row>
    <row r="436" spans="88:90" x14ac:dyDescent="0.25">
      <c r="CJ436" s="24"/>
      <c r="CL436" s="24"/>
    </row>
    <row r="437" spans="88:90" x14ac:dyDescent="0.25">
      <c r="CJ437" s="24"/>
      <c r="CL437" s="24"/>
    </row>
    <row r="438" spans="88:90" x14ac:dyDescent="0.25">
      <c r="CJ438" s="24"/>
      <c r="CL438" s="24"/>
    </row>
    <row r="439" spans="88:90" x14ac:dyDescent="0.25">
      <c r="CJ439" s="24"/>
      <c r="CL439" s="24"/>
    </row>
    <row r="440" spans="88:90" x14ac:dyDescent="0.25">
      <c r="CJ440" s="24"/>
      <c r="CL440" s="24"/>
    </row>
    <row r="441" spans="88:90" x14ac:dyDescent="0.25">
      <c r="CJ441" s="24"/>
      <c r="CL441" s="24"/>
    </row>
    <row r="442" spans="88:90" x14ac:dyDescent="0.25">
      <c r="CJ442" s="24"/>
      <c r="CL442" s="24"/>
    </row>
    <row r="443" spans="88:90" x14ac:dyDescent="0.25">
      <c r="CJ443" s="24"/>
      <c r="CL443" s="24"/>
    </row>
    <row r="444" spans="88:90" x14ac:dyDescent="0.25">
      <c r="CJ444" s="24"/>
      <c r="CL444" s="24"/>
    </row>
    <row r="445" spans="88:90" x14ac:dyDescent="0.25">
      <c r="CJ445" s="24"/>
      <c r="CL445" s="24"/>
    </row>
    <row r="446" spans="88:90" x14ac:dyDescent="0.25">
      <c r="CJ446" s="24"/>
      <c r="CL446" s="24"/>
    </row>
    <row r="447" spans="88:90" x14ac:dyDescent="0.25">
      <c r="CJ447" s="24"/>
      <c r="CL447" s="24"/>
    </row>
    <row r="448" spans="88:90" x14ac:dyDescent="0.25">
      <c r="CJ448" s="24"/>
      <c r="CL448" s="24"/>
    </row>
    <row r="449" spans="88:90" x14ac:dyDescent="0.25">
      <c r="CJ449" s="24"/>
      <c r="CL449" s="24"/>
    </row>
    <row r="450" spans="88:90" x14ac:dyDescent="0.25">
      <c r="CJ450" s="24"/>
      <c r="CL450" s="24"/>
    </row>
    <row r="451" spans="88:90" x14ac:dyDescent="0.25">
      <c r="CJ451" s="24"/>
      <c r="CL451" s="24"/>
    </row>
    <row r="452" spans="88:90" x14ac:dyDescent="0.25">
      <c r="CJ452" s="24"/>
      <c r="CL452" s="24"/>
    </row>
    <row r="453" spans="88:90" x14ac:dyDescent="0.25">
      <c r="CJ453" s="24"/>
      <c r="CL453" s="24"/>
    </row>
  </sheetData>
  <mergeCells count="66">
    <mergeCell ref="A1:E3"/>
    <mergeCell ref="K1:S1"/>
    <mergeCell ref="H3:I3"/>
    <mergeCell ref="F2:F3"/>
    <mergeCell ref="F1:J1"/>
    <mergeCell ref="M2:M3"/>
    <mergeCell ref="K2:L3"/>
    <mergeCell ref="G2:J2"/>
    <mergeCell ref="O2:S3"/>
    <mergeCell ref="N2:N3"/>
    <mergeCell ref="DT2:EA3"/>
    <mergeCell ref="CS2:CX2"/>
    <mergeCell ref="DT1:EA1"/>
    <mergeCell ref="CI1:CX1"/>
    <mergeCell ref="CO2:CR3"/>
    <mergeCell ref="DG2:DK2"/>
    <mergeCell ref="DL1:DS1"/>
    <mergeCell ref="CY1:DK1"/>
    <mergeCell ref="CI2:CJ3"/>
    <mergeCell ref="DM2:DS3"/>
    <mergeCell ref="CT3:CU3"/>
    <mergeCell ref="CW3:CX3"/>
    <mergeCell ref="DC2:DF3"/>
    <mergeCell ref="CZ2:CZ3"/>
    <mergeCell ref="DA2:DA3"/>
    <mergeCell ref="DB2:DB3"/>
    <mergeCell ref="AS1:AW1"/>
    <mergeCell ref="AS2:AW3"/>
    <mergeCell ref="CB3:CC3"/>
    <mergeCell ref="T1:X1"/>
    <mergeCell ref="Y2:AC3"/>
    <mergeCell ref="AO1:AR1"/>
    <mergeCell ref="AO2:AR3"/>
    <mergeCell ref="AH1:AN1"/>
    <mergeCell ref="AH2:AN3"/>
    <mergeCell ref="AD1:AG1"/>
    <mergeCell ref="Y1:AC1"/>
    <mergeCell ref="U2:X3"/>
    <mergeCell ref="T2:T3"/>
    <mergeCell ref="AE2:AG3"/>
    <mergeCell ref="AD2:AD3"/>
    <mergeCell ref="BT2:BT3"/>
    <mergeCell ref="AX1:BA1"/>
    <mergeCell ref="BV2:CA3"/>
    <mergeCell ref="BB1:BF1"/>
    <mergeCell ref="BG1:BJ1"/>
    <mergeCell ref="AX2:BA3"/>
    <mergeCell ref="BK1:BP1"/>
    <mergeCell ref="BQ1:CH1"/>
    <mergeCell ref="BH2:BJ3"/>
    <mergeCell ref="BK2:BL3"/>
    <mergeCell ref="BM2:BP3"/>
    <mergeCell ref="BR2:BS3"/>
    <mergeCell ref="BQ2:BQ3"/>
    <mergeCell ref="BU2:BU3"/>
    <mergeCell ref="BB2:BF3"/>
    <mergeCell ref="BG2:BG3"/>
    <mergeCell ref="CB2:CH2"/>
    <mergeCell ref="CY2:CY3"/>
    <mergeCell ref="DL2:DL3"/>
    <mergeCell ref="CD3:CE3"/>
    <mergeCell ref="CF3:CG3"/>
    <mergeCell ref="CK2:CL3"/>
    <mergeCell ref="CM2:CM3"/>
    <mergeCell ref="CN2:CN3"/>
    <mergeCell ref="DG3:DH3"/>
  </mergeCells>
  <phoneticPr fontId="10" type="noConversion"/>
  <pageMargins left="0.2" right="0.2" top="1" bottom="1" header="0.5" footer="0.5"/>
  <pageSetup orientation="landscape" r:id="rId1"/>
  <headerFooter alignWithMargins="0">
    <oddFooter>&amp;C&amp;"Californian FB,Italic"(Pg. &amp;P of &amp;N)</oddFooter>
  </headerFooter>
  <colBreaks count="7" manualBreakCount="7">
    <brk id="13" max="3" man="1"/>
    <brk id="40" max="3" man="1"/>
    <brk id="53" max="3" man="1"/>
    <brk id="68" max="3" man="1"/>
    <brk id="92" max="3" man="1"/>
    <brk id="106" max="3" man="1"/>
    <brk id="123" max="3" man="1"/>
  </colBreaks>
  <ignoredErrors>
    <ignoredError sqref="E126 E131:E138 E129:E130" formula="1"/>
    <ignoredError sqref="A146:B146 A139:A140 A141:B141 A142:A145 C130:D137 C139:D146 T131:U133 N130:Q132 K130:K132 F131 S130:S132 F135:EA146 F130:J130 T130:EA130 F132:J132 G131:J131 L130:M130 L132:M132 L131:M131 R130 R132 R131 F133:S133 V133:EA133 V131:EA132 F134:AC134 AH134:EA134" formulaRange="1"/>
    <ignoredError sqref="E139:E143 E144 E145:E146" formula="1" formulaRange="1"/>
    <ignoredError sqref="T126 S126:S127 H126:I126 K126:K127 Q126:Q127 N126:O127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U292"/>
  <sheetViews>
    <sheetView zoomScaleNormal="100" workbookViewId="0">
      <pane xSplit="7070" ySplit="3950" topLeftCell="F5"/>
      <selection sqref="A1:E3"/>
      <selection pane="topRight" activeCell="P1" sqref="P1"/>
      <selection pane="bottomLeft" activeCell="E46" sqref="E46:E47"/>
      <selection pane="bottomRight" activeCell="BK34" sqref="BK34"/>
    </sheetView>
  </sheetViews>
  <sheetFormatPr defaultColWidth="9.1796875" defaultRowHeight="12.5" x14ac:dyDescent="0.25"/>
  <cols>
    <col min="1" max="1" width="5.54296875" style="2" bestFit="1" customWidth="1"/>
    <col min="2" max="2" width="24.26953125" style="2" bestFit="1" customWidth="1"/>
    <col min="3" max="4" width="10.81640625" style="311" customWidth="1"/>
    <col min="5" max="5" width="9.1796875" style="903"/>
    <col min="6" max="28" width="11.54296875" style="2" customWidth="1"/>
    <col min="29" max="29" width="11.453125" style="2" customWidth="1"/>
    <col min="30" max="44" width="11.54296875" style="2" customWidth="1"/>
    <col min="45" max="52" width="11.453125" style="2" customWidth="1"/>
    <col min="53" max="62" width="11.54296875" style="2" customWidth="1"/>
    <col min="63" max="66" width="11.453125" style="2" customWidth="1"/>
    <col min="67" max="98" width="11.54296875" style="2" customWidth="1"/>
    <col min="99" max="16384" width="9.1796875" style="2"/>
  </cols>
  <sheetData>
    <row r="1" spans="1:99" s="339" customFormat="1" ht="43.5" customHeight="1" thickTop="1" thickBot="1" x14ac:dyDescent="0.3">
      <c r="A1" s="835" t="s">
        <v>848</v>
      </c>
      <c r="B1" s="836"/>
      <c r="C1" s="836"/>
      <c r="D1" s="836"/>
      <c r="E1" s="837"/>
      <c r="F1" s="824" t="s">
        <v>58</v>
      </c>
      <c r="G1" s="825"/>
      <c r="H1" s="825"/>
      <c r="I1" s="825"/>
      <c r="J1" s="825"/>
      <c r="K1" s="825"/>
      <c r="L1" s="825"/>
      <c r="M1" s="824" t="s">
        <v>59</v>
      </c>
      <c r="N1" s="825"/>
      <c r="O1" s="825"/>
      <c r="P1" s="825"/>
      <c r="Q1" s="825"/>
      <c r="R1" s="825"/>
      <c r="S1" s="826"/>
      <c r="T1" s="847" t="s">
        <v>60</v>
      </c>
      <c r="U1" s="848"/>
      <c r="V1" s="849"/>
      <c r="W1" s="850"/>
      <c r="X1" s="825" t="s">
        <v>61</v>
      </c>
      <c r="Y1" s="825"/>
      <c r="Z1" s="825"/>
      <c r="AA1" s="826"/>
      <c r="AB1" s="825" t="s">
        <v>768</v>
      </c>
      <c r="AC1" s="825"/>
      <c r="AD1" s="825"/>
      <c r="AE1" s="826"/>
      <c r="AF1" s="829" t="s">
        <v>62</v>
      </c>
      <c r="AG1" s="827"/>
      <c r="AH1" s="827"/>
      <c r="AI1" s="827"/>
      <c r="AJ1" s="827"/>
      <c r="AK1" s="828"/>
      <c r="AL1" s="820" t="s">
        <v>63</v>
      </c>
      <c r="AM1" s="821"/>
      <c r="AN1" s="829" t="s">
        <v>64</v>
      </c>
      <c r="AO1" s="827"/>
      <c r="AP1" s="827"/>
      <c r="AQ1" s="827"/>
      <c r="AR1" s="828"/>
      <c r="AS1" s="831" t="s">
        <v>65</v>
      </c>
      <c r="AT1" s="831"/>
      <c r="AU1" s="831"/>
      <c r="AV1" s="831"/>
      <c r="AW1" s="831"/>
      <c r="AX1" s="831"/>
      <c r="AY1" s="831"/>
      <c r="AZ1" s="832"/>
      <c r="BA1" s="825" t="s">
        <v>796</v>
      </c>
      <c r="BB1" s="825"/>
      <c r="BC1" s="826"/>
      <c r="BD1" s="820" t="s">
        <v>66</v>
      </c>
      <c r="BE1" s="821"/>
      <c r="BF1" s="820" t="s">
        <v>1005</v>
      </c>
      <c r="BG1" s="823"/>
      <c r="BH1" s="833" t="s">
        <v>67</v>
      </c>
      <c r="BI1" s="833"/>
      <c r="BJ1" s="834"/>
      <c r="BK1" s="830" t="s">
        <v>68</v>
      </c>
      <c r="BL1" s="831"/>
      <c r="BM1" s="831"/>
      <c r="BN1" s="832"/>
      <c r="BO1" s="824" t="s">
        <v>69</v>
      </c>
      <c r="BP1" s="825"/>
      <c r="BQ1" s="826"/>
      <c r="BR1" s="829" t="s">
        <v>436</v>
      </c>
      <c r="BS1" s="827"/>
      <c r="BT1" s="827"/>
      <c r="BU1" s="827"/>
      <c r="BV1" s="827"/>
      <c r="BW1" s="827"/>
      <c r="BX1" s="827"/>
      <c r="BY1" s="827"/>
      <c r="BZ1" s="827"/>
      <c r="CA1" s="827"/>
      <c r="CB1" s="827"/>
      <c r="CC1" s="827"/>
      <c r="CD1" s="827"/>
      <c r="CE1" s="827"/>
      <c r="CF1" s="827"/>
      <c r="CG1" s="828"/>
      <c r="CH1" s="827" t="s">
        <v>437</v>
      </c>
      <c r="CI1" s="827"/>
      <c r="CJ1" s="828"/>
      <c r="CK1" s="821" t="s">
        <v>808</v>
      </c>
      <c r="CL1" s="821"/>
      <c r="CM1" s="820" t="s">
        <v>70</v>
      </c>
      <c r="CN1" s="821"/>
      <c r="CO1" s="821"/>
      <c r="CP1" s="821"/>
      <c r="CQ1" s="821"/>
      <c r="CR1" s="821"/>
      <c r="CS1" s="821"/>
      <c r="CT1" s="823"/>
      <c r="CU1" s="338"/>
    </row>
    <row r="2" spans="1:99" ht="41.25" customHeight="1" thickTop="1" thickBot="1" x14ac:dyDescent="0.3">
      <c r="A2" s="838"/>
      <c r="B2" s="839"/>
      <c r="C2" s="839"/>
      <c r="D2" s="839"/>
      <c r="E2" s="840"/>
      <c r="F2" s="725" t="s">
        <v>946</v>
      </c>
      <c r="G2" s="732"/>
      <c r="H2" s="731" t="s">
        <v>1143</v>
      </c>
      <c r="I2" s="731" t="s">
        <v>1142</v>
      </c>
      <c r="J2" s="731" t="s">
        <v>1147</v>
      </c>
      <c r="K2" s="732"/>
      <c r="L2" s="731" t="s">
        <v>947</v>
      </c>
      <c r="M2" s="725" t="s">
        <v>800</v>
      </c>
      <c r="N2" s="737"/>
      <c r="O2" s="844" t="s">
        <v>799</v>
      </c>
      <c r="P2" s="845"/>
      <c r="Q2" s="845"/>
      <c r="R2" s="845"/>
      <c r="S2" s="846"/>
      <c r="T2" s="725" t="s">
        <v>949</v>
      </c>
      <c r="U2" s="732"/>
      <c r="V2" s="737" t="s">
        <v>950</v>
      </c>
      <c r="W2" s="763"/>
      <c r="X2" s="725" t="s">
        <v>951</v>
      </c>
      <c r="Y2" s="732"/>
      <c r="Z2" s="737" t="s">
        <v>1085</v>
      </c>
      <c r="AA2" s="763"/>
      <c r="AB2" s="725" t="s">
        <v>809</v>
      </c>
      <c r="AC2" s="735" t="s">
        <v>953</v>
      </c>
      <c r="AD2" s="737" t="s">
        <v>950</v>
      </c>
      <c r="AE2" s="763"/>
      <c r="AF2" s="725" t="s">
        <v>956</v>
      </c>
      <c r="AG2" s="732"/>
      <c r="AH2" s="737" t="s">
        <v>797</v>
      </c>
      <c r="AI2" s="737"/>
      <c r="AJ2" s="737"/>
      <c r="AK2" s="763"/>
      <c r="AL2" s="781" t="s">
        <v>960</v>
      </c>
      <c r="AM2" s="737" t="s">
        <v>959</v>
      </c>
      <c r="AN2" s="725" t="s">
        <v>1160</v>
      </c>
      <c r="AO2" s="737"/>
      <c r="AP2" s="732"/>
      <c r="AQ2" s="737" t="s">
        <v>962</v>
      </c>
      <c r="AR2" s="763"/>
      <c r="AS2" s="725" t="s">
        <v>994</v>
      </c>
      <c r="AT2" s="732"/>
      <c r="AU2" s="731" t="s">
        <v>996</v>
      </c>
      <c r="AV2" s="737"/>
      <c r="AW2" s="737"/>
      <c r="AX2" s="732"/>
      <c r="AY2" s="737" t="s">
        <v>997</v>
      </c>
      <c r="AZ2" s="763"/>
      <c r="BA2" s="725" t="s">
        <v>811</v>
      </c>
      <c r="BB2" s="737"/>
      <c r="BC2" s="763"/>
      <c r="BD2" s="725" t="s">
        <v>1003</v>
      </c>
      <c r="BE2" s="732"/>
      <c r="BF2" s="725" t="s">
        <v>1004</v>
      </c>
      <c r="BG2" s="763"/>
      <c r="BH2" s="725" t="s">
        <v>994</v>
      </c>
      <c r="BI2" s="731" t="s">
        <v>1006</v>
      </c>
      <c r="BJ2" s="763"/>
      <c r="BK2" s="781" t="s">
        <v>994</v>
      </c>
      <c r="BL2" s="737" t="s">
        <v>1019</v>
      </c>
      <c r="BM2" s="737"/>
      <c r="BN2" s="763"/>
      <c r="BO2" s="781" t="s">
        <v>994</v>
      </c>
      <c r="BP2" s="737" t="s">
        <v>1007</v>
      </c>
      <c r="BQ2" s="763"/>
      <c r="BR2" s="725" t="s">
        <v>1182</v>
      </c>
      <c r="BS2" s="732"/>
      <c r="BT2" s="822" t="s">
        <v>1014</v>
      </c>
      <c r="BU2" s="822" t="s">
        <v>1015</v>
      </c>
      <c r="BV2" s="822" t="s">
        <v>1016</v>
      </c>
      <c r="BW2" s="772" t="s">
        <v>1186</v>
      </c>
      <c r="BX2" s="772"/>
      <c r="BY2" s="772"/>
      <c r="BZ2" s="772"/>
      <c r="CA2" s="772"/>
      <c r="CB2" s="772"/>
      <c r="CC2" s="772"/>
      <c r="CD2" s="772"/>
      <c r="CE2" s="772"/>
      <c r="CF2" s="772"/>
      <c r="CG2" s="772"/>
      <c r="CH2" s="725" t="s">
        <v>1009</v>
      </c>
      <c r="CI2" s="737"/>
      <c r="CJ2" s="763"/>
      <c r="CK2" s="725" t="s">
        <v>994</v>
      </c>
      <c r="CL2" s="818" t="s">
        <v>1019</v>
      </c>
      <c r="CM2" s="725" t="s">
        <v>994</v>
      </c>
      <c r="CN2" s="732"/>
      <c r="CO2" s="737" t="s">
        <v>1200</v>
      </c>
      <c r="CP2" s="737"/>
      <c r="CQ2" s="737"/>
      <c r="CR2" s="737"/>
      <c r="CS2" s="737"/>
      <c r="CT2" s="763"/>
      <c r="CU2" s="24"/>
    </row>
    <row r="3" spans="1:99" s="5" customFormat="1" ht="57.75" customHeight="1" thickBot="1" x14ac:dyDescent="0.25">
      <c r="A3" s="841"/>
      <c r="B3" s="842"/>
      <c r="C3" s="842"/>
      <c r="D3" s="842"/>
      <c r="E3" s="843"/>
      <c r="F3" s="726"/>
      <c r="G3" s="734"/>
      <c r="H3" s="733"/>
      <c r="I3" s="733"/>
      <c r="J3" s="733"/>
      <c r="K3" s="734"/>
      <c r="L3" s="733"/>
      <c r="M3" s="726"/>
      <c r="N3" s="738"/>
      <c r="O3" s="335" t="s">
        <v>798</v>
      </c>
      <c r="P3" s="23" t="s">
        <v>791</v>
      </c>
      <c r="Q3" s="23" t="s">
        <v>792</v>
      </c>
      <c r="R3" s="23" t="s">
        <v>948</v>
      </c>
      <c r="S3" s="23" t="s">
        <v>793</v>
      </c>
      <c r="T3" s="726"/>
      <c r="U3" s="734"/>
      <c r="V3" s="738"/>
      <c r="W3" s="764"/>
      <c r="X3" s="726"/>
      <c r="Y3" s="734"/>
      <c r="Z3" s="738"/>
      <c r="AA3" s="764"/>
      <c r="AB3" s="726"/>
      <c r="AC3" s="736"/>
      <c r="AD3" s="738"/>
      <c r="AE3" s="764"/>
      <c r="AF3" s="726"/>
      <c r="AG3" s="734"/>
      <c r="AH3" s="738"/>
      <c r="AI3" s="738"/>
      <c r="AJ3" s="738"/>
      <c r="AK3" s="764"/>
      <c r="AL3" s="782"/>
      <c r="AM3" s="738"/>
      <c r="AN3" s="726"/>
      <c r="AO3" s="738"/>
      <c r="AP3" s="734"/>
      <c r="AQ3" s="738"/>
      <c r="AR3" s="764"/>
      <c r="AS3" s="726"/>
      <c r="AT3" s="734"/>
      <c r="AU3" s="733"/>
      <c r="AV3" s="738"/>
      <c r="AW3" s="738"/>
      <c r="AX3" s="734"/>
      <c r="AY3" s="738"/>
      <c r="AZ3" s="764"/>
      <c r="BA3" s="726"/>
      <c r="BB3" s="738"/>
      <c r="BC3" s="764"/>
      <c r="BD3" s="726"/>
      <c r="BE3" s="734"/>
      <c r="BF3" s="726"/>
      <c r="BG3" s="764"/>
      <c r="BH3" s="726"/>
      <c r="BI3" s="733"/>
      <c r="BJ3" s="764"/>
      <c r="BK3" s="782"/>
      <c r="BL3" s="738"/>
      <c r="BM3" s="738"/>
      <c r="BN3" s="764"/>
      <c r="BO3" s="782"/>
      <c r="BP3" s="738"/>
      <c r="BQ3" s="764"/>
      <c r="BR3" s="726"/>
      <c r="BS3" s="734"/>
      <c r="BT3" s="736"/>
      <c r="BU3" s="736"/>
      <c r="BV3" s="736"/>
      <c r="BW3" s="772"/>
      <c r="BX3" s="772"/>
      <c r="BY3" s="772"/>
      <c r="BZ3" s="772"/>
      <c r="CA3" s="772"/>
      <c r="CB3" s="772"/>
      <c r="CC3" s="772"/>
      <c r="CD3" s="772"/>
      <c r="CE3" s="772"/>
      <c r="CF3" s="772"/>
      <c r="CG3" s="772"/>
      <c r="CH3" s="726"/>
      <c r="CI3" s="738"/>
      <c r="CJ3" s="764"/>
      <c r="CK3" s="726"/>
      <c r="CL3" s="819"/>
      <c r="CM3" s="726"/>
      <c r="CN3" s="734"/>
      <c r="CO3" s="738"/>
      <c r="CP3" s="738"/>
      <c r="CQ3" s="738"/>
      <c r="CR3" s="738"/>
      <c r="CS3" s="738"/>
      <c r="CT3" s="764"/>
      <c r="CU3" s="25"/>
    </row>
    <row r="4" spans="1:99" ht="43" thickTop="1" thickBot="1" x14ac:dyDescent="0.3">
      <c r="A4" s="41" t="s">
        <v>106</v>
      </c>
      <c r="B4" s="40" t="s">
        <v>107</v>
      </c>
      <c r="C4" s="42" t="s">
        <v>108</v>
      </c>
      <c r="D4" s="40" t="s">
        <v>109</v>
      </c>
      <c r="E4" s="44" t="s">
        <v>110</v>
      </c>
      <c r="F4" s="118" t="s">
        <v>1140</v>
      </c>
      <c r="G4" s="112" t="s">
        <v>1141</v>
      </c>
      <c r="H4" s="113" t="s">
        <v>1144</v>
      </c>
      <c r="I4" s="116" t="s">
        <v>1086</v>
      </c>
      <c r="J4" s="113" t="s">
        <v>1145</v>
      </c>
      <c r="K4" s="112" t="s">
        <v>1146</v>
      </c>
      <c r="L4" s="113" t="s">
        <v>1086</v>
      </c>
      <c r="M4" s="121" t="s">
        <v>988</v>
      </c>
      <c r="N4" s="112" t="s">
        <v>1148</v>
      </c>
      <c r="O4" s="123" t="s">
        <v>1149</v>
      </c>
      <c r="P4" s="122" t="s">
        <v>989</v>
      </c>
      <c r="Q4" s="123" t="s">
        <v>990</v>
      </c>
      <c r="R4" s="123" t="s">
        <v>1150</v>
      </c>
      <c r="S4" s="129" t="s">
        <v>813</v>
      </c>
      <c r="T4" s="112" t="s">
        <v>1151</v>
      </c>
      <c r="U4" s="113" t="s">
        <v>1152</v>
      </c>
      <c r="V4" s="112" t="s">
        <v>1153</v>
      </c>
      <c r="W4" s="115" t="s">
        <v>1154</v>
      </c>
      <c r="X4" s="113" t="s">
        <v>952</v>
      </c>
      <c r="Y4" s="113" t="s">
        <v>1084</v>
      </c>
      <c r="Z4" s="112" t="s">
        <v>992</v>
      </c>
      <c r="AA4" s="115" t="s">
        <v>991</v>
      </c>
      <c r="AB4" s="124" t="s">
        <v>815</v>
      </c>
      <c r="AC4" s="125" t="s">
        <v>1086</v>
      </c>
      <c r="AD4" s="124" t="s">
        <v>954</v>
      </c>
      <c r="AE4" s="114" t="s">
        <v>955</v>
      </c>
      <c r="AF4" s="119" t="s">
        <v>993</v>
      </c>
      <c r="AG4" s="116" t="s">
        <v>1155</v>
      </c>
      <c r="AH4" s="113" t="s">
        <v>1156</v>
      </c>
      <c r="AI4" s="116" t="s">
        <v>957</v>
      </c>
      <c r="AJ4" s="127" t="s">
        <v>1157</v>
      </c>
      <c r="AK4" s="115" t="s">
        <v>958</v>
      </c>
      <c r="AL4" s="113" t="s">
        <v>1158</v>
      </c>
      <c r="AM4" s="129" t="s">
        <v>1159</v>
      </c>
      <c r="AN4" s="130" t="s">
        <v>1161</v>
      </c>
      <c r="AO4" s="126" t="s">
        <v>1162</v>
      </c>
      <c r="AP4" s="125" t="s">
        <v>961</v>
      </c>
      <c r="AQ4" s="131" t="s">
        <v>1164</v>
      </c>
      <c r="AR4" s="114" t="s">
        <v>1163</v>
      </c>
      <c r="AS4" s="130" t="s">
        <v>1165</v>
      </c>
      <c r="AT4" s="124" t="s">
        <v>1166</v>
      </c>
      <c r="AU4" s="112" t="s">
        <v>995</v>
      </c>
      <c r="AV4" s="113" t="s">
        <v>1167</v>
      </c>
      <c r="AW4" s="113" t="s">
        <v>1168</v>
      </c>
      <c r="AX4" s="116" t="s">
        <v>1169</v>
      </c>
      <c r="AY4" s="116" t="s">
        <v>1171</v>
      </c>
      <c r="AZ4" s="117" t="s">
        <v>1170</v>
      </c>
      <c r="BA4" s="121" t="s">
        <v>998</v>
      </c>
      <c r="BB4" s="127" t="s">
        <v>999</v>
      </c>
      <c r="BC4" s="129" t="s">
        <v>1000</v>
      </c>
      <c r="BD4" s="116" t="s">
        <v>1001</v>
      </c>
      <c r="BE4" s="116" t="s">
        <v>1172</v>
      </c>
      <c r="BF4" s="119" t="s">
        <v>1087</v>
      </c>
      <c r="BG4" s="115" t="s">
        <v>1002</v>
      </c>
      <c r="BH4" s="128" t="s">
        <v>1173</v>
      </c>
      <c r="BI4" s="123" t="s">
        <v>1175</v>
      </c>
      <c r="BJ4" s="115" t="s">
        <v>1174</v>
      </c>
      <c r="BK4" s="119" t="s">
        <v>1176</v>
      </c>
      <c r="BL4" s="112" t="s">
        <v>1179</v>
      </c>
      <c r="BM4" s="113" t="s">
        <v>1178</v>
      </c>
      <c r="BN4" s="115" t="s">
        <v>1177</v>
      </c>
      <c r="BO4" s="119" t="s">
        <v>1180</v>
      </c>
      <c r="BP4" s="112" t="s">
        <v>1181</v>
      </c>
      <c r="BQ4" s="115" t="s">
        <v>1008</v>
      </c>
      <c r="BR4" s="122" t="s">
        <v>1183</v>
      </c>
      <c r="BS4" s="122" t="s">
        <v>1013</v>
      </c>
      <c r="BT4" s="123" t="s">
        <v>1017</v>
      </c>
      <c r="BU4" s="123" t="s">
        <v>1184</v>
      </c>
      <c r="BV4" s="123" t="s">
        <v>1185</v>
      </c>
      <c r="BW4" s="127" t="s">
        <v>1187</v>
      </c>
      <c r="BX4" s="127" t="s">
        <v>1192</v>
      </c>
      <c r="BY4" s="127" t="s">
        <v>1193</v>
      </c>
      <c r="BZ4" s="127" t="s">
        <v>1188</v>
      </c>
      <c r="CA4" s="127" t="s">
        <v>1194</v>
      </c>
      <c r="CB4" s="127" t="s">
        <v>1195</v>
      </c>
      <c r="CC4" s="127" t="s">
        <v>1189</v>
      </c>
      <c r="CD4" s="127" t="s">
        <v>1018</v>
      </c>
      <c r="CE4" s="127" t="s">
        <v>1190</v>
      </c>
      <c r="CF4" s="113" t="s">
        <v>1196</v>
      </c>
      <c r="CG4" s="113" t="s">
        <v>1191</v>
      </c>
      <c r="CH4" s="121" t="s">
        <v>1010</v>
      </c>
      <c r="CI4" s="123" t="s">
        <v>1011</v>
      </c>
      <c r="CJ4" s="129" t="s">
        <v>1012</v>
      </c>
      <c r="CK4" s="122" t="s">
        <v>1197</v>
      </c>
      <c r="CL4" s="115" t="s">
        <v>1198</v>
      </c>
      <c r="CM4" s="112" t="s">
        <v>1199</v>
      </c>
      <c r="CN4" s="113" t="s">
        <v>1020</v>
      </c>
      <c r="CO4" s="113" t="s">
        <v>1201</v>
      </c>
      <c r="CP4" s="113" t="s">
        <v>1203</v>
      </c>
      <c r="CQ4" s="113" t="s">
        <v>1021</v>
      </c>
      <c r="CR4" s="112" t="s">
        <v>1202</v>
      </c>
      <c r="CS4" s="113" t="s">
        <v>1204</v>
      </c>
      <c r="CT4" s="115" t="s">
        <v>1022</v>
      </c>
      <c r="CU4" s="24"/>
    </row>
    <row r="5" spans="1:99" s="12" customFormat="1" ht="13.5" thickTop="1" x14ac:dyDescent="0.3">
      <c r="A5" s="26">
        <v>5501</v>
      </c>
      <c r="B5" s="26" t="s">
        <v>115</v>
      </c>
      <c r="C5" s="312">
        <v>831</v>
      </c>
      <c r="D5" s="56">
        <v>526</v>
      </c>
      <c r="E5" s="894">
        <f t="shared" ref="E5:E10" si="0">SUM(D5/C5)</f>
        <v>0.63297232250300839</v>
      </c>
      <c r="F5" s="334"/>
      <c r="G5" s="333"/>
      <c r="H5" s="512"/>
      <c r="I5" s="512"/>
      <c r="J5" s="329"/>
      <c r="K5" s="333"/>
      <c r="L5" s="538"/>
      <c r="M5" s="51">
        <v>244</v>
      </c>
      <c r="N5" s="336">
        <v>313</v>
      </c>
      <c r="O5" s="51">
        <v>319</v>
      </c>
      <c r="P5" s="120">
        <v>314</v>
      </c>
      <c r="Q5" s="120">
        <v>327</v>
      </c>
      <c r="R5" s="120">
        <v>335</v>
      </c>
      <c r="S5" s="120">
        <v>321</v>
      </c>
      <c r="T5" s="353"/>
      <c r="U5" s="149"/>
      <c r="V5" s="188"/>
      <c r="W5" s="147"/>
      <c r="X5" s="298"/>
      <c r="Y5" s="145"/>
      <c r="Z5" s="300"/>
      <c r="AA5" s="147"/>
      <c r="AB5" s="308"/>
      <c r="AC5" s="512"/>
      <c r="AD5" s="329"/>
      <c r="AE5" s="146"/>
      <c r="AF5" s="151"/>
      <c r="AG5" s="149"/>
      <c r="AH5" s="143"/>
      <c r="AI5" s="143"/>
      <c r="AJ5" s="143"/>
      <c r="AK5" s="147"/>
      <c r="AL5" s="308"/>
      <c r="AM5" s="143"/>
      <c r="AN5" s="298"/>
      <c r="AO5" s="299"/>
      <c r="AP5" s="149"/>
      <c r="AQ5" s="143"/>
      <c r="AR5" s="147"/>
      <c r="AS5" s="298"/>
      <c r="AT5" s="149"/>
      <c r="AU5" s="143"/>
      <c r="AV5" s="143"/>
      <c r="AW5" s="299"/>
      <c r="AX5" s="149"/>
      <c r="AY5" s="143"/>
      <c r="AZ5" s="146"/>
      <c r="BA5" s="298"/>
      <c r="BB5" s="144"/>
      <c r="BC5" s="147"/>
      <c r="BD5" s="143"/>
      <c r="BE5" s="149"/>
      <c r="BF5" s="298"/>
      <c r="BG5" s="147"/>
      <c r="BH5" s="308"/>
      <c r="BI5" s="143"/>
      <c r="BJ5" s="147"/>
      <c r="BK5" s="148"/>
      <c r="BL5" s="143"/>
      <c r="BM5" s="188"/>
      <c r="BN5" s="147"/>
      <c r="BO5" s="308"/>
      <c r="BP5" s="143"/>
      <c r="BQ5" s="147"/>
      <c r="BR5" s="298"/>
      <c r="BS5" s="149"/>
      <c r="BT5" s="150"/>
      <c r="BU5" s="150"/>
      <c r="BV5" s="150"/>
      <c r="BW5" s="143"/>
      <c r="BX5" s="143"/>
      <c r="BY5" s="143"/>
      <c r="BZ5" s="143"/>
      <c r="CA5" s="143"/>
      <c r="CB5" s="143"/>
      <c r="CC5" s="143"/>
      <c r="CD5" s="143"/>
      <c r="CE5" s="143"/>
      <c r="CF5" s="144"/>
      <c r="CG5" s="145"/>
      <c r="CH5" s="298"/>
      <c r="CI5" s="143"/>
      <c r="CJ5" s="147"/>
      <c r="CK5" s="308"/>
      <c r="CL5" s="546"/>
      <c r="CM5" s="143"/>
      <c r="CN5" s="333"/>
      <c r="CO5" s="143"/>
      <c r="CP5" s="299"/>
      <c r="CQ5" s="299"/>
      <c r="CR5" s="299"/>
      <c r="CS5" s="188"/>
      <c r="CT5" s="147"/>
      <c r="CU5" s="19"/>
    </row>
    <row r="6" spans="1:99" s="12" customFormat="1" ht="13" x14ac:dyDescent="0.3">
      <c r="A6" s="12">
        <v>5502</v>
      </c>
      <c r="B6" s="12" t="s">
        <v>116</v>
      </c>
      <c r="C6" s="282">
        <v>811</v>
      </c>
      <c r="D6" s="54">
        <v>507</v>
      </c>
      <c r="E6" s="895">
        <f t="shared" si="0"/>
        <v>0.62515413070283599</v>
      </c>
      <c r="F6" s="221"/>
      <c r="G6" s="155"/>
      <c r="H6" s="161"/>
      <c r="I6" s="161"/>
      <c r="J6" s="153"/>
      <c r="K6" s="155"/>
      <c r="L6" s="539"/>
      <c r="M6" s="45">
        <v>245</v>
      </c>
      <c r="N6" s="58">
        <v>289</v>
      </c>
      <c r="O6" s="45">
        <v>300</v>
      </c>
      <c r="P6" s="102">
        <v>304</v>
      </c>
      <c r="Q6" s="102">
        <v>327</v>
      </c>
      <c r="R6" s="102">
        <v>348</v>
      </c>
      <c r="S6" s="102">
        <v>292</v>
      </c>
      <c r="T6" s="169"/>
      <c r="U6" s="160"/>
      <c r="V6" s="189"/>
      <c r="W6" s="158"/>
      <c r="X6" s="162"/>
      <c r="Y6" s="155"/>
      <c r="Z6" s="223"/>
      <c r="AA6" s="158"/>
      <c r="AB6" s="159"/>
      <c r="AC6" s="161"/>
      <c r="AD6" s="153"/>
      <c r="AE6" s="156"/>
      <c r="AF6" s="162"/>
      <c r="AG6" s="160"/>
      <c r="AH6" s="153"/>
      <c r="AI6" s="153"/>
      <c r="AJ6" s="153"/>
      <c r="AK6" s="158"/>
      <c r="AL6" s="159"/>
      <c r="AM6" s="153"/>
      <c r="AN6" s="162"/>
      <c r="AO6" s="154"/>
      <c r="AP6" s="160"/>
      <c r="AQ6" s="153"/>
      <c r="AR6" s="158"/>
      <c r="AS6" s="162"/>
      <c r="AT6" s="160"/>
      <c r="AU6" s="153"/>
      <c r="AV6" s="153"/>
      <c r="AW6" s="154"/>
      <c r="AX6" s="160"/>
      <c r="AY6" s="153"/>
      <c r="AZ6" s="156"/>
      <c r="BA6" s="162"/>
      <c r="BB6" s="154"/>
      <c r="BC6" s="158"/>
      <c r="BD6" s="153"/>
      <c r="BE6" s="160"/>
      <c r="BF6" s="162"/>
      <c r="BG6" s="158"/>
      <c r="BH6" s="159"/>
      <c r="BI6" s="153"/>
      <c r="BJ6" s="158"/>
      <c r="BK6" s="159"/>
      <c r="BL6" s="153"/>
      <c r="BM6" s="189"/>
      <c r="BN6" s="158"/>
      <c r="BO6" s="159"/>
      <c r="BP6" s="153"/>
      <c r="BQ6" s="158"/>
      <c r="BR6" s="162"/>
      <c r="BS6" s="160"/>
      <c r="BT6" s="161"/>
      <c r="BU6" s="161"/>
      <c r="BV6" s="161"/>
      <c r="BW6" s="153"/>
      <c r="BX6" s="153"/>
      <c r="BY6" s="153"/>
      <c r="BZ6" s="153"/>
      <c r="CA6" s="153"/>
      <c r="CB6" s="153"/>
      <c r="CC6" s="153"/>
      <c r="CD6" s="153"/>
      <c r="CE6" s="153"/>
      <c r="CF6" s="154"/>
      <c r="CG6" s="155"/>
      <c r="CH6" s="162"/>
      <c r="CI6" s="153"/>
      <c r="CJ6" s="158"/>
      <c r="CK6" s="159"/>
      <c r="CL6" s="539"/>
      <c r="CM6" s="153"/>
      <c r="CN6" s="155"/>
      <c r="CO6" s="153"/>
      <c r="CP6" s="154"/>
      <c r="CQ6" s="154"/>
      <c r="CR6" s="154"/>
      <c r="CS6" s="189"/>
      <c r="CT6" s="158"/>
      <c r="CU6" s="19"/>
    </row>
    <row r="7" spans="1:99" s="12" customFormat="1" ht="13" x14ac:dyDescent="0.3">
      <c r="A7" s="12">
        <v>5503</v>
      </c>
      <c r="B7" s="12" t="s">
        <v>117</v>
      </c>
      <c r="C7" s="282">
        <v>639</v>
      </c>
      <c r="D7" s="54">
        <v>451</v>
      </c>
      <c r="E7" s="895">
        <f t="shared" si="0"/>
        <v>0.70579029733959309</v>
      </c>
      <c r="F7" s="221"/>
      <c r="G7" s="155"/>
      <c r="H7" s="161"/>
      <c r="I7" s="161"/>
      <c r="J7" s="153"/>
      <c r="K7" s="155"/>
      <c r="L7" s="539"/>
      <c r="M7" s="45">
        <v>214</v>
      </c>
      <c r="N7" s="58">
        <v>235</v>
      </c>
      <c r="O7" s="45">
        <v>256</v>
      </c>
      <c r="P7" s="102">
        <v>245</v>
      </c>
      <c r="Q7" s="102">
        <v>246</v>
      </c>
      <c r="R7" s="102">
        <v>244</v>
      </c>
      <c r="S7" s="102">
        <v>244</v>
      </c>
      <c r="T7" s="169"/>
      <c r="U7" s="160"/>
      <c r="V7" s="189"/>
      <c r="W7" s="158"/>
      <c r="X7" s="162"/>
      <c r="Y7" s="155"/>
      <c r="Z7" s="223"/>
      <c r="AA7" s="158"/>
      <c r="AB7" s="159"/>
      <c r="AC7" s="161"/>
      <c r="AD7" s="153"/>
      <c r="AE7" s="156"/>
      <c r="AF7" s="162"/>
      <c r="AG7" s="160"/>
      <c r="AH7" s="153"/>
      <c r="AI7" s="153"/>
      <c r="AJ7" s="153"/>
      <c r="AK7" s="158"/>
      <c r="AL7" s="159"/>
      <c r="AM7" s="153"/>
      <c r="AN7" s="162"/>
      <c r="AO7" s="154"/>
      <c r="AP7" s="160"/>
      <c r="AQ7" s="153"/>
      <c r="AR7" s="158"/>
      <c r="AS7" s="162"/>
      <c r="AT7" s="160"/>
      <c r="AU7" s="153"/>
      <c r="AV7" s="153"/>
      <c r="AW7" s="154"/>
      <c r="AX7" s="160"/>
      <c r="AY7" s="153"/>
      <c r="AZ7" s="156"/>
      <c r="BA7" s="162"/>
      <c r="BB7" s="154"/>
      <c r="BC7" s="158"/>
      <c r="BD7" s="153"/>
      <c r="BE7" s="160"/>
      <c r="BF7" s="162"/>
      <c r="BG7" s="158"/>
      <c r="BH7" s="159"/>
      <c r="BI7" s="153"/>
      <c r="BJ7" s="158"/>
      <c r="BK7" s="159"/>
      <c r="BL7" s="153"/>
      <c r="BM7" s="189"/>
      <c r="BN7" s="158"/>
      <c r="BO7" s="159"/>
      <c r="BP7" s="153"/>
      <c r="BQ7" s="158"/>
      <c r="BR7" s="162"/>
      <c r="BS7" s="160"/>
      <c r="BT7" s="161"/>
      <c r="BU7" s="161"/>
      <c r="BV7" s="161"/>
      <c r="BW7" s="153"/>
      <c r="BX7" s="153"/>
      <c r="BY7" s="153"/>
      <c r="BZ7" s="153"/>
      <c r="CA7" s="153"/>
      <c r="CB7" s="153"/>
      <c r="CC7" s="153"/>
      <c r="CD7" s="153"/>
      <c r="CE7" s="153"/>
      <c r="CF7" s="154"/>
      <c r="CG7" s="155"/>
      <c r="CH7" s="162"/>
      <c r="CI7" s="153"/>
      <c r="CJ7" s="158"/>
      <c r="CK7" s="159"/>
      <c r="CL7" s="539"/>
      <c r="CM7" s="153"/>
      <c r="CN7" s="155"/>
      <c r="CO7" s="153"/>
      <c r="CP7" s="154"/>
      <c r="CQ7" s="154"/>
      <c r="CR7" s="154"/>
      <c r="CS7" s="189"/>
      <c r="CT7" s="158"/>
      <c r="CU7" s="19"/>
    </row>
    <row r="8" spans="1:99" s="12" customFormat="1" ht="13" x14ac:dyDescent="0.3">
      <c r="A8" s="12">
        <v>5504</v>
      </c>
      <c r="B8" s="12" t="s">
        <v>118</v>
      </c>
      <c r="C8" s="282">
        <v>864</v>
      </c>
      <c r="D8" s="54">
        <v>594</v>
      </c>
      <c r="E8" s="895">
        <f t="shared" si="0"/>
        <v>0.6875</v>
      </c>
      <c r="F8" s="221"/>
      <c r="G8" s="155"/>
      <c r="H8" s="161"/>
      <c r="I8" s="161"/>
      <c r="J8" s="153"/>
      <c r="K8" s="155"/>
      <c r="L8" s="539"/>
      <c r="M8" s="45">
        <v>267</v>
      </c>
      <c r="N8" s="58">
        <v>333</v>
      </c>
      <c r="O8" s="45">
        <v>354</v>
      </c>
      <c r="P8" s="102">
        <v>345</v>
      </c>
      <c r="Q8" s="102">
        <v>344</v>
      </c>
      <c r="R8" s="102">
        <v>340</v>
      </c>
      <c r="S8" s="102">
        <v>346</v>
      </c>
      <c r="T8" s="169"/>
      <c r="U8" s="160"/>
      <c r="V8" s="189"/>
      <c r="W8" s="158"/>
      <c r="X8" s="162"/>
      <c r="Y8" s="155"/>
      <c r="Z8" s="223"/>
      <c r="AA8" s="158"/>
      <c r="AB8" s="159"/>
      <c r="AC8" s="161"/>
      <c r="AD8" s="153"/>
      <c r="AE8" s="156"/>
      <c r="AF8" s="162"/>
      <c r="AG8" s="160"/>
      <c r="AH8" s="153"/>
      <c r="AI8" s="153"/>
      <c r="AJ8" s="153"/>
      <c r="AK8" s="158"/>
      <c r="AL8" s="159"/>
      <c r="AM8" s="153"/>
      <c r="AN8" s="162"/>
      <c r="AO8" s="154"/>
      <c r="AP8" s="160"/>
      <c r="AQ8" s="153"/>
      <c r="AR8" s="158"/>
      <c r="AS8" s="162"/>
      <c r="AT8" s="160"/>
      <c r="AU8" s="153"/>
      <c r="AV8" s="153"/>
      <c r="AW8" s="154"/>
      <c r="AX8" s="160"/>
      <c r="AY8" s="153"/>
      <c r="AZ8" s="156"/>
      <c r="BA8" s="162"/>
      <c r="BB8" s="154"/>
      <c r="BC8" s="158"/>
      <c r="BD8" s="153"/>
      <c r="BE8" s="160"/>
      <c r="BF8" s="162"/>
      <c r="BG8" s="158"/>
      <c r="BH8" s="159"/>
      <c r="BI8" s="153"/>
      <c r="BJ8" s="158"/>
      <c r="BK8" s="159"/>
      <c r="BL8" s="153"/>
      <c r="BM8" s="189"/>
      <c r="BN8" s="158"/>
      <c r="BO8" s="159"/>
      <c r="BP8" s="153"/>
      <c r="BQ8" s="158"/>
      <c r="BR8" s="162"/>
      <c r="BS8" s="160"/>
      <c r="BT8" s="161"/>
      <c r="BU8" s="161"/>
      <c r="BV8" s="161"/>
      <c r="BW8" s="153"/>
      <c r="BX8" s="153"/>
      <c r="BY8" s="153"/>
      <c r="BZ8" s="153"/>
      <c r="CA8" s="153"/>
      <c r="CB8" s="153"/>
      <c r="CC8" s="153"/>
      <c r="CD8" s="153"/>
      <c r="CE8" s="153"/>
      <c r="CF8" s="154"/>
      <c r="CG8" s="155"/>
      <c r="CH8" s="162"/>
      <c r="CI8" s="153"/>
      <c r="CJ8" s="158"/>
      <c r="CK8" s="159"/>
      <c r="CL8" s="539"/>
      <c r="CM8" s="153"/>
      <c r="CN8" s="155"/>
      <c r="CO8" s="153"/>
      <c r="CP8" s="154"/>
      <c r="CQ8" s="154"/>
      <c r="CR8" s="154"/>
      <c r="CS8" s="189"/>
      <c r="CT8" s="158"/>
      <c r="CU8" s="19"/>
    </row>
    <row r="9" spans="1:99" s="12" customFormat="1" ht="13" x14ac:dyDescent="0.3">
      <c r="A9" s="12">
        <v>5801</v>
      </c>
      <c r="B9" s="12" t="s">
        <v>119</v>
      </c>
      <c r="C9" s="282">
        <v>525</v>
      </c>
      <c r="D9" s="54">
        <v>211</v>
      </c>
      <c r="E9" s="895">
        <f t="shared" si="0"/>
        <v>0.40190476190476193</v>
      </c>
      <c r="F9" s="221"/>
      <c r="G9" s="155"/>
      <c r="H9" s="161"/>
      <c r="I9" s="161"/>
      <c r="J9" s="153"/>
      <c r="K9" s="155"/>
      <c r="L9" s="539"/>
      <c r="M9" s="163"/>
      <c r="N9" s="337"/>
      <c r="O9" s="163"/>
      <c r="P9" s="164"/>
      <c r="Q9" s="164"/>
      <c r="R9" s="164"/>
      <c r="S9" s="164"/>
      <c r="T9" s="354">
        <v>83</v>
      </c>
      <c r="U9" s="304">
        <v>113</v>
      </c>
      <c r="V9" s="190">
        <v>110</v>
      </c>
      <c r="W9" s="167">
        <v>103</v>
      </c>
      <c r="X9" s="169"/>
      <c r="Y9" s="155"/>
      <c r="Z9" s="223"/>
      <c r="AA9" s="158"/>
      <c r="AB9" s="159"/>
      <c r="AC9" s="161"/>
      <c r="AD9" s="153"/>
      <c r="AE9" s="156"/>
      <c r="AF9" s="162"/>
      <c r="AG9" s="160"/>
      <c r="AH9" s="153"/>
      <c r="AI9" s="153"/>
      <c r="AJ9" s="153"/>
      <c r="AK9" s="158"/>
      <c r="AL9" s="159"/>
      <c r="AM9" s="153"/>
      <c r="AN9" s="162"/>
      <c r="AO9" s="154"/>
      <c r="AP9" s="160"/>
      <c r="AQ9" s="153"/>
      <c r="AR9" s="158"/>
      <c r="AS9" s="162"/>
      <c r="AT9" s="160"/>
      <c r="AU9" s="153"/>
      <c r="AV9" s="153"/>
      <c r="AW9" s="154"/>
      <c r="AX9" s="160"/>
      <c r="AY9" s="153"/>
      <c r="AZ9" s="156"/>
      <c r="BA9" s="162"/>
      <c r="BB9" s="154"/>
      <c r="BC9" s="158"/>
      <c r="BD9" s="153"/>
      <c r="BE9" s="160"/>
      <c r="BF9" s="162"/>
      <c r="BG9" s="158"/>
      <c r="BH9" s="159"/>
      <c r="BI9" s="153"/>
      <c r="BJ9" s="158"/>
      <c r="BK9" s="159"/>
      <c r="BL9" s="153"/>
      <c r="BM9" s="189"/>
      <c r="BN9" s="158"/>
      <c r="BO9" s="159"/>
      <c r="BP9" s="153"/>
      <c r="BQ9" s="158"/>
      <c r="BR9" s="162"/>
      <c r="BS9" s="160"/>
      <c r="BT9" s="161"/>
      <c r="BU9" s="161"/>
      <c r="BV9" s="161"/>
      <c r="BW9" s="153"/>
      <c r="BX9" s="153"/>
      <c r="BY9" s="153"/>
      <c r="BZ9" s="153"/>
      <c r="CA9" s="153"/>
      <c r="CB9" s="153"/>
      <c r="CC9" s="153"/>
      <c r="CD9" s="153"/>
      <c r="CE9" s="153"/>
      <c r="CF9" s="154"/>
      <c r="CG9" s="155"/>
      <c r="CH9" s="162"/>
      <c r="CI9" s="153"/>
      <c r="CJ9" s="158"/>
      <c r="CK9" s="159"/>
      <c r="CL9" s="539"/>
      <c r="CM9" s="153"/>
      <c r="CN9" s="155"/>
      <c r="CO9" s="153"/>
      <c r="CP9" s="154"/>
      <c r="CQ9" s="154"/>
      <c r="CR9" s="154"/>
      <c r="CS9" s="189"/>
      <c r="CT9" s="158"/>
      <c r="CU9" s="19"/>
    </row>
    <row r="10" spans="1:99" s="12" customFormat="1" ht="13" x14ac:dyDescent="0.3">
      <c r="A10" s="12">
        <v>6701</v>
      </c>
      <c r="B10" s="12" t="s">
        <v>121</v>
      </c>
      <c r="C10" s="282">
        <v>1122</v>
      </c>
      <c r="D10" s="54">
        <v>275</v>
      </c>
      <c r="E10" s="895">
        <f t="shared" si="0"/>
        <v>0.24509803921568626</v>
      </c>
      <c r="F10" s="221"/>
      <c r="G10" s="155"/>
      <c r="H10" s="161"/>
      <c r="I10" s="161"/>
      <c r="J10" s="153"/>
      <c r="K10" s="155"/>
      <c r="L10" s="539"/>
      <c r="M10" s="163"/>
      <c r="N10" s="337"/>
      <c r="O10" s="163"/>
      <c r="P10" s="164"/>
      <c r="Q10" s="164"/>
      <c r="R10" s="164"/>
      <c r="S10" s="164"/>
      <c r="T10" s="355"/>
      <c r="U10" s="160"/>
      <c r="V10" s="189"/>
      <c r="W10" s="158"/>
      <c r="X10" s="162"/>
      <c r="Y10" s="155"/>
      <c r="Z10" s="223"/>
      <c r="AA10" s="158"/>
      <c r="AB10" s="159">
        <v>217</v>
      </c>
      <c r="AC10" s="161">
        <v>0</v>
      </c>
      <c r="AD10" s="153">
        <v>145</v>
      </c>
      <c r="AE10" s="168">
        <v>155</v>
      </c>
      <c r="AF10" s="169"/>
      <c r="AG10" s="304"/>
      <c r="AH10" s="165"/>
      <c r="AI10" s="165"/>
      <c r="AJ10" s="153"/>
      <c r="AK10" s="158"/>
      <c r="AL10" s="159"/>
      <c r="AM10" s="153"/>
      <c r="AN10" s="162"/>
      <c r="AO10" s="154"/>
      <c r="AP10" s="160"/>
      <c r="AQ10" s="153"/>
      <c r="AR10" s="158"/>
      <c r="AS10" s="162"/>
      <c r="AT10" s="160"/>
      <c r="AU10" s="153"/>
      <c r="AV10" s="153"/>
      <c r="AW10" s="154"/>
      <c r="AX10" s="160"/>
      <c r="AY10" s="153"/>
      <c r="AZ10" s="156"/>
      <c r="BA10" s="162"/>
      <c r="BB10" s="154"/>
      <c r="BC10" s="158"/>
      <c r="BD10" s="153"/>
      <c r="BE10" s="160"/>
      <c r="BF10" s="162"/>
      <c r="BG10" s="158"/>
      <c r="BH10" s="159"/>
      <c r="BI10" s="153"/>
      <c r="BJ10" s="158"/>
      <c r="BK10" s="159"/>
      <c r="BL10" s="153"/>
      <c r="BM10" s="189"/>
      <c r="BN10" s="158"/>
      <c r="BO10" s="159"/>
      <c r="BP10" s="153"/>
      <c r="BQ10" s="158"/>
      <c r="BR10" s="162"/>
      <c r="BS10" s="160"/>
      <c r="BT10" s="161"/>
      <c r="BU10" s="161"/>
      <c r="BV10" s="161"/>
      <c r="BW10" s="153"/>
      <c r="BX10" s="153"/>
      <c r="BY10" s="153"/>
      <c r="BZ10" s="153"/>
      <c r="CA10" s="153"/>
      <c r="CB10" s="153"/>
      <c r="CC10" s="153"/>
      <c r="CD10" s="153"/>
      <c r="CE10" s="153"/>
      <c r="CF10" s="154"/>
      <c r="CG10" s="155"/>
      <c r="CH10" s="162"/>
      <c r="CI10" s="153"/>
      <c r="CJ10" s="158"/>
      <c r="CK10" s="159"/>
      <c r="CL10" s="539"/>
      <c r="CM10" s="153"/>
      <c r="CN10" s="155"/>
      <c r="CO10" s="153"/>
      <c r="CP10" s="154"/>
      <c r="CQ10" s="154"/>
      <c r="CR10" s="154"/>
      <c r="CS10" s="189"/>
      <c r="CT10" s="158"/>
      <c r="CU10" s="19"/>
    </row>
    <row r="11" spans="1:99" s="12" customFormat="1" ht="13" x14ac:dyDescent="0.3">
      <c r="A11" s="12">
        <v>6801</v>
      </c>
      <c r="B11" s="12" t="s">
        <v>122</v>
      </c>
      <c r="C11" s="282">
        <v>1127</v>
      </c>
      <c r="D11" s="54">
        <v>805</v>
      </c>
      <c r="E11" s="895">
        <f t="shared" ref="E11:E21" si="1">SUM(D11/C12)</f>
        <v>0.86933045356371486</v>
      </c>
      <c r="F11" s="221"/>
      <c r="G11" s="155"/>
      <c r="H11" s="161"/>
      <c r="I11" s="161"/>
      <c r="J11" s="153"/>
      <c r="K11" s="155"/>
      <c r="L11" s="539"/>
      <c r="M11" s="163"/>
      <c r="N11" s="337"/>
      <c r="O11" s="163"/>
      <c r="P11" s="164"/>
      <c r="Q11" s="164"/>
      <c r="R11" s="164"/>
      <c r="S11" s="164"/>
      <c r="T11" s="355"/>
      <c r="U11" s="160"/>
      <c r="V11" s="189"/>
      <c r="W11" s="158"/>
      <c r="X11" s="162"/>
      <c r="Y11" s="155"/>
      <c r="Z11" s="223"/>
      <c r="AA11" s="158"/>
      <c r="AB11" s="159"/>
      <c r="AC11" s="161"/>
      <c r="AD11" s="153"/>
      <c r="AE11" s="156"/>
      <c r="AF11" s="162">
        <v>565</v>
      </c>
      <c r="AG11" s="160">
        <v>169</v>
      </c>
      <c r="AH11" s="153">
        <v>564</v>
      </c>
      <c r="AI11" s="153">
        <v>496</v>
      </c>
      <c r="AJ11" s="45">
        <v>226</v>
      </c>
      <c r="AK11" s="46">
        <v>486</v>
      </c>
      <c r="AL11" s="101"/>
      <c r="AM11" s="45"/>
      <c r="AN11" s="162"/>
      <c r="AO11" s="154"/>
      <c r="AP11" s="160"/>
      <c r="AQ11" s="153"/>
      <c r="AR11" s="158"/>
      <c r="AS11" s="162"/>
      <c r="AT11" s="160"/>
      <c r="AU11" s="153"/>
      <c r="AV11" s="153"/>
      <c r="AW11" s="154"/>
      <c r="AX11" s="160"/>
      <c r="AY11" s="153"/>
      <c r="AZ11" s="156"/>
      <c r="BA11" s="162"/>
      <c r="BB11" s="154"/>
      <c r="BC11" s="158"/>
      <c r="BD11" s="153"/>
      <c r="BE11" s="160"/>
      <c r="BF11" s="162"/>
      <c r="BG11" s="158"/>
      <c r="BH11" s="159"/>
      <c r="BI11" s="153"/>
      <c r="BJ11" s="158"/>
      <c r="BK11" s="159"/>
      <c r="BL11" s="153"/>
      <c r="BM11" s="189"/>
      <c r="BN11" s="158"/>
      <c r="BO11" s="159"/>
      <c r="BP11" s="153"/>
      <c r="BQ11" s="158"/>
      <c r="BR11" s="162"/>
      <c r="BS11" s="160"/>
      <c r="BT11" s="161"/>
      <c r="BU11" s="161"/>
      <c r="BV11" s="161"/>
      <c r="BW11" s="153"/>
      <c r="BX11" s="153"/>
      <c r="BY11" s="153"/>
      <c r="BZ11" s="153"/>
      <c r="CA11" s="153"/>
      <c r="CB11" s="153"/>
      <c r="CC11" s="153"/>
      <c r="CD11" s="153"/>
      <c r="CE11" s="153"/>
      <c r="CF11" s="154"/>
      <c r="CG11" s="155"/>
      <c r="CH11" s="162"/>
      <c r="CI11" s="153"/>
      <c r="CJ11" s="158"/>
      <c r="CK11" s="159"/>
      <c r="CL11" s="539"/>
      <c r="CM11" s="153"/>
      <c r="CN11" s="155"/>
      <c r="CO11" s="153"/>
      <c r="CP11" s="154"/>
      <c r="CQ11" s="154"/>
      <c r="CR11" s="154"/>
      <c r="CS11" s="189"/>
      <c r="CT11" s="158"/>
      <c r="CU11" s="19"/>
    </row>
    <row r="12" spans="1:99" s="12" customFormat="1" ht="13" x14ac:dyDescent="0.3">
      <c r="A12" s="12">
        <v>6802</v>
      </c>
      <c r="B12" s="12" t="s">
        <v>123</v>
      </c>
      <c r="C12" s="282">
        <v>926</v>
      </c>
      <c r="D12" s="54">
        <v>605</v>
      </c>
      <c r="E12" s="895">
        <f>SUM(D12/C12)</f>
        <v>0.6533477321814255</v>
      </c>
      <c r="F12" s="221"/>
      <c r="G12" s="155"/>
      <c r="H12" s="161"/>
      <c r="I12" s="161"/>
      <c r="J12" s="153"/>
      <c r="K12" s="155"/>
      <c r="L12" s="539"/>
      <c r="M12" s="163"/>
      <c r="N12" s="337"/>
      <c r="O12" s="163"/>
      <c r="P12" s="164"/>
      <c r="Q12" s="164"/>
      <c r="R12" s="164"/>
      <c r="S12" s="164"/>
      <c r="T12" s="355"/>
      <c r="U12" s="160"/>
      <c r="V12" s="189"/>
      <c r="W12" s="158"/>
      <c r="X12" s="162"/>
      <c r="Y12" s="155"/>
      <c r="Z12" s="223"/>
      <c r="AA12" s="158"/>
      <c r="AB12" s="159"/>
      <c r="AC12" s="161"/>
      <c r="AD12" s="153"/>
      <c r="AE12" s="156"/>
      <c r="AF12" s="162">
        <v>417</v>
      </c>
      <c r="AG12" s="160">
        <v>148</v>
      </c>
      <c r="AH12" s="153">
        <v>411</v>
      </c>
      <c r="AI12" s="153">
        <v>350</v>
      </c>
      <c r="AJ12" s="45">
        <v>206</v>
      </c>
      <c r="AK12" s="46">
        <v>347</v>
      </c>
      <c r="AL12" s="101"/>
      <c r="AM12" s="45"/>
      <c r="AN12" s="162"/>
      <c r="AO12" s="154"/>
      <c r="AP12" s="160"/>
      <c r="AQ12" s="153"/>
      <c r="AR12" s="158"/>
      <c r="AS12" s="162"/>
      <c r="AT12" s="160"/>
      <c r="AU12" s="153"/>
      <c r="AV12" s="153"/>
      <c r="AW12" s="154"/>
      <c r="AX12" s="160"/>
      <c r="AY12" s="153"/>
      <c r="AZ12" s="156"/>
      <c r="BA12" s="162"/>
      <c r="BB12" s="154"/>
      <c r="BC12" s="158"/>
      <c r="BD12" s="153"/>
      <c r="BE12" s="160"/>
      <c r="BF12" s="162"/>
      <c r="BG12" s="158"/>
      <c r="BH12" s="159"/>
      <c r="BI12" s="153"/>
      <c r="BJ12" s="158"/>
      <c r="BK12" s="159"/>
      <c r="BL12" s="153"/>
      <c r="BM12" s="189"/>
      <c r="BN12" s="158"/>
      <c r="BO12" s="159"/>
      <c r="BP12" s="153"/>
      <c r="BQ12" s="158"/>
      <c r="BR12" s="162"/>
      <c r="BS12" s="160"/>
      <c r="BT12" s="161"/>
      <c r="BU12" s="161"/>
      <c r="BV12" s="161"/>
      <c r="BW12" s="153"/>
      <c r="BX12" s="153"/>
      <c r="BY12" s="153"/>
      <c r="BZ12" s="153"/>
      <c r="CA12" s="153"/>
      <c r="CB12" s="153"/>
      <c r="CC12" s="153"/>
      <c r="CD12" s="153"/>
      <c r="CE12" s="153"/>
      <c r="CF12" s="154"/>
      <c r="CG12" s="155"/>
      <c r="CH12" s="162"/>
      <c r="CI12" s="153"/>
      <c r="CJ12" s="158"/>
      <c r="CK12" s="159"/>
      <c r="CL12" s="539"/>
      <c r="CM12" s="153"/>
      <c r="CN12" s="155"/>
      <c r="CO12" s="153"/>
      <c r="CP12" s="154"/>
      <c r="CQ12" s="154"/>
      <c r="CR12" s="154"/>
      <c r="CS12" s="189"/>
      <c r="CT12" s="158"/>
      <c r="CU12" s="19"/>
    </row>
    <row r="13" spans="1:99" s="12" customFormat="1" ht="13" x14ac:dyDescent="0.3">
      <c r="A13" s="12">
        <v>6803</v>
      </c>
      <c r="B13" s="12" t="s">
        <v>124</v>
      </c>
      <c r="C13" s="282">
        <v>236</v>
      </c>
      <c r="D13" s="54">
        <v>155</v>
      </c>
      <c r="E13" s="895">
        <f t="shared" si="1"/>
        <v>0.1183206106870229</v>
      </c>
      <c r="F13" s="221"/>
      <c r="G13" s="155"/>
      <c r="H13" s="161"/>
      <c r="I13" s="161"/>
      <c r="J13" s="153"/>
      <c r="K13" s="155"/>
      <c r="L13" s="539"/>
      <c r="M13" s="163"/>
      <c r="N13" s="337"/>
      <c r="O13" s="163"/>
      <c r="P13" s="164"/>
      <c r="Q13" s="164"/>
      <c r="R13" s="164"/>
      <c r="S13" s="164"/>
      <c r="T13" s="355"/>
      <c r="U13" s="160"/>
      <c r="V13" s="189"/>
      <c r="W13" s="158"/>
      <c r="X13" s="162"/>
      <c r="Y13" s="155"/>
      <c r="Z13" s="223"/>
      <c r="AA13" s="158"/>
      <c r="AB13" s="159"/>
      <c r="AC13" s="161"/>
      <c r="AD13" s="153"/>
      <c r="AE13" s="156"/>
      <c r="AF13" s="162">
        <v>112</v>
      </c>
      <c r="AG13" s="160">
        <v>29</v>
      </c>
      <c r="AH13" s="153">
        <v>102</v>
      </c>
      <c r="AI13" s="153">
        <v>118</v>
      </c>
      <c r="AJ13" s="45">
        <v>24</v>
      </c>
      <c r="AK13" s="46">
        <v>95</v>
      </c>
      <c r="AL13" s="101"/>
      <c r="AM13" s="45"/>
      <c r="AN13" s="162"/>
      <c r="AO13" s="154"/>
      <c r="AP13" s="160"/>
      <c r="AQ13" s="153"/>
      <c r="AR13" s="158"/>
      <c r="AS13" s="162"/>
      <c r="AT13" s="160"/>
      <c r="AU13" s="153"/>
      <c r="AV13" s="153"/>
      <c r="AW13" s="154"/>
      <c r="AX13" s="160"/>
      <c r="AY13" s="153"/>
      <c r="AZ13" s="156"/>
      <c r="BA13" s="162"/>
      <c r="BB13" s="154"/>
      <c r="BC13" s="158"/>
      <c r="BD13" s="153"/>
      <c r="BE13" s="160"/>
      <c r="BF13" s="162"/>
      <c r="BG13" s="158"/>
      <c r="BH13" s="159"/>
      <c r="BI13" s="153"/>
      <c r="BJ13" s="158"/>
      <c r="BK13" s="159"/>
      <c r="BL13" s="153"/>
      <c r="BM13" s="189"/>
      <c r="BN13" s="158"/>
      <c r="BO13" s="159"/>
      <c r="BP13" s="153"/>
      <c r="BQ13" s="158"/>
      <c r="BR13" s="162"/>
      <c r="BS13" s="160"/>
      <c r="BT13" s="161"/>
      <c r="BU13" s="161"/>
      <c r="BV13" s="161"/>
      <c r="BW13" s="153"/>
      <c r="BX13" s="153"/>
      <c r="BY13" s="153"/>
      <c r="BZ13" s="153"/>
      <c r="CA13" s="153"/>
      <c r="CB13" s="153"/>
      <c r="CC13" s="153"/>
      <c r="CD13" s="153"/>
      <c r="CE13" s="153"/>
      <c r="CF13" s="154"/>
      <c r="CG13" s="155"/>
      <c r="CH13" s="162"/>
      <c r="CI13" s="153"/>
      <c r="CJ13" s="158"/>
      <c r="CK13" s="159"/>
      <c r="CL13" s="539"/>
      <c r="CM13" s="153"/>
      <c r="CN13" s="155"/>
      <c r="CO13" s="153"/>
      <c r="CP13" s="154"/>
      <c r="CQ13" s="154"/>
      <c r="CR13" s="154"/>
      <c r="CS13" s="189"/>
      <c r="CT13" s="158"/>
      <c r="CU13" s="19"/>
    </row>
    <row r="14" spans="1:99" s="12" customFormat="1" ht="13" x14ac:dyDescent="0.3">
      <c r="A14" s="12">
        <v>6901</v>
      </c>
      <c r="B14" s="12" t="s">
        <v>120</v>
      </c>
      <c r="C14" s="282">
        <v>1310</v>
      </c>
      <c r="D14" s="54">
        <v>742</v>
      </c>
      <c r="E14" s="895">
        <f t="shared" si="1"/>
        <v>0.74423269809428283</v>
      </c>
      <c r="F14" s="221"/>
      <c r="G14" s="174"/>
      <c r="H14" s="142"/>
      <c r="I14" s="142"/>
      <c r="J14" s="171"/>
      <c r="K14" s="174"/>
      <c r="L14" s="540"/>
      <c r="M14" s="163"/>
      <c r="N14" s="337"/>
      <c r="O14" s="163"/>
      <c r="P14" s="164"/>
      <c r="Q14" s="164"/>
      <c r="R14" s="164"/>
      <c r="S14" s="164"/>
      <c r="T14" s="355"/>
      <c r="U14" s="160"/>
      <c r="V14" s="189"/>
      <c r="W14" s="158"/>
      <c r="X14" s="162"/>
      <c r="Y14" s="155"/>
      <c r="Z14" s="223"/>
      <c r="AA14" s="158"/>
      <c r="AB14" s="159"/>
      <c r="AC14" s="161"/>
      <c r="AD14" s="153"/>
      <c r="AE14" s="156"/>
      <c r="AF14" s="162"/>
      <c r="AG14" s="160"/>
      <c r="AH14" s="153"/>
      <c r="AI14" s="153"/>
      <c r="AJ14" s="153"/>
      <c r="AK14" s="158"/>
      <c r="AL14" s="159">
        <v>523</v>
      </c>
      <c r="AM14" s="153">
        <v>545</v>
      </c>
      <c r="AN14" s="169"/>
      <c r="AO14" s="173"/>
      <c r="AP14" s="304"/>
      <c r="AQ14" s="165"/>
      <c r="AR14" s="158"/>
      <c r="AS14" s="162"/>
      <c r="AT14" s="160"/>
      <c r="AU14" s="153"/>
      <c r="AV14" s="153"/>
      <c r="AW14" s="154"/>
      <c r="AX14" s="160"/>
      <c r="AY14" s="153"/>
      <c r="AZ14" s="156"/>
      <c r="BA14" s="162"/>
      <c r="BB14" s="154"/>
      <c r="BC14" s="158"/>
      <c r="BD14" s="153"/>
      <c r="BE14" s="160"/>
      <c r="BF14" s="162"/>
      <c r="BG14" s="158"/>
      <c r="BH14" s="159"/>
      <c r="BI14" s="153"/>
      <c r="BJ14" s="158"/>
      <c r="BK14" s="159"/>
      <c r="BL14" s="153"/>
      <c r="BM14" s="189"/>
      <c r="BN14" s="158"/>
      <c r="BO14" s="159"/>
      <c r="BP14" s="153"/>
      <c r="BQ14" s="158"/>
      <c r="BR14" s="162"/>
      <c r="BS14" s="160"/>
      <c r="BT14" s="161"/>
      <c r="BU14" s="161"/>
      <c r="BV14" s="161"/>
      <c r="BW14" s="153"/>
      <c r="BX14" s="153"/>
      <c r="BY14" s="153"/>
      <c r="BZ14" s="153"/>
      <c r="CA14" s="153"/>
      <c r="CB14" s="153"/>
      <c r="CC14" s="153"/>
      <c r="CD14" s="153"/>
      <c r="CE14" s="153"/>
      <c r="CF14" s="154"/>
      <c r="CG14" s="155"/>
      <c r="CH14" s="162"/>
      <c r="CI14" s="153"/>
      <c r="CJ14" s="158"/>
      <c r="CK14" s="159"/>
      <c r="CL14" s="539"/>
      <c r="CM14" s="153"/>
      <c r="CN14" s="155"/>
      <c r="CO14" s="153"/>
      <c r="CP14" s="154"/>
      <c r="CQ14" s="154"/>
      <c r="CR14" s="154"/>
      <c r="CS14" s="189"/>
      <c r="CT14" s="158"/>
      <c r="CU14" s="19"/>
    </row>
    <row r="15" spans="1:99" s="12" customFormat="1" ht="13" x14ac:dyDescent="0.3">
      <c r="A15" s="12">
        <v>7001</v>
      </c>
      <c r="B15" s="12" t="s">
        <v>125</v>
      </c>
      <c r="C15" s="282">
        <v>997</v>
      </c>
      <c r="D15" s="54">
        <v>654</v>
      </c>
      <c r="E15" s="895">
        <f t="shared" si="1"/>
        <v>0.60332103321033215</v>
      </c>
      <c r="F15" s="221"/>
      <c r="G15" s="155"/>
      <c r="H15" s="161"/>
      <c r="I15" s="161"/>
      <c r="J15" s="153"/>
      <c r="K15" s="155"/>
      <c r="L15" s="539"/>
      <c r="M15" s="163"/>
      <c r="N15" s="337"/>
      <c r="O15" s="163"/>
      <c r="P15" s="164"/>
      <c r="Q15" s="164"/>
      <c r="R15" s="164"/>
      <c r="S15" s="164"/>
      <c r="T15" s="355"/>
      <c r="U15" s="160"/>
      <c r="V15" s="189"/>
      <c r="W15" s="158"/>
      <c r="X15" s="162"/>
      <c r="Y15" s="155"/>
      <c r="Z15" s="223"/>
      <c r="AA15" s="158"/>
      <c r="AB15" s="159"/>
      <c r="AC15" s="161"/>
      <c r="AD15" s="153"/>
      <c r="AE15" s="156"/>
      <c r="AF15" s="162"/>
      <c r="AG15" s="160"/>
      <c r="AH15" s="153"/>
      <c r="AI15" s="153"/>
      <c r="AJ15" s="153"/>
      <c r="AK15" s="158"/>
      <c r="AL15" s="159"/>
      <c r="AM15" s="153"/>
      <c r="AN15" s="74">
        <v>381</v>
      </c>
      <c r="AO15" s="54">
        <v>170</v>
      </c>
      <c r="AP15" s="107">
        <v>82</v>
      </c>
      <c r="AQ15" s="45">
        <v>355</v>
      </c>
      <c r="AR15" s="46">
        <v>355</v>
      </c>
      <c r="AS15" s="74"/>
      <c r="AT15" s="107"/>
      <c r="AU15" s="153"/>
      <c r="AV15" s="153"/>
      <c r="AW15" s="154"/>
      <c r="AX15" s="160"/>
      <c r="AY15" s="153"/>
      <c r="AZ15" s="156"/>
      <c r="BA15" s="162"/>
      <c r="BB15" s="154"/>
      <c r="BC15" s="158"/>
      <c r="BD15" s="153"/>
      <c r="BE15" s="160"/>
      <c r="BF15" s="162"/>
      <c r="BG15" s="158"/>
      <c r="BH15" s="159"/>
      <c r="BI15" s="153"/>
      <c r="BJ15" s="158"/>
      <c r="BK15" s="159"/>
      <c r="BL15" s="153"/>
      <c r="BM15" s="189"/>
      <c r="BN15" s="158"/>
      <c r="BO15" s="159"/>
      <c r="BP15" s="153"/>
      <c r="BQ15" s="158"/>
      <c r="BR15" s="162"/>
      <c r="BS15" s="160"/>
      <c r="BT15" s="161"/>
      <c r="BU15" s="161"/>
      <c r="BV15" s="161"/>
      <c r="BW15" s="153"/>
      <c r="BX15" s="153"/>
      <c r="BY15" s="153"/>
      <c r="BZ15" s="153"/>
      <c r="CA15" s="153"/>
      <c r="CB15" s="153"/>
      <c r="CC15" s="153"/>
      <c r="CD15" s="153"/>
      <c r="CE15" s="153"/>
      <c r="CF15" s="154"/>
      <c r="CG15" s="155"/>
      <c r="CH15" s="162"/>
      <c r="CI15" s="153"/>
      <c r="CJ15" s="158"/>
      <c r="CK15" s="159"/>
      <c r="CL15" s="539"/>
      <c r="CM15" s="153"/>
      <c r="CN15" s="155"/>
      <c r="CO15" s="153"/>
      <c r="CP15" s="154"/>
      <c r="CQ15" s="154"/>
      <c r="CR15" s="154"/>
      <c r="CS15" s="189"/>
      <c r="CT15" s="158"/>
      <c r="CU15" s="19"/>
    </row>
    <row r="16" spans="1:99" s="12" customFormat="1" ht="13" x14ac:dyDescent="0.3">
      <c r="A16" s="12">
        <v>7002</v>
      </c>
      <c r="B16" s="12" t="s">
        <v>126</v>
      </c>
      <c r="C16" s="282">
        <v>1084</v>
      </c>
      <c r="D16" s="54">
        <v>712</v>
      </c>
      <c r="E16" s="895">
        <f t="shared" si="1"/>
        <v>0.49755415793151642</v>
      </c>
      <c r="F16" s="221"/>
      <c r="G16" s="155"/>
      <c r="H16" s="161"/>
      <c r="I16" s="161"/>
      <c r="J16" s="153"/>
      <c r="K16" s="155"/>
      <c r="L16" s="539"/>
      <c r="M16" s="163"/>
      <c r="N16" s="337"/>
      <c r="O16" s="163"/>
      <c r="P16" s="164"/>
      <c r="Q16" s="164"/>
      <c r="R16" s="164"/>
      <c r="S16" s="164"/>
      <c r="T16" s="355"/>
      <c r="U16" s="160"/>
      <c r="V16" s="189"/>
      <c r="W16" s="158"/>
      <c r="X16" s="162"/>
      <c r="Y16" s="155"/>
      <c r="Z16" s="223"/>
      <c r="AA16" s="158"/>
      <c r="AB16" s="159"/>
      <c r="AC16" s="161"/>
      <c r="AD16" s="153"/>
      <c r="AE16" s="156"/>
      <c r="AF16" s="162"/>
      <c r="AG16" s="160"/>
      <c r="AH16" s="153"/>
      <c r="AI16" s="153"/>
      <c r="AJ16" s="153"/>
      <c r="AK16" s="158"/>
      <c r="AL16" s="159"/>
      <c r="AM16" s="153"/>
      <c r="AN16" s="74">
        <v>445</v>
      </c>
      <c r="AO16" s="54">
        <v>180</v>
      </c>
      <c r="AP16" s="107">
        <v>54</v>
      </c>
      <c r="AQ16" s="45">
        <v>372</v>
      </c>
      <c r="AR16" s="46">
        <v>414</v>
      </c>
      <c r="AS16" s="74"/>
      <c r="AT16" s="107"/>
      <c r="AU16" s="153"/>
      <c r="AV16" s="153"/>
      <c r="AW16" s="154"/>
      <c r="AX16" s="160"/>
      <c r="AY16" s="153"/>
      <c r="AZ16" s="156"/>
      <c r="BA16" s="162"/>
      <c r="BB16" s="154"/>
      <c r="BC16" s="158"/>
      <c r="BD16" s="153"/>
      <c r="BE16" s="160"/>
      <c r="BF16" s="162"/>
      <c r="BG16" s="158"/>
      <c r="BH16" s="159"/>
      <c r="BI16" s="153"/>
      <c r="BJ16" s="158"/>
      <c r="BK16" s="159"/>
      <c r="BL16" s="153"/>
      <c r="BM16" s="189"/>
      <c r="BN16" s="158"/>
      <c r="BO16" s="159"/>
      <c r="BP16" s="153"/>
      <c r="BQ16" s="158"/>
      <c r="BR16" s="162"/>
      <c r="BS16" s="160"/>
      <c r="BT16" s="161"/>
      <c r="BU16" s="161"/>
      <c r="BV16" s="161"/>
      <c r="BW16" s="153"/>
      <c r="BX16" s="153"/>
      <c r="BY16" s="153"/>
      <c r="BZ16" s="153"/>
      <c r="CA16" s="153"/>
      <c r="CB16" s="153"/>
      <c r="CC16" s="153"/>
      <c r="CD16" s="153"/>
      <c r="CE16" s="153"/>
      <c r="CF16" s="154"/>
      <c r="CG16" s="155"/>
      <c r="CH16" s="162"/>
      <c r="CI16" s="153"/>
      <c r="CJ16" s="158"/>
      <c r="CK16" s="159"/>
      <c r="CL16" s="539"/>
      <c r="CM16" s="153"/>
      <c r="CN16" s="155"/>
      <c r="CO16" s="153"/>
      <c r="CP16" s="154"/>
      <c r="CQ16" s="154"/>
      <c r="CR16" s="154"/>
      <c r="CS16" s="189"/>
      <c r="CT16" s="158"/>
      <c r="CU16" s="19"/>
    </row>
    <row r="17" spans="1:99" s="12" customFormat="1" ht="13" x14ac:dyDescent="0.3">
      <c r="A17" s="12">
        <v>7101</v>
      </c>
      <c r="B17" s="12" t="s">
        <v>127</v>
      </c>
      <c r="C17" s="282">
        <v>1431</v>
      </c>
      <c r="D17" s="54">
        <v>634</v>
      </c>
      <c r="E17" s="895">
        <f t="shared" si="1"/>
        <v>0.5088282504012841</v>
      </c>
      <c r="F17" s="221"/>
      <c r="G17" s="155"/>
      <c r="H17" s="161"/>
      <c r="I17" s="161"/>
      <c r="J17" s="153"/>
      <c r="K17" s="155"/>
      <c r="L17" s="539"/>
      <c r="M17" s="163"/>
      <c r="N17" s="337"/>
      <c r="O17" s="163"/>
      <c r="P17" s="164"/>
      <c r="Q17" s="164"/>
      <c r="R17" s="164"/>
      <c r="S17" s="164"/>
      <c r="T17" s="355"/>
      <c r="U17" s="160"/>
      <c r="V17" s="189"/>
      <c r="W17" s="158"/>
      <c r="X17" s="162"/>
      <c r="Y17" s="155"/>
      <c r="Z17" s="223"/>
      <c r="AA17" s="158"/>
      <c r="AB17" s="159"/>
      <c r="AC17" s="161"/>
      <c r="AD17" s="153"/>
      <c r="AE17" s="156"/>
      <c r="AF17" s="162"/>
      <c r="AG17" s="160"/>
      <c r="AH17" s="153"/>
      <c r="AI17" s="153"/>
      <c r="AJ17" s="153"/>
      <c r="AK17" s="158"/>
      <c r="AL17" s="159"/>
      <c r="AM17" s="153"/>
      <c r="AN17" s="162"/>
      <c r="AO17" s="154"/>
      <c r="AP17" s="160"/>
      <c r="AQ17" s="153"/>
      <c r="AR17" s="158"/>
      <c r="AS17" s="162">
        <v>227</v>
      </c>
      <c r="AT17" s="160">
        <v>353</v>
      </c>
      <c r="AU17" s="45">
        <v>251</v>
      </c>
      <c r="AV17" s="45">
        <v>245</v>
      </c>
      <c r="AW17" s="54">
        <v>270</v>
      </c>
      <c r="AX17" s="107">
        <v>206</v>
      </c>
      <c r="AY17" s="45">
        <v>242</v>
      </c>
      <c r="AZ17" s="73">
        <v>312</v>
      </c>
      <c r="BA17" s="162"/>
      <c r="BB17" s="154"/>
      <c r="BC17" s="158"/>
      <c r="BD17" s="153"/>
      <c r="BE17" s="160"/>
      <c r="BF17" s="162"/>
      <c r="BG17" s="158"/>
      <c r="BH17" s="159"/>
      <c r="BI17" s="153"/>
      <c r="BJ17" s="158"/>
      <c r="BK17" s="159"/>
      <c r="BL17" s="153"/>
      <c r="BM17" s="189"/>
      <c r="BN17" s="158"/>
      <c r="BO17" s="159"/>
      <c r="BP17" s="153"/>
      <c r="BQ17" s="158"/>
      <c r="BR17" s="162"/>
      <c r="BS17" s="160"/>
      <c r="BT17" s="161"/>
      <c r="BU17" s="161"/>
      <c r="BV17" s="161"/>
      <c r="BW17" s="153"/>
      <c r="BX17" s="153"/>
      <c r="BY17" s="153"/>
      <c r="BZ17" s="153"/>
      <c r="CA17" s="153"/>
      <c r="CB17" s="153"/>
      <c r="CC17" s="153"/>
      <c r="CD17" s="153"/>
      <c r="CE17" s="153"/>
      <c r="CF17" s="154"/>
      <c r="CG17" s="155"/>
      <c r="CH17" s="162"/>
      <c r="CI17" s="153"/>
      <c r="CJ17" s="158"/>
      <c r="CK17" s="159"/>
      <c r="CL17" s="539"/>
      <c r="CM17" s="153"/>
      <c r="CN17" s="155"/>
      <c r="CO17" s="153"/>
      <c r="CP17" s="154"/>
      <c r="CQ17" s="154"/>
      <c r="CR17" s="154"/>
      <c r="CS17" s="189"/>
      <c r="CT17" s="158"/>
      <c r="CU17" s="19"/>
    </row>
    <row r="18" spans="1:99" s="12" customFormat="1" ht="13" x14ac:dyDescent="0.3">
      <c r="A18" s="12">
        <v>7102</v>
      </c>
      <c r="B18" s="12" t="s">
        <v>128</v>
      </c>
      <c r="C18" s="282">
        <v>1246</v>
      </c>
      <c r="D18" s="54">
        <v>525</v>
      </c>
      <c r="E18" s="895">
        <f t="shared" si="1"/>
        <v>0.91623036649214662</v>
      </c>
      <c r="F18" s="221"/>
      <c r="G18" s="155"/>
      <c r="H18" s="161"/>
      <c r="I18" s="161"/>
      <c r="J18" s="153"/>
      <c r="K18" s="155"/>
      <c r="L18" s="539"/>
      <c r="M18" s="163"/>
      <c r="N18" s="337"/>
      <c r="O18" s="163"/>
      <c r="P18" s="164"/>
      <c r="Q18" s="164"/>
      <c r="R18" s="164"/>
      <c r="S18" s="164"/>
      <c r="T18" s="355"/>
      <c r="U18" s="160"/>
      <c r="V18" s="189"/>
      <c r="W18" s="158"/>
      <c r="X18" s="162"/>
      <c r="Y18" s="155"/>
      <c r="Z18" s="223"/>
      <c r="AA18" s="158"/>
      <c r="AB18" s="159"/>
      <c r="AC18" s="161"/>
      <c r="AD18" s="153"/>
      <c r="AE18" s="156"/>
      <c r="AF18" s="162"/>
      <c r="AG18" s="160"/>
      <c r="AH18" s="153"/>
      <c r="AI18" s="153"/>
      <c r="AJ18" s="153"/>
      <c r="AK18" s="158"/>
      <c r="AL18" s="159"/>
      <c r="AM18" s="153"/>
      <c r="AN18" s="162"/>
      <c r="AO18" s="154"/>
      <c r="AP18" s="160"/>
      <c r="AQ18" s="153"/>
      <c r="AR18" s="158"/>
      <c r="AS18" s="162">
        <v>185</v>
      </c>
      <c r="AT18" s="160">
        <v>290</v>
      </c>
      <c r="AU18" s="45">
        <v>229</v>
      </c>
      <c r="AV18" s="45">
        <v>134</v>
      </c>
      <c r="AW18" s="54">
        <v>270</v>
      </c>
      <c r="AX18" s="107">
        <v>145</v>
      </c>
      <c r="AY18" s="45">
        <v>128</v>
      </c>
      <c r="AZ18" s="73">
        <v>336</v>
      </c>
      <c r="BA18" s="162"/>
      <c r="BB18" s="154"/>
      <c r="BC18" s="158"/>
      <c r="BD18" s="153"/>
      <c r="BE18" s="160"/>
      <c r="BF18" s="162"/>
      <c r="BG18" s="158"/>
      <c r="BH18" s="159"/>
      <c r="BI18" s="153"/>
      <c r="BJ18" s="158"/>
      <c r="BK18" s="159"/>
      <c r="BL18" s="153"/>
      <c r="BM18" s="189"/>
      <c r="BN18" s="158"/>
      <c r="BO18" s="159"/>
      <c r="BP18" s="153"/>
      <c r="BQ18" s="158"/>
      <c r="BR18" s="162"/>
      <c r="BS18" s="160"/>
      <c r="BT18" s="161"/>
      <c r="BU18" s="161"/>
      <c r="BV18" s="161"/>
      <c r="BW18" s="153"/>
      <c r="BX18" s="153"/>
      <c r="BY18" s="153"/>
      <c r="BZ18" s="153"/>
      <c r="CA18" s="153"/>
      <c r="CB18" s="153"/>
      <c r="CC18" s="153"/>
      <c r="CD18" s="153"/>
      <c r="CE18" s="153"/>
      <c r="CF18" s="154"/>
      <c r="CG18" s="155"/>
      <c r="CH18" s="162"/>
      <c r="CI18" s="153"/>
      <c r="CJ18" s="158"/>
      <c r="CK18" s="159"/>
      <c r="CL18" s="539"/>
      <c r="CM18" s="153"/>
      <c r="CN18" s="155"/>
      <c r="CO18" s="153"/>
      <c r="CP18" s="154"/>
      <c r="CQ18" s="154"/>
      <c r="CR18" s="154"/>
      <c r="CS18" s="189"/>
      <c r="CT18" s="158"/>
      <c r="CU18" s="19"/>
    </row>
    <row r="19" spans="1:99" s="12" customFormat="1" ht="13" x14ac:dyDescent="0.3">
      <c r="A19" s="12">
        <v>7401</v>
      </c>
      <c r="B19" s="12" t="s">
        <v>129</v>
      </c>
      <c r="C19" s="282">
        <v>573</v>
      </c>
      <c r="D19" s="54">
        <v>275</v>
      </c>
      <c r="E19" s="895">
        <f t="shared" si="1"/>
        <v>0.26881720430107525</v>
      </c>
      <c r="F19" s="221"/>
      <c r="G19" s="155"/>
      <c r="H19" s="161"/>
      <c r="I19" s="161"/>
      <c r="J19" s="153"/>
      <c r="K19" s="155"/>
      <c r="L19" s="539"/>
      <c r="M19" s="163"/>
      <c r="N19" s="337"/>
      <c r="O19" s="163"/>
      <c r="P19" s="164"/>
      <c r="Q19" s="164"/>
      <c r="R19" s="164"/>
      <c r="S19" s="164"/>
      <c r="T19" s="355"/>
      <c r="U19" s="160"/>
      <c r="V19" s="189"/>
      <c r="W19" s="158"/>
      <c r="X19" s="162"/>
      <c r="Y19" s="155"/>
      <c r="Z19" s="223"/>
      <c r="AA19" s="158"/>
      <c r="AB19" s="159"/>
      <c r="AC19" s="161"/>
      <c r="AD19" s="153"/>
      <c r="AE19" s="156"/>
      <c r="AF19" s="162"/>
      <c r="AG19" s="160"/>
      <c r="AH19" s="153"/>
      <c r="AI19" s="153"/>
      <c r="AJ19" s="153"/>
      <c r="AK19" s="158"/>
      <c r="AL19" s="159"/>
      <c r="AM19" s="153"/>
      <c r="AN19" s="162"/>
      <c r="AO19" s="154"/>
      <c r="AP19" s="160"/>
      <c r="AQ19" s="153"/>
      <c r="AR19" s="158"/>
      <c r="AS19" s="162"/>
      <c r="AT19" s="160"/>
      <c r="AU19" s="153"/>
      <c r="AV19" s="153"/>
      <c r="AW19" s="154"/>
      <c r="AX19" s="160"/>
      <c r="AY19" s="153"/>
      <c r="AZ19" s="156"/>
      <c r="BA19" s="74">
        <v>114</v>
      </c>
      <c r="BB19" s="54">
        <v>120</v>
      </c>
      <c r="BC19" s="46">
        <v>113</v>
      </c>
      <c r="BD19" s="153"/>
      <c r="BE19" s="160"/>
      <c r="BF19" s="162"/>
      <c r="BG19" s="158"/>
      <c r="BH19" s="159"/>
      <c r="BI19" s="153"/>
      <c r="BJ19" s="158"/>
      <c r="BK19" s="159"/>
      <c r="BL19" s="153"/>
      <c r="BM19" s="189"/>
      <c r="BN19" s="158"/>
      <c r="BO19" s="159"/>
      <c r="BP19" s="153"/>
      <c r="BQ19" s="158"/>
      <c r="BR19" s="162"/>
      <c r="BS19" s="160"/>
      <c r="BT19" s="161"/>
      <c r="BU19" s="161"/>
      <c r="BV19" s="161"/>
      <c r="BW19" s="153"/>
      <c r="BX19" s="153"/>
      <c r="BY19" s="153"/>
      <c r="BZ19" s="153"/>
      <c r="CA19" s="153"/>
      <c r="CB19" s="153"/>
      <c r="CC19" s="153"/>
      <c r="CD19" s="153"/>
      <c r="CE19" s="153"/>
      <c r="CF19" s="154"/>
      <c r="CG19" s="155"/>
      <c r="CH19" s="162"/>
      <c r="CI19" s="153"/>
      <c r="CJ19" s="158"/>
      <c r="CK19" s="159"/>
      <c r="CL19" s="539"/>
      <c r="CM19" s="153"/>
      <c r="CN19" s="155"/>
      <c r="CO19" s="153"/>
      <c r="CP19" s="154"/>
      <c r="CQ19" s="154"/>
      <c r="CR19" s="154"/>
      <c r="CS19" s="189"/>
      <c r="CT19" s="158"/>
      <c r="CU19" s="19"/>
    </row>
    <row r="20" spans="1:99" s="12" customFormat="1" ht="13" x14ac:dyDescent="0.3">
      <c r="A20" s="12">
        <v>7402</v>
      </c>
      <c r="B20" s="12" t="s">
        <v>130</v>
      </c>
      <c r="C20" s="282">
        <v>1023</v>
      </c>
      <c r="D20" s="54">
        <v>627</v>
      </c>
      <c r="E20" s="895">
        <f t="shared" si="1"/>
        <v>0.62450199203187251</v>
      </c>
      <c r="F20" s="221"/>
      <c r="G20" s="155"/>
      <c r="H20" s="161"/>
      <c r="I20" s="161"/>
      <c r="J20" s="153"/>
      <c r="K20" s="155"/>
      <c r="L20" s="539"/>
      <c r="M20" s="163"/>
      <c r="N20" s="337"/>
      <c r="O20" s="163"/>
      <c r="P20" s="164"/>
      <c r="Q20" s="164"/>
      <c r="R20" s="164"/>
      <c r="S20" s="164"/>
      <c r="T20" s="355"/>
      <c r="U20" s="160"/>
      <c r="V20" s="189"/>
      <c r="W20" s="158"/>
      <c r="X20" s="162"/>
      <c r="Y20" s="155"/>
      <c r="Z20" s="223"/>
      <c r="AA20" s="158"/>
      <c r="AB20" s="159"/>
      <c r="AC20" s="161"/>
      <c r="AD20" s="153"/>
      <c r="AE20" s="156"/>
      <c r="AF20" s="162"/>
      <c r="AG20" s="160"/>
      <c r="AH20" s="153"/>
      <c r="AI20" s="153"/>
      <c r="AJ20" s="153"/>
      <c r="AK20" s="158"/>
      <c r="AL20" s="159"/>
      <c r="AM20" s="153"/>
      <c r="AN20" s="162"/>
      <c r="AO20" s="154"/>
      <c r="AP20" s="160"/>
      <c r="AQ20" s="153"/>
      <c r="AR20" s="158"/>
      <c r="AS20" s="162"/>
      <c r="AT20" s="160"/>
      <c r="AU20" s="153"/>
      <c r="AV20" s="153"/>
      <c r="AW20" s="154"/>
      <c r="AX20" s="160"/>
      <c r="AY20" s="153"/>
      <c r="AZ20" s="156"/>
      <c r="BA20" s="74">
        <v>288</v>
      </c>
      <c r="BB20" s="54">
        <v>303</v>
      </c>
      <c r="BC20" s="46">
        <v>253</v>
      </c>
      <c r="BD20" s="153"/>
      <c r="BE20" s="160"/>
      <c r="BF20" s="162"/>
      <c r="BG20" s="158"/>
      <c r="BH20" s="159"/>
      <c r="BI20" s="153"/>
      <c r="BJ20" s="158"/>
      <c r="BK20" s="159"/>
      <c r="BL20" s="153"/>
      <c r="BM20" s="189"/>
      <c r="BN20" s="158"/>
      <c r="BO20" s="159"/>
      <c r="BP20" s="153"/>
      <c r="BQ20" s="158"/>
      <c r="BR20" s="162"/>
      <c r="BS20" s="160"/>
      <c r="BT20" s="161"/>
      <c r="BU20" s="161"/>
      <c r="BV20" s="161"/>
      <c r="BW20" s="153"/>
      <c r="BX20" s="153"/>
      <c r="BY20" s="153"/>
      <c r="BZ20" s="153"/>
      <c r="CA20" s="153"/>
      <c r="CB20" s="153"/>
      <c r="CC20" s="153"/>
      <c r="CD20" s="153"/>
      <c r="CE20" s="153"/>
      <c r="CF20" s="154"/>
      <c r="CG20" s="155"/>
      <c r="CH20" s="162"/>
      <c r="CI20" s="153"/>
      <c r="CJ20" s="158"/>
      <c r="CK20" s="159"/>
      <c r="CL20" s="539"/>
      <c r="CM20" s="153"/>
      <c r="CN20" s="155"/>
      <c r="CO20" s="153"/>
      <c r="CP20" s="154"/>
      <c r="CQ20" s="154"/>
      <c r="CR20" s="154"/>
      <c r="CS20" s="189"/>
      <c r="CT20" s="158"/>
      <c r="CU20" s="19"/>
    </row>
    <row r="21" spans="1:99" s="12" customFormat="1" ht="13" x14ac:dyDescent="0.3">
      <c r="A21" s="12">
        <v>7403</v>
      </c>
      <c r="B21" s="12" t="s">
        <v>131</v>
      </c>
      <c r="C21" s="282">
        <v>1004</v>
      </c>
      <c r="D21" s="54">
        <v>521</v>
      </c>
      <c r="E21" s="895">
        <f t="shared" si="1"/>
        <v>0.41088328075709779</v>
      </c>
      <c r="F21" s="221"/>
      <c r="G21" s="155"/>
      <c r="H21" s="161"/>
      <c r="I21" s="161"/>
      <c r="J21" s="153"/>
      <c r="K21" s="155"/>
      <c r="L21" s="539"/>
      <c r="M21" s="163"/>
      <c r="N21" s="337"/>
      <c r="O21" s="163"/>
      <c r="P21" s="164"/>
      <c r="Q21" s="164"/>
      <c r="R21" s="164"/>
      <c r="S21" s="164"/>
      <c r="T21" s="355"/>
      <c r="U21" s="160"/>
      <c r="V21" s="189"/>
      <c r="W21" s="158"/>
      <c r="X21" s="162"/>
      <c r="Y21" s="155"/>
      <c r="Z21" s="223"/>
      <c r="AA21" s="158"/>
      <c r="AB21" s="159"/>
      <c r="AC21" s="161"/>
      <c r="AD21" s="153"/>
      <c r="AE21" s="156"/>
      <c r="AF21" s="162"/>
      <c r="AG21" s="160"/>
      <c r="AH21" s="153"/>
      <c r="AI21" s="153"/>
      <c r="AJ21" s="153"/>
      <c r="AK21" s="158"/>
      <c r="AL21" s="159"/>
      <c r="AM21" s="153"/>
      <c r="AN21" s="162"/>
      <c r="AO21" s="154"/>
      <c r="AP21" s="160"/>
      <c r="AQ21" s="153"/>
      <c r="AR21" s="158"/>
      <c r="AS21" s="162"/>
      <c r="AT21" s="160"/>
      <c r="AU21" s="153"/>
      <c r="AV21" s="153"/>
      <c r="AW21" s="154"/>
      <c r="AX21" s="160"/>
      <c r="AY21" s="153"/>
      <c r="AZ21" s="156"/>
      <c r="BA21" s="74">
        <v>230</v>
      </c>
      <c r="BB21" s="54">
        <v>224</v>
      </c>
      <c r="BC21" s="46">
        <v>233</v>
      </c>
      <c r="BD21" s="153"/>
      <c r="BE21" s="160"/>
      <c r="BF21" s="162"/>
      <c r="BG21" s="158"/>
      <c r="BH21" s="159"/>
      <c r="BI21" s="153"/>
      <c r="BJ21" s="158"/>
      <c r="BK21" s="159"/>
      <c r="BL21" s="153"/>
      <c r="BM21" s="189"/>
      <c r="BN21" s="158"/>
      <c r="BO21" s="159"/>
      <c r="BP21" s="153"/>
      <c r="BQ21" s="158"/>
      <c r="BR21" s="162"/>
      <c r="BS21" s="160"/>
      <c r="BT21" s="161"/>
      <c r="BU21" s="161"/>
      <c r="BV21" s="161"/>
      <c r="BW21" s="153"/>
      <c r="BX21" s="153"/>
      <c r="BY21" s="153"/>
      <c r="BZ21" s="153"/>
      <c r="CA21" s="153"/>
      <c r="CB21" s="153"/>
      <c r="CC21" s="153"/>
      <c r="CD21" s="153"/>
      <c r="CE21" s="153"/>
      <c r="CF21" s="154"/>
      <c r="CG21" s="155"/>
      <c r="CH21" s="162"/>
      <c r="CI21" s="153"/>
      <c r="CJ21" s="158"/>
      <c r="CK21" s="159"/>
      <c r="CL21" s="539"/>
      <c r="CM21" s="153"/>
      <c r="CN21" s="155"/>
      <c r="CO21" s="153"/>
      <c r="CP21" s="154"/>
      <c r="CQ21" s="154"/>
      <c r="CR21" s="154"/>
      <c r="CS21" s="189"/>
      <c r="CT21" s="158"/>
      <c r="CU21" s="19"/>
    </row>
    <row r="22" spans="1:99" s="12" customFormat="1" ht="13" x14ac:dyDescent="0.3">
      <c r="A22" s="12">
        <v>7701</v>
      </c>
      <c r="B22" s="12" t="s">
        <v>132</v>
      </c>
      <c r="C22" s="282">
        <v>1268</v>
      </c>
      <c r="D22" s="54">
        <v>441</v>
      </c>
      <c r="E22" s="895">
        <f t="shared" ref="E22:E40" si="2">SUM(D22/C22)</f>
        <v>0.34779179810725552</v>
      </c>
      <c r="F22" s="221"/>
      <c r="G22" s="155"/>
      <c r="H22" s="161"/>
      <c r="I22" s="161"/>
      <c r="J22" s="153"/>
      <c r="K22" s="155"/>
      <c r="L22" s="539"/>
      <c r="M22" s="163"/>
      <c r="N22" s="337"/>
      <c r="O22" s="163"/>
      <c r="P22" s="164"/>
      <c r="Q22" s="164"/>
      <c r="R22" s="164"/>
      <c r="S22" s="164"/>
      <c r="T22" s="355"/>
      <c r="U22" s="160"/>
      <c r="V22" s="189"/>
      <c r="W22" s="158"/>
      <c r="X22" s="162"/>
      <c r="Y22" s="155"/>
      <c r="Z22" s="223"/>
      <c r="AA22" s="158"/>
      <c r="AB22" s="159"/>
      <c r="AC22" s="161"/>
      <c r="AD22" s="153"/>
      <c r="AE22" s="156"/>
      <c r="AF22" s="162"/>
      <c r="AG22" s="160"/>
      <c r="AH22" s="153"/>
      <c r="AI22" s="153"/>
      <c r="AJ22" s="153"/>
      <c r="AK22" s="158"/>
      <c r="AL22" s="159"/>
      <c r="AM22" s="153"/>
      <c r="AN22" s="162"/>
      <c r="AO22" s="154"/>
      <c r="AP22" s="160"/>
      <c r="AQ22" s="153"/>
      <c r="AR22" s="158"/>
      <c r="AS22" s="162"/>
      <c r="AT22" s="160"/>
      <c r="AU22" s="153"/>
      <c r="AV22" s="153"/>
      <c r="AW22" s="154"/>
      <c r="AX22" s="160"/>
      <c r="AY22" s="153"/>
      <c r="AZ22" s="156"/>
      <c r="BA22" s="162"/>
      <c r="BB22" s="154"/>
      <c r="BC22" s="158"/>
      <c r="BD22" s="45">
        <v>196</v>
      </c>
      <c r="BE22" s="107">
        <v>308</v>
      </c>
      <c r="BF22" s="162"/>
      <c r="BG22" s="158"/>
      <c r="BH22" s="159"/>
      <c r="BI22" s="153"/>
      <c r="BJ22" s="158"/>
      <c r="BK22" s="159"/>
      <c r="BL22" s="153"/>
      <c r="BM22" s="189"/>
      <c r="BN22" s="158"/>
      <c r="BO22" s="159"/>
      <c r="BP22" s="153"/>
      <c r="BQ22" s="158"/>
      <c r="BR22" s="162"/>
      <c r="BS22" s="160"/>
      <c r="BT22" s="161"/>
      <c r="BU22" s="161"/>
      <c r="BV22" s="161"/>
      <c r="BW22" s="153"/>
      <c r="BX22" s="153"/>
      <c r="BY22" s="153"/>
      <c r="BZ22" s="153"/>
      <c r="CA22" s="153"/>
      <c r="CB22" s="153"/>
      <c r="CC22" s="153"/>
      <c r="CD22" s="153"/>
      <c r="CE22" s="153"/>
      <c r="CF22" s="154"/>
      <c r="CG22" s="155"/>
      <c r="CH22" s="162"/>
      <c r="CI22" s="153"/>
      <c r="CJ22" s="158"/>
      <c r="CK22" s="159"/>
      <c r="CL22" s="539"/>
      <c r="CM22" s="153"/>
      <c r="CN22" s="155"/>
      <c r="CO22" s="153"/>
      <c r="CP22" s="154"/>
      <c r="CQ22" s="154"/>
      <c r="CR22" s="154"/>
      <c r="CS22" s="189"/>
      <c r="CT22" s="158"/>
      <c r="CU22" s="19"/>
    </row>
    <row r="23" spans="1:99" s="12" customFormat="1" ht="13" x14ac:dyDescent="0.3">
      <c r="A23" s="12">
        <v>7702</v>
      </c>
      <c r="B23" s="12" t="s">
        <v>133</v>
      </c>
      <c r="C23" s="282">
        <v>775</v>
      </c>
      <c r="D23" s="54">
        <v>207</v>
      </c>
      <c r="E23" s="895">
        <f t="shared" si="2"/>
        <v>0.26709677419354838</v>
      </c>
      <c r="F23" s="221"/>
      <c r="G23" s="155"/>
      <c r="H23" s="161"/>
      <c r="I23" s="161"/>
      <c r="J23" s="153"/>
      <c r="K23" s="155"/>
      <c r="L23" s="539"/>
      <c r="M23" s="163"/>
      <c r="N23" s="337"/>
      <c r="O23" s="163"/>
      <c r="P23" s="164"/>
      <c r="Q23" s="164"/>
      <c r="R23" s="164"/>
      <c r="S23" s="164"/>
      <c r="T23" s="355"/>
      <c r="U23" s="160"/>
      <c r="V23" s="189"/>
      <c r="W23" s="158"/>
      <c r="X23" s="162"/>
      <c r="Y23" s="155"/>
      <c r="Z23" s="223"/>
      <c r="AA23" s="158"/>
      <c r="AB23" s="159"/>
      <c r="AC23" s="161"/>
      <c r="AD23" s="153"/>
      <c r="AE23" s="156"/>
      <c r="AF23" s="162"/>
      <c r="AG23" s="160"/>
      <c r="AH23" s="153"/>
      <c r="AI23" s="153"/>
      <c r="AJ23" s="153"/>
      <c r="AK23" s="158"/>
      <c r="AL23" s="159"/>
      <c r="AM23" s="153"/>
      <c r="AN23" s="162"/>
      <c r="AO23" s="154"/>
      <c r="AP23" s="160"/>
      <c r="AQ23" s="153"/>
      <c r="AR23" s="158"/>
      <c r="AS23" s="162"/>
      <c r="AT23" s="160"/>
      <c r="AU23" s="153"/>
      <c r="AV23" s="153"/>
      <c r="AW23" s="154"/>
      <c r="AX23" s="160"/>
      <c r="AY23" s="153"/>
      <c r="AZ23" s="156"/>
      <c r="BA23" s="162"/>
      <c r="BB23" s="154"/>
      <c r="BC23" s="158"/>
      <c r="BD23" s="45">
        <v>84</v>
      </c>
      <c r="BE23" s="107">
        <v>142</v>
      </c>
      <c r="BF23" s="162"/>
      <c r="BG23" s="158"/>
      <c r="BH23" s="159"/>
      <c r="BI23" s="153"/>
      <c r="BJ23" s="158"/>
      <c r="BK23" s="159"/>
      <c r="BL23" s="153"/>
      <c r="BM23" s="189"/>
      <c r="BN23" s="158"/>
      <c r="BO23" s="159"/>
      <c r="BP23" s="153"/>
      <c r="BQ23" s="158"/>
      <c r="BR23" s="162"/>
      <c r="BS23" s="160"/>
      <c r="BT23" s="161"/>
      <c r="BU23" s="161"/>
      <c r="BV23" s="161"/>
      <c r="BW23" s="153"/>
      <c r="BX23" s="153"/>
      <c r="BY23" s="153"/>
      <c r="BZ23" s="153"/>
      <c r="CA23" s="153"/>
      <c r="CB23" s="153"/>
      <c r="CC23" s="153"/>
      <c r="CD23" s="153"/>
      <c r="CE23" s="153"/>
      <c r="CF23" s="154"/>
      <c r="CG23" s="155"/>
      <c r="CH23" s="162"/>
      <c r="CI23" s="153"/>
      <c r="CJ23" s="158"/>
      <c r="CK23" s="159"/>
      <c r="CL23" s="539"/>
      <c r="CM23" s="153"/>
      <c r="CN23" s="155"/>
      <c r="CO23" s="153"/>
      <c r="CP23" s="154"/>
      <c r="CQ23" s="154"/>
      <c r="CR23" s="154"/>
      <c r="CS23" s="189"/>
      <c r="CT23" s="158"/>
      <c r="CU23" s="19"/>
    </row>
    <row r="24" spans="1:99" s="12" customFormat="1" ht="13" x14ac:dyDescent="0.3">
      <c r="A24" s="12">
        <v>7901</v>
      </c>
      <c r="B24" s="12" t="s">
        <v>134</v>
      </c>
      <c r="C24" s="282">
        <v>832</v>
      </c>
      <c r="D24" s="54">
        <v>281</v>
      </c>
      <c r="E24" s="895">
        <f t="shared" si="2"/>
        <v>0.33774038461538464</v>
      </c>
      <c r="F24" s="221"/>
      <c r="G24" s="155"/>
      <c r="H24" s="161"/>
      <c r="I24" s="161"/>
      <c r="J24" s="153"/>
      <c r="K24" s="155"/>
      <c r="L24" s="539"/>
      <c r="M24" s="163"/>
      <c r="N24" s="337"/>
      <c r="O24" s="163"/>
      <c r="P24" s="164"/>
      <c r="Q24" s="164"/>
      <c r="R24" s="164"/>
      <c r="S24" s="164"/>
      <c r="T24" s="355"/>
      <c r="U24" s="160"/>
      <c r="V24" s="189"/>
      <c r="W24" s="158"/>
      <c r="X24" s="162"/>
      <c r="Y24" s="155"/>
      <c r="Z24" s="223"/>
      <c r="AA24" s="158"/>
      <c r="AB24" s="159"/>
      <c r="AC24" s="161"/>
      <c r="AD24" s="153"/>
      <c r="AE24" s="156"/>
      <c r="AF24" s="162"/>
      <c r="AG24" s="160"/>
      <c r="AH24" s="153"/>
      <c r="AI24" s="153"/>
      <c r="AJ24" s="153"/>
      <c r="AK24" s="158"/>
      <c r="AL24" s="159"/>
      <c r="AM24" s="153"/>
      <c r="AN24" s="162"/>
      <c r="AO24" s="154"/>
      <c r="AP24" s="160"/>
      <c r="AQ24" s="153"/>
      <c r="AR24" s="158"/>
      <c r="AS24" s="162"/>
      <c r="AT24" s="160"/>
      <c r="AU24" s="153"/>
      <c r="AV24" s="153"/>
      <c r="AW24" s="154"/>
      <c r="AX24" s="160"/>
      <c r="AY24" s="153"/>
      <c r="AZ24" s="156"/>
      <c r="BA24" s="162"/>
      <c r="BB24" s="154"/>
      <c r="BC24" s="158"/>
      <c r="BD24" s="153"/>
      <c r="BE24" s="160"/>
      <c r="BF24" s="74">
        <v>122</v>
      </c>
      <c r="BG24" s="46">
        <v>160</v>
      </c>
      <c r="BH24" s="159"/>
      <c r="BI24" s="153"/>
      <c r="BJ24" s="158"/>
      <c r="BK24" s="159"/>
      <c r="BL24" s="153"/>
      <c r="BM24" s="189"/>
      <c r="BN24" s="158"/>
      <c r="BO24" s="159"/>
      <c r="BP24" s="153"/>
      <c r="BQ24" s="158"/>
      <c r="BR24" s="162"/>
      <c r="BS24" s="160"/>
      <c r="BT24" s="161"/>
      <c r="BU24" s="161"/>
      <c r="BV24" s="161"/>
      <c r="BW24" s="153"/>
      <c r="BX24" s="153"/>
      <c r="BY24" s="153"/>
      <c r="BZ24" s="153"/>
      <c r="CA24" s="153"/>
      <c r="CB24" s="153"/>
      <c r="CC24" s="153"/>
      <c r="CD24" s="153"/>
      <c r="CE24" s="153"/>
      <c r="CF24" s="154"/>
      <c r="CG24" s="155"/>
      <c r="CH24" s="162"/>
      <c r="CI24" s="153"/>
      <c r="CJ24" s="158"/>
      <c r="CK24" s="159"/>
      <c r="CL24" s="539"/>
      <c r="CM24" s="153"/>
      <c r="CN24" s="155"/>
      <c r="CO24" s="153"/>
      <c r="CP24" s="154"/>
      <c r="CQ24" s="154"/>
      <c r="CR24" s="154"/>
      <c r="CS24" s="189"/>
      <c r="CT24" s="158"/>
      <c r="CU24" s="19"/>
    </row>
    <row r="25" spans="1:99" s="12" customFormat="1" ht="13" x14ac:dyDescent="0.3">
      <c r="A25" s="12">
        <v>7902</v>
      </c>
      <c r="B25" s="12" t="s">
        <v>135</v>
      </c>
      <c r="C25" s="282">
        <v>1325</v>
      </c>
      <c r="D25" s="54">
        <v>387</v>
      </c>
      <c r="E25" s="895">
        <f t="shared" si="2"/>
        <v>0.29207547169811321</v>
      </c>
      <c r="F25" s="221"/>
      <c r="G25" s="155"/>
      <c r="H25" s="161"/>
      <c r="I25" s="161"/>
      <c r="J25" s="153"/>
      <c r="K25" s="155"/>
      <c r="L25" s="539"/>
      <c r="M25" s="163"/>
      <c r="N25" s="337"/>
      <c r="O25" s="163"/>
      <c r="P25" s="164"/>
      <c r="Q25" s="164"/>
      <c r="R25" s="164"/>
      <c r="S25" s="164"/>
      <c r="T25" s="355"/>
      <c r="U25" s="160"/>
      <c r="V25" s="189"/>
      <c r="W25" s="158"/>
      <c r="X25" s="162"/>
      <c r="Y25" s="155"/>
      <c r="Z25" s="223"/>
      <c r="AA25" s="158"/>
      <c r="AB25" s="159"/>
      <c r="AC25" s="161"/>
      <c r="AD25" s="153"/>
      <c r="AE25" s="156"/>
      <c r="AF25" s="162"/>
      <c r="AG25" s="160"/>
      <c r="AH25" s="153"/>
      <c r="AI25" s="153"/>
      <c r="AJ25" s="153"/>
      <c r="AK25" s="158"/>
      <c r="AL25" s="159"/>
      <c r="AM25" s="153"/>
      <c r="AN25" s="162"/>
      <c r="AO25" s="154"/>
      <c r="AP25" s="160"/>
      <c r="AQ25" s="153"/>
      <c r="AR25" s="158"/>
      <c r="AS25" s="162"/>
      <c r="AT25" s="160"/>
      <c r="AU25" s="153"/>
      <c r="AV25" s="153"/>
      <c r="AW25" s="154"/>
      <c r="AX25" s="160"/>
      <c r="AY25" s="153"/>
      <c r="AZ25" s="156"/>
      <c r="BA25" s="162"/>
      <c r="BB25" s="154"/>
      <c r="BC25" s="158"/>
      <c r="BD25" s="153"/>
      <c r="BE25" s="160"/>
      <c r="BF25" s="74">
        <v>211</v>
      </c>
      <c r="BG25" s="46">
        <v>176</v>
      </c>
      <c r="BH25" s="159"/>
      <c r="BI25" s="153"/>
      <c r="BJ25" s="158"/>
      <c r="BK25" s="159"/>
      <c r="BL25" s="153"/>
      <c r="BM25" s="189"/>
      <c r="BN25" s="158"/>
      <c r="BO25" s="159"/>
      <c r="BP25" s="153"/>
      <c r="BQ25" s="158"/>
      <c r="BR25" s="162"/>
      <c r="BS25" s="160"/>
      <c r="BT25" s="161"/>
      <c r="BU25" s="161"/>
      <c r="BV25" s="161"/>
      <c r="BW25" s="153"/>
      <c r="BX25" s="153"/>
      <c r="BY25" s="153"/>
      <c r="BZ25" s="153"/>
      <c r="CA25" s="153"/>
      <c r="CB25" s="153"/>
      <c r="CC25" s="153"/>
      <c r="CD25" s="153"/>
      <c r="CE25" s="153"/>
      <c r="CF25" s="154"/>
      <c r="CG25" s="155"/>
      <c r="CH25" s="162"/>
      <c r="CI25" s="153"/>
      <c r="CJ25" s="158"/>
      <c r="CK25" s="159"/>
      <c r="CL25" s="539"/>
      <c r="CM25" s="153"/>
      <c r="CN25" s="155"/>
      <c r="CO25" s="153"/>
      <c r="CP25" s="154"/>
      <c r="CQ25" s="154"/>
      <c r="CR25" s="154"/>
      <c r="CS25" s="189"/>
      <c r="CT25" s="158"/>
      <c r="CU25" s="19"/>
    </row>
    <row r="26" spans="1:99" s="12" customFormat="1" ht="13" x14ac:dyDescent="0.3">
      <c r="A26" s="12">
        <v>8001</v>
      </c>
      <c r="B26" s="12" t="s">
        <v>136</v>
      </c>
      <c r="C26" s="282">
        <v>1431</v>
      </c>
      <c r="D26" s="54">
        <v>879</v>
      </c>
      <c r="E26" s="895">
        <f t="shared" si="2"/>
        <v>0.61425576519916147</v>
      </c>
      <c r="F26" s="221"/>
      <c r="G26" s="155"/>
      <c r="H26" s="161"/>
      <c r="I26" s="161"/>
      <c r="J26" s="153"/>
      <c r="K26" s="155"/>
      <c r="L26" s="539"/>
      <c r="M26" s="163"/>
      <c r="N26" s="337"/>
      <c r="O26" s="163"/>
      <c r="P26" s="164"/>
      <c r="Q26" s="164"/>
      <c r="R26" s="164"/>
      <c r="S26" s="164"/>
      <c r="T26" s="355"/>
      <c r="U26" s="160"/>
      <c r="V26" s="189"/>
      <c r="W26" s="158"/>
      <c r="X26" s="162"/>
      <c r="Y26" s="155"/>
      <c r="Z26" s="223"/>
      <c r="AA26" s="158"/>
      <c r="AB26" s="159"/>
      <c r="AC26" s="161"/>
      <c r="AD26" s="153"/>
      <c r="AE26" s="156"/>
      <c r="AF26" s="162"/>
      <c r="AG26" s="160"/>
      <c r="AH26" s="153"/>
      <c r="AI26" s="153"/>
      <c r="AJ26" s="153"/>
      <c r="AK26" s="158"/>
      <c r="AL26" s="159"/>
      <c r="AM26" s="153"/>
      <c r="AN26" s="162"/>
      <c r="AO26" s="154"/>
      <c r="AP26" s="160"/>
      <c r="AQ26" s="153"/>
      <c r="AR26" s="158"/>
      <c r="AS26" s="162"/>
      <c r="AT26" s="160"/>
      <c r="AU26" s="153"/>
      <c r="AV26" s="153"/>
      <c r="AW26" s="154"/>
      <c r="AX26" s="160"/>
      <c r="AY26" s="153"/>
      <c r="AZ26" s="156"/>
      <c r="BA26" s="162"/>
      <c r="BB26" s="154"/>
      <c r="BC26" s="158"/>
      <c r="BD26" s="153"/>
      <c r="BE26" s="160"/>
      <c r="BF26" s="162"/>
      <c r="BG26" s="158"/>
      <c r="BH26" s="159">
        <v>638</v>
      </c>
      <c r="BI26" s="153">
        <v>543</v>
      </c>
      <c r="BJ26" s="46">
        <v>411</v>
      </c>
      <c r="BK26" s="101"/>
      <c r="BL26" s="153"/>
      <c r="BM26" s="189"/>
      <c r="BN26" s="158"/>
      <c r="BO26" s="159"/>
      <c r="BP26" s="153"/>
      <c r="BQ26" s="158"/>
      <c r="BR26" s="162"/>
      <c r="BS26" s="160"/>
      <c r="BT26" s="161"/>
      <c r="BU26" s="161"/>
      <c r="BV26" s="161"/>
      <c r="BW26" s="153"/>
      <c r="BX26" s="153"/>
      <c r="BY26" s="153"/>
      <c r="BZ26" s="153"/>
      <c r="CA26" s="153"/>
      <c r="CB26" s="153"/>
      <c r="CC26" s="153"/>
      <c r="CD26" s="153"/>
      <c r="CE26" s="153"/>
      <c r="CF26" s="154"/>
      <c r="CG26" s="155"/>
      <c r="CH26" s="162"/>
      <c r="CI26" s="153"/>
      <c r="CJ26" s="158"/>
      <c r="CK26" s="159"/>
      <c r="CL26" s="539"/>
      <c r="CM26" s="153"/>
      <c r="CN26" s="155"/>
      <c r="CO26" s="153"/>
      <c r="CP26" s="154"/>
      <c r="CQ26" s="154"/>
      <c r="CR26" s="154"/>
      <c r="CS26" s="189"/>
      <c r="CT26" s="158"/>
      <c r="CU26" s="19"/>
    </row>
    <row r="27" spans="1:99" s="12" customFormat="1" ht="13" x14ac:dyDescent="0.3">
      <c r="A27" s="12">
        <v>8002</v>
      </c>
      <c r="B27" s="12" t="s">
        <v>137</v>
      </c>
      <c r="C27" s="282">
        <v>1343</v>
      </c>
      <c r="D27" s="54">
        <v>864</v>
      </c>
      <c r="E27" s="895">
        <f t="shared" si="2"/>
        <v>0.64333581533879369</v>
      </c>
      <c r="F27" s="221"/>
      <c r="G27" s="155"/>
      <c r="H27" s="161"/>
      <c r="I27" s="161"/>
      <c r="J27" s="153"/>
      <c r="K27" s="155"/>
      <c r="L27" s="539"/>
      <c r="M27" s="163"/>
      <c r="N27" s="337"/>
      <c r="O27" s="163"/>
      <c r="P27" s="164"/>
      <c r="Q27" s="164"/>
      <c r="R27" s="164"/>
      <c r="S27" s="164"/>
      <c r="T27" s="355"/>
      <c r="U27" s="160"/>
      <c r="V27" s="189"/>
      <c r="W27" s="158"/>
      <c r="X27" s="162"/>
      <c r="Y27" s="155"/>
      <c r="Z27" s="223"/>
      <c r="AA27" s="158"/>
      <c r="AB27" s="159"/>
      <c r="AC27" s="161"/>
      <c r="AD27" s="153"/>
      <c r="AE27" s="156"/>
      <c r="AF27" s="162"/>
      <c r="AG27" s="160"/>
      <c r="AH27" s="153"/>
      <c r="AI27" s="153"/>
      <c r="AJ27" s="153"/>
      <c r="AK27" s="158"/>
      <c r="AL27" s="159"/>
      <c r="AM27" s="153"/>
      <c r="AN27" s="162"/>
      <c r="AO27" s="154"/>
      <c r="AP27" s="160"/>
      <c r="AQ27" s="153"/>
      <c r="AR27" s="158"/>
      <c r="AS27" s="162"/>
      <c r="AT27" s="160"/>
      <c r="AU27" s="153"/>
      <c r="AV27" s="153"/>
      <c r="AW27" s="154"/>
      <c r="AX27" s="160"/>
      <c r="AY27" s="153"/>
      <c r="AZ27" s="156"/>
      <c r="BA27" s="162"/>
      <c r="BB27" s="154"/>
      <c r="BC27" s="158"/>
      <c r="BD27" s="153"/>
      <c r="BE27" s="160"/>
      <c r="BF27" s="162"/>
      <c r="BG27" s="158"/>
      <c r="BH27" s="159">
        <v>658</v>
      </c>
      <c r="BI27" s="153">
        <v>531</v>
      </c>
      <c r="BJ27" s="46">
        <v>484</v>
      </c>
      <c r="BK27" s="101"/>
      <c r="BL27" s="153"/>
      <c r="BM27" s="189"/>
      <c r="BN27" s="158"/>
      <c r="BO27" s="159"/>
      <c r="BP27" s="153"/>
      <c r="BQ27" s="158"/>
      <c r="BR27" s="162"/>
      <c r="BS27" s="160"/>
      <c r="BT27" s="161"/>
      <c r="BU27" s="161"/>
      <c r="BV27" s="161"/>
      <c r="BW27" s="153"/>
      <c r="BX27" s="153"/>
      <c r="BY27" s="153"/>
      <c r="BZ27" s="153"/>
      <c r="CA27" s="153"/>
      <c r="CB27" s="153"/>
      <c r="CC27" s="153"/>
      <c r="CD27" s="153"/>
      <c r="CE27" s="153"/>
      <c r="CF27" s="154"/>
      <c r="CG27" s="155"/>
      <c r="CH27" s="162"/>
      <c r="CI27" s="153"/>
      <c r="CJ27" s="158"/>
      <c r="CK27" s="159"/>
      <c r="CL27" s="539"/>
      <c r="CM27" s="153"/>
      <c r="CN27" s="155"/>
      <c r="CO27" s="153"/>
      <c r="CP27" s="154"/>
      <c r="CQ27" s="154"/>
      <c r="CR27" s="154"/>
      <c r="CS27" s="189"/>
      <c r="CT27" s="158"/>
      <c r="CU27" s="19"/>
    </row>
    <row r="28" spans="1:99" s="12" customFormat="1" ht="13" x14ac:dyDescent="0.3">
      <c r="A28" s="12">
        <v>8211</v>
      </c>
      <c r="B28" s="12" t="s">
        <v>138</v>
      </c>
      <c r="C28" s="282">
        <v>581</v>
      </c>
      <c r="D28" s="54">
        <v>179</v>
      </c>
      <c r="E28" s="895">
        <f t="shared" si="2"/>
        <v>0.30808950086058517</v>
      </c>
      <c r="F28" s="221">
        <v>87</v>
      </c>
      <c r="G28" s="58">
        <v>59</v>
      </c>
      <c r="H28" s="102">
        <v>126</v>
      </c>
      <c r="I28" s="102">
        <v>0</v>
      </c>
      <c r="J28" s="45">
        <v>109</v>
      </c>
      <c r="K28" s="58">
        <v>31</v>
      </c>
      <c r="L28" s="541">
        <v>0</v>
      </c>
      <c r="M28" s="163"/>
      <c r="N28" s="337"/>
      <c r="O28" s="163"/>
      <c r="P28" s="164"/>
      <c r="Q28" s="164"/>
      <c r="R28" s="164"/>
      <c r="S28" s="164"/>
      <c r="T28" s="355"/>
      <c r="U28" s="160"/>
      <c r="V28" s="189"/>
      <c r="W28" s="158"/>
      <c r="X28" s="162"/>
      <c r="Y28" s="155"/>
      <c r="Z28" s="223"/>
      <c r="AA28" s="158"/>
      <c r="AB28" s="159"/>
      <c r="AC28" s="161"/>
      <c r="AD28" s="153"/>
      <c r="AE28" s="156"/>
      <c r="AF28" s="162"/>
      <c r="AG28" s="160"/>
      <c r="AH28" s="153"/>
      <c r="AI28" s="153"/>
      <c r="AJ28" s="153"/>
      <c r="AK28" s="158"/>
      <c r="AL28" s="159"/>
      <c r="AM28" s="153"/>
      <c r="AN28" s="162"/>
      <c r="AO28" s="154"/>
      <c r="AP28" s="160"/>
      <c r="AQ28" s="153"/>
      <c r="AR28" s="158"/>
      <c r="AS28" s="162"/>
      <c r="AT28" s="160"/>
      <c r="AU28" s="153"/>
      <c r="AV28" s="153"/>
      <c r="AW28" s="154"/>
      <c r="AX28" s="160"/>
      <c r="AY28" s="153"/>
      <c r="AZ28" s="156"/>
      <c r="BA28" s="162"/>
      <c r="BB28" s="154"/>
      <c r="BC28" s="158"/>
      <c r="BD28" s="153"/>
      <c r="BE28" s="160"/>
      <c r="BF28" s="162"/>
      <c r="BG28" s="158"/>
      <c r="BH28" s="159"/>
      <c r="BI28" s="153"/>
      <c r="BJ28" s="158"/>
      <c r="BK28" s="159"/>
      <c r="BL28" s="153"/>
      <c r="BM28" s="189"/>
      <c r="BN28" s="158"/>
      <c r="BO28" s="159"/>
      <c r="BP28" s="153"/>
      <c r="BQ28" s="158"/>
      <c r="BR28" s="162"/>
      <c r="BS28" s="160"/>
      <c r="BT28" s="161"/>
      <c r="BU28" s="161"/>
      <c r="BV28" s="161"/>
      <c r="BW28" s="153"/>
      <c r="BX28" s="153"/>
      <c r="BY28" s="153"/>
      <c r="BZ28" s="153"/>
      <c r="CA28" s="153"/>
      <c r="CB28" s="153"/>
      <c r="CC28" s="153"/>
      <c r="CD28" s="153"/>
      <c r="CE28" s="153"/>
      <c r="CF28" s="154"/>
      <c r="CG28" s="155"/>
      <c r="CH28" s="162"/>
      <c r="CI28" s="153"/>
      <c r="CJ28" s="158"/>
      <c r="CK28" s="159"/>
      <c r="CL28" s="539"/>
      <c r="CM28" s="153"/>
      <c r="CN28" s="155"/>
      <c r="CO28" s="153"/>
      <c r="CP28" s="154"/>
      <c r="CQ28" s="154"/>
      <c r="CR28" s="154"/>
      <c r="CS28" s="189"/>
      <c r="CT28" s="158"/>
      <c r="CU28" s="19"/>
    </row>
    <row r="29" spans="1:99" s="12" customFormat="1" ht="13" x14ac:dyDescent="0.3">
      <c r="A29" s="12">
        <v>8221</v>
      </c>
      <c r="B29" s="12" t="s">
        <v>139</v>
      </c>
      <c r="C29" s="282">
        <v>913</v>
      </c>
      <c r="D29" s="54">
        <v>346</v>
      </c>
      <c r="E29" s="895">
        <f t="shared" si="2"/>
        <v>0.37897042716319823</v>
      </c>
      <c r="F29" s="221"/>
      <c r="G29" s="155"/>
      <c r="H29" s="161"/>
      <c r="I29" s="161"/>
      <c r="J29" s="153"/>
      <c r="K29" s="155"/>
      <c r="L29" s="539"/>
      <c r="M29" s="163"/>
      <c r="N29" s="337"/>
      <c r="O29" s="163"/>
      <c r="P29" s="164"/>
      <c r="Q29" s="164"/>
      <c r="R29" s="164"/>
      <c r="S29" s="164"/>
      <c r="T29" s="355"/>
      <c r="U29" s="160"/>
      <c r="V29" s="189"/>
      <c r="W29" s="158"/>
      <c r="X29" s="74">
        <v>214</v>
      </c>
      <c r="Y29" s="58">
        <v>121</v>
      </c>
      <c r="Z29" s="97">
        <v>184</v>
      </c>
      <c r="AA29" s="46">
        <v>171</v>
      </c>
      <c r="AB29" s="101"/>
      <c r="AC29" s="102"/>
      <c r="AD29" s="45"/>
      <c r="AE29" s="156"/>
      <c r="AF29" s="162"/>
      <c r="AG29" s="160"/>
      <c r="AH29" s="153"/>
      <c r="AI29" s="153"/>
      <c r="AJ29" s="153"/>
      <c r="AK29" s="158"/>
      <c r="AL29" s="159"/>
      <c r="AM29" s="153"/>
      <c r="AN29" s="162"/>
      <c r="AO29" s="154"/>
      <c r="AP29" s="160"/>
      <c r="AQ29" s="153"/>
      <c r="AR29" s="158"/>
      <c r="AS29" s="162"/>
      <c r="AT29" s="160"/>
      <c r="AU29" s="153"/>
      <c r="AV29" s="153"/>
      <c r="AW29" s="154"/>
      <c r="AX29" s="160"/>
      <c r="AY29" s="153"/>
      <c r="AZ29" s="156"/>
      <c r="BA29" s="162"/>
      <c r="BB29" s="154"/>
      <c r="BC29" s="158"/>
      <c r="BD29" s="153"/>
      <c r="BE29" s="160"/>
      <c r="BF29" s="162"/>
      <c r="BG29" s="158"/>
      <c r="BH29" s="159"/>
      <c r="BI29" s="153"/>
      <c r="BJ29" s="158"/>
      <c r="BK29" s="159"/>
      <c r="BL29" s="153"/>
      <c r="BM29" s="189"/>
      <c r="BN29" s="158"/>
      <c r="BO29" s="159"/>
      <c r="BP29" s="153"/>
      <c r="BQ29" s="158"/>
      <c r="BR29" s="162"/>
      <c r="BS29" s="160"/>
      <c r="BT29" s="161"/>
      <c r="BU29" s="161"/>
      <c r="BV29" s="161"/>
      <c r="BW29" s="153"/>
      <c r="BX29" s="153"/>
      <c r="BY29" s="153"/>
      <c r="BZ29" s="153"/>
      <c r="CA29" s="153"/>
      <c r="CB29" s="153"/>
      <c r="CC29" s="153"/>
      <c r="CD29" s="153"/>
      <c r="CE29" s="153"/>
      <c r="CF29" s="154"/>
      <c r="CG29" s="155"/>
      <c r="CH29" s="162"/>
      <c r="CI29" s="153"/>
      <c r="CJ29" s="158"/>
      <c r="CK29" s="159"/>
      <c r="CL29" s="539"/>
      <c r="CM29" s="153"/>
      <c r="CN29" s="155"/>
      <c r="CO29" s="153"/>
      <c r="CP29" s="154"/>
      <c r="CQ29" s="154"/>
      <c r="CR29" s="154"/>
      <c r="CS29" s="189"/>
      <c r="CT29" s="158"/>
      <c r="CU29" s="19"/>
    </row>
    <row r="30" spans="1:99" s="12" customFormat="1" ht="13" x14ac:dyDescent="0.3">
      <c r="A30" s="12">
        <v>8222</v>
      </c>
      <c r="B30" s="12" t="s">
        <v>140</v>
      </c>
      <c r="C30" s="282">
        <v>1404</v>
      </c>
      <c r="D30" s="54">
        <v>820</v>
      </c>
      <c r="E30" s="895">
        <f t="shared" si="2"/>
        <v>0.58404558404558404</v>
      </c>
      <c r="F30" s="221"/>
      <c r="G30" s="155"/>
      <c r="H30" s="161"/>
      <c r="I30" s="161"/>
      <c r="J30" s="153"/>
      <c r="K30" s="155"/>
      <c r="L30" s="539"/>
      <c r="M30" s="163"/>
      <c r="N30" s="337"/>
      <c r="O30" s="163"/>
      <c r="P30" s="164"/>
      <c r="Q30" s="164"/>
      <c r="R30" s="164"/>
      <c r="S30" s="164"/>
      <c r="T30" s="355"/>
      <c r="U30" s="160"/>
      <c r="V30" s="189"/>
      <c r="W30" s="158"/>
      <c r="X30" s="74">
        <v>610</v>
      </c>
      <c r="Y30" s="58">
        <v>174</v>
      </c>
      <c r="Z30" s="97">
        <v>436</v>
      </c>
      <c r="AA30" s="46">
        <v>386</v>
      </c>
      <c r="AB30" s="101"/>
      <c r="AC30" s="102"/>
      <c r="AD30" s="45"/>
      <c r="AE30" s="156"/>
      <c r="AF30" s="162"/>
      <c r="AG30" s="160"/>
      <c r="AH30" s="153"/>
      <c r="AI30" s="153"/>
      <c r="AJ30" s="153"/>
      <c r="AK30" s="158"/>
      <c r="AL30" s="159"/>
      <c r="AM30" s="153"/>
      <c r="AN30" s="162"/>
      <c r="AO30" s="154"/>
      <c r="AP30" s="160"/>
      <c r="AQ30" s="153"/>
      <c r="AR30" s="158"/>
      <c r="AS30" s="162"/>
      <c r="AT30" s="160"/>
      <c r="AU30" s="153"/>
      <c r="AV30" s="153"/>
      <c r="AW30" s="154"/>
      <c r="AX30" s="160"/>
      <c r="AY30" s="153"/>
      <c r="AZ30" s="156"/>
      <c r="BA30" s="162"/>
      <c r="BB30" s="154"/>
      <c r="BC30" s="158"/>
      <c r="BD30" s="153"/>
      <c r="BE30" s="160"/>
      <c r="BF30" s="162"/>
      <c r="BG30" s="158"/>
      <c r="BH30" s="159"/>
      <c r="BI30" s="153"/>
      <c r="BJ30" s="158"/>
      <c r="BK30" s="159"/>
      <c r="BL30" s="153"/>
      <c r="BM30" s="189"/>
      <c r="BN30" s="158"/>
      <c r="BO30" s="159"/>
      <c r="BP30" s="153"/>
      <c r="BQ30" s="158"/>
      <c r="BR30" s="162"/>
      <c r="BS30" s="160"/>
      <c r="BT30" s="161"/>
      <c r="BU30" s="161"/>
      <c r="BV30" s="161"/>
      <c r="BW30" s="153"/>
      <c r="BX30" s="153"/>
      <c r="BY30" s="153"/>
      <c r="BZ30" s="153"/>
      <c r="CA30" s="153"/>
      <c r="CB30" s="153"/>
      <c r="CC30" s="153"/>
      <c r="CD30" s="153"/>
      <c r="CE30" s="153"/>
      <c r="CF30" s="154"/>
      <c r="CG30" s="155"/>
      <c r="CH30" s="162"/>
      <c r="CI30" s="153"/>
      <c r="CJ30" s="158"/>
      <c r="CK30" s="159"/>
      <c r="CL30" s="539"/>
      <c r="CM30" s="153"/>
      <c r="CN30" s="155"/>
      <c r="CO30" s="153"/>
      <c r="CP30" s="154"/>
      <c r="CQ30" s="154"/>
      <c r="CR30" s="154"/>
      <c r="CS30" s="189"/>
      <c r="CT30" s="158"/>
      <c r="CU30" s="19"/>
    </row>
    <row r="31" spans="1:99" s="12" customFormat="1" ht="13" x14ac:dyDescent="0.3">
      <c r="A31" s="12">
        <v>8231</v>
      </c>
      <c r="B31" s="12" t="s">
        <v>141</v>
      </c>
      <c r="C31" s="282">
        <v>768</v>
      </c>
      <c r="D31" s="54">
        <v>483</v>
      </c>
      <c r="E31" s="895">
        <f t="shared" si="2"/>
        <v>0.62890625</v>
      </c>
      <c r="F31" s="221"/>
      <c r="G31" s="155"/>
      <c r="H31" s="161"/>
      <c r="I31" s="161"/>
      <c r="J31" s="153"/>
      <c r="K31" s="155"/>
      <c r="L31" s="539"/>
      <c r="M31" s="163"/>
      <c r="N31" s="337"/>
      <c r="O31" s="163"/>
      <c r="P31" s="164"/>
      <c r="Q31" s="164"/>
      <c r="R31" s="164"/>
      <c r="S31" s="164"/>
      <c r="T31" s="355"/>
      <c r="U31" s="160"/>
      <c r="V31" s="189"/>
      <c r="W31" s="158"/>
      <c r="X31" s="162"/>
      <c r="Y31" s="155"/>
      <c r="Z31" s="223"/>
      <c r="AA31" s="158"/>
      <c r="AB31" s="159"/>
      <c r="AC31" s="161"/>
      <c r="AD31" s="153"/>
      <c r="AE31" s="156"/>
      <c r="AF31" s="162"/>
      <c r="AG31" s="160"/>
      <c r="AH31" s="153"/>
      <c r="AI31" s="153"/>
      <c r="AJ31" s="153"/>
      <c r="AK31" s="158"/>
      <c r="AL31" s="159"/>
      <c r="AM31" s="153"/>
      <c r="AN31" s="162"/>
      <c r="AO31" s="154"/>
      <c r="AP31" s="160"/>
      <c r="AQ31" s="153"/>
      <c r="AR31" s="158"/>
      <c r="AS31" s="162"/>
      <c r="AT31" s="160"/>
      <c r="AU31" s="153"/>
      <c r="AV31" s="153"/>
      <c r="AW31" s="154"/>
      <c r="AX31" s="160"/>
      <c r="AY31" s="153"/>
      <c r="AZ31" s="156"/>
      <c r="BA31" s="162"/>
      <c r="BB31" s="154"/>
      <c r="BC31" s="158"/>
      <c r="BD31" s="153"/>
      <c r="BE31" s="160"/>
      <c r="BF31" s="162"/>
      <c r="BG31" s="158"/>
      <c r="BH31" s="159"/>
      <c r="BI31" s="153"/>
      <c r="BJ31" s="158"/>
      <c r="BK31" s="159"/>
      <c r="BL31" s="153"/>
      <c r="BM31" s="189"/>
      <c r="BN31" s="158"/>
      <c r="BO31" s="159">
        <v>371</v>
      </c>
      <c r="BP31" s="165">
        <v>327</v>
      </c>
      <c r="BQ31" s="167">
        <v>285</v>
      </c>
      <c r="BR31" s="221"/>
      <c r="BS31" s="327"/>
      <c r="BT31" s="142"/>
      <c r="BU31" s="142"/>
      <c r="BV31" s="142"/>
      <c r="BW31" s="171"/>
      <c r="BX31" s="171"/>
      <c r="BY31" s="171"/>
      <c r="BZ31" s="171"/>
      <c r="CA31" s="171"/>
      <c r="CB31" s="171"/>
      <c r="CC31" s="171"/>
      <c r="CD31" s="171"/>
      <c r="CE31" s="171"/>
      <c r="CF31" s="172"/>
      <c r="CG31" s="174"/>
      <c r="CH31" s="221"/>
      <c r="CI31" s="171"/>
      <c r="CJ31" s="176"/>
      <c r="CK31" s="152"/>
      <c r="CL31" s="539"/>
      <c r="CM31" s="153"/>
      <c r="CN31" s="155"/>
      <c r="CO31" s="153"/>
      <c r="CP31" s="154"/>
      <c r="CQ31" s="154"/>
      <c r="CR31" s="154"/>
      <c r="CS31" s="189"/>
      <c r="CT31" s="158"/>
      <c r="CU31" s="19"/>
    </row>
    <row r="32" spans="1:99" s="12" customFormat="1" ht="13" x14ac:dyDescent="0.3">
      <c r="A32" s="12">
        <v>8401</v>
      </c>
      <c r="B32" s="12" t="s">
        <v>142</v>
      </c>
      <c r="C32" s="282">
        <v>843</v>
      </c>
      <c r="D32" s="54">
        <v>488</v>
      </c>
      <c r="E32" s="895">
        <f t="shared" si="2"/>
        <v>0.5788849347568209</v>
      </c>
      <c r="F32" s="221"/>
      <c r="G32" s="155"/>
      <c r="H32" s="161"/>
      <c r="I32" s="161"/>
      <c r="J32" s="153"/>
      <c r="K32" s="155"/>
      <c r="L32" s="539"/>
      <c r="M32" s="163"/>
      <c r="N32" s="337"/>
      <c r="O32" s="163"/>
      <c r="P32" s="164"/>
      <c r="Q32" s="164"/>
      <c r="R32" s="164"/>
      <c r="S32" s="164"/>
      <c r="T32" s="355"/>
      <c r="U32" s="160"/>
      <c r="V32" s="189"/>
      <c r="W32" s="158"/>
      <c r="X32" s="162"/>
      <c r="Y32" s="155"/>
      <c r="Z32" s="223"/>
      <c r="AA32" s="158"/>
      <c r="AB32" s="159"/>
      <c r="AC32" s="161"/>
      <c r="AD32" s="153"/>
      <c r="AE32" s="156"/>
      <c r="AF32" s="162"/>
      <c r="AG32" s="160"/>
      <c r="AH32" s="153"/>
      <c r="AI32" s="153"/>
      <c r="AJ32" s="153"/>
      <c r="AK32" s="158"/>
      <c r="AL32" s="159"/>
      <c r="AM32" s="153"/>
      <c r="AN32" s="162"/>
      <c r="AO32" s="154"/>
      <c r="AP32" s="160"/>
      <c r="AQ32" s="153"/>
      <c r="AR32" s="158"/>
      <c r="AS32" s="162"/>
      <c r="AT32" s="160"/>
      <c r="AU32" s="153"/>
      <c r="AV32" s="153"/>
      <c r="AW32" s="154"/>
      <c r="AX32" s="160"/>
      <c r="AY32" s="153"/>
      <c r="AZ32" s="156"/>
      <c r="BA32" s="162"/>
      <c r="BB32" s="154"/>
      <c r="BC32" s="158"/>
      <c r="BD32" s="153"/>
      <c r="BE32" s="160"/>
      <c r="BF32" s="162"/>
      <c r="BG32" s="158"/>
      <c r="BH32" s="159"/>
      <c r="BI32" s="153"/>
      <c r="BJ32" s="158"/>
      <c r="BK32" s="159">
        <v>363</v>
      </c>
      <c r="BL32" s="45">
        <v>197</v>
      </c>
      <c r="BM32" s="53">
        <v>248</v>
      </c>
      <c r="BN32" s="46">
        <v>217</v>
      </c>
      <c r="BO32" s="101"/>
      <c r="BP32" s="153"/>
      <c r="BQ32" s="158"/>
      <c r="BR32" s="162"/>
      <c r="BS32" s="160"/>
      <c r="BT32" s="161"/>
      <c r="BU32" s="161"/>
      <c r="BV32" s="161"/>
      <c r="BW32" s="153"/>
      <c r="BX32" s="153"/>
      <c r="BY32" s="153"/>
      <c r="BZ32" s="153"/>
      <c r="CA32" s="153"/>
      <c r="CB32" s="153"/>
      <c r="CC32" s="153"/>
      <c r="CD32" s="153"/>
      <c r="CE32" s="153"/>
      <c r="CF32" s="154"/>
      <c r="CG32" s="155"/>
      <c r="CH32" s="162"/>
      <c r="CI32" s="153"/>
      <c r="CJ32" s="158"/>
      <c r="CK32" s="159"/>
      <c r="CL32" s="539"/>
      <c r="CM32" s="153"/>
      <c r="CN32" s="155"/>
      <c r="CO32" s="153"/>
      <c r="CP32" s="154"/>
      <c r="CQ32" s="154"/>
      <c r="CR32" s="154"/>
      <c r="CS32" s="189"/>
      <c r="CT32" s="158"/>
      <c r="CU32" s="19"/>
    </row>
    <row r="33" spans="1:99" s="12" customFormat="1" ht="13" x14ac:dyDescent="0.3">
      <c r="A33" s="12">
        <v>8402</v>
      </c>
      <c r="B33" s="12" t="s">
        <v>143</v>
      </c>
      <c r="C33" s="282">
        <v>1211</v>
      </c>
      <c r="D33" s="54">
        <v>639</v>
      </c>
      <c r="E33" s="895">
        <f t="shared" si="2"/>
        <v>0.52766308835672993</v>
      </c>
      <c r="F33" s="221"/>
      <c r="G33" s="155"/>
      <c r="H33" s="161"/>
      <c r="I33" s="161"/>
      <c r="J33" s="153"/>
      <c r="K33" s="155"/>
      <c r="L33" s="539"/>
      <c r="M33" s="163"/>
      <c r="N33" s="337"/>
      <c r="O33" s="163"/>
      <c r="P33" s="164"/>
      <c r="Q33" s="164"/>
      <c r="R33" s="164"/>
      <c r="S33" s="164"/>
      <c r="T33" s="355"/>
      <c r="U33" s="160"/>
      <c r="V33" s="189"/>
      <c r="W33" s="158"/>
      <c r="X33" s="162"/>
      <c r="Y33" s="155"/>
      <c r="Z33" s="223"/>
      <c r="AA33" s="158"/>
      <c r="AB33" s="159"/>
      <c r="AC33" s="161"/>
      <c r="AD33" s="153"/>
      <c r="AE33" s="156"/>
      <c r="AF33" s="162"/>
      <c r="AG33" s="160"/>
      <c r="AH33" s="153"/>
      <c r="AI33" s="153"/>
      <c r="AJ33" s="153"/>
      <c r="AK33" s="158"/>
      <c r="AL33" s="159"/>
      <c r="AM33" s="153"/>
      <c r="AN33" s="162"/>
      <c r="AO33" s="154"/>
      <c r="AP33" s="160"/>
      <c r="AQ33" s="153"/>
      <c r="AR33" s="158"/>
      <c r="AS33" s="162"/>
      <c r="AT33" s="160"/>
      <c r="AU33" s="153"/>
      <c r="AV33" s="153"/>
      <c r="AW33" s="154"/>
      <c r="AX33" s="160"/>
      <c r="AY33" s="153"/>
      <c r="AZ33" s="156"/>
      <c r="BA33" s="162"/>
      <c r="BB33" s="154"/>
      <c r="BC33" s="158"/>
      <c r="BD33" s="153"/>
      <c r="BE33" s="160"/>
      <c r="BF33" s="162"/>
      <c r="BG33" s="158"/>
      <c r="BH33" s="159"/>
      <c r="BI33" s="153"/>
      <c r="BJ33" s="158"/>
      <c r="BK33" s="159">
        <v>473</v>
      </c>
      <c r="BL33" s="45">
        <v>360</v>
      </c>
      <c r="BM33" s="53">
        <v>247</v>
      </c>
      <c r="BN33" s="46">
        <v>241</v>
      </c>
      <c r="BO33" s="101"/>
      <c r="BP33" s="153"/>
      <c r="BQ33" s="158"/>
      <c r="BR33" s="162"/>
      <c r="BS33" s="160"/>
      <c r="BT33" s="161"/>
      <c r="BU33" s="161"/>
      <c r="BV33" s="161"/>
      <c r="BW33" s="153"/>
      <c r="BX33" s="153"/>
      <c r="BY33" s="153"/>
      <c r="BZ33" s="153"/>
      <c r="CA33" s="153"/>
      <c r="CB33" s="153"/>
      <c r="CC33" s="153"/>
      <c r="CD33" s="153"/>
      <c r="CE33" s="153"/>
      <c r="CF33" s="154"/>
      <c r="CG33" s="155"/>
      <c r="CH33" s="162"/>
      <c r="CI33" s="153"/>
      <c r="CJ33" s="158"/>
      <c r="CK33" s="159"/>
      <c r="CL33" s="539"/>
      <c r="CM33" s="153"/>
      <c r="CN33" s="155"/>
      <c r="CO33" s="153"/>
      <c r="CP33" s="154"/>
      <c r="CQ33" s="154"/>
      <c r="CR33" s="154"/>
      <c r="CS33" s="189"/>
      <c r="CT33" s="158"/>
      <c r="CU33" s="19"/>
    </row>
    <row r="34" spans="1:99" s="12" customFormat="1" ht="13" x14ac:dyDescent="0.3">
      <c r="A34" s="254">
        <v>8511</v>
      </c>
      <c r="B34" s="11" t="s">
        <v>621</v>
      </c>
      <c r="C34" s="282">
        <v>791</v>
      </c>
      <c r="D34" s="54">
        <v>392</v>
      </c>
      <c r="E34" s="895">
        <f t="shared" si="2"/>
        <v>0.49557522123893805</v>
      </c>
      <c r="F34" s="221"/>
      <c r="G34" s="155"/>
      <c r="H34" s="161"/>
      <c r="I34" s="161"/>
      <c r="J34" s="153"/>
      <c r="K34" s="155"/>
      <c r="L34" s="539"/>
      <c r="M34" s="163"/>
      <c r="N34" s="337"/>
      <c r="O34" s="163"/>
      <c r="P34" s="164"/>
      <c r="Q34" s="164"/>
      <c r="R34" s="164"/>
      <c r="S34" s="164"/>
      <c r="T34" s="355"/>
      <c r="U34" s="160"/>
      <c r="V34" s="189"/>
      <c r="W34" s="158"/>
      <c r="X34" s="162"/>
      <c r="Y34" s="155"/>
      <c r="Z34" s="223"/>
      <c r="AA34" s="158"/>
      <c r="AB34" s="159"/>
      <c r="AC34" s="161"/>
      <c r="AD34" s="153"/>
      <c r="AE34" s="156"/>
      <c r="AF34" s="162"/>
      <c r="AG34" s="160"/>
      <c r="AH34" s="153"/>
      <c r="AI34" s="153"/>
      <c r="AJ34" s="153"/>
      <c r="AK34" s="158"/>
      <c r="AL34" s="159"/>
      <c r="AM34" s="153"/>
      <c r="AN34" s="162"/>
      <c r="AO34" s="154"/>
      <c r="AP34" s="160"/>
      <c r="AQ34" s="153"/>
      <c r="AR34" s="158"/>
      <c r="AS34" s="162"/>
      <c r="AT34" s="160"/>
      <c r="AU34" s="153"/>
      <c r="AV34" s="153"/>
      <c r="AW34" s="154"/>
      <c r="AX34" s="160"/>
      <c r="AY34" s="153"/>
      <c r="AZ34" s="156"/>
      <c r="BA34" s="162"/>
      <c r="BB34" s="154"/>
      <c r="BC34" s="158"/>
      <c r="BD34" s="153"/>
      <c r="BE34" s="160"/>
      <c r="BF34" s="162"/>
      <c r="BG34" s="158"/>
      <c r="BH34" s="159"/>
      <c r="BI34" s="153"/>
      <c r="BJ34" s="158"/>
      <c r="BK34" s="159"/>
      <c r="BL34" s="171"/>
      <c r="BM34" s="331"/>
      <c r="BN34" s="176"/>
      <c r="BO34" s="152"/>
      <c r="BP34" s="153"/>
      <c r="BQ34" s="158"/>
      <c r="BR34" s="74">
        <v>162</v>
      </c>
      <c r="BS34" s="107">
        <v>215</v>
      </c>
      <c r="BT34" s="102">
        <v>273</v>
      </c>
      <c r="BU34" s="102">
        <v>266</v>
      </c>
      <c r="BV34" s="102">
        <v>238</v>
      </c>
      <c r="BW34" s="45">
        <v>100</v>
      </c>
      <c r="BX34" s="45">
        <v>145</v>
      </c>
      <c r="BY34" s="45">
        <v>183</v>
      </c>
      <c r="BZ34" s="45">
        <v>181</v>
      </c>
      <c r="CA34" s="45">
        <v>203</v>
      </c>
      <c r="CB34" s="45">
        <v>218</v>
      </c>
      <c r="CC34" s="45">
        <v>132</v>
      </c>
      <c r="CD34" s="45">
        <v>153</v>
      </c>
      <c r="CE34" s="45">
        <v>167</v>
      </c>
      <c r="CF34" s="54">
        <v>174</v>
      </c>
      <c r="CG34" s="58">
        <v>25</v>
      </c>
      <c r="CH34" s="162"/>
      <c r="CI34" s="153"/>
      <c r="CJ34" s="158"/>
      <c r="CK34" s="159"/>
      <c r="CL34" s="539"/>
      <c r="CM34" s="153"/>
      <c r="CN34" s="155"/>
      <c r="CO34" s="153"/>
      <c r="CP34" s="154"/>
      <c r="CQ34" s="154"/>
      <c r="CR34" s="154"/>
      <c r="CS34" s="189"/>
      <c r="CT34" s="158"/>
      <c r="CU34" s="19"/>
    </row>
    <row r="35" spans="1:99" s="12" customFormat="1" ht="13" x14ac:dyDescent="0.3">
      <c r="A35" s="254">
        <v>8521</v>
      </c>
      <c r="B35" s="11" t="s">
        <v>622</v>
      </c>
      <c r="C35" s="282">
        <v>772</v>
      </c>
      <c r="D35" s="54">
        <v>380</v>
      </c>
      <c r="E35" s="895">
        <f t="shared" si="2"/>
        <v>0.49222797927461137</v>
      </c>
      <c r="F35" s="221"/>
      <c r="G35" s="155"/>
      <c r="H35" s="161"/>
      <c r="I35" s="161"/>
      <c r="J35" s="153"/>
      <c r="K35" s="155"/>
      <c r="L35" s="539"/>
      <c r="M35" s="163"/>
      <c r="N35" s="337"/>
      <c r="O35" s="163"/>
      <c r="P35" s="164"/>
      <c r="Q35" s="164"/>
      <c r="R35" s="164"/>
      <c r="S35" s="164"/>
      <c r="T35" s="355"/>
      <c r="U35" s="160"/>
      <c r="V35" s="189"/>
      <c r="W35" s="158"/>
      <c r="X35" s="162"/>
      <c r="Y35" s="155"/>
      <c r="Z35" s="223"/>
      <c r="AA35" s="158"/>
      <c r="AB35" s="159"/>
      <c r="AC35" s="161"/>
      <c r="AD35" s="153"/>
      <c r="AE35" s="156"/>
      <c r="AF35" s="162"/>
      <c r="AG35" s="160"/>
      <c r="AH35" s="153"/>
      <c r="AI35" s="153"/>
      <c r="AJ35" s="153"/>
      <c r="AK35" s="158"/>
      <c r="AL35" s="159"/>
      <c r="AM35" s="153"/>
      <c r="AN35" s="162"/>
      <c r="AO35" s="154"/>
      <c r="AP35" s="160"/>
      <c r="AQ35" s="153"/>
      <c r="AR35" s="158"/>
      <c r="AS35" s="162"/>
      <c r="AT35" s="160"/>
      <c r="AU35" s="153"/>
      <c r="AV35" s="153"/>
      <c r="AW35" s="154"/>
      <c r="AX35" s="160"/>
      <c r="AY35" s="153"/>
      <c r="AZ35" s="156"/>
      <c r="BA35" s="162"/>
      <c r="BB35" s="154"/>
      <c r="BC35" s="158"/>
      <c r="BD35" s="153"/>
      <c r="BE35" s="160"/>
      <c r="BF35" s="162"/>
      <c r="BG35" s="158"/>
      <c r="BH35" s="159"/>
      <c r="BI35" s="153"/>
      <c r="BJ35" s="158"/>
      <c r="BK35" s="159"/>
      <c r="BL35" s="171"/>
      <c r="BM35" s="331"/>
      <c r="BN35" s="176"/>
      <c r="BO35" s="152"/>
      <c r="BP35" s="153"/>
      <c r="BQ35" s="158"/>
      <c r="BR35" s="74">
        <v>141</v>
      </c>
      <c r="BS35" s="107">
        <v>220</v>
      </c>
      <c r="BT35" s="102">
        <v>252</v>
      </c>
      <c r="BU35" s="102">
        <v>240</v>
      </c>
      <c r="BV35" s="102">
        <v>235</v>
      </c>
      <c r="BW35" s="45">
        <v>114</v>
      </c>
      <c r="BX35" s="45">
        <v>132</v>
      </c>
      <c r="BY35" s="45">
        <v>197</v>
      </c>
      <c r="BZ35" s="45">
        <v>159</v>
      </c>
      <c r="CA35" s="45">
        <v>163</v>
      </c>
      <c r="CB35" s="45">
        <v>224</v>
      </c>
      <c r="CC35" s="45">
        <v>126</v>
      </c>
      <c r="CD35" s="45">
        <v>156</v>
      </c>
      <c r="CE35" s="45">
        <v>164</v>
      </c>
      <c r="CF35" s="54">
        <v>153</v>
      </c>
      <c r="CG35" s="58">
        <v>29</v>
      </c>
      <c r="CH35" s="162"/>
      <c r="CI35" s="153"/>
      <c r="CJ35" s="158"/>
      <c r="CK35" s="159"/>
      <c r="CL35" s="539"/>
      <c r="CM35" s="153"/>
      <c r="CN35" s="155"/>
      <c r="CO35" s="153"/>
      <c r="CP35" s="154"/>
      <c r="CQ35" s="154"/>
      <c r="CR35" s="154"/>
      <c r="CS35" s="189"/>
      <c r="CT35" s="158"/>
      <c r="CU35" s="19"/>
    </row>
    <row r="36" spans="1:99" s="12" customFormat="1" ht="13" x14ac:dyDescent="0.3">
      <c r="A36" s="254">
        <v>8531</v>
      </c>
      <c r="B36" s="11" t="s">
        <v>623</v>
      </c>
      <c r="C36" s="282">
        <v>742</v>
      </c>
      <c r="D36" s="54">
        <v>422</v>
      </c>
      <c r="E36" s="895">
        <f t="shared" si="2"/>
        <v>0.56873315363881405</v>
      </c>
      <c r="F36" s="221"/>
      <c r="G36" s="155"/>
      <c r="H36" s="161"/>
      <c r="I36" s="161"/>
      <c r="J36" s="153"/>
      <c r="K36" s="155"/>
      <c r="L36" s="539"/>
      <c r="M36" s="163"/>
      <c r="N36" s="337"/>
      <c r="O36" s="163"/>
      <c r="P36" s="164"/>
      <c r="Q36" s="164"/>
      <c r="R36" s="164"/>
      <c r="S36" s="164"/>
      <c r="T36" s="355"/>
      <c r="U36" s="160"/>
      <c r="V36" s="189"/>
      <c r="W36" s="158"/>
      <c r="X36" s="162"/>
      <c r="Y36" s="155"/>
      <c r="Z36" s="223"/>
      <c r="AA36" s="158"/>
      <c r="AB36" s="159"/>
      <c r="AC36" s="161"/>
      <c r="AD36" s="153"/>
      <c r="AE36" s="156"/>
      <c r="AF36" s="162"/>
      <c r="AG36" s="160"/>
      <c r="AH36" s="153"/>
      <c r="AI36" s="153"/>
      <c r="AJ36" s="153"/>
      <c r="AK36" s="158"/>
      <c r="AL36" s="159"/>
      <c r="AM36" s="153"/>
      <c r="AN36" s="162"/>
      <c r="AO36" s="154"/>
      <c r="AP36" s="160"/>
      <c r="AQ36" s="153"/>
      <c r="AR36" s="158"/>
      <c r="AS36" s="162"/>
      <c r="AT36" s="160"/>
      <c r="AU36" s="153"/>
      <c r="AV36" s="153"/>
      <c r="AW36" s="154"/>
      <c r="AX36" s="160"/>
      <c r="AY36" s="153"/>
      <c r="AZ36" s="156"/>
      <c r="BA36" s="162"/>
      <c r="BB36" s="154"/>
      <c r="BC36" s="158"/>
      <c r="BD36" s="153"/>
      <c r="BE36" s="160"/>
      <c r="BF36" s="162"/>
      <c r="BG36" s="158"/>
      <c r="BH36" s="159"/>
      <c r="BI36" s="153"/>
      <c r="BJ36" s="158"/>
      <c r="BK36" s="159"/>
      <c r="BL36" s="171"/>
      <c r="BM36" s="331"/>
      <c r="BN36" s="176"/>
      <c r="BO36" s="152"/>
      <c r="BP36" s="153"/>
      <c r="BQ36" s="158"/>
      <c r="BR36" s="74">
        <v>160</v>
      </c>
      <c r="BS36" s="107">
        <v>237</v>
      </c>
      <c r="BT36" s="102">
        <v>296</v>
      </c>
      <c r="BU36" s="102">
        <v>279</v>
      </c>
      <c r="BV36" s="102">
        <v>262</v>
      </c>
      <c r="BW36" s="45">
        <v>107</v>
      </c>
      <c r="BX36" s="45">
        <v>135</v>
      </c>
      <c r="BY36" s="45">
        <v>191</v>
      </c>
      <c r="BZ36" s="45">
        <v>169</v>
      </c>
      <c r="CA36" s="45">
        <v>168</v>
      </c>
      <c r="CB36" s="45">
        <v>211</v>
      </c>
      <c r="CC36" s="45">
        <v>159</v>
      </c>
      <c r="CD36" s="45">
        <v>198</v>
      </c>
      <c r="CE36" s="45">
        <v>192</v>
      </c>
      <c r="CF36" s="54">
        <v>159</v>
      </c>
      <c r="CG36" s="58">
        <v>25</v>
      </c>
      <c r="CH36" s="162"/>
      <c r="CI36" s="153"/>
      <c r="CJ36" s="158"/>
      <c r="CK36" s="159"/>
      <c r="CL36" s="539"/>
      <c r="CM36" s="153"/>
      <c r="CN36" s="155"/>
      <c r="CO36" s="153"/>
      <c r="CP36" s="154"/>
      <c r="CQ36" s="154"/>
      <c r="CR36" s="154"/>
      <c r="CS36" s="189"/>
      <c r="CT36" s="158"/>
      <c r="CU36" s="19"/>
    </row>
    <row r="37" spans="1:99" s="12" customFormat="1" ht="13" x14ac:dyDescent="0.3">
      <c r="A37" s="254">
        <v>8541</v>
      </c>
      <c r="B37" s="11" t="s">
        <v>624</v>
      </c>
      <c r="C37" s="282">
        <v>720</v>
      </c>
      <c r="D37" s="54">
        <v>376</v>
      </c>
      <c r="E37" s="895">
        <f t="shared" si="2"/>
        <v>0.52222222222222225</v>
      </c>
      <c r="F37" s="221"/>
      <c r="G37" s="155"/>
      <c r="H37" s="161"/>
      <c r="I37" s="161"/>
      <c r="J37" s="153"/>
      <c r="K37" s="155"/>
      <c r="L37" s="539"/>
      <c r="M37" s="163"/>
      <c r="N37" s="337"/>
      <c r="O37" s="163"/>
      <c r="P37" s="164"/>
      <c r="Q37" s="164"/>
      <c r="R37" s="164"/>
      <c r="S37" s="164"/>
      <c r="T37" s="355"/>
      <c r="U37" s="160"/>
      <c r="V37" s="189"/>
      <c r="W37" s="158"/>
      <c r="X37" s="162"/>
      <c r="Y37" s="155"/>
      <c r="Z37" s="223"/>
      <c r="AA37" s="158"/>
      <c r="AB37" s="159"/>
      <c r="AC37" s="161"/>
      <c r="AD37" s="153"/>
      <c r="AE37" s="156"/>
      <c r="AF37" s="162"/>
      <c r="AG37" s="160"/>
      <c r="AH37" s="153"/>
      <c r="AI37" s="153"/>
      <c r="AJ37" s="153"/>
      <c r="AK37" s="158"/>
      <c r="AL37" s="159"/>
      <c r="AM37" s="153"/>
      <c r="AN37" s="162"/>
      <c r="AO37" s="154"/>
      <c r="AP37" s="160"/>
      <c r="AQ37" s="153"/>
      <c r="AR37" s="158"/>
      <c r="AS37" s="162"/>
      <c r="AT37" s="160"/>
      <c r="AU37" s="153"/>
      <c r="AV37" s="153"/>
      <c r="AW37" s="154"/>
      <c r="AX37" s="160"/>
      <c r="AY37" s="153"/>
      <c r="AZ37" s="156"/>
      <c r="BA37" s="162"/>
      <c r="BB37" s="154"/>
      <c r="BC37" s="158"/>
      <c r="BD37" s="153"/>
      <c r="BE37" s="160"/>
      <c r="BF37" s="162"/>
      <c r="BG37" s="158"/>
      <c r="BH37" s="159"/>
      <c r="BI37" s="153"/>
      <c r="BJ37" s="158"/>
      <c r="BK37" s="159"/>
      <c r="BL37" s="171"/>
      <c r="BM37" s="331"/>
      <c r="BN37" s="176"/>
      <c r="BO37" s="152"/>
      <c r="BP37" s="153"/>
      <c r="BQ37" s="158"/>
      <c r="BR37" s="74">
        <v>127</v>
      </c>
      <c r="BS37" s="107">
        <v>215</v>
      </c>
      <c r="BT37" s="102">
        <v>257</v>
      </c>
      <c r="BU37" s="102">
        <v>238</v>
      </c>
      <c r="BV37" s="102">
        <v>225</v>
      </c>
      <c r="BW37" s="45">
        <v>99</v>
      </c>
      <c r="BX37" s="45">
        <v>123</v>
      </c>
      <c r="BY37" s="45">
        <v>174</v>
      </c>
      <c r="BZ37" s="45">
        <v>154</v>
      </c>
      <c r="CA37" s="45">
        <v>160</v>
      </c>
      <c r="CB37" s="45">
        <v>178</v>
      </c>
      <c r="CC37" s="45">
        <v>152</v>
      </c>
      <c r="CD37" s="45">
        <v>182</v>
      </c>
      <c r="CE37" s="45">
        <v>186</v>
      </c>
      <c r="CF37" s="54">
        <v>169</v>
      </c>
      <c r="CG37" s="58">
        <v>30</v>
      </c>
      <c r="CH37" s="162"/>
      <c r="CI37" s="153"/>
      <c r="CJ37" s="158"/>
      <c r="CK37" s="159"/>
      <c r="CL37" s="539"/>
      <c r="CM37" s="153"/>
      <c r="CN37" s="155"/>
      <c r="CO37" s="153"/>
      <c r="CP37" s="154"/>
      <c r="CQ37" s="154"/>
      <c r="CR37" s="154"/>
      <c r="CS37" s="189"/>
      <c r="CT37" s="158"/>
      <c r="CU37" s="19"/>
    </row>
    <row r="38" spans="1:99" s="12" customFormat="1" ht="13" x14ac:dyDescent="0.3">
      <c r="A38" s="254">
        <v>8601</v>
      </c>
      <c r="B38" s="11" t="s">
        <v>625</v>
      </c>
      <c r="C38" s="282">
        <v>1132</v>
      </c>
      <c r="D38" s="54">
        <v>607</v>
      </c>
      <c r="E38" s="895">
        <f t="shared" si="2"/>
        <v>0.53621908127208484</v>
      </c>
      <c r="F38" s="221"/>
      <c r="G38" s="155"/>
      <c r="H38" s="161"/>
      <c r="I38" s="161"/>
      <c r="J38" s="153"/>
      <c r="K38" s="155"/>
      <c r="L38" s="539"/>
      <c r="M38" s="163"/>
      <c r="N38" s="337"/>
      <c r="O38" s="163"/>
      <c r="P38" s="164"/>
      <c r="Q38" s="164"/>
      <c r="R38" s="164"/>
      <c r="S38" s="164"/>
      <c r="T38" s="355"/>
      <c r="U38" s="160"/>
      <c r="V38" s="189"/>
      <c r="W38" s="158"/>
      <c r="X38" s="162"/>
      <c r="Y38" s="155"/>
      <c r="Z38" s="223"/>
      <c r="AA38" s="158"/>
      <c r="AB38" s="159"/>
      <c r="AC38" s="161"/>
      <c r="AD38" s="153"/>
      <c r="AE38" s="156"/>
      <c r="AF38" s="162"/>
      <c r="AG38" s="160"/>
      <c r="AH38" s="153"/>
      <c r="AI38" s="153"/>
      <c r="AJ38" s="153"/>
      <c r="AK38" s="158"/>
      <c r="AL38" s="159"/>
      <c r="AM38" s="153"/>
      <c r="AN38" s="162"/>
      <c r="AO38" s="154"/>
      <c r="AP38" s="160"/>
      <c r="AQ38" s="153"/>
      <c r="AR38" s="158"/>
      <c r="AS38" s="162"/>
      <c r="AT38" s="160"/>
      <c r="AU38" s="153"/>
      <c r="AV38" s="153"/>
      <c r="AW38" s="154"/>
      <c r="AX38" s="160"/>
      <c r="AY38" s="153"/>
      <c r="AZ38" s="156"/>
      <c r="BA38" s="162"/>
      <c r="BB38" s="154"/>
      <c r="BC38" s="158"/>
      <c r="BD38" s="153"/>
      <c r="BE38" s="160"/>
      <c r="BF38" s="162"/>
      <c r="BG38" s="158"/>
      <c r="BH38" s="159"/>
      <c r="BI38" s="153"/>
      <c r="BJ38" s="158"/>
      <c r="BK38" s="159"/>
      <c r="BL38" s="171"/>
      <c r="BM38" s="331"/>
      <c r="BN38" s="176"/>
      <c r="BO38" s="152"/>
      <c r="BP38" s="153"/>
      <c r="BQ38" s="158"/>
      <c r="BR38" s="162"/>
      <c r="BS38" s="160"/>
      <c r="BT38" s="161"/>
      <c r="BU38" s="161"/>
      <c r="BV38" s="161"/>
      <c r="BW38" s="153"/>
      <c r="BX38" s="153"/>
      <c r="BY38" s="153"/>
      <c r="BZ38" s="153"/>
      <c r="CA38" s="153"/>
      <c r="CB38" s="153"/>
      <c r="CC38" s="153"/>
      <c r="CD38" s="153"/>
      <c r="CE38" s="153"/>
      <c r="CF38" s="154"/>
      <c r="CG38" s="155"/>
      <c r="CH38" s="74">
        <v>308</v>
      </c>
      <c r="CI38" s="45">
        <v>374</v>
      </c>
      <c r="CJ38" s="46">
        <v>269</v>
      </c>
      <c r="CK38" s="101"/>
      <c r="CL38" s="539"/>
      <c r="CM38" s="153"/>
      <c r="CN38" s="155"/>
      <c r="CO38" s="153"/>
      <c r="CP38" s="154"/>
      <c r="CQ38" s="154"/>
      <c r="CR38" s="154"/>
      <c r="CS38" s="189"/>
      <c r="CT38" s="158"/>
      <c r="CU38" s="19"/>
    </row>
    <row r="39" spans="1:99" s="12" customFormat="1" ht="13" x14ac:dyDescent="0.3">
      <c r="A39" s="254">
        <v>8602</v>
      </c>
      <c r="B39" s="11" t="s">
        <v>626</v>
      </c>
      <c r="C39" s="282">
        <v>1380</v>
      </c>
      <c r="D39" s="54">
        <v>681</v>
      </c>
      <c r="E39" s="895">
        <f t="shared" si="2"/>
        <v>0.4934782608695652</v>
      </c>
      <c r="F39" s="221"/>
      <c r="G39" s="155"/>
      <c r="H39" s="161"/>
      <c r="I39" s="161"/>
      <c r="J39" s="153"/>
      <c r="K39" s="155"/>
      <c r="L39" s="539"/>
      <c r="M39" s="163"/>
      <c r="N39" s="337"/>
      <c r="O39" s="163"/>
      <c r="P39" s="164"/>
      <c r="Q39" s="164"/>
      <c r="R39" s="164"/>
      <c r="S39" s="164"/>
      <c r="T39" s="355"/>
      <c r="U39" s="160"/>
      <c r="V39" s="189"/>
      <c r="W39" s="158"/>
      <c r="X39" s="162"/>
      <c r="Y39" s="155"/>
      <c r="Z39" s="223"/>
      <c r="AA39" s="158"/>
      <c r="AB39" s="159"/>
      <c r="AC39" s="161"/>
      <c r="AD39" s="153"/>
      <c r="AE39" s="156"/>
      <c r="AF39" s="162"/>
      <c r="AG39" s="160"/>
      <c r="AH39" s="153"/>
      <c r="AI39" s="153"/>
      <c r="AJ39" s="153"/>
      <c r="AK39" s="158"/>
      <c r="AL39" s="159"/>
      <c r="AM39" s="153"/>
      <c r="AN39" s="162"/>
      <c r="AO39" s="154"/>
      <c r="AP39" s="160"/>
      <c r="AQ39" s="153"/>
      <c r="AR39" s="158"/>
      <c r="AS39" s="162"/>
      <c r="AT39" s="160"/>
      <c r="AU39" s="153"/>
      <c r="AV39" s="153"/>
      <c r="AW39" s="154"/>
      <c r="AX39" s="160"/>
      <c r="AY39" s="153"/>
      <c r="AZ39" s="156"/>
      <c r="BA39" s="162"/>
      <c r="BB39" s="154"/>
      <c r="BC39" s="158"/>
      <c r="BD39" s="153"/>
      <c r="BE39" s="160"/>
      <c r="BF39" s="162"/>
      <c r="BG39" s="158"/>
      <c r="BH39" s="159"/>
      <c r="BI39" s="153"/>
      <c r="BJ39" s="158"/>
      <c r="BK39" s="159"/>
      <c r="BL39" s="171"/>
      <c r="BM39" s="331"/>
      <c r="BN39" s="176"/>
      <c r="BO39" s="152"/>
      <c r="BP39" s="153"/>
      <c r="BQ39" s="158"/>
      <c r="BR39" s="162"/>
      <c r="BS39" s="160"/>
      <c r="BT39" s="161"/>
      <c r="BU39" s="161"/>
      <c r="BV39" s="161"/>
      <c r="BW39" s="153"/>
      <c r="BX39" s="153"/>
      <c r="BY39" s="153"/>
      <c r="BZ39" s="153"/>
      <c r="CA39" s="153"/>
      <c r="CB39" s="153"/>
      <c r="CC39" s="153"/>
      <c r="CD39" s="153"/>
      <c r="CE39" s="153"/>
      <c r="CF39" s="154"/>
      <c r="CG39" s="155"/>
      <c r="CH39" s="74">
        <v>291</v>
      </c>
      <c r="CI39" s="45">
        <v>488</v>
      </c>
      <c r="CJ39" s="46">
        <v>333</v>
      </c>
      <c r="CK39" s="101"/>
      <c r="CL39" s="539"/>
      <c r="CM39" s="153"/>
      <c r="CN39" s="155"/>
      <c r="CO39" s="153"/>
      <c r="CP39" s="154"/>
      <c r="CQ39" s="154"/>
      <c r="CR39" s="154"/>
      <c r="CS39" s="189"/>
      <c r="CT39" s="158"/>
      <c r="CU39" s="19"/>
    </row>
    <row r="40" spans="1:99" s="12" customFormat="1" ht="13" x14ac:dyDescent="0.3">
      <c r="A40" s="254">
        <v>8603</v>
      </c>
      <c r="B40" s="11" t="s">
        <v>627</v>
      </c>
      <c r="C40" s="282">
        <v>1269</v>
      </c>
      <c r="D40" s="54">
        <v>587</v>
      </c>
      <c r="E40" s="895">
        <f t="shared" si="2"/>
        <v>0.46256895193065406</v>
      </c>
      <c r="F40" s="221"/>
      <c r="G40" s="155"/>
      <c r="H40" s="161"/>
      <c r="I40" s="161"/>
      <c r="J40" s="153"/>
      <c r="K40" s="155"/>
      <c r="L40" s="539"/>
      <c r="M40" s="163"/>
      <c r="N40" s="337"/>
      <c r="O40" s="163"/>
      <c r="P40" s="164"/>
      <c r="Q40" s="164"/>
      <c r="R40" s="164"/>
      <c r="S40" s="164"/>
      <c r="T40" s="355"/>
      <c r="U40" s="160"/>
      <c r="V40" s="189"/>
      <c r="W40" s="158"/>
      <c r="X40" s="162"/>
      <c r="Y40" s="155"/>
      <c r="Z40" s="223"/>
      <c r="AA40" s="158"/>
      <c r="AB40" s="159"/>
      <c r="AC40" s="161"/>
      <c r="AD40" s="153"/>
      <c r="AE40" s="156"/>
      <c r="AF40" s="162"/>
      <c r="AG40" s="160"/>
      <c r="AH40" s="153"/>
      <c r="AI40" s="153"/>
      <c r="AJ40" s="153"/>
      <c r="AK40" s="158"/>
      <c r="AL40" s="159"/>
      <c r="AM40" s="153"/>
      <c r="AN40" s="162"/>
      <c r="AO40" s="154"/>
      <c r="AP40" s="160"/>
      <c r="AQ40" s="153"/>
      <c r="AR40" s="158"/>
      <c r="AS40" s="162"/>
      <c r="AT40" s="160"/>
      <c r="AU40" s="153"/>
      <c r="AV40" s="153"/>
      <c r="AW40" s="154"/>
      <c r="AX40" s="160"/>
      <c r="AY40" s="153"/>
      <c r="AZ40" s="156"/>
      <c r="BA40" s="162"/>
      <c r="BB40" s="154"/>
      <c r="BC40" s="158"/>
      <c r="BD40" s="153"/>
      <c r="BE40" s="160"/>
      <c r="BF40" s="162"/>
      <c r="BG40" s="158"/>
      <c r="BH40" s="159"/>
      <c r="BI40" s="153"/>
      <c r="BJ40" s="158"/>
      <c r="BK40" s="159"/>
      <c r="BL40" s="171"/>
      <c r="BM40" s="331"/>
      <c r="BN40" s="176"/>
      <c r="BO40" s="152"/>
      <c r="BP40" s="153"/>
      <c r="BQ40" s="158"/>
      <c r="BR40" s="162"/>
      <c r="BS40" s="160"/>
      <c r="BT40" s="161"/>
      <c r="BU40" s="161"/>
      <c r="BV40" s="161"/>
      <c r="BW40" s="153"/>
      <c r="BX40" s="153"/>
      <c r="BY40" s="153"/>
      <c r="BZ40" s="153"/>
      <c r="CA40" s="153"/>
      <c r="CB40" s="153"/>
      <c r="CC40" s="153"/>
      <c r="CD40" s="153"/>
      <c r="CE40" s="153"/>
      <c r="CF40" s="154"/>
      <c r="CG40" s="155"/>
      <c r="CH40" s="74">
        <v>277</v>
      </c>
      <c r="CI40" s="45">
        <v>368</v>
      </c>
      <c r="CJ40" s="46">
        <v>260</v>
      </c>
      <c r="CK40" s="101"/>
      <c r="CL40" s="539"/>
      <c r="CM40" s="153"/>
      <c r="CN40" s="155"/>
      <c r="CO40" s="153"/>
      <c r="CP40" s="154"/>
      <c r="CQ40" s="154"/>
      <c r="CR40" s="154"/>
      <c r="CS40" s="189"/>
      <c r="CT40" s="158"/>
      <c r="CU40" s="19"/>
    </row>
    <row r="41" spans="1:99" s="12" customFormat="1" ht="13" x14ac:dyDescent="0.3">
      <c r="A41" s="12">
        <v>9301</v>
      </c>
      <c r="B41" s="12" t="s">
        <v>0</v>
      </c>
      <c r="C41" s="282">
        <v>1233</v>
      </c>
      <c r="D41" s="54">
        <v>779</v>
      </c>
      <c r="E41" s="895">
        <f>SUM(D41/C41)</f>
        <v>0.63179237631792373</v>
      </c>
      <c r="F41" s="221"/>
      <c r="G41" s="155"/>
      <c r="H41" s="161"/>
      <c r="I41" s="161"/>
      <c r="J41" s="153"/>
      <c r="K41" s="155"/>
      <c r="L41" s="539"/>
      <c r="M41" s="163"/>
      <c r="N41" s="337"/>
      <c r="O41" s="163"/>
      <c r="P41" s="164"/>
      <c r="Q41" s="164"/>
      <c r="R41" s="164"/>
      <c r="S41" s="164"/>
      <c r="T41" s="355"/>
      <c r="U41" s="160"/>
      <c r="V41" s="189"/>
      <c r="W41" s="158"/>
      <c r="X41" s="162"/>
      <c r="Y41" s="155"/>
      <c r="Z41" s="223"/>
      <c r="AA41" s="158"/>
      <c r="AB41" s="159"/>
      <c r="AC41" s="161"/>
      <c r="AD41" s="153"/>
      <c r="AE41" s="156"/>
      <c r="AF41" s="162"/>
      <c r="AG41" s="160"/>
      <c r="AH41" s="153"/>
      <c r="AI41" s="153"/>
      <c r="AJ41" s="153"/>
      <c r="AK41" s="158"/>
      <c r="AL41" s="159"/>
      <c r="AM41" s="153"/>
      <c r="AN41" s="162"/>
      <c r="AO41" s="154"/>
      <c r="AP41" s="160"/>
      <c r="AQ41" s="153"/>
      <c r="AR41" s="158"/>
      <c r="AS41" s="162"/>
      <c r="AT41" s="160"/>
      <c r="AU41" s="153"/>
      <c r="AV41" s="153"/>
      <c r="AW41" s="154"/>
      <c r="AX41" s="160"/>
      <c r="AY41" s="153"/>
      <c r="AZ41" s="156"/>
      <c r="BA41" s="162"/>
      <c r="BB41" s="154"/>
      <c r="BC41" s="158"/>
      <c r="BD41" s="153"/>
      <c r="BE41" s="160"/>
      <c r="BF41" s="162"/>
      <c r="BG41" s="158"/>
      <c r="BH41" s="159"/>
      <c r="BI41" s="153"/>
      <c r="BJ41" s="158"/>
      <c r="BK41" s="159"/>
      <c r="BL41" s="153"/>
      <c r="BM41" s="189"/>
      <c r="BN41" s="158"/>
      <c r="BO41" s="159"/>
      <c r="BP41" s="153"/>
      <c r="BQ41" s="158"/>
      <c r="BR41" s="162"/>
      <c r="BS41" s="160"/>
      <c r="BT41" s="161"/>
      <c r="BU41" s="161"/>
      <c r="BV41" s="161"/>
      <c r="BW41" s="153"/>
      <c r="BX41" s="153"/>
      <c r="BY41" s="153"/>
      <c r="BZ41" s="153"/>
      <c r="CA41" s="153"/>
      <c r="CB41" s="153"/>
      <c r="CC41" s="153"/>
      <c r="CD41" s="153"/>
      <c r="CE41" s="153"/>
      <c r="CF41" s="154"/>
      <c r="CG41" s="155"/>
      <c r="CH41" s="162"/>
      <c r="CI41" s="153"/>
      <c r="CJ41" s="158"/>
      <c r="CK41" s="159">
        <v>662</v>
      </c>
      <c r="CL41" s="541">
        <v>634</v>
      </c>
      <c r="CM41" s="45"/>
      <c r="CN41" s="58"/>
      <c r="CO41" s="153"/>
      <c r="CP41" s="154"/>
      <c r="CQ41" s="154"/>
      <c r="CR41" s="154"/>
      <c r="CS41" s="189"/>
      <c r="CT41" s="158"/>
      <c r="CU41" s="19"/>
    </row>
    <row r="42" spans="1:99" s="12" customFormat="1" ht="13" x14ac:dyDescent="0.3">
      <c r="A42" s="12">
        <v>9302</v>
      </c>
      <c r="B42" s="12" t="s">
        <v>1</v>
      </c>
      <c r="C42" s="282">
        <v>689</v>
      </c>
      <c r="D42" s="54">
        <v>409</v>
      </c>
      <c r="E42" s="895">
        <f>SUM(D42/C42)</f>
        <v>0.59361393323657474</v>
      </c>
      <c r="F42" s="221"/>
      <c r="G42" s="155"/>
      <c r="H42" s="161"/>
      <c r="I42" s="161"/>
      <c r="J42" s="153"/>
      <c r="K42" s="155"/>
      <c r="L42" s="539"/>
      <c r="M42" s="163"/>
      <c r="N42" s="337"/>
      <c r="O42" s="163"/>
      <c r="P42" s="164"/>
      <c r="Q42" s="164"/>
      <c r="R42" s="164"/>
      <c r="S42" s="164"/>
      <c r="T42" s="355"/>
      <c r="U42" s="160"/>
      <c r="V42" s="189"/>
      <c r="W42" s="158"/>
      <c r="X42" s="162"/>
      <c r="Y42" s="155"/>
      <c r="Z42" s="223"/>
      <c r="AA42" s="158"/>
      <c r="AB42" s="159"/>
      <c r="AC42" s="161"/>
      <c r="AD42" s="153"/>
      <c r="AE42" s="156"/>
      <c r="AF42" s="162"/>
      <c r="AG42" s="160"/>
      <c r="AH42" s="153"/>
      <c r="AI42" s="153"/>
      <c r="AJ42" s="153"/>
      <c r="AK42" s="158"/>
      <c r="AL42" s="159"/>
      <c r="AM42" s="153"/>
      <c r="AN42" s="162"/>
      <c r="AO42" s="154"/>
      <c r="AP42" s="160"/>
      <c r="AQ42" s="153"/>
      <c r="AR42" s="158"/>
      <c r="AS42" s="162"/>
      <c r="AT42" s="160"/>
      <c r="AU42" s="153"/>
      <c r="AV42" s="153"/>
      <c r="AW42" s="154"/>
      <c r="AX42" s="160"/>
      <c r="AY42" s="153"/>
      <c r="AZ42" s="156"/>
      <c r="BA42" s="162"/>
      <c r="BB42" s="154"/>
      <c r="BC42" s="158"/>
      <c r="BD42" s="153"/>
      <c r="BE42" s="160"/>
      <c r="BF42" s="162"/>
      <c r="BG42" s="158"/>
      <c r="BH42" s="159"/>
      <c r="BI42" s="153"/>
      <c r="BJ42" s="158"/>
      <c r="BK42" s="159"/>
      <c r="BL42" s="153"/>
      <c r="BM42" s="189"/>
      <c r="BN42" s="158"/>
      <c r="BO42" s="159"/>
      <c r="BP42" s="153"/>
      <c r="BQ42" s="158"/>
      <c r="BR42" s="162"/>
      <c r="BS42" s="160"/>
      <c r="BT42" s="161"/>
      <c r="BU42" s="161"/>
      <c r="BV42" s="161"/>
      <c r="BW42" s="153"/>
      <c r="BX42" s="153"/>
      <c r="BY42" s="153"/>
      <c r="BZ42" s="153"/>
      <c r="CA42" s="153"/>
      <c r="CB42" s="153"/>
      <c r="CC42" s="153"/>
      <c r="CD42" s="153"/>
      <c r="CE42" s="153"/>
      <c r="CF42" s="154"/>
      <c r="CG42" s="155"/>
      <c r="CH42" s="162"/>
      <c r="CI42" s="153"/>
      <c r="CJ42" s="158"/>
      <c r="CK42" s="159">
        <v>335</v>
      </c>
      <c r="CL42" s="541">
        <v>333</v>
      </c>
      <c r="CM42" s="45"/>
      <c r="CN42" s="58"/>
      <c r="CO42" s="153"/>
      <c r="CP42" s="154"/>
      <c r="CQ42" s="154"/>
      <c r="CR42" s="154"/>
      <c r="CS42" s="189"/>
      <c r="CT42" s="158"/>
      <c r="CU42" s="19"/>
    </row>
    <row r="43" spans="1:99" s="12" customFormat="1" ht="13" x14ac:dyDescent="0.3">
      <c r="A43" s="12">
        <v>9701</v>
      </c>
      <c r="B43" s="12" t="s">
        <v>2</v>
      </c>
      <c r="C43" s="282">
        <v>1099</v>
      </c>
      <c r="D43" s="54">
        <v>520</v>
      </c>
      <c r="E43" s="895">
        <f>SUM(D43/C43)</f>
        <v>0.47315741583257509</v>
      </c>
      <c r="F43" s="221"/>
      <c r="G43" s="155"/>
      <c r="H43" s="161"/>
      <c r="I43" s="161"/>
      <c r="J43" s="153"/>
      <c r="K43" s="155"/>
      <c r="L43" s="539"/>
      <c r="M43" s="163"/>
      <c r="N43" s="337"/>
      <c r="O43" s="163"/>
      <c r="P43" s="164"/>
      <c r="Q43" s="164"/>
      <c r="R43" s="164"/>
      <c r="S43" s="164"/>
      <c r="T43" s="355"/>
      <c r="U43" s="160"/>
      <c r="V43" s="189"/>
      <c r="W43" s="158"/>
      <c r="X43" s="162"/>
      <c r="Y43" s="155"/>
      <c r="Z43" s="223"/>
      <c r="AA43" s="158"/>
      <c r="AB43" s="159"/>
      <c r="AC43" s="161"/>
      <c r="AD43" s="153"/>
      <c r="AE43" s="156"/>
      <c r="AF43" s="162"/>
      <c r="AG43" s="160"/>
      <c r="AH43" s="153"/>
      <c r="AI43" s="153"/>
      <c r="AJ43" s="153"/>
      <c r="AK43" s="158"/>
      <c r="AL43" s="159"/>
      <c r="AM43" s="153"/>
      <c r="AN43" s="162"/>
      <c r="AO43" s="154"/>
      <c r="AP43" s="160"/>
      <c r="AQ43" s="153"/>
      <c r="AR43" s="158"/>
      <c r="AS43" s="162"/>
      <c r="AT43" s="160"/>
      <c r="AU43" s="153"/>
      <c r="AV43" s="153"/>
      <c r="AW43" s="154"/>
      <c r="AX43" s="160"/>
      <c r="AY43" s="153"/>
      <c r="AZ43" s="156"/>
      <c r="BA43" s="162"/>
      <c r="BB43" s="154"/>
      <c r="BC43" s="158"/>
      <c r="BD43" s="153"/>
      <c r="BE43" s="160"/>
      <c r="BF43" s="162"/>
      <c r="BG43" s="158"/>
      <c r="BH43" s="159"/>
      <c r="BI43" s="153"/>
      <c r="BJ43" s="158"/>
      <c r="BK43" s="159"/>
      <c r="BL43" s="153"/>
      <c r="BM43" s="189"/>
      <c r="BN43" s="158"/>
      <c r="BO43" s="159"/>
      <c r="BP43" s="153"/>
      <c r="BQ43" s="158"/>
      <c r="BR43" s="162"/>
      <c r="BS43" s="160"/>
      <c r="BT43" s="161"/>
      <c r="BU43" s="161"/>
      <c r="BV43" s="161"/>
      <c r="BW43" s="153"/>
      <c r="BX43" s="153"/>
      <c r="BY43" s="153"/>
      <c r="BZ43" s="153"/>
      <c r="CA43" s="153"/>
      <c r="CB43" s="153"/>
      <c r="CC43" s="153"/>
      <c r="CD43" s="153"/>
      <c r="CE43" s="153"/>
      <c r="CF43" s="154"/>
      <c r="CG43" s="155"/>
      <c r="CH43" s="162"/>
      <c r="CI43" s="153"/>
      <c r="CJ43" s="158"/>
      <c r="CK43" s="159"/>
      <c r="CL43" s="539"/>
      <c r="CM43" s="153">
        <v>269</v>
      </c>
      <c r="CN43" s="155">
        <v>224</v>
      </c>
      <c r="CO43" s="45">
        <v>144</v>
      </c>
      <c r="CP43" s="54">
        <v>225</v>
      </c>
      <c r="CQ43" s="54">
        <v>261</v>
      </c>
      <c r="CR43" s="54">
        <v>167</v>
      </c>
      <c r="CS43" s="53">
        <v>204</v>
      </c>
      <c r="CT43" s="46">
        <v>238</v>
      </c>
      <c r="CU43" s="19"/>
    </row>
    <row r="44" spans="1:99" s="12" customFormat="1" ht="13.5" thickBot="1" x14ac:dyDescent="0.35">
      <c r="A44" s="430">
        <v>9702</v>
      </c>
      <c r="B44" s="430" t="s">
        <v>3</v>
      </c>
      <c r="C44" s="492">
        <v>1563</v>
      </c>
      <c r="D44" s="388">
        <v>566</v>
      </c>
      <c r="E44" s="896">
        <f>SUM(D44/C44)</f>
        <v>0.36212412028150992</v>
      </c>
      <c r="F44" s="550"/>
      <c r="G44" s="431"/>
      <c r="H44" s="432"/>
      <c r="I44" s="432"/>
      <c r="J44" s="433"/>
      <c r="K44" s="431"/>
      <c r="L44" s="551"/>
      <c r="M44" s="552"/>
      <c r="N44" s="553"/>
      <c r="O44" s="552"/>
      <c r="P44" s="554"/>
      <c r="Q44" s="554"/>
      <c r="R44" s="554"/>
      <c r="S44" s="554"/>
      <c r="T44" s="555"/>
      <c r="U44" s="435"/>
      <c r="V44" s="437"/>
      <c r="W44" s="438"/>
      <c r="X44" s="434"/>
      <c r="Y44" s="431"/>
      <c r="Z44" s="436"/>
      <c r="AA44" s="438"/>
      <c r="AB44" s="509"/>
      <c r="AC44" s="432"/>
      <c r="AD44" s="433"/>
      <c r="AE44" s="440"/>
      <c r="AF44" s="434"/>
      <c r="AG44" s="435"/>
      <c r="AH44" s="433"/>
      <c r="AI44" s="433"/>
      <c r="AJ44" s="433"/>
      <c r="AK44" s="438"/>
      <c r="AL44" s="509"/>
      <c r="AM44" s="433"/>
      <c r="AN44" s="434"/>
      <c r="AO44" s="439"/>
      <c r="AP44" s="435"/>
      <c r="AQ44" s="433"/>
      <c r="AR44" s="438"/>
      <c r="AS44" s="434"/>
      <c r="AT44" s="435"/>
      <c r="AU44" s="433"/>
      <c r="AV44" s="433"/>
      <c r="AW44" s="439"/>
      <c r="AX44" s="435"/>
      <c r="AY44" s="433"/>
      <c r="AZ44" s="440"/>
      <c r="BA44" s="434"/>
      <c r="BB44" s="439"/>
      <c r="BC44" s="438"/>
      <c r="BD44" s="433"/>
      <c r="BE44" s="435"/>
      <c r="BF44" s="434"/>
      <c r="BG44" s="438"/>
      <c r="BH44" s="509"/>
      <c r="BI44" s="433"/>
      <c r="BJ44" s="438"/>
      <c r="BK44" s="509"/>
      <c r="BL44" s="433"/>
      <c r="BM44" s="437"/>
      <c r="BN44" s="438"/>
      <c r="BO44" s="509"/>
      <c r="BP44" s="433"/>
      <c r="BQ44" s="438"/>
      <c r="BR44" s="434"/>
      <c r="BS44" s="435"/>
      <c r="BT44" s="432"/>
      <c r="BU44" s="432"/>
      <c r="BV44" s="432"/>
      <c r="BW44" s="433"/>
      <c r="BX44" s="433"/>
      <c r="BY44" s="433"/>
      <c r="BZ44" s="433"/>
      <c r="CA44" s="433"/>
      <c r="CB44" s="433"/>
      <c r="CC44" s="433"/>
      <c r="CD44" s="433"/>
      <c r="CE44" s="433"/>
      <c r="CF44" s="439"/>
      <c r="CG44" s="431"/>
      <c r="CH44" s="434"/>
      <c r="CI44" s="433"/>
      <c r="CJ44" s="438"/>
      <c r="CK44" s="509"/>
      <c r="CL44" s="551"/>
      <c r="CM44" s="433">
        <v>326</v>
      </c>
      <c r="CN44" s="431">
        <v>188</v>
      </c>
      <c r="CO44" s="390">
        <v>125</v>
      </c>
      <c r="CP44" s="388">
        <v>272</v>
      </c>
      <c r="CQ44" s="388">
        <v>335</v>
      </c>
      <c r="CR44" s="388">
        <v>124</v>
      </c>
      <c r="CS44" s="556">
        <v>211</v>
      </c>
      <c r="CT44" s="403">
        <v>222</v>
      </c>
      <c r="CU44" s="19"/>
    </row>
    <row r="45" spans="1:99" s="13" customFormat="1" ht="13.5" thickTop="1" x14ac:dyDescent="0.3">
      <c r="A45" s="441"/>
      <c r="B45" s="442" t="s">
        <v>4</v>
      </c>
      <c r="C45" s="443">
        <f>SUM(C5:C44)</f>
        <v>39833</v>
      </c>
      <c r="D45" s="443">
        <f>SUM(D5:D44)</f>
        <v>20552</v>
      </c>
      <c r="E45" s="897">
        <f>SUM(D45/C45)</f>
        <v>0.51595410840258082</v>
      </c>
      <c r="F45" s="450">
        <f t="shared" ref="F45:G45" si="3">SUM(F4:F44)</f>
        <v>87</v>
      </c>
      <c r="G45" s="445">
        <f t="shared" si="3"/>
        <v>59</v>
      </c>
      <c r="H45" s="446">
        <f t="shared" ref="H45:I45" si="4">SUM(H4:H44)</f>
        <v>126</v>
      </c>
      <c r="I45" s="446">
        <f t="shared" si="4"/>
        <v>0</v>
      </c>
      <c r="J45" s="444">
        <f t="shared" ref="J45:K45" si="5">SUM(J4:J44)</f>
        <v>109</v>
      </c>
      <c r="K45" s="445">
        <f t="shared" si="5"/>
        <v>31</v>
      </c>
      <c r="L45" s="566">
        <f t="shared" ref="L45" si="6">SUM(L4:L44)</f>
        <v>0</v>
      </c>
      <c r="M45" s="444">
        <f>SUM(M4:M44)</f>
        <v>970</v>
      </c>
      <c r="N45" s="445">
        <f>SUM(N4:N44)</f>
        <v>1170</v>
      </c>
      <c r="O45" s="444">
        <f t="shared" ref="O45:AE45" si="7">SUM(O4:O44)</f>
        <v>1229</v>
      </c>
      <c r="P45" s="446">
        <f t="shared" si="7"/>
        <v>1208</v>
      </c>
      <c r="Q45" s="446">
        <f t="shared" si="7"/>
        <v>1244</v>
      </c>
      <c r="R45" s="446">
        <f t="shared" si="7"/>
        <v>1267</v>
      </c>
      <c r="S45" s="446">
        <f t="shared" si="7"/>
        <v>1203</v>
      </c>
      <c r="T45" s="450">
        <f t="shared" si="7"/>
        <v>83</v>
      </c>
      <c r="U45" s="453">
        <f t="shared" si="7"/>
        <v>113</v>
      </c>
      <c r="V45" s="444">
        <f>SUM(V4:V44)</f>
        <v>110</v>
      </c>
      <c r="W45" s="452">
        <f t="shared" si="7"/>
        <v>103</v>
      </c>
      <c r="X45" s="450">
        <f t="shared" si="7"/>
        <v>824</v>
      </c>
      <c r="Y45" s="445">
        <f t="shared" si="7"/>
        <v>295</v>
      </c>
      <c r="Z45" s="451">
        <f>SUM(Z4:Z44)</f>
        <v>620</v>
      </c>
      <c r="AA45" s="452">
        <f t="shared" si="7"/>
        <v>557</v>
      </c>
      <c r="AB45" s="510">
        <f>SUM(AB4:AB44)</f>
        <v>217</v>
      </c>
      <c r="AC45" s="446">
        <f>SUM(AC4:AC44)</f>
        <v>0</v>
      </c>
      <c r="AD45" s="444">
        <f>SUM(AD4:AD44)</f>
        <v>145</v>
      </c>
      <c r="AE45" s="452">
        <f t="shared" si="7"/>
        <v>155</v>
      </c>
      <c r="AF45" s="444">
        <f>SUM(AF4:AF44)</f>
        <v>1094</v>
      </c>
      <c r="AG45" s="453">
        <f t="shared" ref="AG45" si="8">SUM(AG4:AG44)</f>
        <v>346</v>
      </c>
      <c r="AH45" s="444">
        <f t="shared" ref="AH45:CS45" si="9">SUM(AH4:AH44)</f>
        <v>1077</v>
      </c>
      <c r="AI45" s="444">
        <f t="shared" si="9"/>
        <v>964</v>
      </c>
      <c r="AJ45" s="444">
        <f t="shared" si="9"/>
        <v>456</v>
      </c>
      <c r="AK45" s="449">
        <f t="shared" si="9"/>
        <v>928</v>
      </c>
      <c r="AL45" s="510">
        <f t="shared" si="9"/>
        <v>523</v>
      </c>
      <c r="AM45" s="444">
        <f t="shared" si="9"/>
        <v>545</v>
      </c>
      <c r="AN45" s="450">
        <f t="shared" si="9"/>
        <v>826</v>
      </c>
      <c r="AO45" s="443">
        <f t="shared" si="9"/>
        <v>350</v>
      </c>
      <c r="AP45" s="453">
        <f t="shared" si="9"/>
        <v>136</v>
      </c>
      <c r="AQ45" s="444">
        <f t="shared" si="9"/>
        <v>727</v>
      </c>
      <c r="AR45" s="449">
        <f t="shared" si="9"/>
        <v>769</v>
      </c>
      <c r="AS45" s="450">
        <f t="shared" si="9"/>
        <v>412</v>
      </c>
      <c r="AT45" s="453">
        <f t="shared" si="9"/>
        <v>643</v>
      </c>
      <c r="AU45" s="444">
        <f t="shared" si="9"/>
        <v>480</v>
      </c>
      <c r="AV45" s="444">
        <f t="shared" si="9"/>
        <v>379</v>
      </c>
      <c r="AW45" s="443">
        <f t="shared" si="9"/>
        <v>540</v>
      </c>
      <c r="AX45" s="453">
        <f t="shared" si="9"/>
        <v>351</v>
      </c>
      <c r="AY45" s="444">
        <f t="shared" si="9"/>
        <v>370</v>
      </c>
      <c r="AZ45" s="452">
        <f t="shared" si="9"/>
        <v>648</v>
      </c>
      <c r="BA45" s="450">
        <f t="shared" si="9"/>
        <v>632</v>
      </c>
      <c r="BB45" s="443">
        <f t="shared" si="9"/>
        <v>647</v>
      </c>
      <c r="BC45" s="449">
        <f t="shared" si="9"/>
        <v>599</v>
      </c>
      <c r="BD45" s="444">
        <f t="shared" si="9"/>
        <v>280</v>
      </c>
      <c r="BE45" s="445">
        <f t="shared" si="9"/>
        <v>450</v>
      </c>
      <c r="BF45" s="450">
        <f t="shared" si="9"/>
        <v>333</v>
      </c>
      <c r="BG45" s="449">
        <f t="shared" si="9"/>
        <v>336</v>
      </c>
      <c r="BH45" s="510">
        <f t="shared" si="9"/>
        <v>1296</v>
      </c>
      <c r="BI45" s="444">
        <f t="shared" si="9"/>
        <v>1074</v>
      </c>
      <c r="BJ45" s="449">
        <f t="shared" si="9"/>
        <v>895</v>
      </c>
      <c r="BK45" s="510">
        <f>SUM(BK4:BK44)</f>
        <v>836</v>
      </c>
      <c r="BL45" s="444">
        <f t="shared" si="9"/>
        <v>557</v>
      </c>
      <c r="BM45" s="567">
        <f t="shared" si="9"/>
        <v>495</v>
      </c>
      <c r="BN45" s="449">
        <f t="shared" si="9"/>
        <v>458</v>
      </c>
      <c r="BO45" s="510">
        <f t="shared" si="9"/>
        <v>371</v>
      </c>
      <c r="BP45" s="444">
        <f t="shared" si="9"/>
        <v>327</v>
      </c>
      <c r="BQ45" s="449">
        <f t="shared" si="9"/>
        <v>285</v>
      </c>
      <c r="BR45" s="450">
        <f t="shared" si="9"/>
        <v>590</v>
      </c>
      <c r="BS45" s="453">
        <f t="shared" si="9"/>
        <v>887</v>
      </c>
      <c r="BT45" s="446">
        <f t="shared" si="9"/>
        <v>1078</v>
      </c>
      <c r="BU45" s="446">
        <f t="shared" si="9"/>
        <v>1023</v>
      </c>
      <c r="BV45" s="446">
        <f t="shared" si="9"/>
        <v>960</v>
      </c>
      <c r="BW45" s="444">
        <f t="shared" si="9"/>
        <v>420</v>
      </c>
      <c r="BX45" s="444">
        <f t="shared" si="9"/>
        <v>535</v>
      </c>
      <c r="BY45" s="444">
        <f t="shared" si="9"/>
        <v>745</v>
      </c>
      <c r="BZ45" s="444">
        <f t="shared" si="9"/>
        <v>663</v>
      </c>
      <c r="CA45" s="444">
        <f t="shared" si="9"/>
        <v>694</v>
      </c>
      <c r="CB45" s="444">
        <f t="shared" si="9"/>
        <v>831</v>
      </c>
      <c r="CC45" s="444">
        <f t="shared" si="9"/>
        <v>569</v>
      </c>
      <c r="CD45" s="444">
        <f t="shared" si="9"/>
        <v>689</v>
      </c>
      <c r="CE45" s="444">
        <f t="shared" si="9"/>
        <v>709</v>
      </c>
      <c r="CF45" s="443">
        <f t="shared" si="9"/>
        <v>655</v>
      </c>
      <c r="CG45" s="445">
        <f t="shared" si="9"/>
        <v>109</v>
      </c>
      <c r="CH45" s="450">
        <f t="shared" si="9"/>
        <v>876</v>
      </c>
      <c r="CI45" s="444">
        <f t="shared" si="9"/>
        <v>1230</v>
      </c>
      <c r="CJ45" s="449">
        <f t="shared" si="9"/>
        <v>862</v>
      </c>
      <c r="CK45" s="510">
        <f t="shared" si="9"/>
        <v>997</v>
      </c>
      <c r="CL45" s="566">
        <f t="shared" si="9"/>
        <v>967</v>
      </c>
      <c r="CM45" s="444">
        <f t="shared" si="9"/>
        <v>595</v>
      </c>
      <c r="CN45" s="445">
        <f t="shared" si="9"/>
        <v>412</v>
      </c>
      <c r="CO45" s="444">
        <f t="shared" si="9"/>
        <v>269</v>
      </c>
      <c r="CP45" s="443">
        <f t="shared" si="9"/>
        <v>497</v>
      </c>
      <c r="CQ45" s="443">
        <f t="shared" si="9"/>
        <v>596</v>
      </c>
      <c r="CR45" s="443">
        <f t="shared" si="9"/>
        <v>291</v>
      </c>
      <c r="CS45" s="567">
        <f t="shared" si="9"/>
        <v>415</v>
      </c>
      <c r="CT45" s="449">
        <f t="shared" ref="CT45" si="10">SUM(CT4:CT44)</f>
        <v>460</v>
      </c>
      <c r="CU45" s="22"/>
    </row>
    <row r="46" spans="1:99" s="13" customFormat="1" ht="13" x14ac:dyDescent="0.3">
      <c r="A46" s="454"/>
      <c r="B46" s="15" t="s">
        <v>5</v>
      </c>
      <c r="C46" s="226"/>
      <c r="D46" s="226"/>
      <c r="E46" s="898"/>
      <c r="F46" s="60">
        <f t="shared" ref="F46:I46" si="11">SUM(F45-F47)</f>
        <v>80</v>
      </c>
      <c r="G46" s="228">
        <f t="shared" si="11"/>
        <v>56</v>
      </c>
      <c r="H46" s="243">
        <f t="shared" si="11"/>
        <v>116</v>
      </c>
      <c r="I46" s="243">
        <f t="shared" si="11"/>
        <v>0</v>
      </c>
      <c r="J46" s="47">
        <f t="shared" ref="J46:K46" si="12">SUM(J45-J47)</f>
        <v>101</v>
      </c>
      <c r="K46" s="228">
        <f t="shared" si="12"/>
        <v>31</v>
      </c>
      <c r="L46" s="542">
        <f t="shared" ref="L46" si="13">SUM(L45-L47)</f>
        <v>0</v>
      </c>
      <c r="M46" s="47">
        <f>SUM(M45-M47)</f>
        <v>691</v>
      </c>
      <c r="N46" s="228">
        <f>SUM(N45-N47)</f>
        <v>805</v>
      </c>
      <c r="O46" s="47">
        <f t="shared" ref="O46:AE46" si="14">SUM(O45-O47)</f>
        <v>869</v>
      </c>
      <c r="P46" s="243">
        <f t="shared" si="14"/>
        <v>849</v>
      </c>
      <c r="Q46" s="243">
        <f t="shared" si="14"/>
        <v>879</v>
      </c>
      <c r="R46" s="243">
        <f t="shared" si="14"/>
        <v>910</v>
      </c>
      <c r="S46" s="243">
        <f t="shared" si="14"/>
        <v>848</v>
      </c>
      <c r="T46" s="60">
        <f t="shared" si="14"/>
        <v>77</v>
      </c>
      <c r="U46" s="252">
        <f t="shared" si="14"/>
        <v>108</v>
      </c>
      <c r="V46" s="47">
        <f>SUM(V45-V47)</f>
        <v>104</v>
      </c>
      <c r="W46" s="78">
        <f t="shared" si="14"/>
        <v>96</v>
      </c>
      <c r="X46" s="60">
        <f t="shared" si="14"/>
        <v>740</v>
      </c>
      <c r="Y46" s="228">
        <f t="shared" si="14"/>
        <v>265</v>
      </c>
      <c r="Z46" s="47">
        <f>SUM(Z45-Z47)</f>
        <v>558</v>
      </c>
      <c r="AA46" s="78">
        <f t="shared" si="14"/>
        <v>488</v>
      </c>
      <c r="AB46" s="225">
        <f>SUM(AB45-AB47)</f>
        <v>195</v>
      </c>
      <c r="AC46" s="243">
        <f>SUM(AC45-AC47)</f>
        <v>0</v>
      </c>
      <c r="AD46" s="47">
        <f>SUM(AD45-AD47)</f>
        <v>128</v>
      </c>
      <c r="AE46" s="78">
        <f t="shared" si="14"/>
        <v>138</v>
      </c>
      <c r="AF46" s="47">
        <f>SUM(AF45-AF47)</f>
        <v>907</v>
      </c>
      <c r="AG46" s="252">
        <f t="shared" ref="AG46:CR46" si="15">SUM(AG45-AG47)</f>
        <v>293</v>
      </c>
      <c r="AH46" s="47">
        <f t="shared" si="15"/>
        <v>886</v>
      </c>
      <c r="AI46" s="47">
        <f t="shared" si="15"/>
        <v>797</v>
      </c>
      <c r="AJ46" s="47">
        <f t="shared" si="15"/>
        <v>378</v>
      </c>
      <c r="AK46" s="48">
        <f t="shared" si="15"/>
        <v>766</v>
      </c>
      <c r="AL46" s="225">
        <f t="shared" si="15"/>
        <v>464</v>
      </c>
      <c r="AM46" s="47">
        <f t="shared" si="15"/>
        <v>486</v>
      </c>
      <c r="AN46" s="60">
        <f t="shared" si="15"/>
        <v>683</v>
      </c>
      <c r="AO46" s="226">
        <f t="shared" si="15"/>
        <v>274</v>
      </c>
      <c r="AP46" s="252">
        <f t="shared" si="15"/>
        <v>116</v>
      </c>
      <c r="AQ46" s="47">
        <f t="shared" si="15"/>
        <v>588</v>
      </c>
      <c r="AR46" s="48">
        <f t="shared" si="15"/>
        <v>623</v>
      </c>
      <c r="AS46" s="60">
        <f t="shared" si="15"/>
        <v>278</v>
      </c>
      <c r="AT46" s="252">
        <f t="shared" si="15"/>
        <v>486</v>
      </c>
      <c r="AU46" s="47">
        <f t="shared" si="15"/>
        <v>345</v>
      </c>
      <c r="AV46" s="47">
        <f t="shared" si="15"/>
        <v>278</v>
      </c>
      <c r="AW46" s="226">
        <f t="shared" si="15"/>
        <v>393</v>
      </c>
      <c r="AX46" s="252">
        <f t="shared" si="15"/>
        <v>255</v>
      </c>
      <c r="AY46" s="47">
        <f t="shared" si="15"/>
        <v>284</v>
      </c>
      <c r="AZ46" s="78">
        <f t="shared" si="15"/>
        <v>460</v>
      </c>
      <c r="BA46" s="60">
        <f t="shared" si="15"/>
        <v>547</v>
      </c>
      <c r="BB46" s="226">
        <f t="shared" si="15"/>
        <v>569</v>
      </c>
      <c r="BC46" s="48">
        <f t="shared" si="15"/>
        <v>526</v>
      </c>
      <c r="BD46" s="47">
        <f t="shared" si="15"/>
        <v>226</v>
      </c>
      <c r="BE46" s="228">
        <f t="shared" si="15"/>
        <v>371</v>
      </c>
      <c r="BF46" s="60">
        <f t="shared" si="15"/>
        <v>304</v>
      </c>
      <c r="BG46" s="48">
        <f t="shared" si="15"/>
        <v>301</v>
      </c>
      <c r="BH46" s="225">
        <f t="shared" si="15"/>
        <v>1018</v>
      </c>
      <c r="BI46" s="47">
        <f t="shared" si="15"/>
        <v>839</v>
      </c>
      <c r="BJ46" s="48">
        <f t="shared" si="15"/>
        <v>684</v>
      </c>
      <c r="BK46" s="225">
        <f t="shared" si="15"/>
        <v>695</v>
      </c>
      <c r="BL46" s="47">
        <f t="shared" si="15"/>
        <v>465</v>
      </c>
      <c r="BM46" s="253">
        <f t="shared" si="15"/>
        <v>407</v>
      </c>
      <c r="BN46" s="48">
        <f t="shared" si="15"/>
        <v>380</v>
      </c>
      <c r="BO46" s="225">
        <f t="shared" si="15"/>
        <v>328</v>
      </c>
      <c r="BP46" s="47">
        <f t="shared" si="15"/>
        <v>283</v>
      </c>
      <c r="BQ46" s="48">
        <f t="shared" si="15"/>
        <v>247</v>
      </c>
      <c r="BR46" s="60">
        <f t="shared" si="15"/>
        <v>479</v>
      </c>
      <c r="BS46" s="252">
        <f t="shared" si="15"/>
        <v>717</v>
      </c>
      <c r="BT46" s="243">
        <f t="shared" si="15"/>
        <v>874</v>
      </c>
      <c r="BU46" s="243">
        <f t="shared" si="15"/>
        <v>832</v>
      </c>
      <c r="BV46" s="243">
        <f t="shared" si="15"/>
        <v>773</v>
      </c>
      <c r="BW46" s="47">
        <f t="shared" si="15"/>
        <v>317</v>
      </c>
      <c r="BX46" s="47">
        <f t="shared" si="15"/>
        <v>417</v>
      </c>
      <c r="BY46" s="47">
        <f t="shared" si="15"/>
        <v>612</v>
      </c>
      <c r="BZ46" s="47">
        <f t="shared" si="15"/>
        <v>539</v>
      </c>
      <c r="CA46" s="47">
        <f t="shared" si="15"/>
        <v>564</v>
      </c>
      <c r="CB46" s="47">
        <f t="shared" si="15"/>
        <v>665</v>
      </c>
      <c r="CC46" s="47">
        <f t="shared" si="15"/>
        <v>442</v>
      </c>
      <c r="CD46" s="47">
        <f t="shared" si="15"/>
        <v>546</v>
      </c>
      <c r="CE46" s="47">
        <f t="shared" si="15"/>
        <v>580</v>
      </c>
      <c r="CF46" s="226">
        <f t="shared" si="15"/>
        <v>540</v>
      </c>
      <c r="CG46" s="228">
        <f t="shared" si="15"/>
        <v>90</v>
      </c>
      <c r="CH46" s="60">
        <f t="shared" si="15"/>
        <v>652</v>
      </c>
      <c r="CI46" s="47">
        <f t="shared" si="15"/>
        <v>848</v>
      </c>
      <c r="CJ46" s="48">
        <f t="shared" si="15"/>
        <v>544</v>
      </c>
      <c r="CK46" s="225">
        <f t="shared" si="15"/>
        <v>813</v>
      </c>
      <c r="CL46" s="542">
        <f t="shared" si="15"/>
        <v>790</v>
      </c>
      <c r="CM46" s="47">
        <f t="shared" si="15"/>
        <v>480</v>
      </c>
      <c r="CN46" s="228">
        <f t="shared" si="15"/>
        <v>328</v>
      </c>
      <c r="CO46" s="47">
        <f t="shared" si="15"/>
        <v>211</v>
      </c>
      <c r="CP46" s="226">
        <f t="shared" si="15"/>
        <v>402</v>
      </c>
      <c r="CQ46" s="226">
        <f t="shared" si="15"/>
        <v>483</v>
      </c>
      <c r="CR46" s="226">
        <f t="shared" si="15"/>
        <v>231</v>
      </c>
      <c r="CS46" s="253">
        <f t="shared" ref="CS46:CT46" si="16">SUM(CS45-CS47)</f>
        <v>344</v>
      </c>
      <c r="CT46" s="48">
        <f t="shared" si="16"/>
        <v>377</v>
      </c>
      <c r="CU46" s="22"/>
    </row>
    <row r="47" spans="1:99" s="12" customFormat="1" ht="13.5" thickBot="1" x14ac:dyDescent="0.35">
      <c r="A47" s="455"/>
      <c r="B47" s="425" t="s">
        <v>6</v>
      </c>
      <c r="C47" s="426"/>
      <c r="D47" s="456"/>
      <c r="E47" s="899"/>
      <c r="F47" s="568">
        <v>7</v>
      </c>
      <c r="G47" s="457">
        <v>3</v>
      </c>
      <c r="H47" s="465">
        <v>10</v>
      </c>
      <c r="I47" s="465">
        <v>0</v>
      </c>
      <c r="J47" s="428">
        <v>8</v>
      </c>
      <c r="K47" s="457">
        <v>0</v>
      </c>
      <c r="L47" s="569">
        <v>0</v>
      </c>
      <c r="M47" s="428">
        <v>279</v>
      </c>
      <c r="N47" s="457">
        <v>365</v>
      </c>
      <c r="O47" s="428">
        <v>360</v>
      </c>
      <c r="P47" s="465">
        <v>359</v>
      </c>
      <c r="Q47" s="465">
        <v>365</v>
      </c>
      <c r="R47" s="465">
        <v>357</v>
      </c>
      <c r="S47" s="465">
        <v>355</v>
      </c>
      <c r="T47" s="463">
        <v>6</v>
      </c>
      <c r="U47" s="464">
        <v>5</v>
      </c>
      <c r="V47" s="428">
        <v>6</v>
      </c>
      <c r="W47" s="429">
        <v>7</v>
      </c>
      <c r="X47" s="463">
        <v>84</v>
      </c>
      <c r="Y47" s="457">
        <v>30</v>
      </c>
      <c r="Z47" s="428">
        <v>62</v>
      </c>
      <c r="AA47" s="429">
        <v>69</v>
      </c>
      <c r="AB47" s="513">
        <v>22</v>
      </c>
      <c r="AC47" s="465">
        <v>0</v>
      </c>
      <c r="AD47" s="428">
        <v>17</v>
      </c>
      <c r="AE47" s="429">
        <v>17</v>
      </c>
      <c r="AF47" s="428">
        <v>187</v>
      </c>
      <c r="AG47" s="464">
        <v>53</v>
      </c>
      <c r="AH47" s="428">
        <v>191</v>
      </c>
      <c r="AI47" s="428">
        <v>167</v>
      </c>
      <c r="AJ47" s="428">
        <v>78</v>
      </c>
      <c r="AK47" s="461">
        <v>162</v>
      </c>
      <c r="AL47" s="513">
        <v>59</v>
      </c>
      <c r="AM47" s="428">
        <v>59</v>
      </c>
      <c r="AN47" s="463">
        <v>143</v>
      </c>
      <c r="AO47" s="426">
        <v>76</v>
      </c>
      <c r="AP47" s="464">
        <v>20</v>
      </c>
      <c r="AQ47" s="428">
        <v>139</v>
      </c>
      <c r="AR47" s="461">
        <v>146</v>
      </c>
      <c r="AS47" s="463">
        <v>134</v>
      </c>
      <c r="AT47" s="464">
        <v>157</v>
      </c>
      <c r="AU47" s="428">
        <v>135</v>
      </c>
      <c r="AV47" s="428">
        <v>101</v>
      </c>
      <c r="AW47" s="426">
        <v>147</v>
      </c>
      <c r="AX47" s="464">
        <v>96</v>
      </c>
      <c r="AY47" s="428">
        <v>86</v>
      </c>
      <c r="AZ47" s="429">
        <v>188</v>
      </c>
      <c r="BA47" s="463">
        <v>85</v>
      </c>
      <c r="BB47" s="426">
        <v>78</v>
      </c>
      <c r="BC47" s="461">
        <v>73</v>
      </c>
      <c r="BD47" s="428">
        <v>54</v>
      </c>
      <c r="BE47" s="457">
        <v>79</v>
      </c>
      <c r="BF47" s="463">
        <v>29</v>
      </c>
      <c r="BG47" s="461">
        <v>35</v>
      </c>
      <c r="BH47" s="513">
        <v>278</v>
      </c>
      <c r="BI47" s="428">
        <v>235</v>
      </c>
      <c r="BJ47" s="461">
        <v>211</v>
      </c>
      <c r="BK47" s="513">
        <v>141</v>
      </c>
      <c r="BL47" s="428">
        <v>92</v>
      </c>
      <c r="BM47" s="570">
        <v>88</v>
      </c>
      <c r="BN47" s="461">
        <v>78</v>
      </c>
      <c r="BO47" s="513">
        <v>43</v>
      </c>
      <c r="BP47" s="428">
        <v>44</v>
      </c>
      <c r="BQ47" s="461">
        <v>38</v>
      </c>
      <c r="BR47" s="463">
        <v>111</v>
      </c>
      <c r="BS47" s="464">
        <v>170</v>
      </c>
      <c r="BT47" s="465">
        <v>204</v>
      </c>
      <c r="BU47" s="465">
        <v>191</v>
      </c>
      <c r="BV47" s="465">
        <v>187</v>
      </c>
      <c r="BW47" s="428">
        <v>103</v>
      </c>
      <c r="BX47" s="428">
        <v>118</v>
      </c>
      <c r="BY47" s="428">
        <v>133</v>
      </c>
      <c r="BZ47" s="428">
        <v>124</v>
      </c>
      <c r="CA47" s="428">
        <v>130</v>
      </c>
      <c r="CB47" s="428">
        <v>166</v>
      </c>
      <c r="CC47" s="428">
        <v>127</v>
      </c>
      <c r="CD47" s="428">
        <v>143</v>
      </c>
      <c r="CE47" s="428">
        <v>129</v>
      </c>
      <c r="CF47" s="426">
        <v>115</v>
      </c>
      <c r="CG47" s="457">
        <v>19</v>
      </c>
      <c r="CH47" s="463">
        <v>224</v>
      </c>
      <c r="CI47" s="428">
        <v>382</v>
      </c>
      <c r="CJ47" s="461">
        <v>318</v>
      </c>
      <c r="CK47" s="513">
        <v>184</v>
      </c>
      <c r="CL47" s="569">
        <v>177</v>
      </c>
      <c r="CM47" s="428">
        <v>115</v>
      </c>
      <c r="CN47" s="457">
        <v>84</v>
      </c>
      <c r="CO47" s="428">
        <v>58</v>
      </c>
      <c r="CP47" s="426">
        <v>95</v>
      </c>
      <c r="CQ47" s="426">
        <v>113</v>
      </c>
      <c r="CR47" s="426">
        <v>60</v>
      </c>
      <c r="CS47" s="570">
        <v>71</v>
      </c>
      <c r="CT47" s="461">
        <v>83</v>
      </c>
      <c r="CU47" s="19"/>
    </row>
    <row r="48" spans="1:99" s="12" customFormat="1" ht="13.5" thickTop="1" x14ac:dyDescent="0.3">
      <c r="A48" s="26"/>
      <c r="B48" s="420"/>
      <c r="C48" s="421"/>
      <c r="D48" s="421"/>
      <c r="E48" s="894"/>
      <c r="F48" s="557"/>
      <c r="G48" s="408"/>
      <c r="H48" s="558"/>
      <c r="I48" s="558"/>
      <c r="J48" s="404"/>
      <c r="K48" s="408"/>
      <c r="L48" s="559"/>
      <c r="M48" s="560"/>
      <c r="N48" s="561"/>
      <c r="O48" s="560"/>
      <c r="P48" s="562"/>
      <c r="Q48" s="562"/>
      <c r="R48" s="562"/>
      <c r="S48" s="562"/>
      <c r="T48" s="563"/>
      <c r="U48" s="407"/>
      <c r="V48" s="404"/>
      <c r="W48" s="423"/>
      <c r="X48" s="564"/>
      <c r="Y48" s="408"/>
      <c r="Z48" s="404"/>
      <c r="AA48" s="423"/>
      <c r="AB48" s="565"/>
      <c r="AC48" s="558"/>
      <c r="AD48" s="404"/>
      <c r="AE48" s="423"/>
      <c r="AF48" s="404"/>
      <c r="AG48" s="407"/>
      <c r="AH48" s="404"/>
      <c r="AI48" s="404"/>
      <c r="AJ48" s="404"/>
      <c r="AK48" s="409"/>
      <c r="AL48" s="565"/>
      <c r="AM48" s="404"/>
      <c r="AN48" s="564"/>
      <c r="AO48" s="421"/>
      <c r="AP48" s="407"/>
      <c r="AQ48" s="404"/>
      <c r="AR48" s="409"/>
      <c r="AS48" s="564"/>
      <c r="AT48" s="407"/>
      <c r="AU48" s="404"/>
      <c r="AV48" s="404"/>
      <c r="AW48" s="421"/>
      <c r="AX48" s="407"/>
      <c r="AY48" s="404"/>
      <c r="AZ48" s="423"/>
      <c r="BA48" s="564"/>
      <c r="BB48" s="421"/>
      <c r="BC48" s="409"/>
      <c r="BD48" s="404"/>
      <c r="BE48" s="408"/>
      <c r="BF48" s="564"/>
      <c r="BG48" s="409"/>
      <c r="BH48" s="565"/>
      <c r="BI48" s="404"/>
      <c r="BJ48" s="409"/>
      <c r="BK48" s="565"/>
      <c r="BL48" s="404"/>
      <c r="BM48" s="405"/>
      <c r="BN48" s="409"/>
      <c r="BO48" s="565"/>
      <c r="BP48" s="404"/>
      <c r="BQ48" s="409"/>
      <c r="BR48" s="564"/>
      <c r="BS48" s="407"/>
      <c r="BT48" s="558"/>
      <c r="BU48" s="558"/>
      <c r="BV48" s="558"/>
      <c r="BW48" s="404"/>
      <c r="BX48" s="404"/>
      <c r="BY48" s="404"/>
      <c r="BZ48" s="404"/>
      <c r="CA48" s="404"/>
      <c r="CB48" s="404"/>
      <c r="CC48" s="404"/>
      <c r="CD48" s="404"/>
      <c r="CE48" s="404"/>
      <c r="CF48" s="421"/>
      <c r="CG48" s="408"/>
      <c r="CH48" s="564"/>
      <c r="CI48" s="404"/>
      <c r="CJ48" s="409"/>
      <c r="CK48" s="565"/>
      <c r="CL48" s="559"/>
      <c r="CM48" s="404"/>
      <c r="CN48" s="408"/>
      <c r="CO48" s="404"/>
      <c r="CP48" s="421"/>
      <c r="CQ48" s="421"/>
      <c r="CR48" s="421"/>
      <c r="CS48" s="405"/>
      <c r="CT48" s="409"/>
      <c r="CU48" s="19"/>
    </row>
    <row r="49" spans="2:99" s="12" customFormat="1" ht="13" x14ac:dyDescent="0.3">
      <c r="B49" s="17" t="s">
        <v>10</v>
      </c>
      <c r="C49" s="235">
        <f>SUM(C28)</f>
        <v>581</v>
      </c>
      <c r="D49" s="235">
        <f>SUM(D28)</f>
        <v>179</v>
      </c>
      <c r="E49" s="900">
        <f>SUM(D49/C49)</f>
        <v>0.30808950086058517</v>
      </c>
      <c r="F49" s="62">
        <f>SUM(F28)</f>
        <v>87</v>
      </c>
      <c r="G49" s="230">
        <f t="shared" ref="G49:AE49" si="17">SUM(G28)</f>
        <v>59</v>
      </c>
      <c r="H49" s="242">
        <f t="shared" ref="H49:I49" si="18">SUM(H28)</f>
        <v>126</v>
      </c>
      <c r="I49" s="242">
        <f t="shared" si="18"/>
        <v>0</v>
      </c>
      <c r="J49" s="49">
        <f t="shared" ref="J49:K49" si="19">SUM(J28)</f>
        <v>109</v>
      </c>
      <c r="K49" s="230">
        <f t="shared" si="19"/>
        <v>31</v>
      </c>
      <c r="L49" s="543">
        <f t="shared" si="17"/>
        <v>0</v>
      </c>
      <c r="M49" s="49">
        <f>SUM(M28)</f>
        <v>0</v>
      </c>
      <c r="N49" s="230">
        <f>SUM(N28)</f>
        <v>0</v>
      </c>
      <c r="O49" s="49">
        <f t="shared" si="17"/>
        <v>0</v>
      </c>
      <c r="P49" s="242">
        <f t="shared" si="17"/>
        <v>0</v>
      </c>
      <c r="Q49" s="242">
        <f t="shared" si="17"/>
        <v>0</v>
      </c>
      <c r="R49" s="242">
        <f t="shared" si="17"/>
        <v>0</v>
      </c>
      <c r="S49" s="242">
        <f t="shared" si="17"/>
        <v>0</v>
      </c>
      <c r="T49" s="62">
        <f t="shared" si="17"/>
        <v>0</v>
      </c>
      <c r="U49" s="231">
        <f t="shared" si="17"/>
        <v>0</v>
      </c>
      <c r="V49" s="49">
        <f>SUM(V28)</f>
        <v>0</v>
      </c>
      <c r="W49" s="82">
        <f t="shared" si="17"/>
        <v>0</v>
      </c>
      <c r="X49" s="62">
        <f t="shared" si="17"/>
        <v>0</v>
      </c>
      <c r="Y49" s="230">
        <f t="shared" si="17"/>
        <v>0</v>
      </c>
      <c r="Z49" s="49">
        <f>SUM(Z28)</f>
        <v>0</v>
      </c>
      <c r="AA49" s="82">
        <f t="shared" si="17"/>
        <v>0</v>
      </c>
      <c r="AB49" s="227">
        <f t="shared" si="17"/>
        <v>0</v>
      </c>
      <c r="AC49" s="242">
        <f>SUM(AC28)</f>
        <v>0</v>
      </c>
      <c r="AD49" s="49">
        <f t="shared" si="17"/>
        <v>0</v>
      </c>
      <c r="AE49" s="82">
        <f t="shared" si="17"/>
        <v>0</v>
      </c>
      <c r="AF49" s="49">
        <f>SUM(AF28)</f>
        <v>0</v>
      </c>
      <c r="AG49" s="231">
        <f>SUM(AG28)</f>
        <v>0</v>
      </c>
      <c r="AH49" s="49">
        <f t="shared" ref="AH49:CS49" si="20">SUM(AH28)</f>
        <v>0</v>
      </c>
      <c r="AI49" s="49">
        <f t="shared" si="20"/>
        <v>0</v>
      </c>
      <c r="AJ49" s="49">
        <f t="shared" si="20"/>
        <v>0</v>
      </c>
      <c r="AK49" s="50">
        <f t="shared" si="20"/>
        <v>0</v>
      </c>
      <c r="AL49" s="227">
        <f t="shared" si="20"/>
        <v>0</v>
      </c>
      <c r="AM49" s="49">
        <f t="shared" si="20"/>
        <v>0</v>
      </c>
      <c r="AN49" s="62">
        <f t="shared" si="20"/>
        <v>0</v>
      </c>
      <c r="AO49" s="235">
        <f t="shared" si="20"/>
        <v>0</v>
      </c>
      <c r="AP49" s="231">
        <f t="shared" si="20"/>
        <v>0</v>
      </c>
      <c r="AQ49" s="49">
        <f t="shared" si="20"/>
        <v>0</v>
      </c>
      <c r="AR49" s="50">
        <f t="shared" si="20"/>
        <v>0</v>
      </c>
      <c r="AS49" s="62">
        <f t="shared" si="20"/>
        <v>0</v>
      </c>
      <c r="AT49" s="231">
        <f t="shared" si="20"/>
        <v>0</v>
      </c>
      <c r="AU49" s="49">
        <f t="shared" si="20"/>
        <v>0</v>
      </c>
      <c r="AV49" s="49">
        <f t="shared" si="20"/>
        <v>0</v>
      </c>
      <c r="AW49" s="235">
        <f t="shared" si="20"/>
        <v>0</v>
      </c>
      <c r="AX49" s="231">
        <f t="shared" si="20"/>
        <v>0</v>
      </c>
      <c r="AY49" s="49">
        <f t="shared" si="20"/>
        <v>0</v>
      </c>
      <c r="AZ49" s="82">
        <f t="shared" si="20"/>
        <v>0</v>
      </c>
      <c r="BA49" s="62">
        <f t="shared" si="20"/>
        <v>0</v>
      </c>
      <c r="BB49" s="235">
        <f t="shared" si="20"/>
        <v>0</v>
      </c>
      <c r="BC49" s="50">
        <f t="shared" si="20"/>
        <v>0</v>
      </c>
      <c r="BD49" s="49">
        <f t="shared" si="20"/>
        <v>0</v>
      </c>
      <c r="BE49" s="230">
        <f t="shared" si="20"/>
        <v>0</v>
      </c>
      <c r="BF49" s="62">
        <f t="shared" si="20"/>
        <v>0</v>
      </c>
      <c r="BG49" s="50">
        <f t="shared" si="20"/>
        <v>0</v>
      </c>
      <c r="BH49" s="227">
        <f t="shared" si="20"/>
        <v>0</v>
      </c>
      <c r="BI49" s="49">
        <f t="shared" si="20"/>
        <v>0</v>
      </c>
      <c r="BJ49" s="50">
        <f t="shared" si="20"/>
        <v>0</v>
      </c>
      <c r="BK49" s="227">
        <f t="shared" si="20"/>
        <v>0</v>
      </c>
      <c r="BL49" s="49">
        <f t="shared" si="20"/>
        <v>0</v>
      </c>
      <c r="BM49" s="291">
        <f t="shared" si="20"/>
        <v>0</v>
      </c>
      <c r="BN49" s="50">
        <f t="shared" si="20"/>
        <v>0</v>
      </c>
      <c r="BO49" s="227">
        <f t="shared" si="20"/>
        <v>0</v>
      </c>
      <c r="BP49" s="49">
        <f t="shared" si="20"/>
        <v>0</v>
      </c>
      <c r="BQ49" s="50">
        <f t="shared" si="20"/>
        <v>0</v>
      </c>
      <c r="BR49" s="62">
        <f t="shared" si="20"/>
        <v>0</v>
      </c>
      <c r="BS49" s="231">
        <f t="shared" si="20"/>
        <v>0</v>
      </c>
      <c r="BT49" s="242">
        <f t="shared" si="20"/>
        <v>0</v>
      </c>
      <c r="BU49" s="242">
        <f t="shared" si="20"/>
        <v>0</v>
      </c>
      <c r="BV49" s="242">
        <f t="shared" si="20"/>
        <v>0</v>
      </c>
      <c r="BW49" s="49">
        <f t="shared" si="20"/>
        <v>0</v>
      </c>
      <c r="BX49" s="49">
        <f t="shared" si="20"/>
        <v>0</v>
      </c>
      <c r="BY49" s="49">
        <f t="shared" si="20"/>
        <v>0</v>
      </c>
      <c r="BZ49" s="49">
        <f t="shared" si="20"/>
        <v>0</v>
      </c>
      <c r="CA49" s="49">
        <f t="shared" si="20"/>
        <v>0</v>
      </c>
      <c r="CB49" s="49">
        <f t="shared" si="20"/>
        <v>0</v>
      </c>
      <c r="CC49" s="49">
        <f t="shared" si="20"/>
        <v>0</v>
      </c>
      <c r="CD49" s="49">
        <f t="shared" si="20"/>
        <v>0</v>
      </c>
      <c r="CE49" s="49">
        <f t="shared" si="20"/>
        <v>0</v>
      </c>
      <c r="CF49" s="235">
        <f t="shared" si="20"/>
        <v>0</v>
      </c>
      <c r="CG49" s="230">
        <f t="shared" si="20"/>
        <v>0</v>
      </c>
      <c r="CH49" s="62">
        <f t="shared" si="20"/>
        <v>0</v>
      </c>
      <c r="CI49" s="49">
        <f t="shared" si="20"/>
        <v>0</v>
      </c>
      <c r="CJ49" s="50">
        <f t="shared" si="20"/>
        <v>0</v>
      </c>
      <c r="CK49" s="227">
        <f t="shared" si="20"/>
        <v>0</v>
      </c>
      <c r="CL49" s="543">
        <f t="shared" si="20"/>
        <v>0</v>
      </c>
      <c r="CM49" s="55">
        <f t="shared" si="20"/>
        <v>0</v>
      </c>
      <c r="CN49" s="180">
        <f t="shared" si="20"/>
        <v>0</v>
      </c>
      <c r="CO49" s="55">
        <f t="shared" si="20"/>
        <v>0</v>
      </c>
      <c r="CP49" s="179">
        <f t="shared" si="20"/>
        <v>0</v>
      </c>
      <c r="CQ49" s="179">
        <f t="shared" si="20"/>
        <v>0</v>
      </c>
      <c r="CR49" s="179">
        <f t="shared" si="20"/>
        <v>0</v>
      </c>
      <c r="CS49" s="181">
        <f t="shared" si="20"/>
        <v>0</v>
      </c>
      <c r="CT49" s="183">
        <f t="shared" ref="CT49" si="21">SUM(CT28)</f>
        <v>0</v>
      </c>
      <c r="CU49" s="19"/>
    </row>
    <row r="50" spans="2:99" s="12" customFormat="1" ht="13" x14ac:dyDescent="0.3">
      <c r="B50" s="17" t="s">
        <v>11</v>
      </c>
      <c r="C50" s="235">
        <f>SUM(C5:C8)</f>
        <v>3145</v>
      </c>
      <c r="D50" s="235">
        <f>SUM(D5:D8)</f>
        <v>2078</v>
      </c>
      <c r="E50" s="900">
        <f t="shared" ref="E50:E67" si="22">SUM(D50/C50)</f>
        <v>0.66073131955484898</v>
      </c>
      <c r="F50" s="62">
        <f>SUM(F5:F8)</f>
        <v>0</v>
      </c>
      <c r="G50" s="230">
        <f t="shared" ref="G50:AE50" si="23">SUM(G5:G8)</f>
        <v>0</v>
      </c>
      <c r="H50" s="242">
        <f t="shared" ref="H50:I50" si="24">SUM(H5:H8)</f>
        <v>0</v>
      </c>
      <c r="I50" s="242">
        <f t="shared" si="24"/>
        <v>0</v>
      </c>
      <c r="J50" s="49">
        <f t="shared" ref="J50:K50" si="25">SUM(J5:J8)</f>
        <v>0</v>
      </c>
      <c r="K50" s="230">
        <f t="shared" si="25"/>
        <v>0</v>
      </c>
      <c r="L50" s="543">
        <f t="shared" si="23"/>
        <v>0</v>
      </c>
      <c r="M50" s="49">
        <f>SUM(M5:M8)</f>
        <v>970</v>
      </c>
      <c r="N50" s="230">
        <f>SUM(N5:N8)</f>
        <v>1170</v>
      </c>
      <c r="O50" s="49">
        <f t="shared" si="23"/>
        <v>1229</v>
      </c>
      <c r="P50" s="242">
        <f t="shared" si="23"/>
        <v>1208</v>
      </c>
      <c r="Q50" s="242">
        <f t="shared" si="23"/>
        <v>1244</v>
      </c>
      <c r="R50" s="242">
        <f t="shared" si="23"/>
        <v>1267</v>
      </c>
      <c r="S50" s="242">
        <f t="shared" si="23"/>
        <v>1203</v>
      </c>
      <c r="T50" s="62">
        <f t="shared" si="23"/>
        <v>0</v>
      </c>
      <c r="U50" s="231">
        <f t="shared" si="23"/>
        <v>0</v>
      </c>
      <c r="V50" s="49">
        <f>SUM(V5:V8)</f>
        <v>0</v>
      </c>
      <c r="W50" s="82">
        <f t="shared" si="23"/>
        <v>0</v>
      </c>
      <c r="X50" s="62">
        <f t="shared" si="23"/>
        <v>0</v>
      </c>
      <c r="Y50" s="230">
        <f t="shared" si="23"/>
        <v>0</v>
      </c>
      <c r="Z50" s="49">
        <f>SUM(Z5:Z8)</f>
        <v>0</v>
      </c>
      <c r="AA50" s="82">
        <f t="shared" si="23"/>
        <v>0</v>
      </c>
      <c r="AB50" s="227">
        <f t="shared" si="23"/>
        <v>0</v>
      </c>
      <c r="AC50" s="242">
        <f>SUM(AC5:AC8)</f>
        <v>0</v>
      </c>
      <c r="AD50" s="49">
        <f t="shared" si="23"/>
        <v>0</v>
      </c>
      <c r="AE50" s="82">
        <f t="shared" si="23"/>
        <v>0</v>
      </c>
      <c r="AF50" s="49">
        <f>SUM(AF5:AF8)</f>
        <v>0</v>
      </c>
      <c r="AG50" s="231">
        <f>SUM(AG5:AG8)</f>
        <v>0</v>
      </c>
      <c r="AH50" s="49">
        <f t="shared" ref="AH50:CS50" si="26">SUM(AH5:AH8)</f>
        <v>0</v>
      </c>
      <c r="AI50" s="49">
        <f t="shared" si="26"/>
        <v>0</v>
      </c>
      <c r="AJ50" s="49">
        <f t="shared" si="26"/>
        <v>0</v>
      </c>
      <c r="AK50" s="50">
        <f t="shared" si="26"/>
        <v>0</v>
      </c>
      <c r="AL50" s="227">
        <f t="shared" si="26"/>
        <v>0</v>
      </c>
      <c r="AM50" s="49">
        <f t="shared" si="26"/>
        <v>0</v>
      </c>
      <c r="AN50" s="62">
        <f t="shared" si="26"/>
        <v>0</v>
      </c>
      <c r="AO50" s="235">
        <f t="shared" si="26"/>
        <v>0</v>
      </c>
      <c r="AP50" s="231">
        <f t="shared" si="26"/>
        <v>0</v>
      </c>
      <c r="AQ50" s="49">
        <f t="shared" si="26"/>
        <v>0</v>
      </c>
      <c r="AR50" s="50">
        <f t="shared" si="26"/>
        <v>0</v>
      </c>
      <c r="AS50" s="62">
        <f t="shared" si="26"/>
        <v>0</v>
      </c>
      <c r="AT50" s="231">
        <f t="shared" si="26"/>
        <v>0</v>
      </c>
      <c r="AU50" s="49">
        <f t="shared" si="26"/>
        <v>0</v>
      </c>
      <c r="AV50" s="49">
        <f t="shared" si="26"/>
        <v>0</v>
      </c>
      <c r="AW50" s="235">
        <f t="shared" si="26"/>
        <v>0</v>
      </c>
      <c r="AX50" s="231">
        <f t="shared" si="26"/>
        <v>0</v>
      </c>
      <c r="AY50" s="49">
        <f t="shared" si="26"/>
        <v>0</v>
      </c>
      <c r="AZ50" s="82">
        <f t="shared" si="26"/>
        <v>0</v>
      </c>
      <c r="BA50" s="62">
        <f t="shared" si="26"/>
        <v>0</v>
      </c>
      <c r="BB50" s="235">
        <f t="shared" si="26"/>
        <v>0</v>
      </c>
      <c r="BC50" s="50">
        <f t="shared" si="26"/>
        <v>0</v>
      </c>
      <c r="BD50" s="49">
        <f t="shared" si="26"/>
        <v>0</v>
      </c>
      <c r="BE50" s="230">
        <f t="shared" si="26"/>
        <v>0</v>
      </c>
      <c r="BF50" s="62">
        <f t="shared" si="26"/>
        <v>0</v>
      </c>
      <c r="BG50" s="50">
        <f t="shared" si="26"/>
        <v>0</v>
      </c>
      <c r="BH50" s="227">
        <f t="shared" si="26"/>
        <v>0</v>
      </c>
      <c r="BI50" s="49">
        <f t="shared" si="26"/>
        <v>0</v>
      </c>
      <c r="BJ50" s="50">
        <f t="shared" si="26"/>
        <v>0</v>
      </c>
      <c r="BK50" s="227">
        <f t="shared" si="26"/>
        <v>0</v>
      </c>
      <c r="BL50" s="49">
        <f t="shared" si="26"/>
        <v>0</v>
      </c>
      <c r="BM50" s="291">
        <f t="shared" si="26"/>
        <v>0</v>
      </c>
      <c r="BN50" s="50">
        <f t="shared" si="26"/>
        <v>0</v>
      </c>
      <c r="BO50" s="227">
        <f t="shared" si="26"/>
        <v>0</v>
      </c>
      <c r="BP50" s="49">
        <f t="shared" si="26"/>
        <v>0</v>
      </c>
      <c r="BQ50" s="50">
        <f t="shared" si="26"/>
        <v>0</v>
      </c>
      <c r="BR50" s="62">
        <f t="shared" si="26"/>
        <v>0</v>
      </c>
      <c r="BS50" s="231">
        <f t="shared" si="26"/>
        <v>0</v>
      </c>
      <c r="BT50" s="242">
        <f t="shared" si="26"/>
        <v>0</v>
      </c>
      <c r="BU50" s="242">
        <f t="shared" si="26"/>
        <v>0</v>
      </c>
      <c r="BV50" s="242">
        <f t="shared" si="26"/>
        <v>0</v>
      </c>
      <c r="BW50" s="49">
        <f t="shared" si="26"/>
        <v>0</v>
      </c>
      <c r="BX50" s="49">
        <f t="shared" si="26"/>
        <v>0</v>
      </c>
      <c r="BY50" s="49">
        <f t="shared" si="26"/>
        <v>0</v>
      </c>
      <c r="BZ50" s="49">
        <f t="shared" si="26"/>
        <v>0</v>
      </c>
      <c r="CA50" s="49">
        <f t="shared" si="26"/>
        <v>0</v>
      </c>
      <c r="CB50" s="49">
        <f t="shared" si="26"/>
        <v>0</v>
      </c>
      <c r="CC50" s="49">
        <f t="shared" si="26"/>
        <v>0</v>
      </c>
      <c r="CD50" s="49">
        <f t="shared" si="26"/>
        <v>0</v>
      </c>
      <c r="CE50" s="49">
        <f t="shared" si="26"/>
        <v>0</v>
      </c>
      <c r="CF50" s="235">
        <f t="shared" si="26"/>
        <v>0</v>
      </c>
      <c r="CG50" s="230">
        <f t="shared" si="26"/>
        <v>0</v>
      </c>
      <c r="CH50" s="62">
        <f t="shared" si="26"/>
        <v>0</v>
      </c>
      <c r="CI50" s="49">
        <f t="shared" si="26"/>
        <v>0</v>
      </c>
      <c r="CJ50" s="50">
        <f t="shared" si="26"/>
        <v>0</v>
      </c>
      <c r="CK50" s="227">
        <f t="shared" si="26"/>
        <v>0</v>
      </c>
      <c r="CL50" s="543">
        <f t="shared" si="26"/>
        <v>0</v>
      </c>
      <c r="CM50" s="55">
        <f t="shared" si="26"/>
        <v>0</v>
      </c>
      <c r="CN50" s="180">
        <f t="shared" si="26"/>
        <v>0</v>
      </c>
      <c r="CO50" s="55">
        <f t="shared" si="26"/>
        <v>0</v>
      </c>
      <c r="CP50" s="179">
        <f t="shared" si="26"/>
        <v>0</v>
      </c>
      <c r="CQ50" s="179">
        <f t="shared" si="26"/>
        <v>0</v>
      </c>
      <c r="CR50" s="179">
        <f t="shared" si="26"/>
        <v>0</v>
      </c>
      <c r="CS50" s="181">
        <f t="shared" si="26"/>
        <v>0</v>
      </c>
      <c r="CT50" s="183">
        <f t="shared" ref="CT50" si="27">SUM(CT5:CT8)</f>
        <v>0</v>
      </c>
      <c r="CU50" s="19"/>
    </row>
    <row r="51" spans="2:99" s="12" customFormat="1" ht="13" x14ac:dyDescent="0.3">
      <c r="B51" s="17" t="s">
        <v>12</v>
      </c>
      <c r="C51" s="235">
        <f>SUM(C9)</f>
        <v>525</v>
      </c>
      <c r="D51" s="235">
        <f>SUM(D9)</f>
        <v>211</v>
      </c>
      <c r="E51" s="900">
        <f t="shared" si="22"/>
        <v>0.40190476190476193</v>
      </c>
      <c r="F51" s="62">
        <f>SUM(F9)</f>
        <v>0</v>
      </c>
      <c r="G51" s="230">
        <f t="shared" ref="G51:AE51" si="28">SUM(G9)</f>
        <v>0</v>
      </c>
      <c r="H51" s="242">
        <f t="shared" ref="H51:I51" si="29">SUM(H9)</f>
        <v>0</v>
      </c>
      <c r="I51" s="242">
        <f t="shared" si="29"/>
        <v>0</v>
      </c>
      <c r="J51" s="49">
        <f t="shared" ref="J51:K51" si="30">SUM(J9)</f>
        <v>0</v>
      </c>
      <c r="K51" s="230">
        <f t="shared" si="30"/>
        <v>0</v>
      </c>
      <c r="L51" s="543">
        <f t="shared" si="28"/>
        <v>0</v>
      </c>
      <c r="M51" s="49">
        <f>SUM(M9)</f>
        <v>0</v>
      </c>
      <c r="N51" s="230">
        <f>SUM(N9)</f>
        <v>0</v>
      </c>
      <c r="O51" s="49">
        <f t="shared" si="28"/>
        <v>0</v>
      </c>
      <c r="P51" s="242">
        <f t="shared" si="28"/>
        <v>0</v>
      </c>
      <c r="Q51" s="242">
        <f t="shared" si="28"/>
        <v>0</v>
      </c>
      <c r="R51" s="242">
        <f t="shared" si="28"/>
        <v>0</v>
      </c>
      <c r="S51" s="242">
        <f t="shared" si="28"/>
        <v>0</v>
      </c>
      <c r="T51" s="62">
        <f t="shared" si="28"/>
        <v>83</v>
      </c>
      <c r="U51" s="231">
        <f t="shared" si="28"/>
        <v>113</v>
      </c>
      <c r="V51" s="49">
        <f>SUM(V9)</f>
        <v>110</v>
      </c>
      <c r="W51" s="82">
        <f t="shared" si="28"/>
        <v>103</v>
      </c>
      <c r="X51" s="62">
        <f t="shared" si="28"/>
        <v>0</v>
      </c>
      <c r="Y51" s="230">
        <f t="shared" si="28"/>
        <v>0</v>
      </c>
      <c r="Z51" s="49">
        <f>SUM(Z9)</f>
        <v>0</v>
      </c>
      <c r="AA51" s="82">
        <f t="shared" si="28"/>
        <v>0</v>
      </c>
      <c r="AB51" s="227">
        <f t="shared" si="28"/>
        <v>0</v>
      </c>
      <c r="AC51" s="242">
        <f>SUM(AC9)</f>
        <v>0</v>
      </c>
      <c r="AD51" s="49">
        <f t="shared" si="28"/>
        <v>0</v>
      </c>
      <c r="AE51" s="82">
        <f t="shared" si="28"/>
        <v>0</v>
      </c>
      <c r="AF51" s="49">
        <f>SUM(AF9)</f>
        <v>0</v>
      </c>
      <c r="AG51" s="231">
        <f>SUM(AG9)</f>
        <v>0</v>
      </c>
      <c r="AH51" s="49">
        <f t="shared" ref="AH51:CS51" si="31">SUM(AH9)</f>
        <v>0</v>
      </c>
      <c r="AI51" s="49">
        <f t="shared" si="31"/>
        <v>0</v>
      </c>
      <c r="AJ51" s="49">
        <f t="shared" si="31"/>
        <v>0</v>
      </c>
      <c r="AK51" s="50">
        <f t="shared" si="31"/>
        <v>0</v>
      </c>
      <c r="AL51" s="227">
        <f t="shared" si="31"/>
        <v>0</v>
      </c>
      <c r="AM51" s="49">
        <f t="shared" si="31"/>
        <v>0</v>
      </c>
      <c r="AN51" s="62">
        <f t="shared" si="31"/>
        <v>0</v>
      </c>
      <c r="AO51" s="235">
        <f t="shared" si="31"/>
        <v>0</v>
      </c>
      <c r="AP51" s="231">
        <f t="shared" si="31"/>
        <v>0</v>
      </c>
      <c r="AQ51" s="49">
        <f t="shared" si="31"/>
        <v>0</v>
      </c>
      <c r="AR51" s="50">
        <f t="shared" si="31"/>
        <v>0</v>
      </c>
      <c r="AS51" s="62">
        <f t="shared" si="31"/>
        <v>0</v>
      </c>
      <c r="AT51" s="231">
        <f t="shared" si="31"/>
        <v>0</v>
      </c>
      <c r="AU51" s="49">
        <f t="shared" si="31"/>
        <v>0</v>
      </c>
      <c r="AV51" s="49">
        <f t="shared" si="31"/>
        <v>0</v>
      </c>
      <c r="AW51" s="235">
        <f t="shared" si="31"/>
        <v>0</v>
      </c>
      <c r="AX51" s="231">
        <f t="shared" si="31"/>
        <v>0</v>
      </c>
      <c r="AY51" s="49">
        <f t="shared" si="31"/>
        <v>0</v>
      </c>
      <c r="AZ51" s="82">
        <f t="shared" si="31"/>
        <v>0</v>
      </c>
      <c r="BA51" s="62">
        <f t="shared" si="31"/>
        <v>0</v>
      </c>
      <c r="BB51" s="235">
        <f t="shared" si="31"/>
        <v>0</v>
      </c>
      <c r="BC51" s="50">
        <f t="shared" si="31"/>
        <v>0</v>
      </c>
      <c r="BD51" s="49">
        <f t="shared" si="31"/>
        <v>0</v>
      </c>
      <c r="BE51" s="230">
        <f t="shared" si="31"/>
        <v>0</v>
      </c>
      <c r="BF51" s="62">
        <f t="shared" si="31"/>
        <v>0</v>
      </c>
      <c r="BG51" s="50">
        <f t="shared" si="31"/>
        <v>0</v>
      </c>
      <c r="BH51" s="227">
        <f t="shared" si="31"/>
        <v>0</v>
      </c>
      <c r="BI51" s="49">
        <f t="shared" si="31"/>
        <v>0</v>
      </c>
      <c r="BJ51" s="50">
        <f t="shared" si="31"/>
        <v>0</v>
      </c>
      <c r="BK51" s="227">
        <f t="shared" si="31"/>
        <v>0</v>
      </c>
      <c r="BL51" s="49">
        <f t="shared" si="31"/>
        <v>0</v>
      </c>
      <c r="BM51" s="291">
        <f t="shared" si="31"/>
        <v>0</v>
      </c>
      <c r="BN51" s="50">
        <f t="shared" si="31"/>
        <v>0</v>
      </c>
      <c r="BO51" s="227">
        <f t="shared" si="31"/>
        <v>0</v>
      </c>
      <c r="BP51" s="49">
        <f t="shared" si="31"/>
        <v>0</v>
      </c>
      <c r="BQ51" s="50">
        <f t="shared" si="31"/>
        <v>0</v>
      </c>
      <c r="BR51" s="62">
        <f t="shared" si="31"/>
        <v>0</v>
      </c>
      <c r="BS51" s="231">
        <f t="shared" si="31"/>
        <v>0</v>
      </c>
      <c r="BT51" s="242">
        <f t="shared" si="31"/>
        <v>0</v>
      </c>
      <c r="BU51" s="242">
        <f t="shared" si="31"/>
        <v>0</v>
      </c>
      <c r="BV51" s="242">
        <f t="shared" si="31"/>
        <v>0</v>
      </c>
      <c r="BW51" s="49">
        <f t="shared" si="31"/>
        <v>0</v>
      </c>
      <c r="BX51" s="49">
        <f t="shared" si="31"/>
        <v>0</v>
      </c>
      <c r="BY51" s="49">
        <f t="shared" si="31"/>
        <v>0</v>
      </c>
      <c r="BZ51" s="49">
        <f t="shared" si="31"/>
        <v>0</v>
      </c>
      <c r="CA51" s="49">
        <f t="shared" si="31"/>
        <v>0</v>
      </c>
      <c r="CB51" s="49">
        <f t="shared" si="31"/>
        <v>0</v>
      </c>
      <c r="CC51" s="49">
        <f t="shared" si="31"/>
        <v>0</v>
      </c>
      <c r="CD51" s="49">
        <f t="shared" si="31"/>
        <v>0</v>
      </c>
      <c r="CE51" s="49">
        <f t="shared" si="31"/>
        <v>0</v>
      </c>
      <c r="CF51" s="235">
        <f t="shared" si="31"/>
        <v>0</v>
      </c>
      <c r="CG51" s="230">
        <f t="shared" si="31"/>
        <v>0</v>
      </c>
      <c r="CH51" s="62">
        <f t="shared" si="31"/>
        <v>0</v>
      </c>
      <c r="CI51" s="49">
        <f t="shared" si="31"/>
        <v>0</v>
      </c>
      <c r="CJ51" s="50">
        <f t="shared" si="31"/>
        <v>0</v>
      </c>
      <c r="CK51" s="227">
        <f t="shared" si="31"/>
        <v>0</v>
      </c>
      <c r="CL51" s="543">
        <f t="shared" si="31"/>
        <v>0</v>
      </c>
      <c r="CM51" s="55">
        <f t="shared" si="31"/>
        <v>0</v>
      </c>
      <c r="CN51" s="180">
        <f t="shared" si="31"/>
        <v>0</v>
      </c>
      <c r="CO51" s="55">
        <f t="shared" si="31"/>
        <v>0</v>
      </c>
      <c r="CP51" s="179">
        <f t="shared" si="31"/>
        <v>0</v>
      </c>
      <c r="CQ51" s="179">
        <f t="shared" si="31"/>
        <v>0</v>
      </c>
      <c r="CR51" s="179">
        <f t="shared" si="31"/>
        <v>0</v>
      </c>
      <c r="CS51" s="181">
        <f t="shared" si="31"/>
        <v>0</v>
      </c>
      <c r="CT51" s="183">
        <f t="shared" ref="CT51" si="32">SUM(CT9)</f>
        <v>0</v>
      </c>
      <c r="CU51" s="19"/>
    </row>
    <row r="52" spans="2:99" s="12" customFormat="1" ht="13" x14ac:dyDescent="0.3">
      <c r="B52" s="17" t="s">
        <v>13</v>
      </c>
      <c r="C52" s="257">
        <f>SUM(C29:C30)</f>
        <v>2317</v>
      </c>
      <c r="D52" s="257">
        <f>SUM(D29:D30)</f>
        <v>1166</v>
      </c>
      <c r="E52" s="900">
        <f t="shared" si="22"/>
        <v>0.50323694432455757</v>
      </c>
      <c r="F52" s="64">
        <f>SUM(F29:F30)</f>
        <v>0</v>
      </c>
      <c r="G52" s="258">
        <f t="shared" ref="G52:AE52" si="33">SUM(G29:G30)</f>
        <v>0</v>
      </c>
      <c r="H52" s="256">
        <f t="shared" ref="H52:I52" si="34">SUM(H29:H30)</f>
        <v>0</v>
      </c>
      <c r="I52" s="256">
        <f t="shared" si="34"/>
        <v>0</v>
      </c>
      <c r="J52" s="66">
        <f t="shared" ref="J52:K52" si="35">SUM(J29:J30)</f>
        <v>0</v>
      </c>
      <c r="K52" s="258">
        <f t="shared" si="35"/>
        <v>0</v>
      </c>
      <c r="L52" s="544">
        <f t="shared" si="33"/>
        <v>0</v>
      </c>
      <c r="M52" s="66">
        <f>SUM(M29:M30)</f>
        <v>0</v>
      </c>
      <c r="N52" s="258">
        <f>SUM(N29:N30)</f>
        <v>0</v>
      </c>
      <c r="O52" s="66">
        <f t="shared" si="33"/>
        <v>0</v>
      </c>
      <c r="P52" s="256">
        <f t="shared" si="33"/>
        <v>0</v>
      </c>
      <c r="Q52" s="256">
        <f t="shared" si="33"/>
        <v>0</v>
      </c>
      <c r="R52" s="256">
        <f t="shared" si="33"/>
        <v>0</v>
      </c>
      <c r="S52" s="256">
        <f t="shared" si="33"/>
        <v>0</v>
      </c>
      <c r="T52" s="64">
        <f t="shared" si="33"/>
        <v>0</v>
      </c>
      <c r="U52" s="259">
        <f t="shared" si="33"/>
        <v>0</v>
      </c>
      <c r="V52" s="66">
        <f>SUM(V29:V30)</f>
        <v>0</v>
      </c>
      <c r="W52" s="84">
        <f t="shared" si="33"/>
        <v>0</v>
      </c>
      <c r="X52" s="64">
        <f t="shared" si="33"/>
        <v>824</v>
      </c>
      <c r="Y52" s="258">
        <f t="shared" si="33"/>
        <v>295</v>
      </c>
      <c r="Z52" s="66">
        <f>SUM(Z29:Z30)</f>
        <v>620</v>
      </c>
      <c r="AA52" s="84">
        <f t="shared" si="33"/>
        <v>557</v>
      </c>
      <c r="AB52" s="255">
        <f t="shared" si="33"/>
        <v>0</v>
      </c>
      <c r="AC52" s="256">
        <f>SUM(AC29:AC30)</f>
        <v>0</v>
      </c>
      <c r="AD52" s="66">
        <f t="shared" si="33"/>
        <v>0</v>
      </c>
      <c r="AE52" s="84">
        <f t="shared" si="33"/>
        <v>0</v>
      </c>
      <c r="AF52" s="66">
        <f>SUM(AF29:AF30)</f>
        <v>0</v>
      </c>
      <c r="AG52" s="259">
        <f>SUM(AG29:AG30)</f>
        <v>0</v>
      </c>
      <c r="AH52" s="66">
        <f t="shared" ref="AH52:CS52" si="36">SUM(AH29:AH30)</f>
        <v>0</v>
      </c>
      <c r="AI52" s="66">
        <f t="shared" si="36"/>
        <v>0</v>
      </c>
      <c r="AJ52" s="66">
        <f t="shared" si="36"/>
        <v>0</v>
      </c>
      <c r="AK52" s="65">
        <f t="shared" si="36"/>
        <v>0</v>
      </c>
      <c r="AL52" s="255">
        <f t="shared" si="36"/>
        <v>0</v>
      </c>
      <c r="AM52" s="66">
        <f t="shared" si="36"/>
        <v>0</v>
      </c>
      <c r="AN52" s="64">
        <f t="shared" si="36"/>
        <v>0</v>
      </c>
      <c r="AO52" s="257">
        <f t="shared" si="36"/>
        <v>0</v>
      </c>
      <c r="AP52" s="259">
        <f t="shared" si="36"/>
        <v>0</v>
      </c>
      <c r="AQ52" s="66">
        <f t="shared" si="36"/>
        <v>0</v>
      </c>
      <c r="AR52" s="65">
        <f t="shared" si="36"/>
        <v>0</v>
      </c>
      <c r="AS52" s="64">
        <f t="shared" si="36"/>
        <v>0</v>
      </c>
      <c r="AT52" s="259">
        <f t="shared" si="36"/>
        <v>0</v>
      </c>
      <c r="AU52" s="66">
        <f t="shared" si="36"/>
        <v>0</v>
      </c>
      <c r="AV52" s="66">
        <f t="shared" si="36"/>
        <v>0</v>
      </c>
      <c r="AW52" s="257">
        <f t="shared" si="36"/>
        <v>0</v>
      </c>
      <c r="AX52" s="259">
        <f t="shared" si="36"/>
        <v>0</v>
      </c>
      <c r="AY52" s="66">
        <f t="shared" si="36"/>
        <v>0</v>
      </c>
      <c r="AZ52" s="84">
        <f t="shared" si="36"/>
        <v>0</v>
      </c>
      <c r="BA52" s="64">
        <f t="shared" si="36"/>
        <v>0</v>
      </c>
      <c r="BB52" s="257">
        <f t="shared" si="36"/>
        <v>0</v>
      </c>
      <c r="BC52" s="65">
        <f t="shared" si="36"/>
        <v>0</v>
      </c>
      <c r="BD52" s="66">
        <f t="shared" si="36"/>
        <v>0</v>
      </c>
      <c r="BE52" s="258">
        <f t="shared" si="36"/>
        <v>0</v>
      </c>
      <c r="BF52" s="64">
        <f t="shared" si="36"/>
        <v>0</v>
      </c>
      <c r="BG52" s="65">
        <f t="shared" si="36"/>
        <v>0</v>
      </c>
      <c r="BH52" s="255">
        <f t="shared" si="36"/>
        <v>0</v>
      </c>
      <c r="BI52" s="66">
        <f t="shared" si="36"/>
        <v>0</v>
      </c>
      <c r="BJ52" s="65">
        <f t="shared" si="36"/>
        <v>0</v>
      </c>
      <c r="BK52" s="255">
        <f t="shared" si="36"/>
        <v>0</v>
      </c>
      <c r="BL52" s="66">
        <f t="shared" si="36"/>
        <v>0</v>
      </c>
      <c r="BM52" s="306">
        <f t="shared" si="36"/>
        <v>0</v>
      </c>
      <c r="BN52" s="65">
        <f t="shared" si="36"/>
        <v>0</v>
      </c>
      <c r="BO52" s="255">
        <f t="shared" si="36"/>
        <v>0</v>
      </c>
      <c r="BP52" s="66">
        <f t="shared" si="36"/>
        <v>0</v>
      </c>
      <c r="BQ52" s="65">
        <f t="shared" si="36"/>
        <v>0</v>
      </c>
      <c r="BR52" s="64">
        <f t="shared" si="36"/>
        <v>0</v>
      </c>
      <c r="BS52" s="259">
        <f t="shared" si="36"/>
        <v>0</v>
      </c>
      <c r="BT52" s="256">
        <f t="shared" si="36"/>
        <v>0</v>
      </c>
      <c r="BU52" s="256">
        <f t="shared" si="36"/>
        <v>0</v>
      </c>
      <c r="BV52" s="256">
        <f t="shared" si="36"/>
        <v>0</v>
      </c>
      <c r="BW52" s="66">
        <f t="shared" si="36"/>
        <v>0</v>
      </c>
      <c r="BX52" s="66">
        <f t="shared" si="36"/>
        <v>0</v>
      </c>
      <c r="BY52" s="66">
        <f t="shared" si="36"/>
        <v>0</v>
      </c>
      <c r="BZ52" s="66">
        <f t="shared" si="36"/>
        <v>0</v>
      </c>
      <c r="CA52" s="66">
        <f t="shared" si="36"/>
        <v>0</v>
      </c>
      <c r="CB52" s="66">
        <f t="shared" si="36"/>
        <v>0</v>
      </c>
      <c r="CC52" s="66">
        <f t="shared" si="36"/>
        <v>0</v>
      </c>
      <c r="CD52" s="66">
        <f t="shared" si="36"/>
        <v>0</v>
      </c>
      <c r="CE52" s="66">
        <f t="shared" si="36"/>
        <v>0</v>
      </c>
      <c r="CF52" s="257">
        <f t="shared" si="36"/>
        <v>0</v>
      </c>
      <c r="CG52" s="258">
        <f t="shared" si="36"/>
        <v>0</v>
      </c>
      <c r="CH52" s="64">
        <f t="shared" si="36"/>
        <v>0</v>
      </c>
      <c r="CI52" s="66">
        <f t="shared" si="36"/>
        <v>0</v>
      </c>
      <c r="CJ52" s="65">
        <f t="shared" si="36"/>
        <v>0</v>
      </c>
      <c r="CK52" s="255">
        <f t="shared" si="36"/>
        <v>0</v>
      </c>
      <c r="CL52" s="544">
        <f t="shared" si="36"/>
        <v>0</v>
      </c>
      <c r="CM52" s="184">
        <f t="shared" si="36"/>
        <v>0</v>
      </c>
      <c r="CN52" s="481">
        <f t="shared" si="36"/>
        <v>0</v>
      </c>
      <c r="CO52" s="184">
        <f t="shared" si="36"/>
        <v>0</v>
      </c>
      <c r="CP52" s="547">
        <f t="shared" si="36"/>
        <v>0</v>
      </c>
      <c r="CQ52" s="547">
        <f t="shared" si="36"/>
        <v>0</v>
      </c>
      <c r="CR52" s="547">
        <f t="shared" si="36"/>
        <v>0</v>
      </c>
      <c r="CS52" s="356">
        <f t="shared" si="36"/>
        <v>0</v>
      </c>
      <c r="CT52" s="185">
        <f t="shared" ref="CT52" si="37">SUM(CT29:CT30)</f>
        <v>0</v>
      </c>
      <c r="CU52" s="19"/>
    </row>
    <row r="53" spans="2:99" s="12" customFormat="1" ht="13" x14ac:dyDescent="0.3">
      <c r="B53" s="17" t="s">
        <v>716</v>
      </c>
      <c r="C53" s="257">
        <f>SUM(C10)</f>
        <v>1122</v>
      </c>
      <c r="D53" s="257">
        <f>SUM(D10)</f>
        <v>275</v>
      </c>
      <c r="E53" s="900">
        <f t="shared" si="22"/>
        <v>0.24509803921568626</v>
      </c>
      <c r="F53" s="64">
        <f>SUM(F10)</f>
        <v>0</v>
      </c>
      <c r="G53" s="258">
        <f t="shared" ref="G53:AE53" si="38">SUM(G10)</f>
        <v>0</v>
      </c>
      <c r="H53" s="256">
        <f t="shared" ref="H53:I53" si="39">SUM(H10)</f>
        <v>0</v>
      </c>
      <c r="I53" s="256">
        <f t="shared" si="39"/>
        <v>0</v>
      </c>
      <c r="J53" s="66">
        <f t="shared" ref="J53:K53" si="40">SUM(J10)</f>
        <v>0</v>
      </c>
      <c r="K53" s="258">
        <f t="shared" si="40"/>
        <v>0</v>
      </c>
      <c r="L53" s="544">
        <f t="shared" si="38"/>
        <v>0</v>
      </c>
      <c r="M53" s="66">
        <f>SUM(M10)</f>
        <v>0</v>
      </c>
      <c r="N53" s="258">
        <f>SUM(N10)</f>
        <v>0</v>
      </c>
      <c r="O53" s="66">
        <f t="shared" si="38"/>
        <v>0</v>
      </c>
      <c r="P53" s="256">
        <f t="shared" si="38"/>
        <v>0</v>
      </c>
      <c r="Q53" s="256">
        <f t="shared" si="38"/>
        <v>0</v>
      </c>
      <c r="R53" s="256">
        <f t="shared" si="38"/>
        <v>0</v>
      </c>
      <c r="S53" s="256">
        <f t="shared" si="38"/>
        <v>0</v>
      </c>
      <c r="T53" s="64">
        <f t="shared" si="38"/>
        <v>0</v>
      </c>
      <c r="U53" s="259">
        <f t="shared" si="38"/>
        <v>0</v>
      </c>
      <c r="V53" s="66">
        <f>SUM(V10)</f>
        <v>0</v>
      </c>
      <c r="W53" s="84">
        <f t="shared" si="38"/>
        <v>0</v>
      </c>
      <c r="X53" s="64">
        <f t="shared" si="38"/>
        <v>0</v>
      </c>
      <c r="Y53" s="258">
        <f t="shared" si="38"/>
        <v>0</v>
      </c>
      <c r="Z53" s="66">
        <f>SUM(Z10)</f>
        <v>0</v>
      </c>
      <c r="AA53" s="84">
        <f t="shared" si="38"/>
        <v>0</v>
      </c>
      <c r="AB53" s="255">
        <f t="shared" si="38"/>
        <v>217</v>
      </c>
      <c r="AC53" s="256">
        <f>SUM(AC10)</f>
        <v>0</v>
      </c>
      <c r="AD53" s="66">
        <f t="shared" si="38"/>
        <v>145</v>
      </c>
      <c r="AE53" s="84">
        <f t="shared" si="38"/>
        <v>155</v>
      </c>
      <c r="AF53" s="66">
        <f>SUM(AF10)</f>
        <v>0</v>
      </c>
      <c r="AG53" s="259">
        <f>SUM(AG10)</f>
        <v>0</v>
      </c>
      <c r="AH53" s="66">
        <f t="shared" ref="AH53:CS53" si="41">SUM(AH10)</f>
        <v>0</v>
      </c>
      <c r="AI53" s="66">
        <f t="shared" si="41"/>
        <v>0</v>
      </c>
      <c r="AJ53" s="66">
        <f t="shared" si="41"/>
        <v>0</v>
      </c>
      <c r="AK53" s="65">
        <f t="shared" si="41"/>
        <v>0</v>
      </c>
      <c r="AL53" s="255">
        <f t="shared" si="41"/>
        <v>0</v>
      </c>
      <c r="AM53" s="66">
        <f t="shared" si="41"/>
        <v>0</v>
      </c>
      <c r="AN53" s="64">
        <f t="shared" si="41"/>
        <v>0</v>
      </c>
      <c r="AO53" s="257">
        <f t="shared" si="41"/>
        <v>0</v>
      </c>
      <c r="AP53" s="259">
        <f t="shared" si="41"/>
        <v>0</v>
      </c>
      <c r="AQ53" s="66">
        <f t="shared" si="41"/>
        <v>0</v>
      </c>
      <c r="AR53" s="65">
        <f t="shared" si="41"/>
        <v>0</v>
      </c>
      <c r="AS53" s="64">
        <f t="shared" si="41"/>
        <v>0</v>
      </c>
      <c r="AT53" s="259">
        <f t="shared" si="41"/>
        <v>0</v>
      </c>
      <c r="AU53" s="66">
        <f t="shared" si="41"/>
        <v>0</v>
      </c>
      <c r="AV53" s="66">
        <f t="shared" si="41"/>
        <v>0</v>
      </c>
      <c r="AW53" s="257">
        <f t="shared" si="41"/>
        <v>0</v>
      </c>
      <c r="AX53" s="259">
        <f t="shared" si="41"/>
        <v>0</v>
      </c>
      <c r="AY53" s="66">
        <f t="shared" si="41"/>
        <v>0</v>
      </c>
      <c r="AZ53" s="84">
        <f t="shared" si="41"/>
        <v>0</v>
      </c>
      <c r="BA53" s="64">
        <f t="shared" si="41"/>
        <v>0</v>
      </c>
      <c r="BB53" s="257">
        <f t="shared" si="41"/>
        <v>0</v>
      </c>
      <c r="BC53" s="65">
        <f t="shared" si="41"/>
        <v>0</v>
      </c>
      <c r="BD53" s="66">
        <f t="shared" si="41"/>
        <v>0</v>
      </c>
      <c r="BE53" s="258">
        <f t="shared" si="41"/>
        <v>0</v>
      </c>
      <c r="BF53" s="64">
        <f t="shared" si="41"/>
        <v>0</v>
      </c>
      <c r="BG53" s="65">
        <f t="shared" si="41"/>
        <v>0</v>
      </c>
      <c r="BH53" s="255">
        <f t="shared" si="41"/>
        <v>0</v>
      </c>
      <c r="BI53" s="66">
        <f t="shared" si="41"/>
        <v>0</v>
      </c>
      <c r="BJ53" s="65">
        <f t="shared" si="41"/>
        <v>0</v>
      </c>
      <c r="BK53" s="255">
        <f t="shared" si="41"/>
        <v>0</v>
      </c>
      <c r="BL53" s="66">
        <f t="shared" si="41"/>
        <v>0</v>
      </c>
      <c r="BM53" s="306">
        <f t="shared" si="41"/>
        <v>0</v>
      </c>
      <c r="BN53" s="65">
        <f t="shared" si="41"/>
        <v>0</v>
      </c>
      <c r="BO53" s="255">
        <f t="shared" si="41"/>
        <v>0</v>
      </c>
      <c r="BP53" s="66">
        <f t="shared" si="41"/>
        <v>0</v>
      </c>
      <c r="BQ53" s="65">
        <f t="shared" si="41"/>
        <v>0</v>
      </c>
      <c r="BR53" s="64">
        <f t="shared" si="41"/>
        <v>0</v>
      </c>
      <c r="BS53" s="259">
        <f t="shared" si="41"/>
        <v>0</v>
      </c>
      <c r="BT53" s="256">
        <f t="shared" si="41"/>
        <v>0</v>
      </c>
      <c r="BU53" s="256">
        <f t="shared" si="41"/>
        <v>0</v>
      </c>
      <c r="BV53" s="256">
        <f t="shared" si="41"/>
        <v>0</v>
      </c>
      <c r="BW53" s="66">
        <f t="shared" si="41"/>
        <v>0</v>
      </c>
      <c r="BX53" s="66">
        <f t="shared" si="41"/>
        <v>0</v>
      </c>
      <c r="BY53" s="66">
        <f t="shared" si="41"/>
        <v>0</v>
      </c>
      <c r="BZ53" s="66">
        <f t="shared" si="41"/>
        <v>0</v>
      </c>
      <c r="CA53" s="66">
        <f t="shared" si="41"/>
        <v>0</v>
      </c>
      <c r="CB53" s="66">
        <f t="shared" si="41"/>
        <v>0</v>
      </c>
      <c r="CC53" s="66">
        <f t="shared" si="41"/>
        <v>0</v>
      </c>
      <c r="CD53" s="66">
        <f t="shared" si="41"/>
        <v>0</v>
      </c>
      <c r="CE53" s="66">
        <f t="shared" si="41"/>
        <v>0</v>
      </c>
      <c r="CF53" s="257">
        <f t="shared" si="41"/>
        <v>0</v>
      </c>
      <c r="CG53" s="258">
        <f t="shared" si="41"/>
        <v>0</v>
      </c>
      <c r="CH53" s="64">
        <f t="shared" si="41"/>
        <v>0</v>
      </c>
      <c r="CI53" s="66">
        <f t="shared" si="41"/>
        <v>0</v>
      </c>
      <c r="CJ53" s="65">
        <f t="shared" si="41"/>
        <v>0</v>
      </c>
      <c r="CK53" s="255">
        <f t="shared" si="41"/>
        <v>0</v>
      </c>
      <c r="CL53" s="544">
        <f t="shared" si="41"/>
        <v>0</v>
      </c>
      <c r="CM53" s="184">
        <f t="shared" si="41"/>
        <v>0</v>
      </c>
      <c r="CN53" s="481">
        <f t="shared" si="41"/>
        <v>0</v>
      </c>
      <c r="CO53" s="184">
        <f t="shared" si="41"/>
        <v>0</v>
      </c>
      <c r="CP53" s="547">
        <f t="shared" si="41"/>
        <v>0</v>
      </c>
      <c r="CQ53" s="547">
        <f t="shared" si="41"/>
        <v>0</v>
      </c>
      <c r="CR53" s="547">
        <f t="shared" si="41"/>
        <v>0</v>
      </c>
      <c r="CS53" s="356">
        <f t="shared" si="41"/>
        <v>0</v>
      </c>
      <c r="CT53" s="185">
        <f t="shared" ref="CT53" si="42">SUM(CT10)</f>
        <v>0</v>
      </c>
      <c r="CU53" s="19"/>
    </row>
    <row r="54" spans="2:99" s="12" customFormat="1" ht="13" x14ac:dyDescent="0.3">
      <c r="B54" s="17" t="s">
        <v>26</v>
      </c>
      <c r="C54" s="257">
        <f>SUM(C11:C13)</f>
        <v>2289</v>
      </c>
      <c r="D54" s="257">
        <f>SUM(D11:D13)</f>
        <v>1565</v>
      </c>
      <c r="E54" s="900">
        <f t="shared" si="22"/>
        <v>0.68370467453036265</v>
      </c>
      <c r="F54" s="64">
        <f>SUM(F11:F13)</f>
        <v>0</v>
      </c>
      <c r="G54" s="258">
        <f t="shared" ref="G54:AE54" si="43">SUM(G11:G13)</f>
        <v>0</v>
      </c>
      <c r="H54" s="256">
        <f t="shared" ref="H54:I54" si="44">SUM(H11:H13)</f>
        <v>0</v>
      </c>
      <c r="I54" s="256">
        <f t="shared" si="44"/>
        <v>0</v>
      </c>
      <c r="J54" s="66">
        <f t="shared" ref="J54:K54" si="45">SUM(J11:J13)</f>
        <v>0</v>
      </c>
      <c r="K54" s="258">
        <f t="shared" si="45"/>
        <v>0</v>
      </c>
      <c r="L54" s="544">
        <f t="shared" si="43"/>
        <v>0</v>
      </c>
      <c r="M54" s="66">
        <f>SUM(M11:M13)</f>
        <v>0</v>
      </c>
      <c r="N54" s="258">
        <f>SUM(N11:N13)</f>
        <v>0</v>
      </c>
      <c r="O54" s="66">
        <f t="shared" si="43"/>
        <v>0</v>
      </c>
      <c r="P54" s="256">
        <f t="shared" si="43"/>
        <v>0</v>
      </c>
      <c r="Q54" s="256">
        <f t="shared" si="43"/>
        <v>0</v>
      </c>
      <c r="R54" s="256">
        <f t="shared" si="43"/>
        <v>0</v>
      </c>
      <c r="S54" s="256">
        <f t="shared" si="43"/>
        <v>0</v>
      </c>
      <c r="T54" s="64">
        <f t="shared" si="43"/>
        <v>0</v>
      </c>
      <c r="U54" s="259">
        <f t="shared" si="43"/>
        <v>0</v>
      </c>
      <c r="V54" s="66">
        <f>SUM(V11:V13)</f>
        <v>0</v>
      </c>
      <c r="W54" s="84">
        <f t="shared" si="43"/>
        <v>0</v>
      </c>
      <c r="X54" s="64">
        <f t="shared" si="43"/>
        <v>0</v>
      </c>
      <c r="Y54" s="258">
        <f t="shared" si="43"/>
        <v>0</v>
      </c>
      <c r="Z54" s="66">
        <f>SUM(Z11:Z13)</f>
        <v>0</v>
      </c>
      <c r="AA54" s="84">
        <f t="shared" si="43"/>
        <v>0</v>
      </c>
      <c r="AB54" s="255">
        <f t="shared" si="43"/>
        <v>0</v>
      </c>
      <c r="AC54" s="256">
        <f>SUM(AC11:AC13)</f>
        <v>0</v>
      </c>
      <c r="AD54" s="66">
        <f t="shared" si="43"/>
        <v>0</v>
      </c>
      <c r="AE54" s="84">
        <f t="shared" si="43"/>
        <v>0</v>
      </c>
      <c r="AF54" s="66">
        <f>SUM(AF11:AF13)</f>
        <v>1094</v>
      </c>
      <c r="AG54" s="259">
        <f>SUM(AG11:AG13)</f>
        <v>346</v>
      </c>
      <c r="AH54" s="66">
        <f t="shared" ref="AH54:CS54" si="46">SUM(AH11:AH13)</f>
        <v>1077</v>
      </c>
      <c r="AI54" s="66">
        <f t="shared" si="46"/>
        <v>964</v>
      </c>
      <c r="AJ54" s="66">
        <f t="shared" si="46"/>
        <v>456</v>
      </c>
      <c r="AK54" s="65">
        <f t="shared" si="46"/>
        <v>928</v>
      </c>
      <c r="AL54" s="255">
        <f t="shared" si="46"/>
        <v>0</v>
      </c>
      <c r="AM54" s="66">
        <f t="shared" si="46"/>
        <v>0</v>
      </c>
      <c r="AN54" s="64">
        <f t="shared" si="46"/>
        <v>0</v>
      </c>
      <c r="AO54" s="257">
        <f t="shared" si="46"/>
        <v>0</v>
      </c>
      <c r="AP54" s="259">
        <f t="shared" si="46"/>
        <v>0</v>
      </c>
      <c r="AQ54" s="66">
        <f t="shared" si="46"/>
        <v>0</v>
      </c>
      <c r="AR54" s="65">
        <f t="shared" si="46"/>
        <v>0</v>
      </c>
      <c r="AS54" s="64">
        <f t="shared" si="46"/>
        <v>0</v>
      </c>
      <c r="AT54" s="259">
        <f t="shared" si="46"/>
        <v>0</v>
      </c>
      <c r="AU54" s="66">
        <f t="shared" si="46"/>
        <v>0</v>
      </c>
      <c r="AV54" s="66">
        <f t="shared" si="46"/>
        <v>0</v>
      </c>
      <c r="AW54" s="257">
        <f t="shared" si="46"/>
        <v>0</v>
      </c>
      <c r="AX54" s="259">
        <f t="shared" si="46"/>
        <v>0</v>
      </c>
      <c r="AY54" s="66">
        <f t="shared" si="46"/>
        <v>0</v>
      </c>
      <c r="AZ54" s="84">
        <f t="shared" si="46"/>
        <v>0</v>
      </c>
      <c r="BA54" s="64">
        <f t="shared" si="46"/>
        <v>0</v>
      </c>
      <c r="BB54" s="257">
        <f t="shared" si="46"/>
        <v>0</v>
      </c>
      <c r="BC54" s="65">
        <f t="shared" si="46"/>
        <v>0</v>
      </c>
      <c r="BD54" s="66">
        <f t="shared" si="46"/>
        <v>0</v>
      </c>
      <c r="BE54" s="258">
        <f t="shared" si="46"/>
        <v>0</v>
      </c>
      <c r="BF54" s="64">
        <f t="shared" si="46"/>
        <v>0</v>
      </c>
      <c r="BG54" s="65">
        <f t="shared" si="46"/>
        <v>0</v>
      </c>
      <c r="BH54" s="255">
        <f t="shared" si="46"/>
        <v>0</v>
      </c>
      <c r="BI54" s="66">
        <f t="shared" si="46"/>
        <v>0</v>
      </c>
      <c r="BJ54" s="65">
        <f t="shared" si="46"/>
        <v>0</v>
      </c>
      <c r="BK54" s="255">
        <f t="shared" si="46"/>
        <v>0</v>
      </c>
      <c r="BL54" s="66">
        <f t="shared" si="46"/>
        <v>0</v>
      </c>
      <c r="BM54" s="306">
        <f t="shared" si="46"/>
        <v>0</v>
      </c>
      <c r="BN54" s="65">
        <f t="shared" si="46"/>
        <v>0</v>
      </c>
      <c r="BO54" s="255">
        <f t="shared" si="46"/>
        <v>0</v>
      </c>
      <c r="BP54" s="66">
        <f t="shared" si="46"/>
        <v>0</v>
      </c>
      <c r="BQ54" s="65">
        <f t="shared" si="46"/>
        <v>0</v>
      </c>
      <c r="BR54" s="64">
        <f t="shared" si="46"/>
        <v>0</v>
      </c>
      <c r="BS54" s="259">
        <f t="shared" si="46"/>
        <v>0</v>
      </c>
      <c r="BT54" s="256">
        <f t="shared" si="46"/>
        <v>0</v>
      </c>
      <c r="BU54" s="256">
        <f t="shared" si="46"/>
        <v>0</v>
      </c>
      <c r="BV54" s="256">
        <f t="shared" si="46"/>
        <v>0</v>
      </c>
      <c r="BW54" s="66">
        <f t="shared" si="46"/>
        <v>0</v>
      </c>
      <c r="BX54" s="66">
        <f t="shared" si="46"/>
        <v>0</v>
      </c>
      <c r="BY54" s="66">
        <f t="shared" si="46"/>
        <v>0</v>
      </c>
      <c r="BZ54" s="66">
        <f t="shared" si="46"/>
        <v>0</v>
      </c>
      <c r="CA54" s="66">
        <f t="shared" si="46"/>
        <v>0</v>
      </c>
      <c r="CB54" s="66">
        <f t="shared" si="46"/>
        <v>0</v>
      </c>
      <c r="CC54" s="66">
        <f t="shared" si="46"/>
        <v>0</v>
      </c>
      <c r="CD54" s="66">
        <f t="shared" si="46"/>
        <v>0</v>
      </c>
      <c r="CE54" s="66">
        <f t="shared" si="46"/>
        <v>0</v>
      </c>
      <c r="CF54" s="257">
        <f t="shared" si="46"/>
        <v>0</v>
      </c>
      <c r="CG54" s="258">
        <f t="shared" si="46"/>
        <v>0</v>
      </c>
      <c r="CH54" s="64">
        <f t="shared" si="46"/>
        <v>0</v>
      </c>
      <c r="CI54" s="66">
        <f t="shared" si="46"/>
        <v>0</v>
      </c>
      <c r="CJ54" s="65">
        <f t="shared" si="46"/>
        <v>0</v>
      </c>
      <c r="CK54" s="255">
        <f t="shared" si="46"/>
        <v>0</v>
      </c>
      <c r="CL54" s="544">
        <f t="shared" si="46"/>
        <v>0</v>
      </c>
      <c r="CM54" s="184">
        <f t="shared" si="46"/>
        <v>0</v>
      </c>
      <c r="CN54" s="481">
        <f t="shared" si="46"/>
        <v>0</v>
      </c>
      <c r="CO54" s="184">
        <f t="shared" si="46"/>
        <v>0</v>
      </c>
      <c r="CP54" s="547">
        <f t="shared" si="46"/>
        <v>0</v>
      </c>
      <c r="CQ54" s="547">
        <f t="shared" si="46"/>
        <v>0</v>
      </c>
      <c r="CR54" s="547">
        <f t="shared" si="46"/>
        <v>0</v>
      </c>
      <c r="CS54" s="356">
        <f t="shared" si="46"/>
        <v>0</v>
      </c>
      <c r="CT54" s="185">
        <f t="shared" ref="CT54" si="47">SUM(CT11:CT13)</f>
        <v>0</v>
      </c>
      <c r="CU54" s="19"/>
    </row>
    <row r="55" spans="2:99" s="12" customFormat="1" ht="13" x14ac:dyDescent="0.3">
      <c r="B55" s="17" t="s">
        <v>27</v>
      </c>
      <c r="C55" s="257">
        <f>SUM(C14)</f>
        <v>1310</v>
      </c>
      <c r="D55" s="257">
        <f>SUM(D14)</f>
        <v>742</v>
      </c>
      <c r="E55" s="900">
        <f t="shared" si="22"/>
        <v>0.56641221374045803</v>
      </c>
      <c r="F55" s="64">
        <f>SUM(F14)</f>
        <v>0</v>
      </c>
      <c r="G55" s="258">
        <f t="shared" ref="G55:AE55" si="48">SUM(G14)</f>
        <v>0</v>
      </c>
      <c r="H55" s="256">
        <f t="shared" ref="H55:I55" si="49">SUM(H14)</f>
        <v>0</v>
      </c>
      <c r="I55" s="256">
        <f t="shared" si="49"/>
        <v>0</v>
      </c>
      <c r="J55" s="66">
        <f t="shared" ref="J55:K55" si="50">SUM(J14)</f>
        <v>0</v>
      </c>
      <c r="K55" s="258">
        <f t="shared" si="50"/>
        <v>0</v>
      </c>
      <c r="L55" s="544">
        <f t="shared" si="48"/>
        <v>0</v>
      </c>
      <c r="M55" s="66">
        <f>SUM(M14)</f>
        <v>0</v>
      </c>
      <c r="N55" s="258">
        <f>SUM(N14)</f>
        <v>0</v>
      </c>
      <c r="O55" s="66">
        <f t="shared" si="48"/>
        <v>0</v>
      </c>
      <c r="P55" s="256">
        <f t="shared" si="48"/>
        <v>0</v>
      </c>
      <c r="Q55" s="256">
        <f t="shared" si="48"/>
        <v>0</v>
      </c>
      <c r="R55" s="256">
        <f t="shared" si="48"/>
        <v>0</v>
      </c>
      <c r="S55" s="256">
        <f t="shared" si="48"/>
        <v>0</v>
      </c>
      <c r="T55" s="64">
        <f t="shared" si="48"/>
        <v>0</v>
      </c>
      <c r="U55" s="259">
        <f t="shared" si="48"/>
        <v>0</v>
      </c>
      <c r="V55" s="66">
        <f>SUM(V14)</f>
        <v>0</v>
      </c>
      <c r="W55" s="84">
        <f t="shared" si="48"/>
        <v>0</v>
      </c>
      <c r="X55" s="64">
        <f t="shared" si="48"/>
        <v>0</v>
      </c>
      <c r="Y55" s="258">
        <f t="shared" si="48"/>
        <v>0</v>
      </c>
      <c r="Z55" s="66">
        <f>SUM(Z14)</f>
        <v>0</v>
      </c>
      <c r="AA55" s="84">
        <f t="shared" si="48"/>
        <v>0</v>
      </c>
      <c r="AB55" s="255">
        <f t="shared" si="48"/>
        <v>0</v>
      </c>
      <c r="AC55" s="256">
        <f>SUM(AC14)</f>
        <v>0</v>
      </c>
      <c r="AD55" s="66">
        <f t="shared" si="48"/>
        <v>0</v>
      </c>
      <c r="AE55" s="84">
        <f t="shared" si="48"/>
        <v>0</v>
      </c>
      <c r="AF55" s="66">
        <f>SUM(AF14)</f>
        <v>0</v>
      </c>
      <c r="AG55" s="259">
        <f>SUM(AG14)</f>
        <v>0</v>
      </c>
      <c r="AH55" s="66">
        <f t="shared" ref="AH55:CS55" si="51">SUM(AH14)</f>
        <v>0</v>
      </c>
      <c r="AI55" s="66">
        <f t="shared" si="51"/>
        <v>0</v>
      </c>
      <c r="AJ55" s="66">
        <f t="shared" si="51"/>
        <v>0</v>
      </c>
      <c r="AK55" s="65">
        <f t="shared" si="51"/>
        <v>0</v>
      </c>
      <c r="AL55" s="255">
        <f t="shared" si="51"/>
        <v>523</v>
      </c>
      <c r="AM55" s="66">
        <f t="shared" si="51"/>
        <v>545</v>
      </c>
      <c r="AN55" s="64">
        <f t="shared" si="51"/>
        <v>0</v>
      </c>
      <c r="AO55" s="257">
        <f t="shared" si="51"/>
        <v>0</v>
      </c>
      <c r="AP55" s="259">
        <f t="shared" si="51"/>
        <v>0</v>
      </c>
      <c r="AQ55" s="66">
        <f t="shared" si="51"/>
        <v>0</v>
      </c>
      <c r="AR55" s="65">
        <f t="shared" si="51"/>
        <v>0</v>
      </c>
      <c r="AS55" s="64">
        <f t="shared" si="51"/>
        <v>0</v>
      </c>
      <c r="AT55" s="259">
        <f t="shared" si="51"/>
        <v>0</v>
      </c>
      <c r="AU55" s="66">
        <f t="shared" si="51"/>
        <v>0</v>
      </c>
      <c r="AV55" s="66">
        <f t="shared" si="51"/>
        <v>0</v>
      </c>
      <c r="AW55" s="257">
        <f t="shared" si="51"/>
        <v>0</v>
      </c>
      <c r="AX55" s="259">
        <f t="shared" si="51"/>
        <v>0</v>
      </c>
      <c r="AY55" s="66">
        <f t="shared" si="51"/>
        <v>0</v>
      </c>
      <c r="AZ55" s="84">
        <f t="shared" si="51"/>
        <v>0</v>
      </c>
      <c r="BA55" s="64">
        <f t="shared" si="51"/>
        <v>0</v>
      </c>
      <c r="BB55" s="257">
        <f t="shared" si="51"/>
        <v>0</v>
      </c>
      <c r="BC55" s="65">
        <f t="shared" si="51"/>
        <v>0</v>
      </c>
      <c r="BD55" s="66">
        <f t="shared" si="51"/>
        <v>0</v>
      </c>
      <c r="BE55" s="258">
        <f t="shared" si="51"/>
        <v>0</v>
      </c>
      <c r="BF55" s="64">
        <f t="shared" si="51"/>
        <v>0</v>
      </c>
      <c r="BG55" s="65">
        <f t="shared" si="51"/>
        <v>0</v>
      </c>
      <c r="BH55" s="255">
        <f t="shared" si="51"/>
        <v>0</v>
      </c>
      <c r="BI55" s="66">
        <f t="shared" si="51"/>
        <v>0</v>
      </c>
      <c r="BJ55" s="65">
        <f t="shared" si="51"/>
        <v>0</v>
      </c>
      <c r="BK55" s="255">
        <f t="shared" si="51"/>
        <v>0</v>
      </c>
      <c r="BL55" s="66">
        <f t="shared" si="51"/>
        <v>0</v>
      </c>
      <c r="BM55" s="306">
        <f t="shared" si="51"/>
        <v>0</v>
      </c>
      <c r="BN55" s="65">
        <f t="shared" si="51"/>
        <v>0</v>
      </c>
      <c r="BO55" s="255">
        <f t="shared" si="51"/>
        <v>0</v>
      </c>
      <c r="BP55" s="66">
        <f t="shared" si="51"/>
        <v>0</v>
      </c>
      <c r="BQ55" s="65">
        <f t="shared" si="51"/>
        <v>0</v>
      </c>
      <c r="BR55" s="64">
        <f t="shared" si="51"/>
        <v>0</v>
      </c>
      <c r="BS55" s="259">
        <f t="shared" si="51"/>
        <v>0</v>
      </c>
      <c r="BT55" s="256">
        <f t="shared" si="51"/>
        <v>0</v>
      </c>
      <c r="BU55" s="256">
        <f t="shared" si="51"/>
        <v>0</v>
      </c>
      <c r="BV55" s="256">
        <f t="shared" si="51"/>
        <v>0</v>
      </c>
      <c r="BW55" s="66">
        <f t="shared" si="51"/>
        <v>0</v>
      </c>
      <c r="BX55" s="66">
        <f t="shared" si="51"/>
        <v>0</v>
      </c>
      <c r="BY55" s="66">
        <f t="shared" si="51"/>
        <v>0</v>
      </c>
      <c r="BZ55" s="66">
        <f t="shared" si="51"/>
        <v>0</v>
      </c>
      <c r="CA55" s="66">
        <f t="shared" si="51"/>
        <v>0</v>
      </c>
      <c r="CB55" s="66">
        <f t="shared" si="51"/>
        <v>0</v>
      </c>
      <c r="CC55" s="66">
        <f t="shared" si="51"/>
        <v>0</v>
      </c>
      <c r="CD55" s="66">
        <f t="shared" si="51"/>
        <v>0</v>
      </c>
      <c r="CE55" s="66">
        <f t="shared" si="51"/>
        <v>0</v>
      </c>
      <c r="CF55" s="257">
        <f t="shared" si="51"/>
        <v>0</v>
      </c>
      <c r="CG55" s="258">
        <f t="shared" si="51"/>
        <v>0</v>
      </c>
      <c r="CH55" s="64">
        <f t="shared" si="51"/>
        <v>0</v>
      </c>
      <c r="CI55" s="66">
        <f t="shared" si="51"/>
        <v>0</v>
      </c>
      <c r="CJ55" s="65">
        <f t="shared" si="51"/>
        <v>0</v>
      </c>
      <c r="CK55" s="255">
        <f t="shared" si="51"/>
        <v>0</v>
      </c>
      <c r="CL55" s="544">
        <f t="shared" si="51"/>
        <v>0</v>
      </c>
      <c r="CM55" s="184">
        <f t="shared" si="51"/>
        <v>0</v>
      </c>
      <c r="CN55" s="481">
        <f t="shared" si="51"/>
        <v>0</v>
      </c>
      <c r="CO55" s="184">
        <f t="shared" si="51"/>
        <v>0</v>
      </c>
      <c r="CP55" s="547">
        <f t="shared" si="51"/>
        <v>0</v>
      </c>
      <c r="CQ55" s="547">
        <f t="shared" si="51"/>
        <v>0</v>
      </c>
      <c r="CR55" s="547">
        <f t="shared" si="51"/>
        <v>0</v>
      </c>
      <c r="CS55" s="356">
        <f t="shared" si="51"/>
        <v>0</v>
      </c>
      <c r="CT55" s="185">
        <f t="shared" ref="CT55" si="52">SUM(CT14)</f>
        <v>0</v>
      </c>
      <c r="CU55" s="19"/>
    </row>
    <row r="56" spans="2:99" s="12" customFormat="1" ht="13" x14ac:dyDescent="0.3">
      <c r="B56" s="17" t="s">
        <v>14</v>
      </c>
      <c r="C56" s="257">
        <f>SUM(C15:C16)</f>
        <v>2081</v>
      </c>
      <c r="D56" s="257">
        <f>SUM(D15:D16)</f>
        <v>1366</v>
      </c>
      <c r="E56" s="900">
        <f t="shared" si="22"/>
        <v>0.65641518500720808</v>
      </c>
      <c r="F56" s="64">
        <f>SUM(F15:F16)</f>
        <v>0</v>
      </c>
      <c r="G56" s="258">
        <f t="shared" ref="G56:AE56" si="53">SUM(G15:G16)</f>
        <v>0</v>
      </c>
      <c r="H56" s="256">
        <f t="shared" ref="H56:I56" si="54">SUM(H15:H16)</f>
        <v>0</v>
      </c>
      <c r="I56" s="256">
        <f t="shared" si="54"/>
        <v>0</v>
      </c>
      <c r="J56" s="66">
        <f t="shared" ref="J56:K56" si="55">SUM(J15:J16)</f>
        <v>0</v>
      </c>
      <c r="K56" s="258">
        <f t="shared" si="55"/>
        <v>0</v>
      </c>
      <c r="L56" s="544">
        <f t="shared" si="53"/>
        <v>0</v>
      </c>
      <c r="M56" s="66">
        <f>SUM(M15:M16)</f>
        <v>0</v>
      </c>
      <c r="N56" s="258">
        <f>SUM(N15:N16)</f>
        <v>0</v>
      </c>
      <c r="O56" s="66">
        <f t="shared" si="53"/>
        <v>0</v>
      </c>
      <c r="P56" s="256">
        <f t="shared" si="53"/>
        <v>0</v>
      </c>
      <c r="Q56" s="256">
        <f t="shared" si="53"/>
        <v>0</v>
      </c>
      <c r="R56" s="256">
        <f t="shared" si="53"/>
        <v>0</v>
      </c>
      <c r="S56" s="256">
        <f t="shared" si="53"/>
        <v>0</v>
      </c>
      <c r="T56" s="64">
        <f t="shared" si="53"/>
        <v>0</v>
      </c>
      <c r="U56" s="259">
        <f t="shared" si="53"/>
        <v>0</v>
      </c>
      <c r="V56" s="66">
        <f>SUM(V15:V16)</f>
        <v>0</v>
      </c>
      <c r="W56" s="84">
        <f t="shared" si="53"/>
        <v>0</v>
      </c>
      <c r="X56" s="64">
        <f t="shared" si="53"/>
        <v>0</v>
      </c>
      <c r="Y56" s="258">
        <f t="shared" si="53"/>
        <v>0</v>
      </c>
      <c r="Z56" s="66">
        <f>SUM(Z15:Z16)</f>
        <v>0</v>
      </c>
      <c r="AA56" s="84">
        <f t="shared" si="53"/>
        <v>0</v>
      </c>
      <c r="AB56" s="255">
        <f t="shared" si="53"/>
        <v>0</v>
      </c>
      <c r="AC56" s="256">
        <f>SUM(AC15:AC16)</f>
        <v>0</v>
      </c>
      <c r="AD56" s="66">
        <f t="shared" si="53"/>
        <v>0</v>
      </c>
      <c r="AE56" s="84">
        <f t="shared" si="53"/>
        <v>0</v>
      </c>
      <c r="AF56" s="66">
        <f>SUM(AF15:AF16)</f>
        <v>0</v>
      </c>
      <c r="AG56" s="259">
        <f>SUM(AG15:AG16)</f>
        <v>0</v>
      </c>
      <c r="AH56" s="66">
        <f t="shared" ref="AH56:CS56" si="56">SUM(AH15:AH16)</f>
        <v>0</v>
      </c>
      <c r="AI56" s="66">
        <f t="shared" si="56"/>
        <v>0</v>
      </c>
      <c r="AJ56" s="66">
        <f t="shared" si="56"/>
        <v>0</v>
      </c>
      <c r="AK56" s="65">
        <f t="shared" si="56"/>
        <v>0</v>
      </c>
      <c r="AL56" s="255">
        <f t="shared" si="56"/>
        <v>0</v>
      </c>
      <c r="AM56" s="66">
        <f t="shared" si="56"/>
        <v>0</v>
      </c>
      <c r="AN56" s="64">
        <f t="shared" si="56"/>
        <v>826</v>
      </c>
      <c r="AO56" s="257">
        <f t="shared" si="56"/>
        <v>350</v>
      </c>
      <c r="AP56" s="259">
        <f t="shared" si="56"/>
        <v>136</v>
      </c>
      <c r="AQ56" s="66">
        <f t="shared" si="56"/>
        <v>727</v>
      </c>
      <c r="AR56" s="65">
        <f t="shared" si="56"/>
        <v>769</v>
      </c>
      <c r="AS56" s="64">
        <f t="shared" si="56"/>
        <v>0</v>
      </c>
      <c r="AT56" s="259">
        <f t="shared" si="56"/>
        <v>0</v>
      </c>
      <c r="AU56" s="66">
        <f t="shared" si="56"/>
        <v>0</v>
      </c>
      <c r="AV56" s="66">
        <f t="shared" si="56"/>
        <v>0</v>
      </c>
      <c r="AW56" s="257">
        <f t="shared" si="56"/>
        <v>0</v>
      </c>
      <c r="AX56" s="259">
        <f t="shared" si="56"/>
        <v>0</v>
      </c>
      <c r="AY56" s="66">
        <f t="shared" si="56"/>
        <v>0</v>
      </c>
      <c r="AZ56" s="84">
        <f t="shared" si="56"/>
        <v>0</v>
      </c>
      <c r="BA56" s="64">
        <f t="shared" si="56"/>
        <v>0</v>
      </c>
      <c r="BB56" s="257">
        <f t="shared" si="56"/>
        <v>0</v>
      </c>
      <c r="BC56" s="65">
        <f t="shared" si="56"/>
        <v>0</v>
      </c>
      <c r="BD56" s="66">
        <f t="shared" si="56"/>
        <v>0</v>
      </c>
      <c r="BE56" s="258">
        <f t="shared" si="56"/>
        <v>0</v>
      </c>
      <c r="BF56" s="64">
        <f t="shared" si="56"/>
        <v>0</v>
      </c>
      <c r="BG56" s="65">
        <f t="shared" si="56"/>
        <v>0</v>
      </c>
      <c r="BH56" s="255">
        <f t="shared" si="56"/>
        <v>0</v>
      </c>
      <c r="BI56" s="66">
        <f t="shared" si="56"/>
        <v>0</v>
      </c>
      <c r="BJ56" s="65">
        <f t="shared" si="56"/>
        <v>0</v>
      </c>
      <c r="BK56" s="255">
        <f t="shared" si="56"/>
        <v>0</v>
      </c>
      <c r="BL56" s="66">
        <f t="shared" si="56"/>
        <v>0</v>
      </c>
      <c r="BM56" s="306">
        <f t="shared" si="56"/>
        <v>0</v>
      </c>
      <c r="BN56" s="65">
        <f t="shared" si="56"/>
        <v>0</v>
      </c>
      <c r="BO56" s="255">
        <f t="shared" si="56"/>
        <v>0</v>
      </c>
      <c r="BP56" s="66">
        <f t="shared" si="56"/>
        <v>0</v>
      </c>
      <c r="BQ56" s="65">
        <f t="shared" si="56"/>
        <v>0</v>
      </c>
      <c r="BR56" s="64">
        <f t="shared" si="56"/>
        <v>0</v>
      </c>
      <c r="BS56" s="259">
        <f t="shared" si="56"/>
        <v>0</v>
      </c>
      <c r="BT56" s="256">
        <f t="shared" si="56"/>
        <v>0</v>
      </c>
      <c r="BU56" s="256">
        <f t="shared" si="56"/>
        <v>0</v>
      </c>
      <c r="BV56" s="256">
        <f t="shared" si="56"/>
        <v>0</v>
      </c>
      <c r="BW56" s="66">
        <f t="shared" si="56"/>
        <v>0</v>
      </c>
      <c r="BX56" s="66">
        <f t="shared" si="56"/>
        <v>0</v>
      </c>
      <c r="BY56" s="66">
        <f t="shared" si="56"/>
        <v>0</v>
      </c>
      <c r="BZ56" s="66">
        <f t="shared" si="56"/>
        <v>0</v>
      </c>
      <c r="CA56" s="66">
        <f t="shared" si="56"/>
        <v>0</v>
      </c>
      <c r="CB56" s="66">
        <f t="shared" si="56"/>
        <v>0</v>
      </c>
      <c r="CC56" s="66">
        <f t="shared" si="56"/>
        <v>0</v>
      </c>
      <c r="CD56" s="66">
        <f t="shared" si="56"/>
        <v>0</v>
      </c>
      <c r="CE56" s="66">
        <f t="shared" si="56"/>
        <v>0</v>
      </c>
      <c r="CF56" s="257">
        <f t="shared" si="56"/>
        <v>0</v>
      </c>
      <c r="CG56" s="258">
        <f t="shared" si="56"/>
        <v>0</v>
      </c>
      <c r="CH56" s="64">
        <f t="shared" si="56"/>
        <v>0</v>
      </c>
      <c r="CI56" s="66">
        <f t="shared" si="56"/>
        <v>0</v>
      </c>
      <c r="CJ56" s="65">
        <f t="shared" si="56"/>
        <v>0</v>
      </c>
      <c r="CK56" s="255">
        <f t="shared" si="56"/>
        <v>0</v>
      </c>
      <c r="CL56" s="544">
        <f t="shared" si="56"/>
        <v>0</v>
      </c>
      <c r="CM56" s="184">
        <f t="shared" si="56"/>
        <v>0</v>
      </c>
      <c r="CN56" s="481">
        <f t="shared" si="56"/>
        <v>0</v>
      </c>
      <c r="CO56" s="184">
        <f t="shared" si="56"/>
        <v>0</v>
      </c>
      <c r="CP56" s="547">
        <f t="shared" si="56"/>
        <v>0</v>
      </c>
      <c r="CQ56" s="547">
        <f t="shared" si="56"/>
        <v>0</v>
      </c>
      <c r="CR56" s="547">
        <f t="shared" si="56"/>
        <v>0</v>
      </c>
      <c r="CS56" s="356">
        <f t="shared" si="56"/>
        <v>0</v>
      </c>
      <c r="CT56" s="185">
        <f t="shared" ref="CT56" si="57">SUM(CT15:CT16)</f>
        <v>0</v>
      </c>
      <c r="CU56" s="19"/>
    </row>
    <row r="57" spans="2:99" s="12" customFormat="1" ht="13" x14ac:dyDescent="0.3">
      <c r="B57" s="17" t="s">
        <v>28</v>
      </c>
      <c r="C57" s="257">
        <f>SUM(C17:C18)</f>
        <v>2677</v>
      </c>
      <c r="D57" s="257">
        <f>SUM(D17:D18)</f>
        <v>1159</v>
      </c>
      <c r="E57" s="900">
        <f t="shared" si="22"/>
        <v>0.43294732909973849</v>
      </c>
      <c r="F57" s="64">
        <f>SUM(F17:F18)</f>
        <v>0</v>
      </c>
      <c r="G57" s="258">
        <f t="shared" ref="G57:AE57" si="58">SUM(G17:G18)</f>
        <v>0</v>
      </c>
      <c r="H57" s="256">
        <f t="shared" ref="H57:I57" si="59">SUM(H17:H18)</f>
        <v>0</v>
      </c>
      <c r="I57" s="256">
        <f t="shared" si="59"/>
        <v>0</v>
      </c>
      <c r="J57" s="66">
        <f t="shared" ref="J57:K57" si="60">SUM(J17:J18)</f>
        <v>0</v>
      </c>
      <c r="K57" s="258">
        <f t="shared" si="60"/>
        <v>0</v>
      </c>
      <c r="L57" s="544">
        <f t="shared" si="58"/>
        <v>0</v>
      </c>
      <c r="M57" s="66">
        <f>SUM(M17:M18)</f>
        <v>0</v>
      </c>
      <c r="N57" s="258">
        <f>SUM(N17:N18)</f>
        <v>0</v>
      </c>
      <c r="O57" s="66">
        <f t="shared" si="58"/>
        <v>0</v>
      </c>
      <c r="P57" s="256">
        <f t="shared" si="58"/>
        <v>0</v>
      </c>
      <c r="Q57" s="256">
        <f t="shared" si="58"/>
        <v>0</v>
      </c>
      <c r="R57" s="256">
        <f t="shared" si="58"/>
        <v>0</v>
      </c>
      <c r="S57" s="256">
        <f t="shared" si="58"/>
        <v>0</v>
      </c>
      <c r="T57" s="64">
        <f t="shared" si="58"/>
        <v>0</v>
      </c>
      <c r="U57" s="259">
        <f t="shared" si="58"/>
        <v>0</v>
      </c>
      <c r="V57" s="66">
        <f>SUM(V17:V18)</f>
        <v>0</v>
      </c>
      <c r="W57" s="84">
        <f t="shared" si="58"/>
        <v>0</v>
      </c>
      <c r="X57" s="64">
        <f t="shared" si="58"/>
        <v>0</v>
      </c>
      <c r="Y57" s="258">
        <f t="shared" si="58"/>
        <v>0</v>
      </c>
      <c r="Z57" s="66">
        <f>SUM(Z17:Z18)</f>
        <v>0</v>
      </c>
      <c r="AA57" s="84">
        <f t="shared" si="58"/>
        <v>0</v>
      </c>
      <c r="AB57" s="255">
        <f t="shared" si="58"/>
        <v>0</v>
      </c>
      <c r="AC57" s="256">
        <f>SUM(AC17:AC18)</f>
        <v>0</v>
      </c>
      <c r="AD57" s="66">
        <f t="shared" si="58"/>
        <v>0</v>
      </c>
      <c r="AE57" s="84">
        <f t="shared" si="58"/>
        <v>0</v>
      </c>
      <c r="AF57" s="66">
        <f>SUM(AF17:AF18)</f>
        <v>0</v>
      </c>
      <c r="AG57" s="259">
        <f>SUM(AG17:AG18)</f>
        <v>0</v>
      </c>
      <c r="AH57" s="66">
        <f t="shared" ref="AH57:CS57" si="61">SUM(AH17:AH18)</f>
        <v>0</v>
      </c>
      <c r="AI57" s="66">
        <f t="shared" si="61"/>
        <v>0</v>
      </c>
      <c r="AJ57" s="66">
        <f t="shared" si="61"/>
        <v>0</v>
      </c>
      <c r="AK57" s="65">
        <f t="shared" si="61"/>
        <v>0</v>
      </c>
      <c r="AL57" s="255">
        <f t="shared" si="61"/>
        <v>0</v>
      </c>
      <c r="AM57" s="66">
        <f t="shared" si="61"/>
        <v>0</v>
      </c>
      <c r="AN57" s="64">
        <f t="shared" si="61"/>
        <v>0</v>
      </c>
      <c r="AO57" s="257">
        <f t="shared" si="61"/>
        <v>0</v>
      </c>
      <c r="AP57" s="259">
        <f t="shared" si="61"/>
        <v>0</v>
      </c>
      <c r="AQ57" s="66">
        <f t="shared" si="61"/>
        <v>0</v>
      </c>
      <c r="AR57" s="65">
        <f t="shared" si="61"/>
        <v>0</v>
      </c>
      <c r="AS57" s="64">
        <f t="shared" si="61"/>
        <v>412</v>
      </c>
      <c r="AT57" s="259">
        <f t="shared" si="61"/>
        <v>643</v>
      </c>
      <c r="AU57" s="66">
        <f t="shared" si="61"/>
        <v>480</v>
      </c>
      <c r="AV57" s="66">
        <f t="shared" si="61"/>
        <v>379</v>
      </c>
      <c r="AW57" s="257">
        <f t="shared" si="61"/>
        <v>540</v>
      </c>
      <c r="AX57" s="259">
        <f t="shared" si="61"/>
        <v>351</v>
      </c>
      <c r="AY57" s="66">
        <f t="shared" si="61"/>
        <v>370</v>
      </c>
      <c r="AZ57" s="84">
        <f t="shared" si="61"/>
        <v>648</v>
      </c>
      <c r="BA57" s="64">
        <f t="shared" si="61"/>
        <v>0</v>
      </c>
      <c r="BB57" s="257">
        <f t="shared" si="61"/>
        <v>0</v>
      </c>
      <c r="BC57" s="65">
        <f t="shared" si="61"/>
        <v>0</v>
      </c>
      <c r="BD57" s="66">
        <f t="shared" si="61"/>
        <v>0</v>
      </c>
      <c r="BE57" s="258">
        <f t="shared" si="61"/>
        <v>0</v>
      </c>
      <c r="BF57" s="64">
        <f t="shared" si="61"/>
        <v>0</v>
      </c>
      <c r="BG57" s="65">
        <f t="shared" si="61"/>
        <v>0</v>
      </c>
      <c r="BH57" s="255">
        <f t="shared" si="61"/>
        <v>0</v>
      </c>
      <c r="BI57" s="66">
        <f t="shared" si="61"/>
        <v>0</v>
      </c>
      <c r="BJ57" s="65">
        <f t="shared" si="61"/>
        <v>0</v>
      </c>
      <c r="BK57" s="255">
        <f t="shared" si="61"/>
        <v>0</v>
      </c>
      <c r="BL57" s="66">
        <f t="shared" si="61"/>
        <v>0</v>
      </c>
      <c r="BM57" s="306">
        <f t="shared" si="61"/>
        <v>0</v>
      </c>
      <c r="BN57" s="65">
        <f t="shared" si="61"/>
        <v>0</v>
      </c>
      <c r="BO57" s="255">
        <f t="shared" si="61"/>
        <v>0</v>
      </c>
      <c r="BP57" s="66">
        <f t="shared" si="61"/>
        <v>0</v>
      </c>
      <c r="BQ57" s="65">
        <f t="shared" si="61"/>
        <v>0</v>
      </c>
      <c r="BR57" s="64">
        <f t="shared" si="61"/>
        <v>0</v>
      </c>
      <c r="BS57" s="259">
        <f t="shared" si="61"/>
        <v>0</v>
      </c>
      <c r="BT57" s="256">
        <f t="shared" si="61"/>
        <v>0</v>
      </c>
      <c r="BU57" s="256">
        <f t="shared" si="61"/>
        <v>0</v>
      </c>
      <c r="BV57" s="256">
        <f t="shared" si="61"/>
        <v>0</v>
      </c>
      <c r="BW57" s="66">
        <f t="shared" si="61"/>
        <v>0</v>
      </c>
      <c r="BX57" s="66">
        <f t="shared" si="61"/>
        <v>0</v>
      </c>
      <c r="BY57" s="66">
        <f t="shared" si="61"/>
        <v>0</v>
      </c>
      <c r="BZ57" s="66">
        <f t="shared" si="61"/>
        <v>0</v>
      </c>
      <c r="CA57" s="66">
        <f t="shared" si="61"/>
        <v>0</v>
      </c>
      <c r="CB57" s="66">
        <f t="shared" si="61"/>
        <v>0</v>
      </c>
      <c r="CC57" s="66">
        <f t="shared" si="61"/>
        <v>0</v>
      </c>
      <c r="CD57" s="66">
        <f t="shared" si="61"/>
        <v>0</v>
      </c>
      <c r="CE57" s="66">
        <f t="shared" si="61"/>
        <v>0</v>
      </c>
      <c r="CF57" s="257">
        <f t="shared" si="61"/>
        <v>0</v>
      </c>
      <c r="CG57" s="258">
        <f t="shared" si="61"/>
        <v>0</v>
      </c>
      <c r="CH57" s="64">
        <f t="shared" si="61"/>
        <v>0</v>
      </c>
      <c r="CI57" s="66">
        <f t="shared" si="61"/>
        <v>0</v>
      </c>
      <c r="CJ57" s="65">
        <f t="shared" si="61"/>
        <v>0</v>
      </c>
      <c r="CK57" s="255">
        <f t="shared" si="61"/>
        <v>0</v>
      </c>
      <c r="CL57" s="544">
        <f t="shared" si="61"/>
        <v>0</v>
      </c>
      <c r="CM57" s="184">
        <f t="shared" si="61"/>
        <v>0</v>
      </c>
      <c r="CN57" s="481">
        <f t="shared" si="61"/>
        <v>0</v>
      </c>
      <c r="CO57" s="184">
        <f t="shared" si="61"/>
        <v>0</v>
      </c>
      <c r="CP57" s="547">
        <f t="shared" si="61"/>
        <v>0</v>
      </c>
      <c r="CQ57" s="547">
        <f t="shared" si="61"/>
        <v>0</v>
      </c>
      <c r="CR57" s="547">
        <f t="shared" si="61"/>
        <v>0</v>
      </c>
      <c r="CS57" s="356">
        <f t="shared" si="61"/>
        <v>0</v>
      </c>
      <c r="CT57" s="185">
        <f t="shared" ref="CT57" si="62">SUM(CT17:CT18)</f>
        <v>0</v>
      </c>
      <c r="CU57" s="19"/>
    </row>
    <row r="58" spans="2:99" s="12" customFormat="1" ht="13" x14ac:dyDescent="0.3">
      <c r="B58" s="17" t="s">
        <v>29</v>
      </c>
      <c r="C58" s="257">
        <f>SUM(C19:C21)</f>
        <v>2600</v>
      </c>
      <c r="D58" s="257">
        <f>SUM(D19:D21)</f>
        <v>1423</v>
      </c>
      <c r="E58" s="900">
        <f t="shared" si="22"/>
        <v>0.54730769230769227</v>
      </c>
      <c r="F58" s="64">
        <f>SUM(F19:F21)</f>
        <v>0</v>
      </c>
      <c r="G58" s="258">
        <f t="shared" ref="G58:AE58" si="63">SUM(G19:G21)</f>
        <v>0</v>
      </c>
      <c r="H58" s="256">
        <f t="shared" ref="H58:I58" si="64">SUM(H19:H21)</f>
        <v>0</v>
      </c>
      <c r="I58" s="256">
        <f t="shared" si="64"/>
        <v>0</v>
      </c>
      <c r="J58" s="66">
        <f t="shared" ref="J58:K58" si="65">SUM(J19:J21)</f>
        <v>0</v>
      </c>
      <c r="K58" s="258">
        <f t="shared" si="65"/>
        <v>0</v>
      </c>
      <c r="L58" s="544">
        <f t="shared" si="63"/>
        <v>0</v>
      </c>
      <c r="M58" s="66">
        <f>SUM(M19:M21)</f>
        <v>0</v>
      </c>
      <c r="N58" s="258">
        <f>SUM(N19:N21)</f>
        <v>0</v>
      </c>
      <c r="O58" s="66">
        <f t="shared" si="63"/>
        <v>0</v>
      </c>
      <c r="P58" s="256">
        <f t="shared" si="63"/>
        <v>0</v>
      </c>
      <c r="Q58" s="256">
        <f t="shared" si="63"/>
        <v>0</v>
      </c>
      <c r="R58" s="256">
        <f t="shared" si="63"/>
        <v>0</v>
      </c>
      <c r="S58" s="256">
        <f t="shared" si="63"/>
        <v>0</v>
      </c>
      <c r="T58" s="64">
        <f t="shared" si="63"/>
        <v>0</v>
      </c>
      <c r="U58" s="259">
        <f t="shared" si="63"/>
        <v>0</v>
      </c>
      <c r="V58" s="66">
        <f>SUM(V19:V21)</f>
        <v>0</v>
      </c>
      <c r="W58" s="84">
        <f t="shared" si="63"/>
        <v>0</v>
      </c>
      <c r="X58" s="64">
        <f t="shared" si="63"/>
        <v>0</v>
      </c>
      <c r="Y58" s="258">
        <f t="shared" si="63"/>
        <v>0</v>
      </c>
      <c r="Z58" s="66">
        <f>SUM(Z19:Z21)</f>
        <v>0</v>
      </c>
      <c r="AA58" s="84">
        <f t="shared" si="63"/>
        <v>0</v>
      </c>
      <c r="AB58" s="255">
        <f t="shared" si="63"/>
        <v>0</v>
      </c>
      <c r="AC58" s="256">
        <f>SUM(AC19:AC21)</f>
        <v>0</v>
      </c>
      <c r="AD58" s="66">
        <f t="shared" si="63"/>
        <v>0</v>
      </c>
      <c r="AE58" s="84">
        <f t="shared" si="63"/>
        <v>0</v>
      </c>
      <c r="AF58" s="66">
        <f>SUM(AF19:AF21)</f>
        <v>0</v>
      </c>
      <c r="AG58" s="259">
        <f>SUM(AG19:AG21)</f>
        <v>0</v>
      </c>
      <c r="AH58" s="66">
        <f t="shared" ref="AH58:CS58" si="66">SUM(AH19:AH21)</f>
        <v>0</v>
      </c>
      <c r="AI58" s="66">
        <f t="shared" si="66"/>
        <v>0</v>
      </c>
      <c r="AJ58" s="66">
        <f t="shared" si="66"/>
        <v>0</v>
      </c>
      <c r="AK58" s="65">
        <f t="shared" si="66"/>
        <v>0</v>
      </c>
      <c r="AL58" s="255">
        <f t="shared" si="66"/>
        <v>0</v>
      </c>
      <c r="AM58" s="66">
        <f t="shared" si="66"/>
        <v>0</v>
      </c>
      <c r="AN58" s="64">
        <f t="shared" si="66"/>
        <v>0</v>
      </c>
      <c r="AO58" s="257">
        <f t="shared" si="66"/>
        <v>0</v>
      </c>
      <c r="AP58" s="259">
        <f t="shared" si="66"/>
        <v>0</v>
      </c>
      <c r="AQ58" s="66">
        <f t="shared" si="66"/>
        <v>0</v>
      </c>
      <c r="AR58" s="65">
        <f t="shared" si="66"/>
        <v>0</v>
      </c>
      <c r="AS58" s="64">
        <f t="shared" si="66"/>
        <v>0</v>
      </c>
      <c r="AT58" s="259">
        <f t="shared" si="66"/>
        <v>0</v>
      </c>
      <c r="AU58" s="66">
        <f t="shared" si="66"/>
        <v>0</v>
      </c>
      <c r="AV58" s="66">
        <f t="shared" si="66"/>
        <v>0</v>
      </c>
      <c r="AW58" s="257">
        <f t="shared" si="66"/>
        <v>0</v>
      </c>
      <c r="AX58" s="259">
        <f t="shared" si="66"/>
        <v>0</v>
      </c>
      <c r="AY58" s="66">
        <f t="shared" si="66"/>
        <v>0</v>
      </c>
      <c r="AZ58" s="84">
        <f t="shared" si="66"/>
        <v>0</v>
      </c>
      <c r="BA58" s="64">
        <f t="shared" si="66"/>
        <v>632</v>
      </c>
      <c r="BB58" s="257">
        <f t="shared" si="66"/>
        <v>647</v>
      </c>
      <c r="BC58" s="65">
        <f t="shared" si="66"/>
        <v>599</v>
      </c>
      <c r="BD58" s="66">
        <f t="shared" si="66"/>
        <v>0</v>
      </c>
      <c r="BE58" s="258">
        <f t="shared" si="66"/>
        <v>0</v>
      </c>
      <c r="BF58" s="64">
        <f t="shared" si="66"/>
        <v>0</v>
      </c>
      <c r="BG58" s="65">
        <f t="shared" si="66"/>
        <v>0</v>
      </c>
      <c r="BH58" s="255">
        <f t="shared" si="66"/>
        <v>0</v>
      </c>
      <c r="BI58" s="66">
        <f t="shared" si="66"/>
        <v>0</v>
      </c>
      <c r="BJ58" s="65">
        <f t="shared" si="66"/>
        <v>0</v>
      </c>
      <c r="BK58" s="255">
        <f t="shared" si="66"/>
        <v>0</v>
      </c>
      <c r="BL58" s="66">
        <f t="shared" si="66"/>
        <v>0</v>
      </c>
      <c r="BM58" s="306">
        <f t="shared" si="66"/>
        <v>0</v>
      </c>
      <c r="BN58" s="65">
        <f t="shared" si="66"/>
        <v>0</v>
      </c>
      <c r="BO58" s="255">
        <f t="shared" si="66"/>
        <v>0</v>
      </c>
      <c r="BP58" s="66">
        <f t="shared" si="66"/>
        <v>0</v>
      </c>
      <c r="BQ58" s="65">
        <f t="shared" si="66"/>
        <v>0</v>
      </c>
      <c r="BR58" s="64">
        <f t="shared" si="66"/>
        <v>0</v>
      </c>
      <c r="BS58" s="259">
        <f t="shared" si="66"/>
        <v>0</v>
      </c>
      <c r="BT58" s="256">
        <f t="shared" si="66"/>
        <v>0</v>
      </c>
      <c r="BU58" s="256">
        <f t="shared" si="66"/>
        <v>0</v>
      </c>
      <c r="BV58" s="256">
        <f t="shared" si="66"/>
        <v>0</v>
      </c>
      <c r="BW58" s="66">
        <f t="shared" si="66"/>
        <v>0</v>
      </c>
      <c r="BX58" s="66">
        <f t="shared" si="66"/>
        <v>0</v>
      </c>
      <c r="BY58" s="66">
        <f t="shared" si="66"/>
        <v>0</v>
      </c>
      <c r="BZ58" s="66">
        <f t="shared" si="66"/>
        <v>0</v>
      </c>
      <c r="CA58" s="66">
        <f t="shared" si="66"/>
        <v>0</v>
      </c>
      <c r="CB58" s="66">
        <f t="shared" si="66"/>
        <v>0</v>
      </c>
      <c r="CC58" s="66">
        <f t="shared" si="66"/>
        <v>0</v>
      </c>
      <c r="CD58" s="66">
        <f t="shared" si="66"/>
        <v>0</v>
      </c>
      <c r="CE58" s="66">
        <f t="shared" si="66"/>
        <v>0</v>
      </c>
      <c r="CF58" s="257">
        <f t="shared" si="66"/>
        <v>0</v>
      </c>
      <c r="CG58" s="258">
        <f t="shared" si="66"/>
        <v>0</v>
      </c>
      <c r="CH58" s="64">
        <f t="shared" si="66"/>
        <v>0</v>
      </c>
      <c r="CI58" s="66">
        <f t="shared" si="66"/>
        <v>0</v>
      </c>
      <c r="CJ58" s="65">
        <f t="shared" si="66"/>
        <v>0</v>
      </c>
      <c r="CK58" s="255">
        <f t="shared" si="66"/>
        <v>0</v>
      </c>
      <c r="CL58" s="544">
        <f t="shared" si="66"/>
        <v>0</v>
      </c>
      <c r="CM58" s="184">
        <f t="shared" si="66"/>
        <v>0</v>
      </c>
      <c r="CN58" s="481">
        <f t="shared" si="66"/>
        <v>0</v>
      </c>
      <c r="CO58" s="184">
        <f t="shared" si="66"/>
        <v>0</v>
      </c>
      <c r="CP58" s="547">
        <f t="shared" si="66"/>
        <v>0</v>
      </c>
      <c r="CQ58" s="547">
        <f t="shared" si="66"/>
        <v>0</v>
      </c>
      <c r="CR58" s="547">
        <f t="shared" si="66"/>
        <v>0</v>
      </c>
      <c r="CS58" s="356">
        <f t="shared" si="66"/>
        <v>0</v>
      </c>
      <c r="CT58" s="185">
        <f t="shared" ref="CT58" si="67">SUM(CT19:CT21)</f>
        <v>0</v>
      </c>
      <c r="CU58" s="19"/>
    </row>
    <row r="59" spans="2:99" s="12" customFormat="1" ht="13" x14ac:dyDescent="0.3">
      <c r="B59" s="17" t="s">
        <v>717</v>
      </c>
      <c r="C59" s="257">
        <f>SUM(C22:C23)</f>
        <v>2043</v>
      </c>
      <c r="D59" s="257">
        <f>SUM(D22:D23)</f>
        <v>648</v>
      </c>
      <c r="E59" s="900">
        <f t="shared" si="22"/>
        <v>0.31718061674008813</v>
      </c>
      <c r="F59" s="64">
        <f>SUM(F22:F23)</f>
        <v>0</v>
      </c>
      <c r="G59" s="258">
        <f t="shared" ref="G59:AE59" si="68">SUM(G22:G23)</f>
        <v>0</v>
      </c>
      <c r="H59" s="256">
        <f t="shared" ref="H59:I59" si="69">SUM(H22:H23)</f>
        <v>0</v>
      </c>
      <c r="I59" s="256">
        <f t="shared" si="69"/>
        <v>0</v>
      </c>
      <c r="J59" s="66">
        <f t="shared" ref="J59:K59" si="70">SUM(J22:J23)</f>
        <v>0</v>
      </c>
      <c r="K59" s="258">
        <f t="shared" si="70"/>
        <v>0</v>
      </c>
      <c r="L59" s="544">
        <f t="shared" si="68"/>
        <v>0</v>
      </c>
      <c r="M59" s="66">
        <f>SUM(M22:M23)</f>
        <v>0</v>
      </c>
      <c r="N59" s="258">
        <f>SUM(N22:N23)</f>
        <v>0</v>
      </c>
      <c r="O59" s="66">
        <f t="shared" si="68"/>
        <v>0</v>
      </c>
      <c r="P59" s="256">
        <f t="shared" si="68"/>
        <v>0</v>
      </c>
      <c r="Q59" s="256">
        <f t="shared" si="68"/>
        <v>0</v>
      </c>
      <c r="R59" s="256">
        <f t="shared" si="68"/>
        <v>0</v>
      </c>
      <c r="S59" s="256">
        <f t="shared" si="68"/>
        <v>0</v>
      </c>
      <c r="T59" s="64">
        <f t="shared" si="68"/>
        <v>0</v>
      </c>
      <c r="U59" s="259">
        <f t="shared" si="68"/>
        <v>0</v>
      </c>
      <c r="V59" s="66">
        <f>SUM(V22:V23)</f>
        <v>0</v>
      </c>
      <c r="W59" s="84">
        <f t="shared" si="68"/>
        <v>0</v>
      </c>
      <c r="X59" s="64">
        <f t="shared" si="68"/>
        <v>0</v>
      </c>
      <c r="Y59" s="258">
        <f t="shared" si="68"/>
        <v>0</v>
      </c>
      <c r="Z59" s="66">
        <f>SUM(Z22:Z23)</f>
        <v>0</v>
      </c>
      <c r="AA59" s="84">
        <f t="shared" si="68"/>
        <v>0</v>
      </c>
      <c r="AB59" s="255">
        <f t="shared" si="68"/>
        <v>0</v>
      </c>
      <c r="AC59" s="256">
        <f>SUM(AC22:AC23)</f>
        <v>0</v>
      </c>
      <c r="AD59" s="66">
        <f t="shared" si="68"/>
        <v>0</v>
      </c>
      <c r="AE59" s="84">
        <f t="shared" si="68"/>
        <v>0</v>
      </c>
      <c r="AF59" s="66">
        <f>SUM(AF22:AF23)</f>
        <v>0</v>
      </c>
      <c r="AG59" s="259">
        <f>SUM(AG22:AG23)</f>
        <v>0</v>
      </c>
      <c r="AH59" s="66">
        <f t="shared" ref="AH59:CS59" si="71">SUM(AH22:AH23)</f>
        <v>0</v>
      </c>
      <c r="AI59" s="66">
        <f t="shared" si="71"/>
        <v>0</v>
      </c>
      <c r="AJ59" s="66">
        <f t="shared" si="71"/>
        <v>0</v>
      </c>
      <c r="AK59" s="65">
        <f t="shared" si="71"/>
        <v>0</v>
      </c>
      <c r="AL59" s="255">
        <f t="shared" si="71"/>
        <v>0</v>
      </c>
      <c r="AM59" s="66">
        <f t="shared" si="71"/>
        <v>0</v>
      </c>
      <c r="AN59" s="64">
        <f t="shared" si="71"/>
        <v>0</v>
      </c>
      <c r="AO59" s="257">
        <f t="shared" si="71"/>
        <v>0</v>
      </c>
      <c r="AP59" s="259">
        <f t="shared" si="71"/>
        <v>0</v>
      </c>
      <c r="AQ59" s="66">
        <f t="shared" si="71"/>
        <v>0</v>
      </c>
      <c r="AR59" s="65">
        <f t="shared" si="71"/>
        <v>0</v>
      </c>
      <c r="AS59" s="64">
        <f t="shared" si="71"/>
        <v>0</v>
      </c>
      <c r="AT59" s="259">
        <f t="shared" si="71"/>
        <v>0</v>
      </c>
      <c r="AU59" s="66">
        <f t="shared" si="71"/>
        <v>0</v>
      </c>
      <c r="AV59" s="66">
        <f t="shared" si="71"/>
        <v>0</v>
      </c>
      <c r="AW59" s="257">
        <f t="shared" si="71"/>
        <v>0</v>
      </c>
      <c r="AX59" s="259">
        <f t="shared" si="71"/>
        <v>0</v>
      </c>
      <c r="AY59" s="66">
        <f t="shared" si="71"/>
        <v>0</v>
      </c>
      <c r="AZ59" s="84">
        <f t="shared" si="71"/>
        <v>0</v>
      </c>
      <c r="BA59" s="64">
        <f t="shared" si="71"/>
        <v>0</v>
      </c>
      <c r="BB59" s="257">
        <f t="shared" si="71"/>
        <v>0</v>
      </c>
      <c r="BC59" s="65">
        <f t="shared" si="71"/>
        <v>0</v>
      </c>
      <c r="BD59" s="66">
        <f t="shared" si="71"/>
        <v>280</v>
      </c>
      <c r="BE59" s="258">
        <f t="shared" si="71"/>
        <v>450</v>
      </c>
      <c r="BF59" s="64">
        <f t="shared" si="71"/>
        <v>0</v>
      </c>
      <c r="BG59" s="65">
        <f t="shared" si="71"/>
        <v>0</v>
      </c>
      <c r="BH59" s="255">
        <f t="shared" si="71"/>
        <v>0</v>
      </c>
      <c r="BI59" s="66">
        <f t="shared" si="71"/>
        <v>0</v>
      </c>
      <c r="BJ59" s="65">
        <f t="shared" si="71"/>
        <v>0</v>
      </c>
      <c r="BK59" s="255">
        <f t="shared" si="71"/>
        <v>0</v>
      </c>
      <c r="BL59" s="66">
        <f t="shared" si="71"/>
        <v>0</v>
      </c>
      <c r="BM59" s="306">
        <f t="shared" si="71"/>
        <v>0</v>
      </c>
      <c r="BN59" s="65">
        <f t="shared" si="71"/>
        <v>0</v>
      </c>
      <c r="BO59" s="255">
        <f t="shared" si="71"/>
        <v>0</v>
      </c>
      <c r="BP59" s="66">
        <f t="shared" si="71"/>
        <v>0</v>
      </c>
      <c r="BQ59" s="65">
        <f t="shared" si="71"/>
        <v>0</v>
      </c>
      <c r="BR59" s="64">
        <f t="shared" si="71"/>
        <v>0</v>
      </c>
      <c r="BS59" s="259">
        <f t="shared" si="71"/>
        <v>0</v>
      </c>
      <c r="BT59" s="256">
        <f t="shared" si="71"/>
        <v>0</v>
      </c>
      <c r="BU59" s="256">
        <f t="shared" si="71"/>
        <v>0</v>
      </c>
      <c r="BV59" s="256">
        <f t="shared" si="71"/>
        <v>0</v>
      </c>
      <c r="BW59" s="66">
        <f t="shared" si="71"/>
        <v>0</v>
      </c>
      <c r="BX59" s="66">
        <f t="shared" si="71"/>
        <v>0</v>
      </c>
      <c r="BY59" s="66">
        <f t="shared" si="71"/>
        <v>0</v>
      </c>
      <c r="BZ59" s="66">
        <f t="shared" si="71"/>
        <v>0</v>
      </c>
      <c r="CA59" s="66">
        <f t="shared" si="71"/>
        <v>0</v>
      </c>
      <c r="CB59" s="66">
        <f t="shared" si="71"/>
        <v>0</v>
      </c>
      <c r="CC59" s="66">
        <f t="shared" si="71"/>
        <v>0</v>
      </c>
      <c r="CD59" s="66">
        <f t="shared" si="71"/>
        <v>0</v>
      </c>
      <c r="CE59" s="66">
        <f t="shared" si="71"/>
        <v>0</v>
      </c>
      <c r="CF59" s="257">
        <f t="shared" si="71"/>
        <v>0</v>
      </c>
      <c r="CG59" s="258">
        <f t="shared" si="71"/>
        <v>0</v>
      </c>
      <c r="CH59" s="64">
        <f t="shared" si="71"/>
        <v>0</v>
      </c>
      <c r="CI59" s="66">
        <f t="shared" si="71"/>
        <v>0</v>
      </c>
      <c r="CJ59" s="65">
        <f t="shared" si="71"/>
        <v>0</v>
      </c>
      <c r="CK59" s="255">
        <f t="shared" si="71"/>
        <v>0</v>
      </c>
      <c r="CL59" s="544">
        <f t="shared" si="71"/>
        <v>0</v>
      </c>
      <c r="CM59" s="184">
        <f t="shared" si="71"/>
        <v>0</v>
      </c>
      <c r="CN59" s="481">
        <f t="shared" si="71"/>
        <v>0</v>
      </c>
      <c r="CO59" s="184">
        <f t="shared" si="71"/>
        <v>0</v>
      </c>
      <c r="CP59" s="547">
        <f t="shared" si="71"/>
        <v>0</v>
      </c>
      <c r="CQ59" s="547">
        <f t="shared" si="71"/>
        <v>0</v>
      </c>
      <c r="CR59" s="547">
        <f t="shared" si="71"/>
        <v>0</v>
      </c>
      <c r="CS59" s="356">
        <f t="shared" si="71"/>
        <v>0</v>
      </c>
      <c r="CT59" s="185">
        <f t="shared" ref="CT59" si="72">SUM(CT22:CT23)</f>
        <v>0</v>
      </c>
      <c r="CU59" s="19"/>
    </row>
    <row r="60" spans="2:99" s="12" customFormat="1" ht="13" x14ac:dyDescent="0.3">
      <c r="B60" s="17" t="s">
        <v>718</v>
      </c>
      <c r="C60" s="257">
        <f>SUM(C24:C25)</f>
        <v>2157</v>
      </c>
      <c r="D60" s="257">
        <f>SUM(D24:D25)</f>
        <v>668</v>
      </c>
      <c r="E60" s="900">
        <f t="shared" si="22"/>
        <v>0.30968938340287439</v>
      </c>
      <c r="F60" s="64">
        <f>SUM(F24:F25)</f>
        <v>0</v>
      </c>
      <c r="G60" s="258">
        <f t="shared" ref="G60:AE60" si="73">SUM(G24:G25)</f>
        <v>0</v>
      </c>
      <c r="H60" s="256">
        <f t="shared" ref="H60:I60" si="74">SUM(H24:H25)</f>
        <v>0</v>
      </c>
      <c r="I60" s="256">
        <f t="shared" si="74"/>
        <v>0</v>
      </c>
      <c r="J60" s="66">
        <f t="shared" ref="J60:K60" si="75">SUM(J24:J25)</f>
        <v>0</v>
      </c>
      <c r="K60" s="258">
        <f t="shared" si="75"/>
        <v>0</v>
      </c>
      <c r="L60" s="544">
        <f t="shared" si="73"/>
        <v>0</v>
      </c>
      <c r="M60" s="66">
        <f>SUM(M24:M25)</f>
        <v>0</v>
      </c>
      <c r="N60" s="258">
        <f>SUM(N24:N25)</f>
        <v>0</v>
      </c>
      <c r="O60" s="66">
        <f t="shared" si="73"/>
        <v>0</v>
      </c>
      <c r="P60" s="256">
        <f t="shared" si="73"/>
        <v>0</v>
      </c>
      <c r="Q60" s="256">
        <f t="shared" si="73"/>
        <v>0</v>
      </c>
      <c r="R60" s="256">
        <f t="shared" si="73"/>
        <v>0</v>
      </c>
      <c r="S60" s="256">
        <f t="shared" si="73"/>
        <v>0</v>
      </c>
      <c r="T60" s="64">
        <f t="shared" si="73"/>
        <v>0</v>
      </c>
      <c r="U60" s="259">
        <f t="shared" si="73"/>
        <v>0</v>
      </c>
      <c r="V60" s="66">
        <f>SUM(V24:V25)</f>
        <v>0</v>
      </c>
      <c r="W60" s="84">
        <f t="shared" si="73"/>
        <v>0</v>
      </c>
      <c r="X60" s="64">
        <f t="shared" si="73"/>
        <v>0</v>
      </c>
      <c r="Y60" s="258">
        <f t="shared" si="73"/>
        <v>0</v>
      </c>
      <c r="Z60" s="66">
        <f>SUM(Z24:Z25)</f>
        <v>0</v>
      </c>
      <c r="AA60" s="84">
        <f t="shared" si="73"/>
        <v>0</v>
      </c>
      <c r="AB60" s="255">
        <f t="shared" si="73"/>
        <v>0</v>
      </c>
      <c r="AC60" s="256">
        <f>SUM(AC24:AC25)</f>
        <v>0</v>
      </c>
      <c r="AD60" s="66">
        <f t="shared" si="73"/>
        <v>0</v>
      </c>
      <c r="AE60" s="84">
        <f t="shared" si="73"/>
        <v>0</v>
      </c>
      <c r="AF60" s="66">
        <f>SUM(AF24:AF25)</f>
        <v>0</v>
      </c>
      <c r="AG60" s="259">
        <f>SUM(AG24:AG25)</f>
        <v>0</v>
      </c>
      <c r="AH60" s="66">
        <f t="shared" ref="AH60:CS60" si="76">SUM(AH24:AH25)</f>
        <v>0</v>
      </c>
      <c r="AI60" s="66">
        <f t="shared" si="76"/>
        <v>0</v>
      </c>
      <c r="AJ60" s="66">
        <f t="shared" si="76"/>
        <v>0</v>
      </c>
      <c r="AK60" s="65">
        <f t="shared" si="76"/>
        <v>0</v>
      </c>
      <c r="AL60" s="255">
        <f t="shared" si="76"/>
        <v>0</v>
      </c>
      <c r="AM60" s="66">
        <f t="shared" si="76"/>
        <v>0</v>
      </c>
      <c r="AN60" s="64">
        <f t="shared" si="76"/>
        <v>0</v>
      </c>
      <c r="AO60" s="257">
        <f t="shared" si="76"/>
        <v>0</v>
      </c>
      <c r="AP60" s="259">
        <f t="shared" si="76"/>
        <v>0</v>
      </c>
      <c r="AQ60" s="66">
        <f t="shared" si="76"/>
        <v>0</v>
      </c>
      <c r="AR60" s="65">
        <f t="shared" si="76"/>
        <v>0</v>
      </c>
      <c r="AS60" s="64">
        <f t="shared" si="76"/>
        <v>0</v>
      </c>
      <c r="AT60" s="259">
        <f t="shared" si="76"/>
        <v>0</v>
      </c>
      <c r="AU60" s="66">
        <f t="shared" si="76"/>
        <v>0</v>
      </c>
      <c r="AV60" s="66">
        <f t="shared" si="76"/>
        <v>0</v>
      </c>
      <c r="AW60" s="257">
        <f t="shared" si="76"/>
        <v>0</v>
      </c>
      <c r="AX60" s="259">
        <f t="shared" si="76"/>
        <v>0</v>
      </c>
      <c r="AY60" s="66">
        <f t="shared" si="76"/>
        <v>0</v>
      </c>
      <c r="AZ60" s="84">
        <f t="shared" si="76"/>
        <v>0</v>
      </c>
      <c r="BA60" s="64">
        <f t="shared" si="76"/>
        <v>0</v>
      </c>
      <c r="BB60" s="257">
        <f t="shared" si="76"/>
        <v>0</v>
      </c>
      <c r="BC60" s="65">
        <f t="shared" si="76"/>
        <v>0</v>
      </c>
      <c r="BD60" s="66">
        <f t="shared" si="76"/>
        <v>0</v>
      </c>
      <c r="BE60" s="258">
        <f t="shared" si="76"/>
        <v>0</v>
      </c>
      <c r="BF60" s="64">
        <f t="shared" si="76"/>
        <v>333</v>
      </c>
      <c r="BG60" s="65">
        <f t="shared" si="76"/>
        <v>336</v>
      </c>
      <c r="BH60" s="255">
        <f t="shared" si="76"/>
        <v>0</v>
      </c>
      <c r="BI60" s="66">
        <f t="shared" si="76"/>
        <v>0</v>
      </c>
      <c r="BJ60" s="65">
        <f t="shared" si="76"/>
        <v>0</v>
      </c>
      <c r="BK60" s="255">
        <f t="shared" si="76"/>
        <v>0</v>
      </c>
      <c r="BL60" s="66">
        <f t="shared" si="76"/>
        <v>0</v>
      </c>
      <c r="BM60" s="306">
        <f t="shared" si="76"/>
        <v>0</v>
      </c>
      <c r="BN60" s="65">
        <f t="shared" si="76"/>
        <v>0</v>
      </c>
      <c r="BO60" s="255">
        <f t="shared" si="76"/>
        <v>0</v>
      </c>
      <c r="BP60" s="66">
        <f t="shared" si="76"/>
        <v>0</v>
      </c>
      <c r="BQ60" s="65">
        <f t="shared" si="76"/>
        <v>0</v>
      </c>
      <c r="BR60" s="64">
        <f t="shared" si="76"/>
        <v>0</v>
      </c>
      <c r="BS60" s="259">
        <f t="shared" si="76"/>
        <v>0</v>
      </c>
      <c r="BT60" s="256">
        <f t="shared" si="76"/>
        <v>0</v>
      </c>
      <c r="BU60" s="256">
        <f t="shared" si="76"/>
        <v>0</v>
      </c>
      <c r="BV60" s="256">
        <f t="shared" si="76"/>
        <v>0</v>
      </c>
      <c r="BW60" s="66">
        <f t="shared" si="76"/>
        <v>0</v>
      </c>
      <c r="BX60" s="66">
        <f t="shared" si="76"/>
        <v>0</v>
      </c>
      <c r="BY60" s="66">
        <f t="shared" si="76"/>
        <v>0</v>
      </c>
      <c r="BZ60" s="66">
        <f t="shared" si="76"/>
        <v>0</v>
      </c>
      <c r="CA60" s="66">
        <f t="shared" si="76"/>
        <v>0</v>
      </c>
      <c r="CB60" s="66">
        <f t="shared" si="76"/>
        <v>0</v>
      </c>
      <c r="CC60" s="66">
        <f t="shared" si="76"/>
        <v>0</v>
      </c>
      <c r="CD60" s="66">
        <f t="shared" si="76"/>
        <v>0</v>
      </c>
      <c r="CE60" s="66">
        <f t="shared" si="76"/>
        <v>0</v>
      </c>
      <c r="CF60" s="257">
        <f t="shared" si="76"/>
        <v>0</v>
      </c>
      <c r="CG60" s="258">
        <f t="shared" si="76"/>
        <v>0</v>
      </c>
      <c r="CH60" s="64">
        <f t="shared" si="76"/>
        <v>0</v>
      </c>
      <c r="CI60" s="66">
        <f t="shared" si="76"/>
        <v>0</v>
      </c>
      <c r="CJ60" s="65">
        <f t="shared" si="76"/>
        <v>0</v>
      </c>
      <c r="CK60" s="255">
        <f t="shared" si="76"/>
        <v>0</v>
      </c>
      <c r="CL60" s="544">
        <f t="shared" si="76"/>
        <v>0</v>
      </c>
      <c r="CM60" s="184">
        <f t="shared" si="76"/>
        <v>0</v>
      </c>
      <c r="CN60" s="481">
        <f t="shared" si="76"/>
        <v>0</v>
      </c>
      <c r="CO60" s="184">
        <f t="shared" si="76"/>
        <v>0</v>
      </c>
      <c r="CP60" s="547">
        <f t="shared" si="76"/>
        <v>0</v>
      </c>
      <c r="CQ60" s="547">
        <f t="shared" si="76"/>
        <v>0</v>
      </c>
      <c r="CR60" s="547">
        <f t="shared" si="76"/>
        <v>0</v>
      </c>
      <c r="CS60" s="356">
        <f t="shared" si="76"/>
        <v>0</v>
      </c>
      <c r="CT60" s="185">
        <f t="shared" ref="CT60" si="77">SUM(CT24:CT25)</f>
        <v>0</v>
      </c>
      <c r="CU60" s="19"/>
    </row>
    <row r="61" spans="2:99" s="12" customFormat="1" ht="13" x14ac:dyDescent="0.3">
      <c r="B61" s="17" t="s">
        <v>30</v>
      </c>
      <c r="C61" s="257">
        <f>SUM(C26:C27)</f>
        <v>2774</v>
      </c>
      <c r="D61" s="257">
        <f>SUM(D26:D27)</f>
        <v>1743</v>
      </c>
      <c r="E61" s="900">
        <f t="shared" si="22"/>
        <v>0.62833453496755587</v>
      </c>
      <c r="F61" s="64">
        <f>SUM(F26:F27)</f>
        <v>0</v>
      </c>
      <c r="G61" s="258">
        <f t="shared" ref="G61:AE61" si="78">SUM(G26:G27)</f>
        <v>0</v>
      </c>
      <c r="H61" s="256">
        <f t="shared" ref="H61:I61" si="79">SUM(H26:H27)</f>
        <v>0</v>
      </c>
      <c r="I61" s="256">
        <f t="shared" si="79"/>
        <v>0</v>
      </c>
      <c r="J61" s="66">
        <f t="shared" ref="J61:K61" si="80">SUM(J26:J27)</f>
        <v>0</v>
      </c>
      <c r="K61" s="258">
        <f t="shared" si="80"/>
        <v>0</v>
      </c>
      <c r="L61" s="544">
        <f t="shared" si="78"/>
        <v>0</v>
      </c>
      <c r="M61" s="66">
        <f>SUM(M26:M27)</f>
        <v>0</v>
      </c>
      <c r="N61" s="258">
        <f>SUM(N26:N27)</f>
        <v>0</v>
      </c>
      <c r="O61" s="66">
        <f t="shared" si="78"/>
        <v>0</v>
      </c>
      <c r="P61" s="256">
        <f t="shared" si="78"/>
        <v>0</v>
      </c>
      <c r="Q61" s="256">
        <f t="shared" si="78"/>
        <v>0</v>
      </c>
      <c r="R61" s="256">
        <f t="shared" si="78"/>
        <v>0</v>
      </c>
      <c r="S61" s="256">
        <f t="shared" si="78"/>
        <v>0</v>
      </c>
      <c r="T61" s="64">
        <f t="shared" si="78"/>
        <v>0</v>
      </c>
      <c r="U61" s="259">
        <f t="shared" si="78"/>
        <v>0</v>
      </c>
      <c r="V61" s="66">
        <f>SUM(V26:V27)</f>
        <v>0</v>
      </c>
      <c r="W61" s="84">
        <f t="shared" si="78"/>
        <v>0</v>
      </c>
      <c r="X61" s="64">
        <f t="shared" si="78"/>
        <v>0</v>
      </c>
      <c r="Y61" s="258">
        <f t="shared" si="78"/>
        <v>0</v>
      </c>
      <c r="Z61" s="66">
        <f>SUM(Z26:Z27)</f>
        <v>0</v>
      </c>
      <c r="AA61" s="84">
        <f t="shared" si="78"/>
        <v>0</v>
      </c>
      <c r="AB61" s="255">
        <f t="shared" si="78"/>
        <v>0</v>
      </c>
      <c r="AC61" s="256">
        <f>SUM(AC26:AC27)</f>
        <v>0</v>
      </c>
      <c r="AD61" s="66">
        <f t="shared" si="78"/>
        <v>0</v>
      </c>
      <c r="AE61" s="84">
        <f t="shared" si="78"/>
        <v>0</v>
      </c>
      <c r="AF61" s="66">
        <f>SUM(AF26:AF27)</f>
        <v>0</v>
      </c>
      <c r="AG61" s="259">
        <f>SUM(AG26:AG27)</f>
        <v>0</v>
      </c>
      <c r="AH61" s="66">
        <f t="shared" ref="AH61:CS61" si="81">SUM(AH26:AH27)</f>
        <v>0</v>
      </c>
      <c r="AI61" s="66">
        <f t="shared" si="81"/>
        <v>0</v>
      </c>
      <c r="AJ61" s="66">
        <f t="shared" si="81"/>
        <v>0</v>
      </c>
      <c r="AK61" s="65">
        <f t="shared" si="81"/>
        <v>0</v>
      </c>
      <c r="AL61" s="255">
        <f t="shared" si="81"/>
        <v>0</v>
      </c>
      <c r="AM61" s="66">
        <f t="shared" si="81"/>
        <v>0</v>
      </c>
      <c r="AN61" s="64">
        <f t="shared" si="81"/>
        <v>0</v>
      </c>
      <c r="AO61" s="257">
        <f t="shared" si="81"/>
        <v>0</v>
      </c>
      <c r="AP61" s="259">
        <f t="shared" si="81"/>
        <v>0</v>
      </c>
      <c r="AQ61" s="66">
        <f t="shared" si="81"/>
        <v>0</v>
      </c>
      <c r="AR61" s="65">
        <f t="shared" si="81"/>
        <v>0</v>
      </c>
      <c r="AS61" s="64">
        <f t="shared" si="81"/>
        <v>0</v>
      </c>
      <c r="AT61" s="259">
        <f t="shared" si="81"/>
        <v>0</v>
      </c>
      <c r="AU61" s="66">
        <f t="shared" si="81"/>
        <v>0</v>
      </c>
      <c r="AV61" s="66">
        <f t="shared" si="81"/>
        <v>0</v>
      </c>
      <c r="AW61" s="257">
        <f t="shared" si="81"/>
        <v>0</v>
      </c>
      <c r="AX61" s="259">
        <f t="shared" si="81"/>
        <v>0</v>
      </c>
      <c r="AY61" s="66">
        <f t="shared" si="81"/>
        <v>0</v>
      </c>
      <c r="AZ61" s="84">
        <f t="shared" si="81"/>
        <v>0</v>
      </c>
      <c r="BA61" s="64">
        <f t="shared" si="81"/>
        <v>0</v>
      </c>
      <c r="BB61" s="257">
        <f t="shared" si="81"/>
        <v>0</v>
      </c>
      <c r="BC61" s="65">
        <f t="shared" si="81"/>
        <v>0</v>
      </c>
      <c r="BD61" s="66">
        <f t="shared" si="81"/>
        <v>0</v>
      </c>
      <c r="BE61" s="258">
        <f t="shared" si="81"/>
        <v>0</v>
      </c>
      <c r="BF61" s="64">
        <f t="shared" si="81"/>
        <v>0</v>
      </c>
      <c r="BG61" s="65">
        <f t="shared" si="81"/>
        <v>0</v>
      </c>
      <c r="BH61" s="255">
        <f t="shared" si="81"/>
        <v>1296</v>
      </c>
      <c r="BI61" s="66">
        <f t="shared" si="81"/>
        <v>1074</v>
      </c>
      <c r="BJ61" s="65">
        <f t="shared" si="81"/>
        <v>895</v>
      </c>
      <c r="BK61" s="255">
        <f t="shared" si="81"/>
        <v>0</v>
      </c>
      <c r="BL61" s="66">
        <f t="shared" si="81"/>
        <v>0</v>
      </c>
      <c r="BM61" s="306">
        <f t="shared" si="81"/>
        <v>0</v>
      </c>
      <c r="BN61" s="65">
        <f t="shared" si="81"/>
        <v>0</v>
      </c>
      <c r="BO61" s="255">
        <f t="shared" si="81"/>
        <v>0</v>
      </c>
      <c r="BP61" s="66">
        <f t="shared" si="81"/>
        <v>0</v>
      </c>
      <c r="BQ61" s="65">
        <f t="shared" si="81"/>
        <v>0</v>
      </c>
      <c r="BR61" s="64">
        <f t="shared" si="81"/>
        <v>0</v>
      </c>
      <c r="BS61" s="259">
        <f t="shared" si="81"/>
        <v>0</v>
      </c>
      <c r="BT61" s="256">
        <f t="shared" si="81"/>
        <v>0</v>
      </c>
      <c r="BU61" s="256">
        <f t="shared" si="81"/>
        <v>0</v>
      </c>
      <c r="BV61" s="256">
        <f t="shared" si="81"/>
        <v>0</v>
      </c>
      <c r="BW61" s="66">
        <f t="shared" si="81"/>
        <v>0</v>
      </c>
      <c r="BX61" s="66">
        <f t="shared" si="81"/>
        <v>0</v>
      </c>
      <c r="BY61" s="66">
        <f t="shared" si="81"/>
        <v>0</v>
      </c>
      <c r="BZ61" s="66">
        <f t="shared" si="81"/>
        <v>0</v>
      </c>
      <c r="CA61" s="66">
        <f t="shared" si="81"/>
        <v>0</v>
      </c>
      <c r="CB61" s="66">
        <f t="shared" si="81"/>
        <v>0</v>
      </c>
      <c r="CC61" s="66">
        <f t="shared" si="81"/>
        <v>0</v>
      </c>
      <c r="CD61" s="66">
        <f t="shared" si="81"/>
        <v>0</v>
      </c>
      <c r="CE61" s="66">
        <f t="shared" si="81"/>
        <v>0</v>
      </c>
      <c r="CF61" s="257">
        <f t="shared" si="81"/>
        <v>0</v>
      </c>
      <c r="CG61" s="258">
        <f t="shared" si="81"/>
        <v>0</v>
      </c>
      <c r="CH61" s="64">
        <f t="shared" si="81"/>
        <v>0</v>
      </c>
      <c r="CI61" s="66">
        <f t="shared" si="81"/>
        <v>0</v>
      </c>
      <c r="CJ61" s="65">
        <f t="shared" si="81"/>
        <v>0</v>
      </c>
      <c r="CK61" s="255">
        <f t="shared" si="81"/>
        <v>0</v>
      </c>
      <c r="CL61" s="544">
        <f t="shared" si="81"/>
        <v>0</v>
      </c>
      <c r="CM61" s="184">
        <f t="shared" si="81"/>
        <v>0</v>
      </c>
      <c r="CN61" s="481">
        <f t="shared" si="81"/>
        <v>0</v>
      </c>
      <c r="CO61" s="184">
        <f t="shared" si="81"/>
        <v>0</v>
      </c>
      <c r="CP61" s="547">
        <f t="shared" si="81"/>
        <v>0</v>
      </c>
      <c r="CQ61" s="547">
        <f t="shared" si="81"/>
        <v>0</v>
      </c>
      <c r="CR61" s="547">
        <f t="shared" si="81"/>
        <v>0</v>
      </c>
      <c r="CS61" s="356">
        <f t="shared" si="81"/>
        <v>0</v>
      </c>
      <c r="CT61" s="185">
        <f t="shared" ref="CT61" si="82">SUM(CT26:CT27)</f>
        <v>0</v>
      </c>
      <c r="CU61" s="19"/>
    </row>
    <row r="62" spans="2:99" s="12" customFormat="1" ht="13" x14ac:dyDescent="0.3">
      <c r="B62" s="17" t="s">
        <v>31</v>
      </c>
      <c r="C62" s="257">
        <f>SUM(C32:C33)</f>
        <v>2054</v>
      </c>
      <c r="D62" s="257">
        <f>SUM(D32:D33)</f>
        <v>1127</v>
      </c>
      <c r="E62" s="900">
        <f t="shared" si="22"/>
        <v>0.54868549172346637</v>
      </c>
      <c r="F62" s="64">
        <f>SUM(F32:F33)</f>
        <v>0</v>
      </c>
      <c r="G62" s="258">
        <f t="shared" ref="G62:AE62" si="83">SUM(G32:G33)</f>
        <v>0</v>
      </c>
      <c r="H62" s="256">
        <f t="shared" ref="H62:I62" si="84">SUM(H32:H33)</f>
        <v>0</v>
      </c>
      <c r="I62" s="256">
        <f t="shared" si="84"/>
        <v>0</v>
      </c>
      <c r="J62" s="66">
        <f t="shared" ref="J62:K62" si="85">SUM(J32:J33)</f>
        <v>0</v>
      </c>
      <c r="K62" s="258">
        <f t="shared" si="85"/>
        <v>0</v>
      </c>
      <c r="L62" s="544">
        <f t="shared" si="83"/>
        <v>0</v>
      </c>
      <c r="M62" s="66">
        <f>SUM(M32:M33)</f>
        <v>0</v>
      </c>
      <c r="N62" s="258">
        <f>SUM(N32:N33)</f>
        <v>0</v>
      </c>
      <c r="O62" s="66">
        <f t="shared" si="83"/>
        <v>0</v>
      </c>
      <c r="P62" s="256">
        <f t="shared" si="83"/>
        <v>0</v>
      </c>
      <c r="Q62" s="256">
        <f t="shared" si="83"/>
        <v>0</v>
      </c>
      <c r="R62" s="256">
        <f t="shared" si="83"/>
        <v>0</v>
      </c>
      <c r="S62" s="256">
        <f t="shared" si="83"/>
        <v>0</v>
      </c>
      <c r="T62" s="64">
        <f t="shared" si="83"/>
        <v>0</v>
      </c>
      <c r="U62" s="259">
        <f t="shared" si="83"/>
        <v>0</v>
      </c>
      <c r="V62" s="66">
        <f>SUM(V32:V33)</f>
        <v>0</v>
      </c>
      <c r="W62" s="84">
        <f t="shared" si="83"/>
        <v>0</v>
      </c>
      <c r="X62" s="64">
        <f t="shared" si="83"/>
        <v>0</v>
      </c>
      <c r="Y62" s="258">
        <f t="shared" si="83"/>
        <v>0</v>
      </c>
      <c r="Z62" s="66">
        <f>SUM(Z32:Z33)</f>
        <v>0</v>
      </c>
      <c r="AA62" s="84">
        <f t="shared" si="83"/>
        <v>0</v>
      </c>
      <c r="AB62" s="255">
        <f t="shared" si="83"/>
        <v>0</v>
      </c>
      <c r="AC62" s="256">
        <f>SUM(AC32:AC33)</f>
        <v>0</v>
      </c>
      <c r="AD62" s="66">
        <f t="shared" si="83"/>
        <v>0</v>
      </c>
      <c r="AE62" s="84">
        <f t="shared" si="83"/>
        <v>0</v>
      </c>
      <c r="AF62" s="66">
        <f>SUM(AF32:AF33)</f>
        <v>0</v>
      </c>
      <c r="AG62" s="259">
        <f>SUM(AG32:AG33)</f>
        <v>0</v>
      </c>
      <c r="AH62" s="66">
        <f t="shared" ref="AH62:CS62" si="86">SUM(AH32:AH33)</f>
        <v>0</v>
      </c>
      <c r="AI62" s="66">
        <f t="shared" si="86"/>
        <v>0</v>
      </c>
      <c r="AJ62" s="66">
        <f t="shared" si="86"/>
        <v>0</v>
      </c>
      <c r="AK62" s="65">
        <f t="shared" si="86"/>
        <v>0</v>
      </c>
      <c r="AL62" s="255">
        <f t="shared" si="86"/>
        <v>0</v>
      </c>
      <c r="AM62" s="66">
        <f t="shared" si="86"/>
        <v>0</v>
      </c>
      <c r="AN62" s="64">
        <f t="shared" si="86"/>
        <v>0</v>
      </c>
      <c r="AO62" s="257">
        <f t="shared" si="86"/>
        <v>0</v>
      </c>
      <c r="AP62" s="259">
        <f t="shared" si="86"/>
        <v>0</v>
      </c>
      <c r="AQ62" s="66">
        <f t="shared" si="86"/>
        <v>0</v>
      </c>
      <c r="AR62" s="65">
        <f t="shared" si="86"/>
        <v>0</v>
      </c>
      <c r="AS62" s="64">
        <f t="shared" si="86"/>
        <v>0</v>
      </c>
      <c r="AT62" s="259">
        <f t="shared" si="86"/>
        <v>0</v>
      </c>
      <c r="AU62" s="66">
        <f t="shared" si="86"/>
        <v>0</v>
      </c>
      <c r="AV62" s="66">
        <f t="shared" si="86"/>
        <v>0</v>
      </c>
      <c r="AW62" s="257">
        <f t="shared" si="86"/>
        <v>0</v>
      </c>
      <c r="AX62" s="259">
        <f t="shared" si="86"/>
        <v>0</v>
      </c>
      <c r="AY62" s="66">
        <f t="shared" si="86"/>
        <v>0</v>
      </c>
      <c r="AZ62" s="84">
        <f t="shared" si="86"/>
        <v>0</v>
      </c>
      <c r="BA62" s="64">
        <f t="shared" si="86"/>
        <v>0</v>
      </c>
      <c r="BB62" s="257">
        <f t="shared" si="86"/>
        <v>0</v>
      </c>
      <c r="BC62" s="65">
        <f t="shared" si="86"/>
        <v>0</v>
      </c>
      <c r="BD62" s="66">
        <f t="shared" si="86"/>
        <v>0</v>
      </c>
      <c r="BE62" s="258">
        <f t="shared" si="86"/>
        <v>0</v>
      </c>
      <c r="BF62" s="64">
        <f t="shared" si="86"/>
        <v>0</v>
      </c>
      <c r="BG62" s="65">
        <f t="shared" si="86"/>
        <v>0</v>
      </c>
      <c r="BH62" s="255">
        <f t="shared" si="86"/>
        <v>0</v>
      </c>
      <c r="BI62" s="66">
        <f t="shared" si="86"/>
        <v>0</v>
      </c>
      <c r="BJ62" s="65">
        <f t="shared" si="86"/>
        <v>0</v>
      </c>
      <c r="BK62" s="255">
        <f t="shared" si="86"/>
        <v>836</v>
      </c>
      <c r="BL62" s="66">
        <f t="shared" si="86"/>
        <v>557</v>
      </c>
      <c r="BM62" s="306">
        <f t="shared" si="86"/>
        <v>495</v>
      </c>
      <c r="BN62" s="65">
        <f t="shared" si="86"/>
        <v>458</v>
      </c>
      <c r="BO62" s="255">
        <f t="shared" si="86"/>
        <v>0</v>
      </c>
      <c r="BP62" s="66">
        <f t="shared" si="86"/>
        <v>0</v>
      </c>
      <c r="BQ62" s="65">
        <f t="shared" si="86"/>
        <v>0</v>
      </c>
      <c r="BR62" s="64">
        <f t="shared" si="86"/>
        <v>0</v>
      </c>
      <c r="BS62" s="259">
        <f t="shared" si="86"/>
        <v>0</v>
      </c>
      <c r="BT62" s="256">
        <f t="shared" si="86"/>
        <v>0</v>
      </c>
      <c r="BU62" s="256">
        <f t="shared" si="86"/>
        <v>0</v>
      </c>
      <c r="BV62" s="256">
        <f t="shared" si="86"/>
        <v>0</v>
      </c>
      <c r="BW62" s="66">
        <f t="shared" si="86"/>
        <v>0</v>
      </c>
      <c r="BX62" s="66">
        <f t="shared" si="86"/>
        <v>0</v>
      </c>
      <c r="BY62" s="66">
        <f t="shared" si="86"/>
        <v>0</v>
      </c>
      <c r="BZ62" s="66">
        <f t="shared" si="86"/>
        <v>0</v>
      </c>
      <c r="CA62" s="66">
        <f t="shared" si="86"/>
        <v>0</v>
      </c>
      <c r="CB62" s="66">
        <f t="shared" si="86"/>
        <v>0</v>
      </c>
      <c r="CC62" s="66">
        <f t="shared" si="86"/>
        <v>0</v>
      </c>
      <c r="CD62" s="66">
        <f t="shared" si="86"/>
        <v>0</v>
      </c>
      <c r="CE62" s="66">
        <f t="shared" si="86"/>
        <v>0</v>
      </c>
      <c r="CF62" s="257">
        <f t="shared" si="86"/>
        <v>0</v>
      </c>
      <c r="CG62" s="258">
        <f t="shared" si="86"/>
        <v>0</v>
      </c>
      <c r="CH62" s="64">
        <f t="shared" si="86"/>
        <v>0</v>
      </c>
      <c r="CI62" s="66">
        <f t="shared" si="86"/>
        <v>0</v>
      </c>
      <c r="CJ62" s="65">
        <f t="shared" si="86"/>
        <v>0</v>
      </c>
      <c r="CK62" s="255">
        <f t="shared" si="86"/>
        <v>0</v>
      </c>
      <c r="CL62" s="544">
        <f t="shared" si="86"/>
        <v>0</v>
      </c>
      <c r="CM62" s="184">
        <f t="shared" si="86"/>
        <v>0</v>
      </c>
      <c r="CN62" s="481">
        <f t="shared" si="86"/>
        <v>0</v>
      </c>
      <c r="CO62" s="184">
        <f t="shared" si="86"/>
        <v>0</v>
      </c>
      <c r="CP62" s="547">
        <f t="shared" si="86"/>
        <v>0</v>
      </c>
      <c r="CQ62" s="547">
        <f t="shared" si="86"/>
        <v>0</v>
      </c>
      <c r="CR62" s="547">
        <f t="shared" si="86"/>
        <v>0</v>
      </c>
      <c r="CS62" s="356">
        <f t="shared" si="86"/>
        <v>0</v>
      </c>
      <c r="CT62" s="185">
        <f t="shared" ref="CT62" si="87">SUM(CT32:CT33)</f>
        <v>0</v>
      </c>
      <c r="CU62" s="19"/>
    </row>
    <row r="63" spans="2:99" s="12" customFormat="1" ht="13" x14ac:dyDescent="0.3">
      <c r="B63" s="17" t="s">
        <v>15</v>
      </c>
      <c r="C63" s="257">
        <f>SUM(C31)</f>
        <v>768</v>
      </c>
      <c r="D63" s="257">
        <f>SUM(D31)</f>
        <v>483</v>
      </c>
      <c r="E63" s="900">
        <f t="shared" si="22"/>
        <v>0.62890625</v>
      </c>
      <c r="F63" s="64">
        <f>SUM(F31)</f>
        <v>0</v>
      </c>
      <c r="G63" s="258">
        <f t="shared" ref="G63:AE63" si="88">SUM(G31)</f>
        <v>0</v>
      </c>
      <c r="H63" s="256">
        <f t="shared" ref="H63:I63" si="89">SUM(H31)</f>
        <v>0</v>
      </c>
      <c r="I63" s="256">
        <f t="shared" si="89"/>
        <v>0</v>
      </c>
      <c r="J63" s="66">
        <f t="shared" ref="J63:K63" si="90">SUM(J31)</f>
        <v>0</v>
      </c>
      <c r="K63" s="258">
        <f t="shared" si="90"/>
        <v>0</v>
      </c>
      <c r="L63" s="544">
        <f t="shared" si="88"/>
        <v>0</v>
      </c>
      <c r="M63" s="66">
        <f>SUM(M31)</f>
        <v>0</v>
      </c>
      <c r="N63" s="258">
        <f>SUM(N31)</f>
        <v>0</v>
      </c>
      <c r="O63" s="66">
        <f t="shared" si="88"/>
        <v>0</v>
      </c>
      <c r="P63" s="256">
        <f t="shared" si="88"/>
        <v>0</v>
      </c>
      <c r="Q63" s="256">
        <f t="shared" si="88"/>
        <v>0</v>
      </c>
      <c r="R63" s="256">
        <f t="shared" si="88"/>
        <v>0</v>
      </c>
      <c r="S63" s="256">
        <f t="shared" si="88"/>
        <v>0</v>
      </c>
      <c r="T63" s="64">
        <f t="shared" si="88"/>
        <v>0</v>
      </c>
      <c r="U63" s="259">
        <f t="shared" si="88"/>
        <v>0</v>
      </c>
      <c r="V63" s="66">
        <f>SUM(V31)</f>
        <v>0</v>
      </c>
      <c r="W63" s="84">
        <f t="shared" si="88"/>
        <v>0</v>
      </c>
      <c r="X63" s="64">
        <f t="shared" si="88"/>
        <v>0</v>
      </c>
      <c r="Y63" s="258">
        <f t="shared" si="88"/>
        <v>0</v>
      </c>
      <c r="Z63" s="66">
        <f>SUM(Z31)</f>
        <v>0</v>
      </c>
      <c r="AA63" s="84">
        <f t="shared" si="88"/>
        <v>0</v>
      </c>
      <c r="AB63" s="255">
        <f t="shared" si="88"/>
        <v>0</v>
      </c>
      <c r="AC63" s="256">
        <f>SUM(AC31)</f>
        <v>0</v>
      </c>
      <c r="AD63" s="66">
        <f t="shared" si="88"/>
        <v>0</v>
      </c>
      <c r="AE63" s="84">
        <f t="shared" si="88"/>
        <v>0</v>
      </c>
      <c r="AF63" s="66">
        <f>SUM(AF31)</f>
        <v>0</v>
      </c>
      <c r="AG63" s="259">
        <f>SUM(AG31)</f>
        <v>0</v>
      </c>
      <c r="AH63" s="66">
        <f t="shared" ref="AH63:CS63" si="91">SUM(AH31)</f>
        <v>0</v>
      </c>
      <c r="AI63" s="66">
        <f t="shared" si="91"/>
        <v>0</v>
      </c>
      <c r="AJ63" s="66">
        <f t="shared" si="91"/>
        <v>0</v>
      </c>
      <c r="AK63" s="65">
        <f t="shared" si="91"/>
        <v>0</v>
      </c>
      <c r="AL63" s="255">
        <f t="shared" si="91"/>
        <v>0</v>
      </c>
      <c r="AM63" s="66">
        <f t="shared" si="91"/>
        <v>0</v>
      </c>
      <c r="AN63" s="64">
        <f t="shared" si="91"/>
        <v>0</v>
      </c>
      <c r="AO63" s="257">
        <f t="shared" si="91"/>
        <v>0</v>
      </c>
      <c r="AP63" s="259">
        <f t="shared" si="91"/>
        <v>0</v>
      </c>
      <c r="AQ63" s="66">
        <f t="shared" si="91"/>
        <v>0</v>
      </c>
      <c r="AR63" s="65">
        <f t="shared" si="91"/>
        <v>0</v>
      </c>
      <c r="AS63" s="64">
        <f t="shared" si="91"/>
        <v>0</v>
      </c>
      <c r="AT63" s="259">
        <f t="shared" si="91"/>
        <v>0</v>
      </c>
      <c r="AU63" s="66">
        <f t="shared" si="91"/>
        <v>0</v>
      </c>
      <c r="AV63" s="66">
        <f t="shared" si="91"/>
        <v>0</v>
      </c>
      <c r="AW63" s="257">
        <f t="shared" si="91"/>
        <v>0</v>
      </c>
      <c r="AX63" s="259">
        <f t="shared" si="91"/>
        <v>0</v>
      </c>
      <c r="AY63" s="66">
        <f t="shared" si="91"/>
        <v>0</v>
      </c>
      <c r="AZ63" s="84">
        <f t="shared" si="91"/>
        <v>0</v>
      </c>
      <c r="BA63" s="64">
        <f t="shared" si="91"/>
        <v>0</v>
      </c>
      <c r="BB63" s="257">
        <f t="shared" si="91"/>
        <v>0</v>
      </c>
      <c r="BC63" s="65">
        <f t="shared" si="91"/>
        <v>0</v>
      </c>
      <c r="BD63" s="66">
        <f t="shared" si="91"/>
        <v>0</v>
      </c>
      <c r="BE63" s="258">
        <f t="shared" si="91"/>
        <v>0</v>
      </c>
      <c r="BF63" s="64">
        <f t="shared" si="91"/>
        <v>0</v>
      </c>
      <c r="BG63" s="65">
        <f t="shared" si="91"/>
        <v>0</v>
      </c>
      <c r="BH63" s="255">
        <f t="shared" si="91"/>
        <v>0</v>
      </c>
      <c r="BI63" s="66">
        <f t="shared" si="91"/>
        <v>0</v>
      </c>
      <c r="BJ63" s="65">
        <f t="shared" si="91"/>
        <v>0</v>
      </c>
      <c r="BK63" s="255">
        <f t="shared" si="91"/>
        <v>0</v>
      </c>
      <c r="BL63" s="66">
        <f t="shared" si="91"/>
        <v>0</v>
      </c>
      <c r="BM63" s="306">
        <f t="shared" si="91"/>
        <v>0</v>
      </c>
      <c r="BN63" s="65">
        <f t="shared" si="91"/>
        <v>0</v>
      </c>
      <c r="BO63" s="255">
        <f t="shared" si="91"/>
        <v>371</v>
      </c>
      <c r="BP63" s="66">
        <f t="shared" si="91"/>
        <v>327</v>
      </c>
      <c r="BQ63" s="65">
        <f t="shared" si="91"/>
        <v>285</v>
      </c>
      <c r="BR63" s="64">
        <f t="shared" si="91"/>
        <v>0</v>
      </c>
      <c r="BS63" s="259">
        <f t="shared" si="91"/>
        <v>0</v>
      </c>
      <c r="BT63" s="256">
        <f t="shared" si="91"/>
        <v>0</v>
      </c>
      <c r="BU63" s="256">
        <f t="shared" si="91"/>
        <v>0</v>
      </c>
      <c r="BV63" s="256">
        <f t="shared" si="91"/>
        <v>0</v>
      </c>
      <c r="BW63" s="66">
        <f t="shared" si="91"/>
        <v>0</v>
      </c>
      <c r="BX63" s="66">
        <f t="shared" si="91"/>
        <v>0</v>
      </c>
      <c r="BY63" s="66">
        <f t="shared" si="91"/>
        <v>0</v>
      </c>
      <c r="BZ63" s="66">
        <f t="shared" si="91"/>
        <v>0</v>
      </c>
      <c r="CA63" s="66">
        <f t="shared" si="91"/>
        <v>0</v>
      </c>
      <c r="CB63" s="66">
        <f t="shared" si="91"/>
        <v>0</v>
      </c>
      <c r="CC63" s="66">
        <f t="shared" si="91"/>
        <v>0</v>
      </c>
      <c r="CD63" s="66">
        <f t="shared" si="91"/>
        <v>0</v>
      </c>
      <c r="CE63" s="66">
        <f t="shared" si="91"/>
        <v>0</v>
      </c>
      <c r="CF63" s="257">
        <f t="shared" si="91"/>
        <v>0</v>
      </c>
      <c r="CG63" s="258">
        <f t="shared" si="91"/>
        <v>0</v>
      </c>
      <c r="CH63" s="64">
        <f t="shared" si="91"/>
        <v>0</v>
      </c>
      <c r="CI63" s="66">
        <f t="shared" si="91"/>
        <v>0</v>
      </c>
      <c r="CJ63" s="65">
        <f t="shared" si="91"/>
        <v>0</v>
      </c>
      <c r="CK63" s="255">
        <f t="shared" si="91"/>
        <v>0</v>
      </c>
      <c r="CL63" s="544">
        <f t="shared" si="91"/>
        <v>0</v>
      </c>
      <c r="CM63" s="184">
        <f t="shared" si="91"/>
        <v>0</v>
      </c>
      <c r="CN63" s="481">
        <f t="shared" si="91"/>
        <v>0</v>
      </c>
      <c r="CO63" s="184">
        <f t="shared" si="91"/>
        <v>0</v>
      </c>
      <c r="CP63" s="547">
        <f t="shared" si="91"/>
        <v>0</v>
      </c>
      <c r="CQ63" s="547">
        <f t="shared" si="91"/>
        <v>0</v>
      </c>
      <c r="CR63" s="547">
        <f t="shared" si="91"/>
        <v>0</v>
      </c>
      <c r="CS63" s="356">
        <f t="shared" si="91"/>
        <v>0</v>
      </c>
      <c r="CT63" s="185">
        <f t="shared" ref="CT63" si="92">SUM(CT31)</f>
        <v>0</v>
      </c>
      <c r="CU63" s="19"/>
    </row>
    <row r="64" spans="2:99" s="12" customFormat="1" ht="13" x14ac:dyDescent="0.3">
      <c r="B64" s="17" t="s">
        <v>737</v>
      </c>
      <c r="C64" s="257">
        <f>SUM(C34:C37)</f>
        <v>3025</v>
      </c>
      <c r="D64" s="257">
        <f>SUM(D34:D37)</f>
        <v>1570</v>
      </c>
      <c r="E64" s="900">
        <f t="shared" si="22"/>
        <v>0.5190082644628099</v>
      </c>
      <c r="F64" s="64">
        <f>SUM(F34:F37)</f>
        <v>0</v>
      </c>
      <c r="G64" s="258">
        <f t="shared" ref="G64:AE64" si="93">SUM(G34:G37)</f>
        <v>0</v>
      </c>
      <c r="H64" s="256">
        <f t="shared" ref="H64:I64" si="94">SUM(H34:H37)</f>
        <v>0</v>
      </c>
      <c r="I64" s="256">
        <f t="shared" si="94"/>
        <v>0</v>
      </c>
      <c r="J64" s="66">
        <f t="shared" ref="J64:K64" si="95">SUM(J34:J37)</f>
        <v>0</v>
      </c>
      <c r="K64" s="258">
        <f t="shared" si="95"/>
        <v>0</v>
      </c>
      <c r="L64" s="544">
        <f t="shared" si="93"/>
        <v>0</v>
      </c>
      <c r="M64" s="66">
        <f>SUM(M34:M37)</f>
        <v>0</v>
      </c>
      <c r="N64" s="258">
        <f>SUM(N34:N37)</f>
        <v>0</v>
      </c>
      <c r="O64" s="66">
        <f t="shared" si="93"/>
        <v>0</v>
      </c>
      <c r="P64" s="256">
        <f t="shared" si="93"/>
        <v>0</v>
      </c>
      <c r="Q64" s="256">
        <f t="shared" si="93"/>
        <v>0</v>
      </c>
      <c r="R64" s="256">
        <f t="shared" si="93"/>
        <v>0</v>
      </c>
      <c r="S64" s="256">
        <f t="shared" si="93"/>
        <v>0</v>
      </c>
      <c r="T64" s="64">
        <f t="shared" si="93"/>
        <v>0</v>
      </c>
      <c r="U64" s="259">
        <f t="shared" si="93"/>
        <v>0</v>
      </c>
      <c r="V64" s="66">
        <f>SUM(V34:V37)</f>
        <v>0</v>
      </c>
      <c r="W64" s="84">
        <f t="shared" si="93"/>
        <v>0</v>
      </c>
      <c r="X64" s="64">
        <f t="shared" si="93"/>
        <v>0</v>
      </c>
      <c r="Y64" s="258">
        <f t="shared" si="93"/>
        <v>0</v>
      </c>
      <c r="Z64" s="66">
        <f>SUM(Z34:Z37)</f>
        <v>0</v>
      </c>
      <c r="AA64" s="84">
        <f t="shared" si="93"/>
        <v>0</v>
      </c>
      <c r="AB64" s="255">
        <f t="shared" si="93"/>
        <v>0</v>
      </c>
      <c r="AC64" s="256">
        <f>SUM(AC34:AC37)</f>
        <v>0</v>
      </c>
      <c r="AD64" s="66">
        <f t="shared" si="93"/>
        <v>0</v>
      </c>
      <c r="AE64" s="84">
        <f t="shared" si="93"/>
        <v>0</v>
      </c>
      <c r="AF64" s="66">
        <f>SUM(AF34:AF37)</f>
        <v>0</v>
      </c>
      <c r="AG64" s="259">
        <f>SUM(AG34:AG37)</f>
        <v>0</v>
      </c>
      <c r="AH64" s="66">
        <f t="shared" ref="AH64:CS64" si="96">SUM(AH34:AH37)</f>
        <v>0</v>
      </c>
      <c r="AI64" s="66">
        <f t="shared" si="96"/>
        <v>0</v>
      </c>
      <c r="AJ64" s="66">
        <f t="shared" si="96"/>
        <v>0</v>
      </c>
      <c r="AK64" s="65">
        <f t="shared" si="96"/>
        <v>0</v>
      </c>
      <c r="AL64" s="255">
        <f t="shared" si="96"/>
        <v>0</v>
      </c>
      <c r="AM64" s="66">
        <f t="shared" si="96"/>
        <v>0</v>
      </c>
      <c r="AN64" s="64">
        <f t="shared" si="96"/>
        <v>0</v>
      </c>
      <c r="AO64" s="257">
        <f t="shared" si="96"/>
        <v>0</v>
      </c>
      <c r="AP64" s="259">
        <f t="shared" si="96"/>
        <v>0</v>
      </c>
      <c r="AQ64" s="66">
        <f t="shared" si="96"/>
        <v>0</v>
      </c>
      <c r="AR64" s="65">
        <f t="shared" si="96"/>
        <v>0</v>
      </c>
      <c r="AS64" s="64">
        <f t="shared" si="96"/>
        <v>0</v>
      </c>
      <c r="AT64" s="259">
        <f t="shared" si="96"/>
        <v>0</v>
      </c>
      <c r="AU64" s="66">
        <f t="shared" si="96"/>
        <v>0</v>
      </c>
      <c r="AV64" s="66">
        <f t="shared" si="96"/>
        <v>0</v>
      </c>
      <c r="AW64" s="257">
        <f t="shared" si="96"/>
        <v>0</v>
      </c>
      <c r="AX64" s="259">
        <f t="shared" si="96"/>
        <v>0</v>
      </c>
      <c r="AY64" s="66">
        <f t="shared" si="96"/>
        <v>0</v>
      </c>
      <c r="AZ64" s="84">
        <f t="shared" si="96"/>
        <v>0</v>
      </c>
      <c r="BA64" s="64">
        <f t="shared" si="96"/>
        <v>0</v>
      </c>
      <c r="BB64" s="257">
        <f t="shared" si="96"/>
        <v>0</v>
      </c>
      <c r="BC64" s="65">
        <f t="shared" si="96"/>
        <v>0</v>
      </c>
      <c r="BD64" s="66">
        <f t="shared" si="96"/>
        <v>0</v>
      </c>
      <c r="BE64" s="258">
        <f t="shared" si="96"/>
        <v>0</v>
      </c>
      <c r="BF64" s="64">
        <f t="shared" si="96"/>
        <v>0</v>
      </c>
      <c r="BG64" s="65">
        <f t="shared" si="96"/>
        <v>0</v>
      </c>
      <c r="BH64" s="255">
        <f t="shared" si="96"/>
        <v>0</v>
      </c>
      <c r="BI64" s="66">
        <f t="shared" si="96"/>
        <v>0</v>
      </c>
      <c r="BJ64" s="65">
        <f t="shared" si="96"/>
        <v>0</v>
      </c>
      <c r="BK64" s="255">
        <f t="shared" si="96"/>
        <v>0</v>
      </c>
      <c r="BL64" s="66">
        <f t="shared" si="96"/>
        <v>0</v>
      </c>
      <c r="BM64" s="306">
        <f t="shared" si="96"/>
        <v>0</v>
      </c>
      <c r="BN64" s="65">
        <f t="shared" si="96"/>
        <v>0</v>
      </c>
      <c r="BO64" s="255">
        <f t="shared" si="96"/>
        <v>0</v>
      </c>
      <c r="BP64" s="66">
        <f t="shared" si="96"/>
        <v>0</v>
      </c>
      <c r="BQ64" s="65">
        <f t="shared" si="96"/>
        <v>0</v>
      </c>
      <c r="BR64" s="64">
        <f t="shared" si="96"/>
        <v>590</v>
      </c>
      <c r="BS64" s="259">
        <f t="shared" si="96"/>
        <v>887</v>
      </c>
      <c r="BT64" s="256">
        <f t="shared" si="96"/>
        <v>1078</v>
      </c>
      <c r="BU64" s="256">
        <f t="shared" si="96"/>
        <v>1023</v>
      </c>
      <c r="BV64" s="256">
        <f t="shared" si="96"/>
        <v>960</v>
      </c>
      <c r="BW64" s="66">
        <f t="shared" si="96"/>
        <v>420</v>
      </c>
      <c r="BX64" s="66">
        <f t="shared" si="96"/>
        <v>535</v>
      </c>
      <c r="BY64" s="66">
        <f t="shared" si="96"/>
        <v>745</v>
      </c>
      <c r="BZ64" s="66">
        <f t="shared" si="96"/>
        <v>663</v>
      </c>
      <c r="CA64" s="66">
        <f t="shared" si="96"/>
        <v>694</v>
      </c>
      <c r="CB64" s="66">
        <f t="shared" si="96"/>
        <v>831</v>
      </c>
      <c r="CC64" s="66">
        <f t="shared" si="96"/>
        <v>569</v>
      </c>
      <c r="CD64" s="66">
        <f t="shared" si="96"/>
        <v>689</v>
      </c>
      <c r="CE64" s="66">
        <f t="shared" si="96"/>
        <v>709</v>
      </c>
      <c r="CF64" s="257">
        <f t="shared" si="96"/>
        <v>655</v>
      </c>
      <c r="CG64" s="258">
        <f t="shared" si="96"/>
        <v>109</v>
      </c>
      <c r="CH64" s="64">
        <f t="shared" si="96"/>
        <v>0</v>
      </c>
      <c r="CI64" s="66">
        <f t="shared" si="96"/>
        <v>0</v>
      </c>
      <c r="CJ64" s="65">
        <f t="shared" si="96"/>
        <v>0</v>
      </c>
      <c r="CK64" s="255">
        <f t="shared" si="96"/>
        <v>0</v>
      </c>
      <c r="CL64" s="544">
        <f t="shared" si="96"/>
        <v>0</v>
      </c>
      <c r="CM64" s="184">
        <f t="shared" si="96"/>
        <v>0</v>
      </c>
      <c r="CN64" s="481">
        <f t="shared" si="96"/>
        <v>0</v>
      </c>
      <c r="CO64" s="184">
        <f t="shared" si="96"/>
        <v>0</v>
      </c>
      <c r="CP64" s="547">
        <f t="shared" si="96"/>
        <v>0</v>
      </c>
      <c r="CQ64" s="547">
        <f t="shared" si="96"/>
        <v>0</v>
      </c>
      <c r="CR64" s="547">
        <f t="shared" si="96"/>
        <v>0</v>
      </c>
      <c r="CS64" s="356">
        <f t="shared" si="96"/>
        <v>0</v>
      </c>
      <c r="CT64" s="185">
        <f t="shared" ref="CT64" si="97">SUM(CT34:CT37)</f>
        <v>0</v>
      </c>
      <c r="CU64" s="19"/>
    </row>
    <row r="65" spans="1:99" s="12" customFormat="1" ht="13" x14ac:dyDescent="0.3">
      <c r="B65" s="17" t="s">
        <v>738</v>
      </c>
      <c r="C65" s="257">
        <f>SUM(C38:C40)</f>
        <v>3781</v>
      </c>
      <c r="D65" s="257">
        <f>SUM(D38:D40)</f>
        <v>1875</v>
      </c>
      <c r="E65" s="900">
        <f t="shared" si="22"/>
        <v>0.49590055540862205</v>
      </c>
      <c r="F65" s="64">
        <f>SUM(F38:F40)</f>
        <v>0</v>
      </c>
      <c r="G65" s="258">
        <f t="shared" ref="G65:AE65" si="98">SUM(G38:G40)</f>
        <v>0</v>
      </c>
      <c r="H65" s="256">
        <f t="shared" ref="H65:I65" si="99">SUM(H38:H40)</f>
        <v>0</v>
      </c>
      <c r="I65" s="256">
        <f t="shared" si="99"/>
        <v>0</v>
      </c>
      <c r="J65" s="66">
        <f t="shared" ref="J65:K65" si="100">SUM(J38:J40)</f>
        <v>0</v>
      </c>
      <c r="K65" s="258">
        <f t="shared" si="100"/>
        <v>0</v>
      </c>
      <c r="L65" s="544">
        <f t="shared" si="98"/>
        <v>0</v>
      </c>
      <c r="M65" s="66">
        <f>SUM(M38:M40)</f>
        <v>0</v>
      </c>
      <c r="N65" s="258">
        <f>SUM(N38:N40)</f>
        <v>0</v>
      </c>
      <c r="O65" s="66">
        <f t="shared" si="98"/>
        <v>0</v>
      </c>
      <c r="P65" s="256">
        <f t="shared" si="98"/>
        <v>0</v>
      </c>
      <c r="Q65" s="256">
        <f t="shared" si="98"/>
        <v>0</v>
      </c>
      <c r="R65" s="256">
        <f t="shared" si="98"/>
        <v>0</v>
      </c>
      <c r="S65" s="256">
        <f t="shared" si="98"/>
        <v>0</v>
      </c>
      <c r="T65" s="64">
        <f t="shared" si="98"/>
        <v>0</v>
      </c>
      <c r="U65" s="259">
        <f t="shared" si="98"/>
        <v>0</v>
      </c>
      <c r="V65" s="66">
        <f>SUM(V38:V40)</f>
        <v>0</v>
      </c>
      <c r="W65" s="84">
        <f t="shared" si="98"/>
        <v>0</v>
      </c>
      <c r="X65" s="64">
        <f t="shared" si="98"/>
        <v>0</v>
      </c>
      <c r="Y65" s="258">
        <f t="shared" si="98"/>
        <v>0</v>
      </c>
      <c r="Z65" s="66">
        <f>SUM(Z38:Z40)</f>
        <v>0</v>
      </c>
      <c r="AA65" s="84">
        <f t="shared" si="98"/>
        <v>0</v>
      </c>
      <c r="AB65" s="255">
        <f t="shared" si="98"/>
        <v>0</v>
      </c>
      <c r="AC65" s="256">
        <f>SUM(AC38:AC40)</f>
        <v>0</v>
      </c>
      <c r="AD65" s="66">
        <f t="shared" si="98"/>
        <v>0</v>
      </c>
      <c r="AE65" s="84">
        <f t="shared" si="98"/>
        <v>0</v>
      </c>
      <c r="AF65" s="66">
        <f>SUM(AF38:AF40)</f>
        <v>0</v>
      </c>
      <c r="AG65" s="259">
        <f>SUM(AG38:AG40)</f>
        <v>0</v>
      </c>
      <c r="AH65" s="66">
        <f t="shared" ref="AH65:CS65" si="101">SUM(AH38:AH40)</f>
        <v>0</v>
      </c>
      <c r="AI65" s="66">
        <f t="shared" si="101"/>
        <v>0</v>
      </c>
      <c r="AJ65" s="66">
        <f t="shared" si="101"/>
        <v>0</v>
      </c>
      <c r="AK65" s="65">
        <f t="shared" si="101"/>
        <v>0</v>
      </c>
      <c r="AL65" s="255">
        <f t="shared" si="101"/>
        <v>0</v>
      </c>
      <c r="AM65" s="66">
        <f t="shared" si="101"/>
        <v>0</v>
      </c>
      <c r="AN65" s="64">
        <f t="shared" si="101"/>
        <v>0</v>
      </c>
      <c r="AO65" s="257">
        <f t="shared" si="101"/>
        <v>0</v>
      </c>
      <c r="AP65" s="259">
        <f t="shared" si="101"/>
        <v>0</v>
      </c>
      <c r="AQ65" s="66">
        <f t="shared" si="101"/>
        <v>0</v>
      </c>
      <c r="AR65" s="65">
        <f t="shared" si="101"/>
        <v>0</v>
      </c>
      <c r="AS65" s="64">
        <f t="shared" si="101"/>
        <v>0</v>
      </c>
      <c r="AT65" s="259">
        <f t="shared" si="101"/>
        <v>0</v>
      </c>
      <c r="AU65" s="66">
        <f t="shared" si="101"/>
        <v>0</v>
      </c>
      <c r="AV65" s="66">
        <f t="shared" si="101"/>
        <v>0</v>
      </c>
      <c r="AW65" s="257">
        <f t="shared" si="101"/>
        <v>0</v>
      </c>
      <c r="AX65" s="259">
        <f t="shared" si="101"/>
        <v>0</v>
      </c>
      <c r="AY65" s="66">
        <f t="shared" si="101"/>
        <v>0</v>
      </c>
      <c r="AZ65" s="84">
        <f t="shared" si="101"/>
        <v>0</v>
      </c>
      <c r="BA65" s="64">
        <f t="shared" si="101"/>
        <v>0</v>
      </c>
      <c r="BB65" s="257">
        <f t="shared" si="101"/>
        <v>0</v>
      </c>
      <c r="BC65" s="65">
        <f t="shared" si="101"/>
        <v>0</v>
      </c>
      <c r="BD65" s="66">
        <f t="shared" si="101"/>
        <v>0</v>
      </c>
      <c r="BE65" s="258">
        <f t="shared" si="101"/>
        <v>0</v>
      </c>
      <c r="BF65" s="64">
        <f t="shared" si="101"/>
        <v>0</v>
      </c>
      <c r="BG65" s="65">
        <f t="shared" si="101"/>
        <v>0</v>
      </c>
      <c r="BH65" s="255">
        <f t="shared" si="101"/>
        <v>0</v>
      </c>
      <c r="BI65" s="66">
        <f t="shared" si="101"/>
        <v>0</v>
      </c>
      <c r="BJ65" s="65">
        <f t="shared" si="101"/>
        <v>0</v>
      </c>
      <c r="BK65" s="255">
        <f t="shared" si="101"/>
        <v>0</v>
      </c>
      <c r="BL65" s="66">
        <f t="shared" si="101"/>
        <v>0</v>
      </c>
      <c r="BM65" s="306">
        <f t="shared" si="101"/>
        <v>0</v>
      </c>
      <c r="BN65" s="65">
        <f t="shared" si="101"/>
        <v>0</v>
      </c>
      <c r="BO65" s="255">
        <f t="shared" si="101"/>
        <v>0</v>
      </c>
      <c r="BP65" s="66">
        <f t="shared" si="101"/>
        <v>0</v>
      </c>
      <c r="BQ65" s="65">
        <f t="shared" si="101"/>
        <v>0</v>
      </c>
      <c r="BR65" s="64">
        <f t="shared" si="101"/>
        <v>0</v>
      </c>
      <c r="BS65" s="259">
        <f t="shared" si="101"/>
        <v>0</v>
      </c>
      <c r="BT65" s="256">
        <f t="shared" si="101"/>
        <v>0</v>
      </c>
      <c r="BU65" s="256">
        <f t="shared" si="101"/>
        <v>0</v>
      </c>
      <c r="BV65" s="256">
        <f t="shared" si="101"/>
        <v>0</v>
      </c>
      <c r="BW65" s="66">
        <f t="shared" si="101"/>
        <v>0</v>
      </c>
      <c r="BX65" s="66">
        <f t="shared" si="101"/>
        <v>0</v>
      </c>
      <c r="BY65" s="66">
        <f t="shared" si="101"/>
        <v>0</v>
      </c>
      <c r="BZ65" s="66">
        <f t="shared" si="101"/>
        <v>0</v>
      </c>
      <c r="CA65" s="66">
        <f t="shared" si="101"/>
        <v>0</v>
      </c>
      <c r="CB65" s="66">
        <f t="shared" si="101"/>
        <v>0</v>
      </c>
      <c r="CC65" s="66">
        <f t="shared" si="101"/>
        <v>0</v>
      </c>
      <c r="CD65" s="66">
        <f t="shared" si="101"/>
        <v>0</v>
      </c>
      <c r="CE65" s="66">
        <f t="shared" si="101"/>
        <v>0</v>
      </c>
      <c r="CF65" s="257">
        <f t="shared" si="101"/>
        <v>0</v>
      </c>
      <c r="CG65" s="258">
        <f t="shared" si="101"/>
        <v>0</v>
      </c>
      <c r="CH65" s="64">
        <f t="shared" si="101"/>
        <v>876</v>
      </c>
      <c r="CI65" s="66">
        <f t="shared" si="101"/>
        <v>1230</v>
      </c>
      <c r="CJ65" s="65">
        <f t="shared" si="101"/>
        <v>862</v>
      </c>
      <c r="CK65" s="255">
        <f t="shared" si="101"/>
        <v>0</v>
      </c>
      <c r="CL65" s="544">
        <f t="shared" si="101"/>
        <v>0</v>
      </c>
      <c r="CM65" s="184">
        <f t="shared" si="101"/>
        <v>0</v>
      </c>
      <c r="CN65" s="481">
        <f t="shared" si="101"/>
        <v>0</v>
      </c>
      <c r="CO65" s="184">
        <f t="shared" si="101"/>
        <v>0</v>
      </c>
      <c r="CP65" s="547">
        <f t="shared" si="101"/>
        <v>0</v>
      </c>
      <c r="CQ65" s="547">
        <f t="shared" si="101"/>
        <v>0</v>
      </c>
      <c r="CR65" s="547">
        <f t="shared" si="101"/>
        <v>0</v>
      </c>
      <c r="CS65" s="356">
        <f t="shared" si="101"/>
        <v>0</v>
      </c>
      <c r="CT65" s="185">
        <f t="shared" ref="CT65" si="102">SUM(CT38:CT40)</f>
        <v>0</v>
      </c>
      <c r="CU65" s="19"/>
    </row>
    <row r="66" spans="1:99" s="12" customFormat="1" ht="13" x14ac:dyDescent="0.3">
      <c r="B66" s="17" t="s">
        <v>32</v>
      </c>
      <c r="C66" s="257">
        <f>SUM(C41:C42)</f>
        <v>1922</v>
      </c>
      <c r="D66" s="257">
        <f>SUM(D41:D42)</f>
        <v>1188</v>
      </c>
      <c r="E66" s="900">
        <f t="shared" si="22"/>
        <v>0.61810613943808534</v>
      </c>
      <c r="F66" s="64">
        <f>SUM(F41:F42)</f>
        <v>0</v>
      </c>
      <c r="G66" s="258">
        <f t="shared" ref="G66:AE66" si="103">SUM(G41:G42)</f>
        <v>0</v>
      </c>
      <c r="H66" s="256">
        <f t="shared" ref="H66:I66" si="104">SUM(H41:H42)</f>
        <v>0</v>
      </c>
      <c r="I66" s="256">
        <f t="shared" si="104"/>
        <v>0</v>
      </c>
      <c r="J66" s="66">
        <f t="shared" ref="J66:K66" si="105">SUM(J41:J42)</f>
        <v>0</v>
      </c>
      <c r="K66" s="258">
        <f t="shared" si="105"/>
        <v>0</v>
      </c>
      <c r="L66" s="544">
        <f t="shared" si="103"/>
        <v>0</v>
      </c>
      <c r="M66" s="66">
        <f>SUM(M41:M42)</f>
        <v>0</v>
      </c>
      <c r="N66" s="258">
        <f>SUM(N41:N42)</f>
        <v>0</v>
      </c>
      <c r="O66" s="66">
        <f t="shared" si="103"/>
        <v>0</v>
      </c>
      <c r="P66" s="256">
        <f t="shared" si="103"/>
        <v>0</v>
      </c>
      <c r="Q66" s="256">
        <f t="shared" si="103"/>
        <v>0</v>
      </c>
      <c r="R66" s="256">
        <f t="shared" si="103"/>
        <v>0</v>
      </c>
      <c r="S66" s="256">
        <f t="shared" si="103"/>
        <v>0</v>
      </c>
      <c r="T66" s="64">
        <f t="shared" si="103"/>
        <v>0</v>
      </c>
      <c r="U66" s="259">
        <f t="shared" si="103"/>
        <v>0</v>
      </c>
      <c r="V66" s="66">
        <f>SUM(V41:V42)</f>
        <v>0</v>
      </c>
      <c r="W66" s="84">
        <f t="shared" si="103"/>
        <v>0</v>
      </c>
      <c r="X66" s="64">
        <f t="shared" si="103"/>
        <v>0</v>
      </c>
      <c r="Y66" s="258">
        <f t="shared" si="103"/>
        <v>0</v>
      </c>
      <c r="Z66" s="66">
        <f>SUM(Z41:Z42)</f>
        <v>0</v>
      </c>
      <c r="AA66" s="84">
        <f t="shared" si="103"/>
        <v>0</v>
      </c>
      <c r="AB66" s="255">
        <f t="shared" si="103"/>
        <v>0</v>
      </c>
      <c r="AC66" s="256">
        <f>SUM(AC41:AC42)</f>
        <v>0</v>
      </c>
      <c r="AD66" s="66">
        <f t="shared" si="103"/>
        <v>0</v>
      </c>
      <c r="AE66" s="84">
        <f t="shared" si="103"/>
        <v>0</v>
      </c>
      <c r="AF66" s="66">
        <f>SUM(AF41:AF42)</f>
        <v>0</v>
      </c>
      <c r="AG66" s="259">
        <f>SUM(AG41:AG42)</f>
        <v>0</v>
      </c>
      <c r="AH66" s="66">
        <f t="shared" ref="AH66:CS66" si="106">SUM(AH41:AH42)</f>
        <v>0</v>
      </c>
      <c r="AI66" s="66">
        <f t="shared" si="106"/>
        <v>0</v>
      </c>
      <c r="AJ66" s="66">
        <f t="shared" si="106"/>
        <v>0</v>
      </c>
      <c r="AK66" s="65">
        <f t="shared" si="106"/>
        <v>0</v>
      </c>
      <c r="AL66" s="255">
        <f t="shared" si="106"/>
        <v>0</v>
      </c>
      <c r="AM66" s="66">
        <f t="shared" si="106"/>
        <v>0</v>
      </c>
      <c r="AN66" s="64">
        <f t="shared" si="106"/>
        <v>0</v>
      </c>
      <c r="AO66" s="257">
        <f t="shared" si="106"/>
        <v>0</v>
      </c>
      <c r="AP66" s="259">
        <f t="shared" si="106"/>
        <v>0</v>
      </c>
      <c r="AQ66" s="66">
        <f t="shared" si="106"/>
        <v>0</v>
      </c>
      <c r="AR66" s="65">
        <f t="shared" si="106"/>
        <v>0</v>
      </c>
      <c r="AS66" s="64">
        <f t="shared" si="106"/>
        <v>0</v>
      </c>
      <c r="AT66" s="259">
        <f t="shared" si="106"/>
        <v>0</v>
      </c>
      <c r="AU66" s="66">
        <f t="shared" si="106"/>
        <v>0</v>
      </c>
      <c r="AV66" s="66">
        <f t="shared" si="106"/>
        <v>0</v>
      </c>
      <c r="AW66" s="257">
        <f t="shared" si="106"/>
        <v>0</v>
      </c>
      <c r="AX66" s="259">
        <f t="shared" si="106"/>
        <v>0</v>
      </c>
      <c r="AY66" s="66">
        <f t="shared" si="106"/>
        <v>0</v>
      </c>
      <c r="AZ66" s="84">
        <f t="shared" si="106"/>
        <v>0</v>
      </c>
      <c r="BA66" s="64">
        <f t="shared" si="106"/>
        <v>0</v>
      </c>
      <c r="BB66" s="257">
        <f t="shared" si="106"/>
        <v>0</v>
      </c>
      <c r="BC66" s="65">
        <f t="shared" si="106"/>
        <v>0</v>
      </c>
      <c r="BD66" s="66">
        <f t="shared" si="106"/>
        <v>0</v>
      </c>
      <c r="BE66" s="258">
        <f t="shared" si="106"/>
        <v>0</v>
      </c>
      <c r="BF66" s="64">
        <f t="shared" si="106"/>
        <v>0</v>
      </c>
      <c r="BG66" s="65">
        <f t="shared" si="106"/>
        <v>0</v>
      </c>
      <c r="BH66" s="255">
        <f t="shared" si="106"/>
        <v>0</v>
      </c>
      <c r="BI66" s="66">
        <f t="shared" si="106"/>
        <v>0</v>
      </c>
      <c r="BJ66" s="65">
        <f t="shared" si="106"/>
        <v>0</v>
      </c>
      <c r="BK66" s="255">
        <f t="shared" si="106"/>
        <v>0</v>
      </c>
      <c r="BL66" s="66">
        <f t="shared" si="106"/>
        <v>0</v>
      </c>
      <c r="BM66" s="306">
        <f t="shared" si="106"/>
        <v>0</v>
      </c>
      <c r="BN66" s="65">
        <f t="shared" si="106"/>
        <v>0</v>
      </c>
      <c r="BO66" s="255">
        <f t="shared" si="106"/>
        <v>0</v>
      </c>
      <c r="BP66" s="66">
        <f t="shared" si="106"/>
        <v>0</v>
      </c>
      <c r="BQ66" s="65">
        <f t="shared" si="106"/>
        <v>0</v>
      </c>
      <c r="BR66" s="64">
        <f t="shared" si="106"/>
        <v>0</v>
      </c>
      <c r="BS66" s="259">
        <f t="shared" si="106"/>
        <v>0</v>
      </c>
      <c r="BT66" s="256">
        <f t="shared" si="106"/>
        <v>0</v>
      </c>
      <c r="BU66" s="256">
        <f t="shared" si="106"/>
        <v>0</v>
      </c>
      <c r="BV66" s="256">
        <f t="shared" si="106"/>
        <v>0</v>
      </c>
      <c r="BW66" s="66">
        <f t="shared" si="106"/>
        <v>0</v>
      </c>
      <c r="BX66" s="66">
        <f t="shared" si="106"/>
        <v>0</v>
      </c>
      <c r="BY66" s="66">
        <f t="shared" si="106"/>
        <v>0</v>
      </c>
      <c r="BZ66" s="66">
        <f t="shared" si="106"/>
        <v>0</v>
      </c>
      <c r="CA66" s="66">
        <f t="shared" si="106"/>
        <v>0</v>
      </c>
      <c r="CB66" s="66">
        <f t="shared" si="106"/>
        <v>0</v>
      </c>
      <c r="CC66" s="66">
        <f t="shared" si="106"/>
        <v>0</v>
      </c>
      <c r="CD66" s="66">
        <f t="shared" si="106"/>
        <v>0</v>
      </c>
      <c r="CE66" s="66">
        <f t="shared" si="106"/>
        <v>0</v>
      </c>
      <c r="CF66" s="257">
        <f t="shared" si="106"/>
        <v>0</v>
      </c>
      <c r="CG66" s="258">
        <f t="shared" si="106"/>
        <v>0</v>
      </c>
      <c r="CH66" s="64">
        <f t="shared" si="106"/>
        <v>0</v>
      </c>
      <c r="CI66" s="66">
        <f t="shared" si="106"/>
        <v>0</v>
      </c>
      <c r="CJ66" s="65">
        <f t="shared" si="106"/>
        <v>0</v>
      </c>
      <c r="CK66" s="255">
        <f t="shared" si="106"/>
        <v>997</v>
      </c>
      <c r="CL66" s="544">
        <f t="shared" si="106"/>
        <v>967</v>
      </c>
      <c r="CM66" s="184">
        <f t="shared" si="106"/>
        <v>0</v>
      </c>
      <c r="CN66" s="481">
        <f t="shared" si="106"/>
        <v>0</v>
      </c>
      <c r="CO66" s="184">
        <f t="shared" si="106"/>
        <v>0</v>
      </c>
      <c r="CP66" s="547">
        <f t="shared" si="106"/>
        <v>0</v>
      </c>
      <c r="CQ66" s="547">
        <f t="shared" si="106"/>
        <v>0</v>
      </c>
      <c r="CR66" s="547">
        <f t="shared" si="106"/>
        <v>0</v>
      </c>
      <c r="CS66" s="356">
        <f t="shared" si="106"/>
        <v>0</v>
      </c>
      <c r="CT66" s="185">
        <f t="shared" ref="CT66" si="107">SUM(CT41:CT42)</f>
        <v>0</v>
      </c>
      <c r="CU66" s="19"/>
    </row>
    <row r="67" spans="1:99" s="12" customFormat="1" ht="13.5" thickBot="1" x14ac:dyDescent="0.35">
      <c r="A67" s="32"/>
      <c r="B67" s="33" t="s">
        <v>721</v>
      </c>
      <c r="C67" s="263">
        <f>SUM(C43:C44)</f>
        <v>2662</v>
      </c>
      <c r="D67" s="263">
        <f>SUM(D43:D44)</f>
        <v>1086</v>
      </c>
      <c r="E67" s="901">
        <f t="shared" si="22"/>
        <v>0.40796393688955673</v>
      </c>
      <c r="F67" s="305">
        <f>SUM(F43:F44)</f>
        <v>0</v>
      </c>
      <c r="G67" s="264">
        <f t="shared" ref="G67:AE67" si="108">SUM(G43:G44)</f>
        <v>0</v>
      </c>
      <c r="H67" s="261">
        <f t="shared" ref="H67:I67" si="109">SUM(H43:H44)</f>
        <v>0</v>
      </c>
      <c r="I67" s="261">
        <f t="shared" si="109"/>
        <v>0</v>
      </c>
      <c r="J67" s="262">
        <f t="shared" ref="J67:K67" si="110">SUM(J43:J44)</f>
        <v>0</v>
      </c>
      <c r="K67" s="264">
        <f t="shared" si="110"/>
        <v>0</v>
      </c>
      <c r="L67" s="545">
        <f t="shared" si="108"/>
        <v>0</v>
      </c>
      <c r="M67" s="262">
        <f>SUM(M43:M44)</f>
        <v>0</v>
      </c>
      <c r="N67" s="264">
        <f>SUM(N43:N44)</f>
        <v>0</v>
      </c>
      <c r="O67" s="262">
        <f t="shared" si="108"/>
        <v>0</v>
      </c>
      <c r="P67" s="261">
        <f t="shared" si="108"/>
        <v>0</v>
      </c>
      <c r="Q67" s="261">
        <f t="shared" si="108"/>
        <v>0</v>
      </c>
      <c r="R67" s="261">
        <f t="shared" si="108"/>
        <v>0</v>
      </c>
      <c r="S67" s="261">
        <f t="shared" si="108"/>
        <v>0</v>
      </c>
      <c r="T67" s="305">
        <f t="shared" si="108"/>
        <v>0</v>
      </c>
      <c r="U67" s="330">
        <f t="shared" si="108"/>
        <v>0</v>
      </c>
      <c r="V67" s="262">
        <f>SUM(V43:V44)</f>
        <v>0</v>
      </c>
      <c r="W67" s="265">
        <f t="shared" si="108"/>
        <v>0</v>
      </c>
      <c r="X67" s="305">
        <f t="shared" si="108"/>
        <v>0</v>
      </c>
      <c r="Y67" s="264">
        <f t="shared" si="108"/>
        <v>0</v>
      </c>
      <c r="Z67" s="262">
        <f>SUM(Z43:Z44)</f>
        <v>0</v>
      </c>
      <c r="AA67" s="265">
        <f t="shared" si="108"/>
        <v>0</v>
      </c>
      <c r="AB67" s="260">
        <f t="shared" si="108"/>
        <v>0</v>
      </c>
      <c r="AC67" s="261">
        <f>SUM(AC43:AC44)</f>
        <v>0</v>
      </c>
      <c r="AD67" s="262">
        <f t="shared" si="108"/>
        <v>0</v>
      </c>
      <c r="AE67" s="265">
        <f t="shared" si="108"/>
        <v>0</v>
      </c>
      <c r="AF67" s="262">
        <f>SUM(AF43:AF44)</f>
        <v>0</v>
      </c>
      <c r="AG67" s="330">
        <f>SUM(AG43:AG44)</f>
        <v>0</v>
      </c>
      <c r="AH67" s="262">
        <f t="shared" ref="AH67:CS67" si="111">SUM(AH43:AH44)</f>
        <v>0</v>
      </c>
      <c r="AI67" s="262">
        <f t="shared" si="111"/>
        <v>0</v>
      </c>
      <c r="AJ67" s="262">
        <f t="shared" si="111"/>
        <v>0</v>
      </c>
      <c r="AK67" s="266">
        <f t="shared" si="111"/>
        <v>0</v>
      </c>
      <c r="AL67" s="260">
        <f t="shared" si="111"/>
        <v>0</v>
      </c>
      <c r="AM67" s="262">
        <f t="shared" si="111"/>
        <v>0</v>
      </c>
      <c r="AN67" s="305">
        <f t="shared" si="111"/>
        <v>0</v>
      </c>
      <c r="AO67" s="263">
        <f t="shared" si="111"/>
        <v>0</v>
      </c>
      <c r="AP67" s="330">
        <f t="shared" si="111"/>
        <v>0</v>
      </c>
      <c r="AQ67" s="262">
        <f t="shared" si="111"/>
        <v>0</v>
      </c>
      <c r="AR67" s="266">
        <f t="shared" si="111"/>
        <v>0</v>
      </c>
      <c r="AS67" s="305">
        <f t="shared" si="111"/>
        <v>0</v>
      </c>
      <c r="AT67" s="330">
        <f t="shared" si="111"/>
        <v>0</v>
      </c>
      <c r="AU67" s="262">
        <f t="shared" si="111"/>
        <v>0</v>
      </c>
      <c r="AV67" s="262">
        <f t="shared" si="111"/>
        <v>0</v>
      </c>
      <c r="AW67" s="263">
        <f t="shared" si="111"/>
        <v>0</v>
      </c>
      <c r="AX67" s="330">
        <f t="shared" si="111"/>
        <v>0</v>
      </c>
      <c r="AY67" s="262">
        <f t="shared" si="111"/>
        <v>0</v>
      </c>
      <c r="AZ67" s="265">
        <f t="shared" si="111"/>
        <v>0</v>
      </c>
      <c r="BA67" s="305">
        <f t="shared" si="111"/>
        <v>0</v>
      </c>
      <c r="BB67" s="263">
        <f t="shared" si="111"/>
        <v>0</v>
      </c>
      <c r="BC67" s="266">
        <f t="shared" si="111"/>
        <v>0</v>
      </c>
      <c r="BD67" s="262">
        <f t="shared" si="111"/>
        <v>0</v>
      </c>
      <c r="BE67" s="264">
        <f t="shared" si="111"/>
        <v>0</v>
      </c>
      <c r="BF67" s="305">
        <f t="shared" si="111"/>
        <v>0</v>
      </c>
      <c r="BG67" s="266">
        <f t="shared" si="111"/>
        <v>0</v>
      </c>
      <c r="BH67" s="260">
        <f t="shared" si="111"/>
        <v>0</v>
      </c>
      <c r="BI67" s="262">
        <f t="shared" si="111"/>
        <v>0</v>
      </c>
      <c r="BJ67" s="266">
        <f t="shared" si="111"/>
        <v>0</v>
      </c>
      <c r="BK67" s="260">
        <f t="shared" si="111"/>
        <v>0</v>
      </c>
      <c r="BL67" s="262">
        <f t="shared" si="111"/>
        <v>0</v>
      </c>
      <c r="BM67" s="307">
        <f t="shared" si="111"/>
        <v>0</v>
      </c>
      <c r="BN67" s="266">
        <f t="shared" si="111"/>
        <v>0</v>
      </c>
      <c r="BO67" s="260">
        <f t="shared" si="111"/>
        <v>0</v>
      </c>
      <c r="BP67" s="262">
        <f t="shared" si="111"/>
        <v>0</v>
      </c>
      <c r="BQ67" s="266">
        <f t="shared" si="111"/>
        <v>0</v>
      </c>
      <c r="BR67" s="305">
        <f t="shared" si="111"/>
        <v>0</v>
      </c>
      <c r="BS67" s="330">
        <f t="shared" si="111"/>
        <v>0</v>
      </c>
      <c r="BT67" s="261">
        <f t="shared" si="111"/>
        <v>0</v>
      </c>
      <c r="BU67" s="261">
        <f t="shared" si="111"/>
        <v>0</v>
      </c>
      <c r="BV67" s="261">
        <f t="shared" si="111"/>
        <v>0</v>
      </c>
      <c r="BW67" s="262">
        <f t="shared" si="111"/>
        <v>0</v>
      </c>
      <c r="BX67" s="262">
        <f t="shared" si="111"/>
        <v>0</v>
      </c>
      <c r="BY67" s="262">
        <f t="shared" si="111"/>
        <v>0</v>
      </c>
      <c r="BZ67" s="262">
        <f t="shared" si="111"/>
        <v>0</v>
      </c>
      <c r="CA67" s="262">
        <f t="shared" si="111"/>
        <v>0</v>
      </c>
      <c r="CB67" s="262">
        <f t="shared" si="111"/>
        <v>0</v>
      </c>
      <c r="CC67" s="262">
        <f t="shared" si="111"/>
        <v>0</v>
      </c>
      <c r="CD67" s="262">
        <f t="shared" si="111"/>
        <v>0</v>
      </c>
      <c r="CE67" s="262">
        <f t="shared" si="111"/>
        <v>0</v>
      </c>
      <c r="CF67" s="263">
        <f t="shared" si="111"/>
        <v>0</v>
      </c>
      <c r="CG67" s="264">
        <f t="shared" si="111"/>
        <v>0</v>
      </c>
      <c r="CH67" s="305">
        <f t="shared" si="111"/>
        <v>0</v>
      </c>
      <c r="CI67" s="262">
        <f t="shared" si="111"/>
        <v>0</v>
      </c>
      <c r="CJ67" s="266">
        <f t="shared" si="111"/>
        <v>0</v>
      </c>
      <c r="CK67" s="260">
        <f t="shared" si="111"/>
        <v>0</v>
      </c>
      <c r="CL67" s="545">
        <f t="shared" si="111"/>
        <v>0</v>
      </c>
      <c r="CM67" s="186">
        <f t="shared" si="111"/>
        <v>595</v>
      </c>
      <c r="CN67" s="482">
        <f t="shared" si="111"/>
        <v>412</v>
      </c>
      <c r="CO67" s="186">
        <f t="shared" si="111"/>
        <v>269</v>
      </c>
      <c r="CP67" s="548">
        <f t="shared" si="111"/>
        <v>497</v>
      </c>
      <c r="CQ67" s="548">
        <f t="shared" si="111"/>
        <v>596</v>
      </c>
      <c r="CR67" s="548">
        <f t="shared" si="111"/>
        <v>291</v>
      </c>
      <c r="CS67" s="357">
        <f t="shared" si="111"/>
        <v>415</v>
      </c>
      <c r="CT67" s="187">
        <f t="shared" ref="CT67" si="112">SUM(CT43:CT44)</f>
        <v>460</v>
      </c>
      <c r="CU67" s="19"/>
    </row>
    <row r="68" spans="1:99" ht="13" thickTop="1" x14ac:dyDescent="0.25">
      <c r="A68" s="20"/>
      <c r="B68" s="20"/>
      <c r="C68" s="310"/>
      <c r="D68" s="310"/>
      <c r="E68" s="902"/>
      <c r="F68" s="20"/>
      <c r="G68" s="99"/>
      <c r="H68" s="20"/>
      <c r="I68" s="20"/>
      <c r="J68" s="20"/>
      <c r="K68" s="99"/>
      <c r="L68" s="20"/>
      <c r="M68" s="20"/>
      <c r="N68" s="20"/>
      <c r="O68" s="20"/>
      <c r="P68" s="20"/>
      <c r="Q68" s="20"/>
      <c r="R68" s="20"/>
      <c r="S68" s="20"/>
      <c r="T68" s="20"/>
      <c r="U68" s="99"/>
      <c r="V68" s="20"/>
      <c r="W68" s="20"/>
      <c r="X68" s="20"/>
      <c r="Y68" s="313"/>
      <c r="Z68" s="20"/>
      <c r="AA68" s="99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99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</row>
    <row r="69" spans="1:99" x14ac:dyDescent="0.25">
      <c r="G69" s="24"/>
      <c r="K69" s="24"/>
      <c r="U69" s="24"/>
    </row>
    <row r="70" spans="1:99" x14ac:dyDescent="0.25">
      <c r="G70" s="24"/>
      <c r="K70" s="24"/>
      <c r="U70" s="24"/>
    </row>
    <row r="71" spans="1:99" x14ac:dyDescent="0.25">
      <c r="G71" s="24"/>
      <c r="K71" s="24"/>
      <c r="U71" s="24"/>
    </row>
    <row r="72" spans="1:99" x14ac:dyDescent="0.25">
      <c r="G72" s="24"/>
      <c r="K72" s="24"/>
      <c r="U72" s="24"/>
    </row>
    <row r="73" spans="1:99" x14ac:dyDescent="0.25">
      <c r="G73" s="24"/>
      <c r="K73" s="24"/>
      <c r="U73" s="24"/>
    </row>
    <row r="74" spans="1:99" x14ac:dyDescent="0.25">
      <c r="G74" s="24"/>
      <c r="K74" s="24"/>
      <c r="U74" s="24"/>
    </row>
    <row r="75" spans="1:99" x14ac:dyDescent="0.25">
      <c r="G75" s="24"/>
      <c r="K75" s="24"/>
      <c r="U75" s="24"/>
    </row>
    <row r="76" spans="1:99" x14ac:dyDescent="0.25">
      <c r="G76" s="24"/>
      <c r="K76" s="24"/>
      <c r="U76" s="24"/>
    </row>
    <row r="77" spans="1:99" x14ac:dyDescent="0.25">
      <c r="G77" s="24"/>
      <c r="K77" s="24"/>
      <c r="U77" s="24"/>
    </row>
    <row r="78" spans="1:99" x14ac:dyDescent="0.25">
      <c r="G78" s="24"/>
      <c r="K78" s="24"/>
      <c r="U78" s="24"/>
    </row>
    <row r="79" spans="1:99" x14ac:dyDescent="0.25">
      <c r="G79" s="24"/>
      <c r="K79" s="24"/>
      <c r="U79" s="24"/>
    </row>
    <row r="80" spans="1:99" x14ac:dyDescent="0.25">
      <c r="G80" s="24"/>
      <c r="K80" s="24"/>
      <c r="U80" s="24"/>
    </row>
    <row r="81" spans="7:21" x14ac:dyDescent="0.25">
      <c r="G81" s="24"/>
      <c r="K81" s="24"/>
      <c r="U81" s="24"/>
    </row>
    <row r="82" spans="7:21" x14ac:dyDescent="0.25">
      <c r="G82" s="24"/>
      <c r="K82" s="24"/>
      <c r="U82" s="24"/>
    </row>
    <row r="83" spans="7:21" x14ac:dyDescent="0.25">
      <c r="G83" s="24"/>
      <c r="K83" s="24"/>
      <c r="U83" s="24"/>
    </row>
    <row r="84" spans="7:21" x14ac:dyDescent="0.25">
      <c r="G84" s="24"/>
      <c r="K84" s="24"/>
      <c r="U84" s="24"/>
    </row>
    <row r="85" spans="7:21" x14ac:dyDescent="0.25">
      <c r="G85" s="24"/>
      <c r="K85" s="24"/>
      <c r="U85" s="24"/>
    </row>
    <row r="86" spans="7:21" x14ac:dyDescent="0.25">
      <c r="G86" s="24"/>
      <c r="K86" s="24"/>
      <c r="U86" s="24"/>
    </row>
    <row r="87" spans="7:21" x14ac:dyDescent="0.25">
      <c r="G87" s="24"/>
      <c r="K87" s="24"/>
      <c r="U87" s="24"/>
    </row>
    <row r="88" spans="7:21" x14ac:dyDescent="0.25">
      <c r="G88" s="24"/>
      <c r="K88" s="24"/>
      <c r="U88" s="24"/>
    </row>
    <row r="89" spans="7:21" x14ac:dyDescent="0.25">
      <c r="G89" s="24"/>
      <c r="K89" s="24"/>
      <c r="U89" s="24"/>
    </row>
    <row r="90" spans="7:21" x14ac:dyDescent="0.25">
      <c r="G90" s="24"/>
      <c r="K90" s="24"/>
      <c r="U90" s="24"/>
    </row>
    <row r="91" spans="7:21" x14ac:dyDescent="0.25">
      <c r="G91" s="24"/>
      <c r="K91" s="24"/>
      <c r="U91" s="24"/>
    </row>
    <row r="92" spans="7:21" x14ac:dyDescent="0.25">
      <c r="G92" s="24"/>
      <c r="K92" s="24"/>
      <c r="U92" s="24"/>
    </row>
    <row r="93" spans="7:21" x14ac:dyDescent="0.25">
      <c r="G93" s="24"/>
      <c r="K93" s="24"/>
      <c r="U93" s="24"/>
    </row>
    <row r="94" spans="7:21" x14ac:dyDescent="0.25">
      <c r="G94" s="24"/>
      <c r="K94" s="24"/>
      <c r="U94" s="24"/>
    </row>
    <row r="95" spans="7:21" x14ac:dyDescent="0.25">
      <c r="G95" s="24"/>
      <c r="K95" s="24"/>
      <c r="U95" s="24"/>
    </row>
    <row r="96" spans="7:21" x14ac:dyDescent="0.25">
      <c r="G96" s="24"/>
      <c r="K96" s="24"/>
      <c r="U96" s="24"/>
    </row>
    <row r="97" spans="7:21" x14ac:dyDescent="0.25">
      <c r="G97" s="24"/>
      <c r="H97" s="24"/>
      <c r="I97" s="24"/>
      <c r="J97" s="24"/>
      <c r="K97" s="24"/>
      <c r="L97" s="24"/>
      <c r="U97" s="24"/>
    </row>
    <row r="98" spans="7:21" x14ac:dyDescent="0.25">
      <c r="G98" s="24"/>
      <c r="H98" s="24"/>
      <c r="I98" s="24"/>
      <c r="J98" s="24"/>
      <c r="K98" s="24"/>
      <c r="L98" s="24"/>
      <c r="U98" s="24"/>
    </row>
    <row r="99" spans="7:21" x14ac:dyDescent="0.25">
      <c r="G99" s="24"/>
      <c r="H99" s="24"/>
      <c r="I99" s="24"/>
      <c r="J99" s="24"/>
      <c r="K99" s="24"/>
      <c r="L99" s="24"/>
      <c r="U99" s="24"/>
    </row>
    <row r="100" spans="7:21" x14ac:dyDescent="0.25">
      <c r="G100" s="24"/>
      <c r="H100" s="24"/>
      <c r="I100" s="24"/>
      <c r="J100" s="24"/>
      <c r="K100" s="24"/>
      <c r="L100" s="24"/>
      <c r="U100" s="24"/>
    </row>
    <row r="101" spans="7:21" x14ac:dyDescent="0.25">
      <c r="G101" s="24"/>
      <c r="H101" s="24"/>
      <c r="I101" s="24"/>
      <c r="J101" s="24"/>
      <c r="K101" s="24"/>
      <c r="L101" s="24"/>
      <c r="U101" s="24"/>
    </row>
    <row r="102" spans="7:21" x14ac:dyDescent="0.25">
      <c r="G102" s="24"/>
      <c r="H102" s="24"/>
      <c r="I102" s="24"/>
      <c r="J102" s="24"/>
      <c r="K102" s="24"/>
      <c r="L102" s="24"/>
      <c r="U102" s="24"/>
    </row>
    <row r="103" spans="7:21" x14ac:dyDescent="0.25">
      <c r="G103" s="24"/>
      <c r="H103" s="24"/>
      <c r="I103" s="24"/>
      <c r="J103" s="24"/>
      <c r="K103" s="24"/>
      <c r="L103" s="24"/>
      <c r="U103" s="24"/>
    </row>
    <row r="104" spans="7:21" x14ac:dyDescent="0.25">
      <c r="G104" s="24"/>
      <c r="H104" s="24"/>
      <c r="I104" s="24"/>
      <c r="J104" s="24"/>
      <c r="K104" s="24"/>
      <c r="L104" s="24"/>
      <c r="U104" s="24"/>
    </row>
    <row r="105" spans="7:21" x14ac:dyDescent="0.25">
      <c r="G105" s="24"/>
      <c r="H105" s="24"/>
      <c r="I105" s="24"/>
      <c r="J105" s="24"/>
      <c r="K105" s="24"/>
      <c r="L105" s="24"/>
      <c r="U105" s="24"/>
    </row>
    <row r="106" spans="7:21" x14ac:dyDescent="0.25">
      <c r="G106" s="24"/>
      <c r="H106" s="24"/>
      <c r="I106" s="24"/>
      <c r="J106" s="24"/>
      <c r="K106" s="24"/>
      <c r="L106" s="24"/>
      <c r="U106" s="24"/>
    </row>
    <row r="107" spans="7:21" x14ac:dyDescent="0.25">
      <c r="G107" s="24"/>
      <c r="H107" s="24"/>
      <c r="I107" s="24"/>
      <c r="J107" s="24"/>
      <c r="K107" s="24"/>
      <c r="L107" s="24"/>
      <c r="U107" s="24"/>
    </row>
    <row r="108" spans="7:21" x14ac:dyDescent="0.25">
      <c r="G108" s="24"/>
      <c r="H108" s="24"/>
      <c r="I108" s="24"/>
      <c r="J108" s="24"/>
      <c r="K108" s="24"/>
      <c r="L108" s="24"/>
      <c r="U108" s="24"/>
    </row>
    <row r="109" spans="7:21" x14ac:dyDescent="0.25">
      <c r="G109" s="24"/>
      <c r="H109" s="24"/>
      <c r="I109" s="24"/>
      <c r="J109" s="24"/>
      <c r="K109" s="24"/>
      <c r="L109" s="24"/>
      <c r="U109" s="24"/>
    </row>
    <row r="110" spans="7:21" x14ac:dyDescent="0.25">
      <c r="G110" s="24"/>
      <c r="H110" s="24"/>
      <c r="I110" s="24"/>
      <c r="J110" s="24"/>
      <c r="K110" s="24"/>
      <c r="L110" s="24"/>
      <c r="U110" s="24"/>
    </row>
    <row r="111" spans="7:21" x14ac:dyDescent="0.25">
      <c r="G111" s="24"/>
      <c r="H111" s="24"/>
      <c r="I111" s="24"/>
      <c r="J111" s="24"/>
      <c r="K111" s="24"/>
      <c r="L111" s="24"/>
      <c r="U111" s="24"/>
    </row>
    <row r="112" spans="7:21" x14ac:dyDescent="0.25">
      <c r="G112" s="24"/>
      <c r="H112" s="24"/>
      <c r="I112" s="24"/>
      <c r="J112" s="24"/>
      <c r="K112" s="24"/>
      <c r="L112" s="24"/>
      <c r="U112" s="24"/>
    </row>
    <row r="113" spans="7:21" x14ac:dyDescent="0.25">
      <c r="G113" s="24"/>
      <c r="H113" s="24"/>
      <c r="I113" s="24"/>
      <c r="J113" s="24"/>
      <c r="K113" s="24"/>
      <c r="L113" s="24"/>
      <c r="U113" s="24"/>
    </row>
    <row r="114" spans="7:21" x14ac:dyDescent="0.25">
      <c r="G114" s="24"/>
      <c r="H114" s="24"/>
      <c r="I114" s="24"/>
      <c r="J114" s="24"/>
      <c r="K114" s="24"/>
      <c r="L114" s="24"/>
      <c r="U114" s="24"/>
    </row>
    <row r="115" spans="7:21" x14ac:dyDescent="0.25">
      <c r="G115" s="24"/>
      <c r="H115" s="24"/>
      <c r="I115" s="24"/>
      <c r="J115" s="24"/>
      <c r="K115" s="24"/>
      <c r="L115" s="24"/>
      <c r="U115" s="24"/>
    </row>
    <row r="116" spans="7:21" x14ac:dyDescent="0.25">
      <c r="G116" s="24"/>
      <c r="H116" s="24"/>
      <c r="I116" s="24"/>
      <c r="J116" s="24"/>
      <c r="K116" s="24"/>
      <c r="L116" s="24"/>
      <c r="U116" s="24"/>
    </row>
    <row r="117" spans="7:21" x14ac:dyDescent="0.25">
      <c r="G117" s="24"/>
      <c r="H117" s="24"/>
      <c r="I117" s="24"/>
      <c r="J117" s="24"/>
      <c r="K117" s="24"/>
      <c r="L117" s="24"/>
      <c r="U117" s="24"/>
    </row>
    <row r="118" spans="7:21" x14ac:dyDescent="0.25">
      <c r="G118" s="24"/>
      <c r="H118" s="24"/>
      <c r="I118" s="24"/>
      <c r="J118" s="24"/>
      <c r="K118" s="24"/>
      <c r="L118" s="24"/>
      <c r="U118" s="24"/>
    </row>
    <row r="119" spans="7:21" x14ac:dyDescent="0.25">
      <c r="G119" s="24"/>
      <c r="H119" s="24"/>
      <c r="I119" s="24"/>
      <c r="J119" s="24"/>
      <c r="K119" s="24"/>
      <c r="L119" s="24"/>
      <c r="U119" s="24"/>
    </row>
    <row r="120" spans="7:21" x14ac:dyDescent="0.25">
      <c r="G120" s="24"/>
      <c r="H120" s="24"/>
      <c r="I120" s="24"/>
      <c r="J120" s="24"/>
      <c r="K120" s="24"/>
      <c r="L120" s="24"/>
      <c r="U120" s="24"/>
    </row>
    <row r="121" spans="7:21" x14ac:dyDescent="0.25">
      <c r="G121" s="24"/>
      <c r="H121" s="24"/>
      <c r="I121" s="24"/>
      <c r="J121" s="24"/>
      <c r="K121" s="24"/>
      <c r="L121" s="24"/>
      <c r="U121" s="24"/>
    </row>
    <row r="122" spans="7:21" x14ac:dyDescent="0.25">
      <c r="G122" s="24"/>
      <c r="H122" s="24"/>
      <c r="I122" s="24"/>
      <c r="J122" s="24"/>
      <c r="K122" s="24"/>
      <c r="L122" s="24"/>
      <c r="U122" s="24"/>
    </row>
    <row r="123" spans="7:21" x14ac:dyDescent="0.25">
      <c r="G123" s="24"/>
      <c r="H123" s="24"/>
      <c r="I123" s="24"/>
      <c r="J123" s="24"/>
      <c r="K123" s="24"/>
      <c r="L123" s="24"/>
      <c r="U123" s="24"/>
    </row>
    <row r="124" spans="7:21" x14ac:dyDescent="0.25">
      <c r="G124" s="24"/>
      <c r="H124" s="24"/>
      <c r="I124" s="24"/>
      <c r="J124" s="24"/>
      <c r="K124" s="24"/>
      <c r="L124" s="24"/>
      <c r="U124" s="24"/>
    </row>
    <row r="125" spans="7:21" x14ac:dyDescent="0.25">
      <c r="G125" s="24"/>
      <c r="H125" s="24"/>
      <c r="I125" s="24"/>
      <c r="J125" s="24"/>
      <c r="K125" s="24"/>
      <c r="L125" s="24"/>
      <c r="U125" s="24"/>
    </row>
    <row r="126" spans="7:21" x14ac:dyDescent="0.25">
      <c r="G126" s="24"/>
      <c r="H126" s="24"/>
      <c r="I126" s="24"/>
      <c r="J126" s="24"/>
      <c r="K126" s="24"/>
      <c r="L126" s="24"/>
      <c r="U126" s="24"/>
    </row>
    <row r="127" spans="7:21" x14ac:dyDescent="0.25">
      <c r="G127" s="24"/>
      <c r="H127" s="24"/>
      <c r="I127" s="24"/>
      <c r="J127" s="24"/>
      <c r="K127" s="24"/>
      <c r="L127" s="24"/>
      <c r="U127" s="24"/>
    </row>
    <row r="128" spans="7:21" x14ac:dyDescent="0.25">
      <c r="U128" s="24"/>
    </row>
    <row r="129" spans="21:21" x14ac:dyDescent="0.25">
      <c r="U129" s="24"/>
    </row>
    <row r="130" spans="21:21" x14ac:dyDescent="0.25">
      <c r="U130" s="24"/>
    </row>
    <row r="131" spans="21:21" x14ac:dyDescent="0.25">
      <c r="U131" s="24"/>
    </row>
    <row r="132" spans="21:21" x14ac:dyDescent="0.25">
      <c r="U132" s="24"/>
    </row>
    <row r="133" spans="21:21" x14ac:dyDescent="0.25">
      <c r="U133" s="24"/>
    </row>
    <row r="134" spans="21:21" x14ac:dyDescent="0.25">
      <c r="U134" s="24"/>
    </row>
    <row r="135" spans="21:21" x14ac:dyDescent="0.25">
      <c r="U135" s="24"/>
    </row>
    <row r="136" spans="21:21" x14ac:dyDescent="0.25">
      <c r="U136" s="24"/>
    </row>
    <row r="137" spans="21:21" x14ac:dyDescent="0.25">
      <c r="U137" s="24"/>
    </row>
    <row r="138" spans="21:21" x14ac:dyDescent="0.25">
      <c r="U138" s="24"/>
    </row>
    <row r="139" spans="21:21" x14ac:dyDescent="0.25">
      <c r="U139" s="24"/>
    </row>
    <row r="140" spans="21:21" x14ac:dyDescent="0.25">
      <c r="U140" s="24"/>
    </row>
    <row r="141" spans="21:21" x14ac:dyDescent="0.25">
      <c r="U141" s="24"/>
    </row>
    <row r="142" spans="21:21" x14ac:dyDescent="0.25">
      <c r="U142" s="24"/>
    </row>
    <row r="143" spans="21:21" x14ac:dyDescent="0.25">
      <c r="U143" s="24"/>
    </row>
    <row r="144" spans="21:21" x14ac:dyDescent="0.25">
      <c r="U144" s="24"/>
    </row>
    <row r="145" spans="21:21" x14ac:dyDescent="0.25">
      <c r="U145" s="24"/>
    </row>
    <row r="146" spans="21:21" x14ac:dyDescent="0.25">
      <c r="U146" s="24"/>
    </row>
    <row r="147" spans="21:21" x14ac:dyDescent="0.25">
      <c r="U147" s="24"/>
    </row>
    <row r="148" spans="21:21" x14ac:dyDescent="0.25">
      <c r="U148" s="24"/>
    </row>
    <row r="149" spans="21:21" x14ac:dyDescent="0.25">
      <c r="U149" s="24"/>
    </row>
    <row r="150" spans="21:21" x14ac:dyDescent="0.25">
      <c r="U150" s="24"/>
    </row>
    <row r="151" spans="21:21" x14ac:dyDescent="0.25">
      <c r="U151" s="24"/>
    </row>
    <row r="152" spans="21:21" x14ac:dyDescent="0.25">
      <c r="U152" s="24"/>
    </row>
    <row r="153" spans="21:21" x14ac:dyDescent="0.25">
      <c r="U153" s="24"/>
    </row>
    <row r="154" spans="21:21" x14ac:dyDescent="0.25">
      <c r="U154" s="24"/>
    </row>
    <row r="155" spans="21:21" x14ac:dyDescent="0.25">
      <c r="U155" s="24"/>
    </row>
    <row r="156" spans="21:21" x14ac:dyDescent="0.25">
      <c r="U156" s="24"/>
    </row>
    <row r="157" spans="21:21" x14ac:dyDescent="0.25">
      <c r="U157" s="24"/>
    </row>
    <row r="158" spans="21:21" x14ac:dyDescent="0.25">
      <c r="U158" s="24"/>
    </row>
    <row r="159" spans="21:21" x14ac:dyDescent="0.25">
      <c r="U159" s="24"/>
    </row>
    <row r="160" spans="21:21" x14ac:dyDescent="0.25">
      <c r="U160" s="24"/>
    </row>
    <row r="161" spans="21:21" x14ac:dyDescent="0.25">
      <c r="U161" s="24"/>
    </row>
    <row r="162" spans="21:21" x14ac:dyDescent="0.25">
      <c r="U162" s="24"/>
    </row>
    <row r="163" spans="21:21" x14ac:dyDescent="0.25">
      <c r="U163" s="24"/>
    </row>
    <row r="164" spans="21:21" x14ac:dyDescent="0.25">
      <c r="U164" s="24"/>
    </row>
    <row r="165" spans="21:21" x14ac:dyDescent="0.25">
      <c r="U165" s="24"/>
    </row>
    <row r="166" spans="21:21" x14ac:dyDescent="0.25">
      <c r="U166" s="24"/>
    </row>
    <row r="167" spans="21:21" x14ac:dyDescent="0.25">
      <c r="U167" s="24"/>
    </row>
    <row r="168" spans="21:21" x14ac:dyDescent="0.25">
      <c r="U168" s="24"/>
    </row>
    <row r="169" spans="21:21" x14ac:dyDescent="0.25">
      <c r="U169" s="24"/>
    </row>
    <row r="170" spans="21:21" x14ac:dyDescent="0.25">
      <c r="U170" s="24"/>
    </row>
    <row r="171" spans="21:21" x14ac:dyDescent="0.25">
      <c r="U171" s="24"/>
    </row>
    <row r="172" spans="21:21" x14ac:dyDescent="0.25">
      <c r="U172" s="24"/>
    </row>
    <row r="173" spans="21:21" x14ac:dyDescent="0.25">
      <c r="U173" s="24"/>
    </row>
    <row r="174" spans="21:21" x14ac:dyDescent="0.25">
      <c r="U174" s="24"/>
    </row>
    <row r="175" spans="21:21" x14ac:dyDescent="0.25">
      <c r="U175" s="24"/>
    </row>
    <row r="176" spans="21:21" x14ac:dyDescent="0.25">
      <c r="U176" s="24"/>
    </row>
    <row r="177" spans="21:21" x14ac:dyDescent="0.25">
      <c r="U177" s="24"/>
    </row>
    <row r="178" spans="21:21" x14ac:dyDescent="0.25">
      <c r="U178" s="24"/>
    </row>
    <row r="179" spans="21:21" x14ac:dyDescent="0.25">
      <c r="U179" s="24"/>
    </row>
    <row r="180" spans="21:21" x14ac:dyDescent="0.25">
      <c r="U180" s="24"/>
    </row>
    <row r="181" spans="21:21" x14ac:dyDescent="0.25">
      <c r="U181" s="24"/>
    </row>
    <row r="182" spans="21:21" x14ac:dyDescent="0.25">
      <c r="U182" s="24"/>
    </row>
    <row r="183" spans="21:21" x14ac:dyDescent="0.25">
      <c r="U183" s="24"/>
    </row>
    <row r="184" spans="21:21" x14ac:dyDescent="0.25">
      <c r="U184" s="24"/>
    </row>
    <row r="185" spans="21:21" x14ac:dyDescent="0.25">
      <c r="U185" s="24"/>
    </row>
    <row r="186" spans="21:21" x14ac:dyDescent="0.25">
      <c r="U186" s="24"/>
    </row>
    <row r="187" spans="21:21" x14ac:dyDescent="0.25">
      <c r="U187" s="24"/>
    </row>
    <row r="188" spans="21:21" x14ac:dyDescent="0.25">
      <c r="U188" s="24"/>
    </row>
    <row r="189" spans="21:21" x14ac:dyDescent="0.25">
      <c r="U189" s="24"/>
    </row>
    <row r="190" spans="21:21" x14ac:dyDescent="0.25">
      <c r="U190" s="24"/>
    </row>
    <row r="191" spans="21:21" x14ac:dyDescent="0.25">
      <c r="U191" s="24"/>
    </row>
    <row r="192" spans="21:21" x14ac:dyDescent="0.25">
      <c r="U192" s="24"/>
    </row>
    <row r="193" spans="21:21" x14ac:dyDescent="0.25">
      <c r="U193" s="24"/>
    </row>
    <row r="194" spans="21:21" x14ac:dyDescent="0.25">
      <c r="U194" s="24"/>
    </row>
    <row r="195" spans="21:21" x14ac:dyDescent="0.25">
      <c r="U195" s="24"/>
    </row>
    <row r="196" spans="21:21" x14ac:dyDescent="0.25">
      <c r="U196" s="24"/>
    </row>
    <row r="197" spans="21:21" x14ac:dyDescent="0.25">
      <c r="U197" s="24"/>
    </row>
    <row r="198" spans="21:21" x14ac:dyDescent="0.25">
      <c r="U198" s="24"/>
    </row>
    <row r="199" spans="21:21" x14ac:dyDescent="0.25">
      <c r="U199" s="24"/>
    </row>
    <row r="200" spans="21:21" x14ac:dyDescent="0.25">
      <c r="U200" s="24"/>
    </row>
    <row r="201" spans="21:21" x14ac:dyDescent="0.25">
      <c r="U201" s="24"/>
    </row>
    <row r="202" spans="21:21" x14ac:dyDescent="0.25">
      <c r="U202" s="24"/>
    </row>
    <row r="203" spans="21:21" x14ac:dyDescent="0.25">
      <c r="U203" s="24"/>
    </row>
    <row r="204" spans="21:21" x14ac:dyDescent="0.25">
      <c r="U204" s="24"/>
    </row>
    <row r="205" spans="21:21" x14ac:dyDescent="0.25">
      <c r="U205" s="24"/>
    </row>
    <row r="206" spans="21:21" x14ac:dyDescent="0.25">
      <c r="U206" s="24"/>
    </row>
    <row r="207" spans="21:21" x14ac:dyDescent="0.25">
      <c r="U207" s="24"/>
    </row>
    <row r="208" spans="21:21" x14ac:dyDescent="0.25">
      <c r="U208" s="24"/>
    </row>
    <row r="209" spans="21:21" x14ac:dyDescent="0.25">
      <c r="U209" s="24"/>
    </row>
    <row r="210" spans="21:21" x14ac:dyDescent="0.25">
      <c r="U210" s="24"/>
    </row>
    <row r="211" spans="21:21" x14ac:dyDescent="0.25">
      <c r="U211" s="24"/>
    </row>
    <row r="212" spans="21:21" x14ac:dyDescent="0.25">
      <c r="U212" s="24"/>
    </row>
    <row r="213" spans="21:21" x14ac:dyDescent="0.25">
      <c r="U213" s="24"/>
    </row>
    <row r="214" spans="21:21" x14ac:dyDescent="0.25">
      <c r="U214" s="24"/>
    </row>
    <row r="215" spans="21:21" x14ac:dyDescent="0.25">
      <c r="U215" s="24"/>
    </row>
    <row r="216" spans="21:21" x14ac:dyDescent="0.25">
      <c r="U216" s="24"/>
    </row>
    <row r="217" spans="21:21" x14ac:dyDescent="0.25">
      <c r="U217" s="24"/>
    </row>
    <row r="218" spans="21:21" x14ac:dyDescent="0.25">
      <c r="U218" s="24"/>
    </row>
    <row r="219" spans="21:21" x14ac:dyDescent="0.25">
      <c r="U219" s="24"/>
    </row>
    <row r="220" spans="21:21" x14ac:dyDescent="0.25">
      <c r="U220" s="24"/>
    </row>
    <row r="221" spans="21:21" x14ac:dyDescent="0.25">
      <c r="U221" s="24"/>
    </row>
    <row r="222" spans="21:21" x14ac:dyDescent="0.25">
      <c r="U222" s="24"/>
    </row>
    <row r="223" spans="21:21" x14ac:dyDescent="0.25">
      <c r="U223" s="24"/>
    </row>
    <row r="224" spans="21:21" x14ac:dyDescent="0.25">
      <c r="U224" s="24"/>
    </row>
    <row r="225" spans="21:21" x14ac:dyDescent="0.25">
      <c r="U225" s="24"/>
    </row>
    <row r="226" spans="21:21" x14ac:dyDescent="0.25">
      <c r="U226" s="24"/>
    </row>
    <row r="227" spans="21:21" x14ac:dyDescent="0.25">
      <c r="U227" s="24"/>
    </row>
    <row r="228" spans="21:21" x14ac:dyDescent="0.25">
      <c r="U228" s="24"/>
    </row>
    <row r="229" spans="21:21" x14ac:dyDescent="0.25">
      <c r="U229" s="24"/>
    </row>
    <row r="230" spans="21:21" x14ac:dyDescent="0.25">
      <c r="U230" s="24"/>
    </row>
    <row r="231" spans="21:21" x14ac:dyDescent="0.25">
      <c r="U231" s="24"/>
    </row>
    <row r="232" spans="21:21" x14ac:dyDescent="0.25">
      <c r="U232" s="24"/>
    </row>
    <row r="233" spans="21:21" x14ac:dyDescent="0.25">
      <c r="U233" s="24"/>
    </row>
    <row r="234" spans="21:21" x14ac:dyDescent="0.25">
      <c r="U234" s="24"/>
    </row>
    <row r="235" spans="21:21" x14ac:dyDescent="0.25">
      <c r="U235" s="24"/>
    </row>
    <row r="236" spans="21:21" x14ac:dyDescent="0.25">
      <c r="U236" s="24"/>
    </row>
    <row r="237" spans="21:21" x14ac:dyDescent="0.25">
      <c r="U237" s="24"/>
    </row>
    <row r="238" spans="21:21" x14ac:dyDescent="0.25">
      <c r="U238" s="24"/>
    </row>
    <row r="239" spans="21:21" x14ac:dyDescent="0.25">
      <c r="U239" s="24"/>
    </row>
    <row r="240" spans="21:21" x14ac:dyDescent="0.25">
      <c r="U240" s="24"/>
    </row>
    <row r="241" spans="21:21" x14ac:dyDescent="0.25">
      <c r="U241" s="24"/>
    </row>
    <row r="242" spans="21:21" x14ac:dyDescent="0.25">
      <c r="U242" s="24"/>
    </row>
    <row r="243" spans="21:21" x14ac:dyDescent="0.25">
      <c r="U243" s="24"/>
    </row>
    <row r="244" spans="21:21" x14ac:dyDescent="0.25">
      <c r="U244" s="24"/>
    </row>
    <row r="245" spans="21:21" x14ac:dyDescent="0.25">
      <c r="U245" s="24"/>
    </row>
    <row r="246" spans="21:21" x14ac:dyDescent="0.25">
      <c r="U246" s="24"/>
    </row>
    <row r="247" spans="21:21" x14ac:dyDescent="0.25">
      <c r="U247" s="24"/>
    </row>
    <row r="248" spans="21:21" x14ac:dyDescent="0.25">
      <c r="U248" s="24"/>
    </row>
    <row r="249" spans="21:21" x14ac:dyDescent="0.25">
      <c r="U249" s="24"/>
    </row>
    <row r="250" spans="21:21" x14ac:dyDescent="0.25">
      <c r="U250" s="24"/>
    </row>
    <row r="251" spans="21:21" x14ac:dyDescent="0.25">
      <c r="U251" s="24"/>
    </row>
    <row r="252" spans="21:21" x14ac:dyDescent="0.25">
      <c r="U252" s="24"/>
    </row>
    <row r="253" spans="21:21" x14ac:dyDescent="0.25">
      <c r="U253" s="24"/>
    </row>
    <row r="254" spans="21:21" x14ac:dyDescent="0.25">
      <c r="U254" s="24"/>
    </row>
    <row r="255" spans="21:21" x14ac:dyDescent="0.25">
      <c r="U255" s="24"/>
    </row>
    <row r="256" spans="21:21" x14ac:dyDescent="0.25">
      <c r="U256" s="24"/>
    </row>
    <row r="257" spans="21:21" x14ac:dyDescent="0.25">
      <c r="U257" s="24"/>
    </row>
    <row r="258" spans="21:21" x14ac:dyDescent="0.25">
      <c r="U258" s="24"/>
    </row>
    <row r="259" spans="21:21" x14ac:dyDescent="0.25">
      <c r="U259" s="24"/>
    </row>
    <row r="260" spans="21:21" x14ac:dyDescent="0.25">
      <c r="U260" s="24"/>
    </row>
    <row r="261" spans="21:21" x14ac:dyDescent="0.25">
      <c r="U261" s="24"/>
    </row>
    <row r="262" spans="21:21" x14ac:dyDescent="0.25">
      <c r="U262" s="24"/>
    </row>
    <row r="263" spans="21:21" x14ac:dyDescent="0.25">
      <c r="U263" s="24"/>
    </row>
    <row r="264" spans="21:21" x14ac:dyDescent="0.25">
      <c r="U264" s="24"/>
    </row>
    <row r="265" spans="21:21" x14ac:dyDescent="0.25">
      <c r="U265" s="24"/>
    </row>
    <row r="266" spans="21:21" x14ac:dyDescent="0.25">
      <c r="U266" s="24"/>
    </row>
    <row r="267" spans="21:21" x14ac:dyDescent="0.25">
      <c r="U267" s="24"/>
    </row>
    <row r="268" spans="21:21" x14ac:dyDescent="0.25">
      <c r="U268" s="24"/>
    </row>
    <row r="269" spans="21:21" x14ac:dyDescent="0.25">
      <c r="U269" s="24"/>
    </row>
    <row r="270" spans="21:21" x14ac:dyDescent="0.25">
      <c r="U270" s="24"/>
    </row>
    <row r="271" spans="21:21" x14ac:dyDescent="0.25">
      <c r="U271" s="24"/>
    </row>
    <row r="272" spans="21:21" x14ac:dyDescent="0.25">
      <c r="U272" s="24"/>
    </row>
    <row r="273" spans="21:21" x14ac:dyDescent="0.25">
      <c r="U273" s="24"/>
    </row>
    <row r="274" spans="21:21" x14ac:dyDescent="0.25">
      <c r="U274" s="24"/>
    </row>
    <row r="275" spans="21:21" x14ac:dyDescent="0.25">
      <c r="U275" s="24"/>
    </row>
    <row r="276" spans="21:21" x14ac:dyDescent="0.25">
      <c r="U276" s="24"/>
    </row>
    <row r="277" spans="21:21" x14ac:dyDescent="0.25">
      <c r="U277" s="24"/>
    </row>
    <row r="278" spans="21:21" x14ac:dyDescent="0.25">
      <c r="U278" s="24"/>
    </row>
    <row r="279" spans="21:21" x14ac:dyDescent="0.25">
      <c r="U279" s="24"/>
    </row>
    <row r="280" spans="21:21" x14ac:dyDescent="0.25">
      <c r="U280" s="24"/>
    </row>
    <row r="281" spans="21:21" x14ac:dyDescent="0.25">
      <c r="U281" s="24"/>
    </row>
    <row r="282" spans="21:21" x14ac:dyDescent="0.25">
      <c r="U282" s="24"/>
    </row>
    <row r="283" spans="21:21" x14ac:dyDescent="0.25">
      <c r="U283" s="24"/>
    </row>
    <row r="284" spans="21:21" x14ac:dyDescent="0.25">
      <c r="U284" s="24"/>
    </row>
    <row r="285" spans="21:21" x14ac:dyDescent="0.25">
      <c r="U285" s="24"/>
    </row>
    <row r="286" spans="21:21" x14ac:dyDescent="0.25">
      <c r="U286" s="24"/>
    </row>
    <row r="287" spans="21:21" x14ac:dyDescent="0.25">
      <c r="U287" s="24"/>
    </row>
    <row r="288" spans="21:21" x14ac:dyDescent="0.25">
      <c r="U288" s="24"/>
    </row>
    <row r="289" spans="21:21" x14ac:dyDescent="0.25">
      <c r="U289" s="24"/>
    </row>
    <row r="290" spans="21:21" x14ac:dyDescent="0.25">
      <c r="U290" s="24"/>
    </row>
    <row r="291" spans="21:21" x14ac:dyDescent="0.25">
      <c r="U291" s="24"/>
    </row>
    <row r="292" spans="21:21" x14ac:dyDescent="0.25">
      <c r="U292" s="24"/>
    </row>
  </sheetData>
  <mergeCells count="62">
    <mergeCell ref="BA2:BC3"/>
    <mergeCell ref="AU2:AX3"/>
    <mergeCell ref="AS2:AT3"/>
    <mergeCell ref="AY2:AZ3"/>
    <mergeCell ref="AD2:AE3"/>
    <mergeCell ref="AQ2:AR3"/>
    <mergeCell ref="AL1:AM1"/>
    <mergeCell ref="AN1:AR1"/>
    <mergeCell ref="AN2:AP3"/>
    <mergeCell ref="AF2:AG3"/>
    <mergeCell ref="AH2:AK3"/>
    <mergeCell ref="AL2:AL3"/>
    <mergeCell ref="AM2:AM3"/>
    <mergeCell ref="A1:E3"/>
    <mergeCell ref="M1:S1"/>
    <mergeCell ref="O2:S2"/>
    <mergeCell ref="X1:AA1"/>
    <mergeCell ref="F1:L1"/>
    <mergeCell ref="T1:W1"/>
    <mergeCell ref="M2:N3"/>
    <mergeCell ref="F2:G3"/>
    <mergeCell ref="L2:L3"/>
    <mergeCell ref="H2:H3"/>
    <mergeCell ref="J2:K3"/>
    <mergeCell ref="I2:I3"/>
    <mergeCell ref="V2:W3"/>
    <mergeCell ref="T2:U3"/>
    <mergeCell ref="Z2:AA3"/>
    <mergeCell ref="X2:Y3"/>
    <mergeCell ref="AB2:AB3"/>
    <mergeCell ref="CM1:CT1"/>
    <mergeCell ref="BO1:BQ1"/>
    <mergeCell ref="CH1:CJ1"/>
    <mergeCell ref="BW2:CG3"/>
    <mergeCell ref="BR1:CG1"/>
    <mergeCell ref="BT2:BT3"/>
    <mergeCell ref="AB1:AE1"/>
    <mergeCell ref="BF1:BG1"/>
    <mergeCell ref="CK1:CL1"/>
    <mergeCell ref="BA1:BC1"/>
    <mergeCell ref="BK1:BN1"/>
    <mergeCell ref="BH1:BJ1"/>
    <mergeCell ref="AF1:AK1"/>
    <mergeCell ref="AS1:AZ1"/>
    <mergeCell ref="AC2:AC3"/>
    <mergeCell ref="BL2:BN3"/>
    <mergeCell ref="BF2:BG3"/>
    <mergeCell ref="BU2:BU3"/>
    <mergeCell ref="BV2:BV3"/>
    <mergeCell ref="BP2:BQ3"/>
    <mergeCell ref="BO2:BO3"/>
    <mergeCell ref="BR2:BS3"/>
    <mergeCell ref="BD1:BE1"/>
    <mergeCell ref="BD2:BE3"/>
    <mergeCell ref="BI2:BJ3"/>
    <mergeCell ref="BH2:BH3"/>
    <mergeCell ref="BK2:BK3"/>
    <mergeCell ref="CO2:CT3"/>
    <mergeCell ref="CL2:CL3"/>
    <mergeCell ref="CK2:CK3"/>
    <mergeCell ref="CM2:CN3"/>
    <mergeCell ref="CH2:CJ3"/>
  </mergeCells>
  <phoneticPr fontId="10" type="noConversion"/>
  <pageMargins left="0.2" right="0.2" top="1" bottom="1" header="0.5" footer="0.5"/>
  <pageSetup orientation="landscape" r:id="rId1"/>
  <headerFooter alignWithMargins="0">
    <oddFooter>&amp;C&amp;"Californian FB,Italic"(Pg. &amp;P of &amp;N)</oddFooter>
  </headerFooter>
  <colBreaks count="6" manualBreakCount="6">
    <brk id="14" max="3" man="1"/>
    <brk id="23" max="3" man="1"/>
    <brk id="31" max="3" man="1"/>
    <brk id="55" max="3" man="1"/>
    <brk id="62" max="3" man="1"/>
    <brk id="69" max="3" man="1"/>
  </colBreaks>
  <ignoredErrors>
    <ignoredError sqref="C50:D51 CG68 G49:G51 AG51 O49:X50 Y49:AF51 L51:X51" formulaRange="1"/>
    <ignoredError sqref="E66:E67 E49:E56 E61:E63 E11:E12" formula="1"/>
    <ignoredError sqref="C67:D67 D52 D54:D66 C52:C66 CH68:CI68 F49:F51 BY52:CT67 BU52:BX67 BF52:BT67 AH52:BE67 H52:K67 AG52:AG67 L52:AF67 F52:F67 G52:G67" formulaRange="1" unlockedFormula="1"/>
    <ignoredError sqref="D53 CJ68 CL68 CO68" unlockedFormula="1"/>
    <ignoredError sqref="E57:E60 E64:E65" formula="1" formulaRange="1"/>
    <ignoredError sqref="W45:W46 W48 AA45 AE48 AE45 G48 G45 T48:U48 T45:U46 O45:S45 X45:Y45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446"/>
  <sheetViews>
    <sheetView zoomScaleNormal="100" workbookViewId="0">
      <pane xSplit="7140" ySplit="3140" topLeftCell="E4"/>
      <selection sqref="A1:E2"/>
      <selection pane="topRight" activeCell="P1" sqref="P1"/>
      <selection pane="bottomLeft" activeCell="D228" sqref="D228"/>
      <selection pane="bottomRight" activeCell="AE239" sqref="AE239"/>
    </sheetView>
  </sheetViews>
  <sheetFormatPr defaultColWidth="9.1796875" defaultRowHeight="12.5" x14ac:dyDescent="0.25"/>
  <cols>
    <col min="1" max="1" width="5.54296875" style="2" bestFit="1" customWidth="1"/>
    <col min="2" max="2" width="24.26953125" style="2" bestFit="1" customWidth="1"/>
    <col min="3" max="4" width="10.81640625" style="311" customWidth="1"/>
    <col min="5" max="5" width="9.81640625" style="903" bestFit="1" customWidth="1"/>
    <col min="6" max="39" width="11.54296875" style="2" customWidth="1"/>
    <col min="40" max="16384" width="9.1796875" style="2"/>
  </cols>
  <sheetData>
    <row r="1" spans="1:40" s="339" customFormat="1" ht="54" customHeight="1" thickTop="1" thickBot="1" x14ac:dyDescent="0.3">
      <c r="A1" s="852" t="s">
        <v>849</v>
      </c>
      <c r="B1" s="853"/>
      <c r="C1" s="853"/>
      <c r="D1" s="853"/>
      <c r="E1" s="853"/>
      <c r="F1" s="820" t="s">
        <v>71</v>
      </c>
      <c r="G1" s="821"/>
      <c r="H1" s="821"/>
      <c r="I1" s="854" t="s">
        <v>72</v>
      </c>
      <c r="J1" s="821"/>
      <c r="K1" s="821"/>
      <c r="L1" s="821"/>
      <c r="M1" s="834"/>
      <c r="N1" s="821" t="s">
        <v>73</v>
      </c>
      <c r="O1" s="821"/>
      <c r="P1" s="820" t="s">
        <v>74</v>
      </c>
      <c r="Q1" s="821"/>
      <c r="R1" s="854" t="s">
        <v>75</v>
      </c>
      <c r="S1" s="821"/>
      <c r="T1" s="821"/>
      <c r="U1" s="854" t="s">
        <v>76</v>
      </c>
      <c r="V1" s="821"/>
      <c r="W1" s="854" t="s">
        <v>77</v>
      </c>
      <c r="X1" s="821"/>
      <c r="Y1" s="823"/>
      <c r="Z1" s="833" t="s">
        <v>78</v>
      </c>
      <c r="AA1" s="821"/>
      <c r="AB1" s="823"/>
      <c r="AC1" s="833" t="s">
        <v>79</v>
      </c>
      <c r="AD1" s="821"/>
      <c r="AE1" s="821"/>
      <c r="AF1" s="854" t="s">
        <v>80</v>
      </c>
      <c r="AG1" s="821"/>
      <c r="AH1" s="821"/>
      <c r="AI1" s="820" t="s">
        <v>81</v>
      </c>
      <c r="AJ1" s="821"/>
      <c r="AK1" s="823"/>
      <c r="AL1" s="821" t="s">
        <v>82</v>
      </c>
      <c r="AM1" s="823"/>
      <c r="AN1" s="338"/>
    </row>
    <row r="2" spans="1:40" ht="57.75" customHeight="1" thickTop="1" thickBot="1" x14ac:dyDescent="0.3">
      <c r="A2" s="853"/>
      <c r="B2" s="853"/>
      <c r="C2" s="853"/>
      <c r="D2" s="853"/>
      <c r="E2" s="853"/>
      <c r="F2" s="724" t="s">
        <v>1024</v>
      </c>
      <c r="G2" s="851"/>
      <c r="H2" s="508" t="s">
        <v>1023</v>
      </c>
      <c r="I2" s="724" t="s">
        <v>1024</v>
      </c>
      <c r="J2" s="719"/>
      <c r="K2" s="851"/>
      <c r="L2" s="719" t="s">
        <v>1023</v>
      </c>
      <c r="M2" s="720"/>
      <c r="N2" s="506" t="s">
        <v>1024</v>
      </c>
      <c r="O2" s="580" t="s">
        <v>1023</v>
      </c>
      <c r="P2" s="594" t="s">
        <v>1024</v>
      </c>
      <c r="Q2" s="508" t="s">
        <v>1023</v>
      </c>
      <c r="R2" s="724" t="s">
        <v>1024</v>
      </c>
      <c r="S2" s="851"/>
      <c r="T2" s="508" t="s">
        <v>1023</v>
      </c>
      <c r="U2" s="506" t="s">
        <v>1024</v>
      </c>
      <c r="V2" s="580" t="s">
        <v>1023</v>
      </c>
      <c r="W2" s="724" t="s">
        <v>1024</v>
      </c>
      <c r="X2" s="851"/>
      <c r="Y2" s="507" t="s">
        <v>1023</v>
      </c>
      <c r="Z2" s="719" t="s">
        <v>1024</v>
      </c>
      <c r="AA2" s="851"/>
      <c r="AB2" s="507" t="s">
        <v>1023</v>
      </c>
      <c r="AC2" s="719" t="s">
        <v>1024</v>
      </c>
      <c r="AD2" s="851"/>
      <c r="AE2" s="508" t="s">
        <v>1023</v>
      </c>
      <c r="AF2" s="724" t="s">
        <v>1024</v>
      </c>
      <c r="AG2" s="851"/>
      <c r="AH2" s="508" t="s">
        <v>1023</v>
      </c>
      <c r="AI2" s="724" t="s">
        <v>1024</v>
      </c>
      <c r="AJ2" s="851"/>
      <c r="AK2" s="507" t="s">
        <v>1023</v>
      </c>
      <c r="AL2" s="508" t="s">
        <v>1024</v>
      </c>
      <c r="AM2" s="580" t="s">
        <v>1023</v>
      </c>
      <c r="AN2" s="24"/>
    </row>
    <row r="3" spans="1:40" s="5" customFormat="1" ht="33" customHeight="1" thickTop="1" thickBot="1" x14ac:dyDescent="0.25">
      <c r="A3" s="41" t="s">
        <v>106</v>
      </c>
      <c r="B3" s="40" t="s">
        <v>107</v>
      </c>
      <c r="C3" s="40" t="s">
        <v>108</v>
      </c>
      <c r="D3" s="40" t="s">
        <v>109</v>
      </c>
      <c r="E3" s="43" t="s">
        <v>110</v>
      </c>
      <c r="F3" s="118" t="s">
        <v>1025</v>
      </c>
      <c r="G3" s="486" t="s">
        <v>1205</v>
      </c>
      <c r="H3" s="485" t="s">
        <v>1206</v>
      </c>
      <c r="I3" s="141" t="s">
        <v>1207</v>
      </c>
      <c r="J3" s="140" t="s">
        <v>1208</v>
      </c>
      <c r="K3" s="113" t="s">
        <v>1026</v>
      </c>
      <c r="L3" s="138" t="s">
        <v>1209</v>
      </c>
      <c r="M3" s="137" t="s">
        <v>1210</v>
      </c>
      <c r="N3" s="119" t="s">
        <v>1211</v>
      </c>
      <c r="O3" s="138" t="s">
        <v>1212</v>
      </c>
      <c r="P3" s="135" t="s">
        <v>1213</v>
      </c>
      <c r="Q3" s="592" t="s">
        <v>1214</v>
      </c>
      <c r="R3" s="140" t="s">
        <v>1215</v>
      </c>
      <c r="S3" s="140" t="s">
        <v>1027</v>
      </c>
      <c r="T3" s="138" t="s">
        <v>1216</v>
      </c>
      <c r="U3" s="119" t="s">
        <v>1217</v>
      </c>
      <c r="V3" s="115" t="s">
        <v>1028</v>
      </c>
      <c r="W3" s="138" t="s">
        <v>1218</v>
      </c>
      <c r="X3" s="139" t="s">
        <v>1219</v>
      </c>
      <c r="Y3" s="137" t="s">
        <v>1220</v>
      </c>
      <c r="Z3" s="340" t="s">
        <v>1029</v>
      </c>
      <c r="AA3" s="483" t="s">
        <v>1221</v>
      </c>
      <c r="AB3" s="596" t="s">
        <v>1222</v>
      </c>
      <c r="AC3" s="136" t="s">
        <v>1223</v>
      </c>
      <c r="AD3" s="350" t="s">
        <v>1224</v>
      </c>
      <c r="AE3" s="314" t="s">
        <v>1030</v>
      </c>
      <c r="AF3" s="136" t="s">
        <v>1032</v>
      </c>
      <c r="AG3" s="350" t="s">
        <v>1033</v>
      </c>
      <c r="AH3" s="340" t="s">
        <v>1031</v>
      </c>
      <c r="AI3" s="341" t="s">
        <v>1035</v>
      </c>
      <c r="AJ3" s="340" t="s">
        <v>1225</v>
      </c>
      <c r="AK3" s="592" t="s">
        <v>1034</v>
      </c>
      <c r="AL3" s="483" t="s">
        <v>1226</v>
      </c>
      <c r="AM3" s="596" t="s">
        <v>1036</v>
      </c>
      <c r="AN3" s="25"/>
    </row>
    <row r="4" spans="1:40" s="12" customFormat="1" ht="13.5" thickTop="1" x14ac:dyDescent="0.3">
      <c r="A4" s="28">
        <v>3401</v>
      </c>
      <c r="B4" s="29" t="s">
        <v>351</v>
      </c>
      <c r="C4" s="312">
        <v>1454</v>
      </c>
      <c r="D4" s="54">
        <v>564</v>
      </c>
      <c r="E4" s="705">
        <f t="shared" ref="E4:E11" si="0">SUM(D4/C4)</f>
        <v>0.38789546079779919</v>
      </c>
      <c r="F4" s="267"/>
      <c r="G4" s="487"/>
      <c r="H4" s="571"/>
      <c r="I4" s="270"/>
      <c r="J4" s="577"/>
      <c r="K4" s="268"/>
      <c r="L4" s="349"/>
      <c r="M4" s="269"/>
      <c r="N4" s="581"/>
      <c r="O4" s="587"/>
      <c r="P4" s="581"/>
      <c r="Q4" s="593"/>
      <c r="R4" s="270"/>
      <c r="S4" s="268"/>
      <c r="T4" s="587"/>
      <c r="U4" s="270"/>
      <c r="V4" s="587"/>
      <c r="W4" s="271">
        <v>318</v>
      </c>
      <c r="X4" s="272">
        <v>132</v>
      </c>
      <c r="Y4" s="595">
        <v>361</v>
      </c>
      <c r="Z4" s="270"/>
      <c r="AA4" s="268"/>
      <c r="AB4" s="587"/>
      <c r="AC4" s="270"/>
      <c r="AD4" s="268"/>
      <c r="AE4" s="587"/>
      <c r="AF4" s="270"/>
      <c r="AG4" s="268"/>
      <c r="AH4" s="587"/>
      <c r="AI4" s="270"/>
      <c r="AJ4" s="484"/>
      <c r="AK4" s="593"/>
      <c r="AL4" s="270"/>
      <c r="AM4" s="587"/>
      <c r="AN4" s="19"/>
    </row>
    <row r="5" spans="1:40" s="12" customFormat="1" ht="13" x14ac:dyDescent="0.3">
      <c r="A5" s="10">
        <v>3402</v>
      </c>
      <c r="B5" s="11" t="s">
        <v>352</v>
      </c>
      <c r="C5" s="282">
        <v>1466</v>
      </c>
      <c r="D5" s="54">
        <v>530</v>
      </c>
      <c r="E5" s="706">
        <f t="shared" si="0"/>
        <v>0.36152796725784447</v>
      </c>
      <c r="F5" s="273"/>
      <c r="G5" s="488"/>
      <c r="H5" s="572"/>
      <c r="I5" s="70"/>
      <c r="J5" s="236"/>
      <c r="K5" s="274"/>
      <c r="L5" s="70"/>
      <c r="M5" s="87"/>
      <c r="N5" s="582"/>
      <c r="O5" s="588"/>
      <c r="P5" s="582"/>
      <c r="Q5" s="87"/>
      <c r="R5" s="70"/>
      <c r="S5" s="274"/>
      <c r="T5" s="588"/>
      <c r="U5" s="70"/>
      <c r="V5" s="588"/>
      <c r="W5" s="276">
        <v>277</v>
      </c>
      <c r="X5" s="277">
        <v>129</v>
      </c>
      <c r="Y5" s="590">
        <v>357</v>
      </c>
      <c r="Z5" s="70"/>
      <c r="AA5" s="274"/>
      <c r="AB5" s="588"/>
      <c r="AC5" s="70"/>
      <c r="AD5" s="274"/>
      <c r="AE5" s="588"/>
      <c r="AF5" s="70"/>
      <c r="AG5" s="274"/>
      <c r="AH5" s="588"/>
      <c r="AI5" s="70"/>
      <c r="AJ5" s="237"/>
      <c r="AK5" s="87"/>
      <c r="AL5" s="70"/>
      <c r="AM5" s="588"/>
      <c r="AN5" s="19"/>
    </row>
    <row r="6" spans="1:40" s="12" customFormat="1" ht="13" x14ac:dyDescent="0.3">
      <c r="A6" s="10">
        <v>3403</v>
      </c>
      <c r="B6" s="11" t="s">
        <v>353</v>
      </c>
      <c r="C6" s="282">
        <v>1661</v>
      </c>
      <c r="D6" s="54">
        <v>712</v>
      </c>
      <c r="E6" s="706">
        <f t="shared" si="0"/>
        <v>0.42865743527995182</v>
      </c>
      <c r="F6" s="273"/>
      <c r="G6" s="488"/>
      <c r="H6" s="572"/>
      <c r="I6" s="70"/>
      <c r="J6" s="236"/>
      <c r="K6" s="274"/>
      <c r="L6" s="70"/>
      <c r="M6" s="87"/>
      <c r="N6" s="582"/>
      <c r="O6" s="588"/>
      <c r="P6" s="582"/>
      <c r="Q6" s="87"/>
      <c r="R6" s="70"/>
      <c r="S6" s="274"/>
      <c r="T6" s="588"/>
      <c r="U6" s="70"/>
      <c r="V6" s="588"/>
      <c r="W6" s="276">
        <v>314</v>
      </c>
      <c r="X6" s="277">
        <v>211</v>
      </c>
      <c r="Y6" s="590">
        <v>466</v>
      </c>
      <c r="Z6" s="70"/>
      <c r="AA6" s="274"/>
      <c r="AB6" s="588"/>
      <c r="AC6" s="70"/>
      <c r="AD6" s="274"/>
      <c r="AE6" s="588"/>
      <c r="AF6" s="70"/>
      <c r="AG6" s="274"/>
      <c r="AH6" s="588"/>
      <c r="AI6" s="70"/>
      <c r="AJ6" s="237"/>
      <c r="AK6" s="87"/>
      <c r="AL6" s="70"/>
      <c r="AM6" s="588"/>
      <c r="AN6" s="19"/>
    </row>
    <row r="7" spans="1:40" s="12" customFormat="1" ht="13" x14ac:dyDescent="0.3">
      <c r="A7" s="10">
        <v>3404</v>
      </c>
      <c r="B7" s="11" t="s">
        <v>354</v>
      </c>
      <c r="C7" s="282">
        <v>1359</v>
      </c>
      <c r="D7" s="54">
        <v>721</v>
      </c>
      <c r="E7" s="706">
        <f t="shared" si="0"/>
        <v>0.53053715967623249</v>
      </c>
      <c r="F7" s="273"/>
      <c r="G7" s="488"/>
      <c r="H7" s="572"/>
      <c r="I7" s="70"/>
      <c r="J7" s="236"/>
      <c r="K7" s="274"/>
      <c r="L7" s="70"/>
      <c r="M7" s="87"/>
      <c r="N7" s="582"/>
      <c r="O7" s="588"/>
      <c r="P7" s="582"/>
      <c r="Q7" s="87"/>
      <c r="R7" s="70"/>
      <c r="S7" s="274"/>
      <c r="T7" s="588"/>
      <c r="U7" s="70"/>
      <c r="V7" s="588"/>
      <c r="W7" s="276">
        <v>318</v>
      </c>
      <c r="X7" s="277">
        <v>205</v>
      </c>
      <c r="Y7" s="590">
        <v>459</v>
      </c>
      <c r="Z7" s="70"/>
      <c r="AA7" s="274"/>
      <c r="AB7" s="588"/>
      <c r="AC7" s="70"/>
      <c r="AD7" s="274"/>
      <c r="AE7" s="588"/>
      <c r="AF7" s="70"/>
      <c r="AG7" s="274"/>
      <c r="AH7" s="588"/>
      <c r="AI7" s="70"/>
      <c r="AJ7" s="237"/>
      <c r="AK7" s="87"/>
      <c r="AL7" s="70"/>
      <c r="AM7" s="588"/>
      <c r="AN7" s="19"/>
    </row>
    <row r="8" spans="1:40" s="12" customFormat="1" ht="13" x14ac:dyDescent="0.3">
      <c r="A8" s="10">
        <v>3405</v>
      </c>
      <c r="B8" s="11" t="s">
        <v>355</v>
      </c>
      <c r="C8" s="282">
        <v>1441</v>
      </c>
      <c r="D8" s="54">
        <v>740</v>
      </c>
      <c r="E8" s="706">
        <f t="shared" si="0"/>
        <v>0.51353226925746009</v>
      </c>
      <c r="F8" s="273"/>
      <c r="G8" s="488"/>
      <c r="H8" s="572"/>
      <c r="I8" s="70"/>
      <c r="J8" s="236"/>
      <c r="K8" s="274"/>
      <c r="L8" s="70"/>
      <c r="M8" s="87"/>
      <c r="N8" s="582"/>
      <c r="O8" s="588"/>
      <c r="P8" s="583"/>
      <c r="Q8" s="281"/>
      <c r="R8" s="70"/>
      <c r="S8" s="274"/>
      <c r="T8" s="588"/>
      <c r="U8" s="70"/>
      <c r="V8" s="588"/>
      <c r="W8" s="276">
        <v>305</v>
      </c>
      <c r="X8" s="277">
        <v>221</v>
      </c>
      <c r="Y8" s="590">
        <v>475</v>
      </c>
      <c r="Z8" s="70"/>
      <c r="AA8" s="274"/>
      <c r="AB8" s="588"/>
      <c r="AC8" s="70"/>
      <c r="AD8" s="274"/>
      <c r="AE8" s="588"/>
      <c r="AF8" s="70"/>
      <c r="AG8" s="274"/>
      <c r="AH8" s="588"/>
      <c r="AI8" s="70"/>
      <c r="AJ8" s="237"/>
      <c r="AK8" s="87"/>
      <c r="AL8" s="70"/>
      <c r="AM8" s="588"/>
      <c r="AN8" s="19"/>
    </row>
    <row r="9" spans="1:40" s="12" customFormat="1" ht="13" x14ac:dyDescent="0.3">
      <c r="A9" s="10">
        <v>3406</v>
      </c>
      <c r="B9" s="11" t="s">
        <v>752</v>
      </c>
      <c r="C9" s="282">
        <v>1455</v>
      </c>
      <c r="D9" s="54">
        <v>806</v>
      </c>
      <c r="E9" s="706">
        <f t="shared" si="0"/>
        <v>0.55395189003436429</v>
      </c>
      <c r="F9" s="273"/>
      <c r="G9" s="488"/>
      <c r="H9" s="572"/>
      <c r="I9" s="70"/>
      <c r="J9" s="236"/>
      <c r="K9" s="274"/>
      <c r="L9" s="70"/>
      <c r="M9" s="87"/>
      <c r="N9" s="582"/>
      <c r="O9" s="588"/>
      <c r="P9" s="584">
        <v>539</v>
      </c>
      <c r="Q9" s="278">
        <v>516</v>
      </c>
      <c r="R9" s="70"/>
      <c r="S9" s="274"/>
      <c r="T9" s="588"/>
      <c r="U9" s="70"/>
      <c r="V9" s="588"/>
      <c r="W9" s="70"/>
      <c r="X9" s="237"/>
      <c r="Y9" s="588"/>
      <c r="Z9" s="70"/>
      <c r="AA9" s="274"/>
      <c r="AB9" s="588"/>
      <c r="AC9" s="70"/>
      <c r="AD9" s="274"/>
      <c r="AE9" s="588"/>
      <c r="AF9" s="70"/>
      <c r="AG9" s="274"/>
      <c r="AH9" s="588"/>
      <c r="AI9" s="70"/>
      <c r="AJ9" s="237"/>
      <c r="AK9" s="87"/>
      <c r="AL9" s="70"/>
      <c r="AM9" s="588"/>
      <c r="AN9" s="19"/>
    </row>
    <row r="10" spans="1:40" s="12" customFormat="1" ht="13" x14ac:dyDescent="0.3">
      <c r="A10" s="10">
        <v>3407</v>
      </c>
      <c r="B10" s="11" t="s">
        <v>803</v>
      </c>
      <c r="C10" s="282">
        <v>591</v>
      </c>
      <c r="D10" s="54">
        <v>307</v>
      </c>
      <c r="E10" s="706">
        <f>SUM(D10/C10)</f>
        <v>0.51945854483925546</v>
      </c>
      <c r="F10" s="273"/>
      <c r="G10" s="488"/>
      <c r="H10" s="572"/>
      <c r="I10" s="70"/>
      <c r="J10" s="236"/>
      <c r="K10" s="274"/>
      <c r="L10" s="70"/>
      <c r="M10" s="87"/>
      <c r="N10" s="582"/>
      <c r="O10" s="588"/>
      <c r="P10" s="584">
        <v>208</v>
      </c>
      <c r="Q10" s="278">
        <v>206</v>
      </c>
      <c r="R10" s="70"/>
      <c r="S10" s="274"/>
      <c r="T10" s="588"/>
      <c r="U10" s="70"/>
      <c r="V10" s="588"/>
      <c r="W10" s="70"/>
      <c r="X10" s="237"/>
      <c r="Y10" s="588"/>
      <c r="Z10" s="70"/>
      <c r="AA10" s="274"/>
      <c r="AB10" s="588"/>
      <c r="AC10" s="70"/>
      <c r="AD10" s="274"/>
      <c r="AE10" s="588"/>
      <c r="AF10" s="70"/>
      <c r="AG10" s="274"/>
      <c r="AH10" s="588"/>
      <c r="AI10" s="70"/>
      <c r="AJ10" s="237"/>
      <c r="AK10" s="87"/>
      <c r="AL10" s="70"/>
      <c r="AM10" s="588"/>
      <c r="AN10" s="19"/>
    </row>
    <row r="11" spans="1:40" s="12" customFormat="1" ht="13" x14ac:dyDescent="0.3">
      <c r="A11" s="10">
        <v>5301</v>
      </c>
      <c r="B11" s="11" t="s">
        <v>431</v>
      </c>
      <c r="C11" s="282">
        <v>1</v>
      </c>
      <c r="D11" s="54">
        <v>1</v>
      </c>
      <c r="E11" s="706">
        <f t="shared" si="0"/>
        <v>1</v>
      </c>
      <c r="F11" s="273"/>
      <c r="G11" s="488"/>
      <c r="H11" s="572"/>
      <c r="I11" s="70"/>
      <c r="J11" s="236"/>
      <c r="K11" s="274"/>
      <c r="L11" s="70"/>
      <c r="M11" s="87"/>
      <c r="N11" s="582"/>
      <c r="O11" s="588"/>
      <c r="P11" s="584"/>
      <c r="Q11" s="278"/>
      <c r="R11" s="70"/>
      <c r="S11" s="274"/>
      <c r="T11" s="588"/>
      <c r="U11" s="70"/>
      <c r="V11" s="588"/>
      <c r="W11" s="70"/>
      <c r="X11" s="237"/>
      <c r="Y11" s="588"/>
      <c r="Z11" s="70"/>
      <c r="AA11" s="274"/>
      <c r="AB11" s="588"/>
      <c r="AC11" s="70">
        <v>0</v>
      </c>
      <c r="AD11" s="274">
        <v>1</v>
      </c>
      <c r="AE11" s="588">
        <v>1</v>
      </c>
      <c r="AF11" s="70"/>
      <c r="AG11" s="274"/>
      <c r="AH11" s="588"/>
      <c r="AI11" s="70"/>
      <c r="AJ11" s="237"/>
      <c r="AK11" s="87"/>
      <c r="AL11" s="70"/>
      <c r="AM11" s="588"/>
      <c r="AN11" s="19"/>
    </row>
    <row r="12" spans="1:40" s="12" customFormat="1" ht="13" x14ac:dyDescent="0.3">
      <c r="A12" s="10">
        <v>5601</v>
      </c>
      <c r="B12" s="11" t="s">
        <v>442</v>
      </c>
      <c r="C12" s="282">
        <v>1053</v>
      </c>
      <c r="D12" s="54">
        <v>655</v>
      </c>
      <c r="E12" s="706">
        <f t="shared" ref="E12:E75" si="1">SUM(D12/C12)</f>
        <v>0.62203228869895533</v>
      </c>
      <c r="F12" s="287">
        <v>322</v>
      </c>
      <c r="G12" s="489">
        <v>247</v>
      </c>
      <c r="H12" s="573">
        <v>448</v>
      </c>
      <c r="I12" s="70"/>
      <c r="J12" s="236"/>
      <c r="K12" s="274"/>
      <c r="L12" s="70"/>
      <c r="M12" s="87"/>
      <c r="N12" s="582"/>
      <c r="O12" s="588"/>
      <c r="P12" s="582"/>
      <c r="Q12" s="87"/>
      <c r="R12" s="70"/>
      <c r="S12" s="274"/>
      <c r="T12" s="588"/>
      <c r="U12" s="70"/>
      <c r="V12" s="588"/>
      <c r="W12" s="70"/>
      <c r="X12" s="237"/>
      <c r="Y12" s="588"/>
      <c r="Z12" s="70"/>
      <c r="AA12" s="274"/>
      <c r="AB12" s="588"/>
      <c r="AC12" s="70"/>
      <c r="AD12" s="274"/>
      <c r="AE12" s="588"/>
      <c r="AF12" s="70"/>
      <c r="AG12" s="274"/>
      <c r="AH12" s="588"/>
      <c r="AI12" s="70"/>
      <c r="AJ12" s="237"/>
      <c r="AK12" s="87"/>
      <c r="AL12" s="70"/>
      <c r="AM12" s="588"/>
      <c r="AN12" s="19"/>
    </row>
    <row r="13" spans="1:40" s="12" customFormat="1" ht="13" x14ac:dyDescent="0.3">
      <c r="A13" s="10">
        <v>5602</v>
      </c>
      <c r="B13" s="11" t="s">
        <v>443</v>
      </c>
      <c r="C13" s="282">
        <v>1009</v>
      </c>
      <c r="D13" s="54">
        <v>600</v>
      </c>
      <c r="E13" s="706">
        <f t="shared" si="1"/>
        <v>0.59464816650148666</v>
      </c>
      <c r="F13" s="287">
        <v>302</v>
      </c>
      <c r="G13" s="489">
        <v>223</v>
      </c>
      <c r="H13" s="573">
        <v>404</v>
      </c>
      <c r="I13" s="70"/>
      <c r="J13" s="236"/>
      <c r="K13" s="274"/>
      <c r="L13" s="70"/>
      <c r="M13" s="87"/>
      <c r="N13" s="582"/>
      <c r="O13" s="588"/>
      <c r="P13" s="582"/>
      <c r="Q13" s="87"/>
      <c r="R13" s="70"/>
      <c r="S13" s="274"/>
      <c r="T13" s="588"/>
      <c r="U13" s="70"/>
      <c r="V13" s="588"/>
      <c r="W13" s="70"/>
      <c r="X13" s="237"/>
      <c r="Y13" s="588"/>
      <c r="Z13" s="70"/>
      <c r="AA13" s="274"/>
      <c r="AB13" s="588"/>
      <c r="AC13" s="70"/>
      <c r="AD13" s="274"/>
      <c r="AE13" s="588"/>
      <c r="AF13" s="70"/>
      <c r="AG13" s="274"/>
      <c r="AH13" s="588"/>
      <c r="AI13" s="70"/>
      <c r="AJ13" s="237"/>
      <c r="AK13" s="87"/>
      <c r="AL13" s="70"/>
      <c r="AM13" s="588"/>
      <c r="AN13" s="19"/>
    </row>
    <row r="14" spans="1:40" s="12" customFormat="1" ht="13" x14ac:dyDescent="0.3">
      <c r="A14" s="10">
        <v>5603</v>
      </c>
      <c r="B14" s="11" t="s">
        <v>444</v>
      </c>
      <c r="C14" s="282">
        <v>1381</v>
      </c>
      <c r="D14" s="54">
        <v>921</v>
      </c>
      <c r="E14" s="706">
        <f t="shared" si="1"/>
        <v>0.66690803765387396</v>
      </c>
      <c r="F14" s="287">
        <v>531</v>
      </c>
      <c r="G14" s="489">
        <v>288</v>
      </c>
      <c r="H14" s="573">
        <v>583</v>
      </c>
      <c r="I14" s="70"/>
      <c r="J14" s="236"/>
      <c r="K14" s="274"/>
      <c r="L14" s="70"/>
      <c r="M14" s="87"/>
      <c r="N14" s="582"/>
      <c r="O14" s="588"/>
      <c r="P14" s="582"/>
      <c r="Q14" s="87"/>
      <c r="R14" s="70"/>
      <c r="S14" s="274"/>
      <c r="T14" s="588"/>
      <c r="U14" s="70"/>
      <c r="V14" s="588"/>
      <c r="W14" s="70"/>
      <c r="X14" s="237"/>
      <c r="Y14" s="588"/>
      <c r="Z14" s="70"/>
      <c r="AA14" s="274"/>
      <c r="AB14" s="588"/>
      <c r="AC14" s="70"/>
      <c r="AD14" s="274"/>
      <c r="AE14" s="588"/>
      <c r="AF14" s="70"/>
      <c r="AG14" s="274"/>
      <c r="AH14" s="588"/>
      <c r="AI14" s="70"/>
      <c r="AJ14" s="237"/>
      <c r="AK14" s="87"/>
      <c r="AL14" s="70"/>
      <c r="AM14" s="588"/>
      <c r="AN14" s="19"/>
    </row>
    <row r="15" spans="1:40" s="12" customFormat="1" ht="13" x14ac:dyDescent="0.3">
      <c r="A15" s="10">
        <v>5604</v>
      </c>
      <c r="B15" s="11" t="s">
        <v>445</v>
      </c>
      <c r="C15" s="282">
        <v>1357</v>
      </c>
      <c r="D15" s="54">
        <v>884</v>
      </c>
      <c r="E15" s="706">
        <f t="shared" si="1"/>
        <v>0.65143699336772287</v>
      </c>
      <c r="F15" s="287">
        <v>437</v>
      </c>
      <c r="G15" s="489">
        <v>341</v>
      </c>
      <c r="H15" s="573">
        <v>561</v>
      </c>
      <c r="I15" s="70"/>
      <c r="J15" s="236"/>
      <c r="K15" s="274"/>
      <c r="L15" s="70"/>
      <c r="M15" s="87"/>
      <c r="N15" s="582"/>
      <c r="O15" s="588"/>
      <c r="P15" s="582"/>
      <c r="Q15" s="87"/>
      <c r="R15" s="70"/>
      <c r="S15" s="274"/>
      <c r="T15" s="588"/>
      <c r="U15" s="70"/>
      <c r="V15" s="588"/>
      <c r="W15" s="70"/>
      <c r="X15" s="237"/>
      <c r="Y15" s="588"/>
      <c r="Z15" s="70"/>
      <c r="AA15" s="274"/>
      <c r="AB15" s="588"/>
      <c r="AC15" s="70"/>
      <c r="AD15" s="274"/>
      <c r="AE15" s="588"/>
      <c r="AF15" s="70"/>
      <c r="AG15" s="274"/>
      <c r="AH15" s="588"/>
      <c r="AI15" s="70"/>
      <c r="AJ15" s="237"/>
      <c r="AK15" s="87"/>
      <c r="AL15" s="70"/>
      <c r="AM15" s="588"/>
      <c r="AN15" s="19"/>
    </row>
    <row r="16" spans="1:40" s="12" customFormat="1" ht="13" x14ac:dyDescent="0.3">
      <c r="A16" s="10">
        <v>5605</v>
      </c>
      <c r="B16" s="11" t="s">
        <v>446</v>
      </c>
      <c r="C16" s="282">
        <v>1257</v>
      </c>
      <c r="D16" s="54">
        <v>768</v>
      </c>
      <c r="E16" s="706">
        <f t="shared" si="1"/>
        <v>0.61097852028639621</v>
      </c>
      <c r="F16" s="287">
        <v>370</v>
      </c>
      <c r="G16" s="489">
        <v>284</v>
      </c>
      <c r="H16" s="573">
        <v>469</v>
      </c>
      <c r="I16" s="70"/>
      <c r="J16" s="236"/>
      <c r="K16" s="274"/>
      <c r="L16" s="70"/>
      <c r="M16" s="87"/>
      <c r="N16" s="582"/>
      <c r="O16" s="588"/>
      <c r="P16" s="582"/>
      <c r="Q16" s="87"/>
      <c r="R16" s="70"/>
      <c r="S16" s="274"/>
      <c r="T16" s="588"/>
      <c r="U16" s="70"/>
      <c r="V16" s="588"/>
      <c r="W16" s="70"/>
      <c r="X16" s="237"/>
      <c r="Y16" s="588"/>
      <c r="Z16" s="70"/>
      <c r="AA16" s="274"/>
      <c r="AB16" s="588"/>
      <c r="AC16" s="70"/>
      <c r="AD16" s="274"/>
      <c r="AE16" s="588"/>
      <c r="AF16" s="70"/>
      <c r="AG16" s="274"/>
      <c r="AH16" s="588"/>
      <c r="AI16" s="70"/>
      <c r="AJ16" s="237"/>
      <c r="AK16" s="87"/>
      <c r="AL16" s="70"/>
      <c r="AM16" s="588"/>
      <c r="AN16" s="19"/>
    </row>
    <row r="17" spans="1:40" s="12" customFormat="1" ht="13" x14ac:dyDescent="0.3">
      <c r="A17" s="10">
        <v>5606</v>
      </c>
      <c r="B17" s="11" t="s">
        <v>447</v>
      </c>
      <c r="C17" s="282">
        <v>1238</v>
      </c>
      <c r="D17" s="54">
        <v>863</v>
      </c>
      <c r="E17" s="706">
        <f t="shared" si="1"/>
        <v>0.69709208400646205</v>
      </c>
      <c r="F17" s="287">
        <v>428</v>
      </c>
      <c r="G17" s="489">
        <v>311</v>
      </c>
      <c r="H17" s="573">
        <v>555</v>
      </c>
      <c r="I17" s="70"/>
      <c r="J17" s="236"/>
      <c r="K17" s="274"/>
      <c r="L17" s="70"/>
      <c r="M17" s="87"/>
      <c r="N17" s="582"/>
      <c r="O17" s="588"/>
      <c r="P17" s="582"/>
      <c r="Q17" s="87"/>
      <c r="R17" s="70"/>
      <c r="S17" s="274"/>
      <c r="T17" s="588"/>
      <c r="U17" s="70"/>
      <c r="V17" s="588"/>
      <c r="W17" s="70"/>
      <c r="X17" s="237"/>
      <c r="Y17" s="588"/>
      <c r="Z17" s="70"/>
      <c r="AA17" s="274"/>
      <c r="AB17" s="588"/>
      <c r="AC17" s="70"/>
      <c r="AD17" s="274"/>
      <c r="AE17" s="588"/>
      <c r="AF17" s="70"/>
      <c r="AG17" s="274"/>
      <c r="AH17" s="588"/>
      <c r="AI17" s="70"/>
      <c r="AJ17" s="237"/>
      <c r="AK17" s="87"/>
      <c r="AL17" s="70"/>
      <c r="AM17" s="588"/>
      <c r="AN17" s="19"/>
    </row>
    <row r="18" spans="1:40" s="12" customFormat="1" ht="13" x14ac:dyDescent="0.3">
      <c r="A18" s="10">
        <v>5607</v>
      </c>
      <c r="B18" s="11" t="s">
        <v>448</v>
      </c>
      <c r="C18" s="282">
        <v>1389</v>
      </c>
      <c r="D18" s="54">
        <v>842</v>
      </c>
      <c r="E18" s="706">
        <f t="shared" si="1"/>
        <v>0.60619150467962568</v>
      </c>
      <c r="F18" s="287">
        <v>423</v>
      </c>
      <c r="G18" s="489">
        <v>315</v>
      </c>
      <c r="H18" s="573">
        <v>557</v>
      </c>
      <c r="I18" s="70"/>
      <c r="J18" s="236"/>
      <c r="K18" s="274"/>
      <c r="L18" s="70"/>
      <c r="M18" s="87"/>
      <c r="N18" s="582"/>
      <c r="O18" s="588"/>
      <c r="P18" s="582"/>
      <c r="Q18" s="87"/>
      <c r="R18" s="70"/>
      <c r="S18" s="274"/>
      <c r="T18" s="588"/>
      <c r="U18" s="70"/>
      <c r="V18" s="588"/>
      <c r="W18" s="70"/>
      <c r="X18" s="237"/>
      <c r="Y18" s="588"/>
      <c r="Z18" s="70"/>
      <c r="AA18" s="274"/>
      <c r="AB18" s="588"/>
      <c r="AC18" s="70"/>
      <c r="AD18" s="274"/>
      <c r="AE18" s="588"/>
      <c r="AF18" s="70"/>
      <c r="AG18" s="274"/>
      <c r="AH18" s="588"/>
      <c r="AI18" s="70"/>
      <c r="AJ18" s="237"/>
      <c r="AK18" s="87"/>
      <c r="AL18" s="70"/>
      <c r="AM18" s="588"/>
      <c r="AN18" s="19"/>
    </row>
    <row r="19" spans="1:40" s="12" customFormat="1" ht="13" x14ac:dyDescent="0.3">
      <c r="A19" s="10">
        <v>5608</v>
      </c>
      <c r="B19" s="11" t="s">
        <v>449</v>
      </c>
      <c r="C19" s="282">
        <v>1260</v>
      </c>
      <c r="D19" s="54">
        <v>825</v>
      </c>
      <c r="E19" s="706">
        <f t="shared" si="1"/>
        <v>0.65476190476190477</v>
      </c>
      <c r="F19" s="287">
        <v>438</v>
      </c>
      <c r="G19" s="489">
        <v>279</v>
      </c>
      <c r="H19" s="573">
        <v>508</v>
      </c>
      <c r="I19" s="70"/>
      <c r="J19" s="236"/>
      <c r="K19" s="274"/>
      <c r="L19" s="70"/>
      <c r="M19" s="87"/>
      <c r="N19" s="582"/>
      <c r="O19" s="588"/>
      <c r="P19" s="582"/>
      <c r="Q19" s="87"/>
      <c r="R19" s="70"/>
      <c r="S19" s="274"/>
      <c r="T19" s="588"/>
      <c r="U19" s="70"/>
      <c r="V19" s="588"/>
      <c r="W19" s="70"/>
      <c r="X19" s="237"/>
      <c r="Y19" s="588"/>
      <c r="Z19" s="70"/>
      <c r="AA19" s="274"/>
      <c r="AB19" s="588"/>
      <c r="AC19" s="70"/>
      <c r="AD19" s="274"/>
      <c r="AE19" s="588"/>
      <c r="AF19" s="70"/>
      <c r="AG19" s="274"/>
      <c r="AH19" s="588"/>
      <c r="AI19" s="70"/>
      <c r="AJ19" s="237"/>
      <c r="AK19" s="87"/>
      <c r="AL19" s="70"/>
      <c r="AM19" s="588"/>
      <c r="AN19" s="19"/>
    </row>
    <row r="20" spans="1:40" s="12" customFormat="1" ht="13" x14ac:dyDescent="0.3">
      <c r="A20" s="10">
        <v>5609</v>
      </c>
      <c r="B20" s="11" t="s">
        <v>450</v>
      </c>
      <c r="C20" s="282">
        <v>1354</v>
      </c>
      <c r="D20" s="54">
        <v>949</v>
      </c>
      <c r="E20" s="706">
        <f t="shared" si="1"/>
        <v>0.7008862629246676</v>
      </c>
      <c r="F20" s="287">
        <v>539</v>
      </c>
      <c r="G20" s="489">
        <v>293</v>
      </c>
      <c r="H20" s="573">
        <v>600</v>
      </c>
      <c r="I20" s="70"/>
      <c r="J20" s="236"/>
      <c r="K20" s="274"/>
      <c r="L20" s="70"/>
      <c r="M20" s="87"/>
      <c r="N20" s="582"/>
      <c r="O20" s="588"/>
      <c r="P20" s="582"/>
      <c r="Q20" s="87"/>
      <c r="R20" s="70"/>
      <c r="S20" s="274"/>
      <c r="T20" s="588"/>
      <c r="U20" s="70"/>
      <c r="V20" s="588"/>
      <c r="W20" s="70"/>
      <c r="X20" s="237"/>
      <c r="Y20" s="588"/>
      <c r="Z20" s="70"/>
      <c r="AA20" s="274"/>
      <c r="AB20" s="588"/>
      <c r="AC20" s="70"/>
      <c r="AD20" s="274"/>
      <c r="AE20" s="588"/>
      <c r="AF20" s="70"/>
      <c r="AG20" s="274"/>
      <c r="AH20" s="588"/>
      <c r="AI20" s="70"/>
      <c r="AJ20" s="237"/>
      <c r="AK20" s="87"/>
      <c r="AL20" s="70"/>
      <c r="AM20" s="588"/>
      <c r="AN20" s="19"/>
    </row>
    <row r="21" spans="1:40" s="12" customFormat="1" ht="13" x14ac:dyDescent="0.3">
      <c r="A21" s="10">
        <v>5610</v>
      </c>
      <c r="B21" s="11" t="s">
        <v>451</v>
      </c>
      <c r="C21" s="282">
        <v>974</v>
      </c>
      <c r="D21" s="54">
        <v>650</v>
      </c>
      <c r="E21" s="706">
        <f t="shared" si="1"/>
        <v>0.66735112936344965</v>
      </c>
      <c r="F21" s="287">
        <v>330</v>
      </c>
      <c r="G21" s="489">
        <v>257</v>
      </c>
      <c r="H21" s="573">
        <v>406</v>
      </c>
      <c r="I21" s="70"/>
      <c r="J21" s="236"/>
      <c r="K21" s="274"/>
      <c r="L21" s="70"/>
      <c r="M21" s="87"/>
      <c r="N21" s="582"/>
      <c r="O21" s="588"/>
      <c r="P21" s="582"/>
      <c r="Q21" s="87"/>
      <c r="R21" s="70"/>
      <c r="S21" s="274"/>
      <c r="T21" s="588"/>
      <c r="U21" s="70"/>
      <c r="V21" s="588"/>
      <c r="W21" s="70"/>
      <c r="X21" s="237"/>
      <c r="Y21" s="588"/>
      <c r="Z21" s="70"/>
      <c r="AA21" s="274"/>
      <c r="AB21" s="588"/>
      <c r="AC21" s="70"/>
      <c r="AD21" s="274"/>
      <c r="AE21" s="588"/>
      <c r="AF21" s="70"/>
      <c r="AG21" s="274"/>
      <c r="AH21" s="588"/>
      <c r="AI21" s="70"/>
      <c r="AJ21" s="237"/>
      <c r="AK21" s="87"/>
      <c r="AL21" s="70"/>
      <c r="AM21" s="588"/>
      <c r="AN21" s="19"/>
    </row>
    <row r="22" spans="1:40" s="12" customFormat="1" ht="13" x14ac:dyDescent="0.3">
      <c r="A22" s="10">
        <v>5611</v>
      </c>
      <c r="B22" s="11" t="s">
        <v>452</v>
      </c>
      <c r="C22" s="282">
        <v>1499</v>
      </c>
      <c r="D22" s="54">
        <v>830</v>
      </c>
      <c r="E22" s="706">
        <f t="shared" si="1"/>
        <v>0.55370246831220815</v>
      </c>
      <c r="F22" s="287">
        <v>467</v>
      </c>
      <c r="G22" s="489">
        <v>243</v>
      </c>
      <c r="H22" s="573">
        <v>537</v>
      </c>
      <c r="I22" s="70"/>
      <c r="J22" s="236"/>
      <c r="K22" s="274"/>
      <c r="L22" s="70"/>
      <c r="M22" s="87"/>
      <c r="N22" s="582"/>
      <c r="O22" s="588"/>
      <c r="P22" s="582"/>
      <c r="Q22" s="87"/>
      <c r="R22" s="70"/>
      <c r="S22" s="274"/>
      <c r="T22" s="588"/>
      <c r="U22" s="70"/>
      <c r="V22" s="588"/>
      <c r="W22" s="70"/>
      <c r="X22" s="237"/>
      <c r="Y22" s="588"/>
      <c r="Z22" s="70"/>
      <c r="AA22" s="274"/>
      <c r="AB22" s="588"/>
      <c r="AC22" s="70"/>
      <c r="AD22" s="274"/>
      <c r="AE22" s="588"/>
      <c r="AF22" s="70"/>
      <c r="AG22" s="274"/>
      <c r="AH22" s="588"/>
      <c r="AI22" s="70"/>
      <c r="AJ22" s="237"/>
      <c r="AK22" s="87"/>
      <c r="AL22" s="70"/>
      <c r="AM22" s="588"/>
      <c r="AN22" s="19"/>
    </row>
    <row r="23" spans="1:40" s="12" customFormat="1" ht="13" x14ac:dyDescent="0.3">
      <c r="A23" s="10">
        <v>5612</v>
      </c>
      <c r="B23" s="11" t="s">
        <v>453</v>
      </c>
      <c r="C23" s="282">
        <v>1467</v>
      </c>
      <c r="D23" s="54">
        <v>891</v>
      </c>
      <c r="E23" s="706">
        <f t="shared" si="1"/>
        <v>0.6073619631901841</v>
      </c>
      <c r="F23" s="287">
        <v>471</v>
      </c>
      <c r="G23" s="489">
        <v>276</v>
      </c>
      <c r="H23" s="573">
        <v>553</v>
      </c>
      <c r="I23" s="70"/>
      <c r="J23" s="236"/>
      <c r="K23" s="274"/>
      <c r="L23" s="70"/>
      <c r="M23" s="87"/>
      <c r="N23" s="582"/>
      <c r="O23" s="588"/>
      <c r="P23" s="582"/>
      <c r="Q23" s="87"/>
      <c r="R23" s="70"/>
      <c r="S23" s="274"/>
      <c r="T23" s="588"/>
      <c r="U23" s="70"/>
      <c r="V23" s="588"/>
      <c r="W23" s="70"/>
      <c r="X23" s="237"/>
      <c r="Y23" s="588"/>
      <c r="Z23" s="70"/>
      <c r="AA23" s="274"/>
      <c r="AB23" s="588"/>
      <c r="AC23" s="70"/>
      <c r="AD23" s="274"/>
      <c r="AE23" s="588"/>
      <c r="AF23" s="70"/>
      <c r="AG23" s="274"/>
      <c r="AH23" s="588"/>
      <c r="AI23" s="70"/>
      <c r="AJ23" s="237"/>
      <c r="AK23" s="87"/>
      <c r="AL23" s="70"/>
      <c r="AM23" s="588"/>
      <c r="AN23" s="19"/>
    </row>
    <row r="24" spans="1:40" s="12" customFormat="1" ht="13" x14ac:dyDescent="0.3">
      <c r="A24" s="10">
        <v>5613</v>
      </c>
      <c r="B24" s="11" t="s">
        <v>454</v>
      </c>
      <c r="C24" s="282">
        <v>777</v>
      </c>
      <c r="D24" s="54">
        <v>486</v>
      </c>
      <c r="E24" s="706">
        <f t="shared" si="1"/>
        <v>0.62548262548262545</v>
      </c>
      <c r="F24" s="287">
        <v>250</v>
      </c>
      <c r="G24" s="489">
        <v>177</v>
      </c>
      <c r="H24" s="573">
        <v>333</v>
      </c>
      <c r="I24" s="70"/>
      <c r="J24" s="236"/>
      <c r="K24" s="274"/>
      <c r="L24" s="70"/>
      <c r="M24" s="87"/>
      <c r="N24" s="582"/>
      <c r="O24" s="588"/>
      <c r="P24" s="582"/>
      <c r="Q24" s="87"/>
      <c r="R24" s="70"/>
      <c r="S24" s="274"/>
      <c r="T24" s="588"/>
      <c r="U24" s="70"/>
      <c r="V24" s="588"/>
      <c r="W24" s="70"/>
      <c r="X24" s="237"/>
      <c r="Y24" s="588"/>
      <c r="Z24" s="70"/>
      <c r="AA24" s="274"/>
      <c r="AB24" s="588"/>
      <c r="AC24" s="70"/>
      <c r="AD24" s="274"/>
      <c r="AE24" s="588"/>
      <c r="AF24" s="70"/>
      <c r="AG24" s="274"/>
      <c r="AH24" s="588"/>
      <c r="AI24" s="70"/>
      <c r="AJ24" s="237"/>
      <c r="AK24" s="87"/>
      <c r="AL24" s="70"/>
      <c r="AM24" s="588"/>
      <c r="AN24" s="19"/>
    </row>
    <row r="25" spans="1:40" s="12" customFormat="1" ht="13" x14ac:dyDescent="0.3">
      <c r="A25" s="10">
        <v>5614</v>
      </c>
      <c r="B25" s="11" t="s">
        <v>455</v>
      </c>
      <c r="C25" s="282">
        <v>1236</v>
      </c>
      <c r="D25" s="54">
        <v>847</v>
      </c>
      <c r="E25" s="706">
        <f t="shared" si="1"/>
        <v>0.68527508090614886</v>
      </c>
      <c r="F25" s="287">
        <v>480</v>
      </c>
      <c r="G25" s="489">
        <v>258</v>
      </c>
      <c r="H25" s="573">
        <v>534</v>
      </c>
      <c r="I25" s="70"/>
      <c r="J25" s="236"/>
      <c r="K25" s="274"/>
      <c r="L25" s="70"/>
      <c r="M25" s="87"/>
      <c r="N25" s="582"/>
      <c r="O25" s="588"/>
      <c r="P25" s="582"/>
      <c r="Q25" s="87"/>
      <c r="R25" s="70"/>
      <c r="S25" s="274"/>
      <c r="T25" s="588"/>
      <c r="U25" s="70"/>
      <c r="V25" s="588"/>
      <c r="W25" s="70"/>
      <c r="X25" s="237"/>
      <c r="Y25" s="588"/>
      <c r="Z25" s="70"/>
      <c r="AA25" s="274"/>
      <c r="AB25" s="588"/>
      <c r="AC25" s="70"/>
      <c r="AD25" s="274"/>
      <c r="AE25" s="588"/>
      <c r="AF25" s="70"/>
      <c r="AG25" s="274"/>
      <c r="AH25" s="588"/>
      <c r="AI25" s="70"/>
      <c r="AJ25" s="237"/>
      <c r="AK25" s="87"/>
      <c r="AL25" s="70"/>
      <c r="AM25" s="588"/>
      <c r="AN25" s="19"/>
    </row>
    <row r="26" spans="1:40" s="12" customFormat="1" ht="13" x14ac:dyDescent="0.3">
      <c r="A26" s="10">
        <v>5615</v>
      </c>
      <c r="B26" s="11" t="s">
        <v>456</v>
      </c>
      <c r="C26" s="282">
        <v>1334</v>
      </c>
      <c r="D26" s="54">
        <v>800</v>
      </c>
      <c r="E26" s="706">
        <f t="shared" si="1"/>
        <v>0.59970014992503751</v>
      </c>
      <c r="F26" s="287">
        <v>401</v>
      </c>
      <c r="G26" s="489">
        <v>275</v>
      </c>
      <c r="H26" s="573">
        <v>511</v>
      </c>
      <c r="I26" s="70"/>
      <c r="J26" s="236"/>
      <c r="K26" s="274"/>
      <c r="L26" s="70"/>
      <c r="M26" s="87"/>
      <c r="N26" s="582"/>
      <c r="O26" s="588"/>
      <c r="P26" s="582"/>
      <c r="Q26" s="87"/>
      <c r="R26" s="70"/>
      <c r="S26" s="274"/>
      <c r="T26" s="588"/>
      <c r="U26" s="70"/>
      <c r="V26" s="588"/>
      <c r="W26" s="70"/>
      <c r="X26" s="237"/>
      <c r="Y26" s="588"/>
      <c r="Z26" s="70"/>
      <c r="AA26" s="274"/>
      <c r="AB26" s="588"/>
      <c r="AC26" s="70"/>
      <c r="AD26" s="274"/>
      <c r="AE26" s="588"/>
      <c r="AF26" s="70"/>
      <c r="AG26" s="274"/>
      <c r="AH26" s="588"/>
      <c r="AI26" s="70"/>
      <c r="AJ26" s="237"/>
      <c r="AK26" s="87"/>
      <c r="AL26" s="70"/>
      <c r="AM26" s="588"/>
      <c r="AN26" s="19"/>
    </row>
    <row r="27" spans="1:40" s="12" customFormat="1" ht="13" x14ac:dyDescent="0.3">
      <c r="A27" s="10">
        <v>5616</v>
      </c>
      <c r="B27" s="11" t="s">
        <v>457</v>
      </c>
      <c r="C27" s="282">
        <v>544</v>
      </c>
      <c r="D27" s="54">
        <v>381</v>
      </c>
      <c r="E27" s="706">
        <f t="shared" si="1"/>
        <v>0.70036764705882348</v>
      </c>
      <c r="F27" s="287">
        <v>191</v>
      </c>
      <c r="G27" s="489">
        <v>143</v>
      </c>
      <c r="H27" s="573">
        <v>254</v>
      </c>
      <c r="I27" s="70"/>
      <c r="J27" s="236"/>
      <c r="K27" s="274"/>
      <c r="L27" s="70"/>
      <c r="M27" s="87"/>
      <c r="N27" s="582"/>
      <c r="O27" s="588"/>
      <c r="P27" s="582"/>
      <c r="Q27" s="87"/>
      <c r="R27" s="70"/>
      <c r="S27" s="274"/>
      <c r="T27" s="588"/>
      <c r="U27" s="70"/>
      <c r="V27" s="588"/>
      <c r="W27" s="70"/>
      <c r="X27" s="237"/>
      <c r="Y27" s="588"/>
      <c r="Z27" s="70"/>
      <c r="AA27" s="274"/>
      <c r="AB27" s="588"/>
      <c r="AC27" s="70"/>
      <c r="AD27" s="274"/>
      <c r="AE27" s="588"/>
      <c r="AF27" s="70"/>
      <c r="AG27" s="274"/>
      <c r="AH27" s="588"/>
      <c r="AI27" s="70"/>
      <c r="AJ27" s="237"/>
      <c r="AK27" s="87"/>
      <c r="AL27" s="70"/>
      <c r="AM27" s="588"/>
      <c r="AN27" s="19"/>
    </row>
    <row r="28" spans="1:40" s="12" customFormat="1" ht="13" x14ac:dyDescent="0.3">
      <c r="A28" s="10">
        <v>5617</v>
      </c>
      <c r="B28" s="11" t="s">
        <v>458</v>
      </c>
      <c r="C28" s="282">
        <v>1285</v>
      </c>
      <c r="D28" s="54">
        <v>866</v>
      </c>
      <c r="E28" s="706">
        <f t="shared" si="1"/>
        <v>0.67392996108949421</v>
      </c>
      <c r="F28" s="287">
        <v>448</v>
      </c>
      <c r="G28" s="489">
        <v>321</v>
      </c>
      <c r="H28" s="573">
        <v>553</v>
      </c>
      <c r="I28" s="70"/>
      <c r="J28" s="236"/>
      <c r="K28" s="274"/>
      <c r="L28" s="70"/>
      <c r="M28" s="87"/>
      <c r="N28" s="582"/>
      <c r="O28" s="588"/>
      <c r="P28" s="582"/>
      <c r="Q28" s="87"/>
      <c r="R28" s="70"/>
      <c r="S28" s="274"/>
      <c r="T28" s="588"/>
      <c r="U28" s="70"/>
      <c r="V28" s="588"/>
      <c r="W28" s="70"/>
      <c r="X28" s="237"/>
      <c r="Y28" s="588"/>
      <c r="Z28" s="70"/>
      <c r="AA28" s="274"/>
      <c r="AB28" s="588"/>
      <c r="AC28" s="70"/>
      <c r="AD28" s="274"/>
      <c r="AE28" s="588"/>
      <c r="AF28" s="70"/>
      <c r="AG28" s="274"/>
      <c r="AH28" s="588"/>
      <c r="AI28" s="70"/>
      <c r="AJ28" s="237"/>
      <c r="AK28" s="87"/>
      <c r="AL28" s="70"/>
      <c r="AM28" s="588"/>
      <c r="AN28" s="19"/>
    </row>
    <row r="29" spans="1:40" s="12" customFormat="1" ht="13" x14ac:dyDescent="0.3">
      <c r="A29" s="10">
        <v>5618</v>
      </c>
      <c r="B29" s="11" t="s">
        <v>459</v>
      </c>
      <c r="C29" s="282">
        <v>1186</v>
      </c>
      <c r="D29" s="54">
        <v>808</v>
      </c>
      <c r="E29" s="706">
        <f t="shared" si="1"/>
        <v>0.68128161888701522</v>
      </c>
      <c r="F29" s="287">
        <v>407</v>
      </c>
      <c r="G29" s="489">
        <v>302</v>
      </c>
      <c r="H29" s="573">
        <v>494</v>
      </c>
      <c r="I29" s="70"/>
      <c r="J29" s="236"/>
      <c r="K29" s="274"/>
      <c r="L29" s="70"/>
      <c r="M29" s="87"/>
      <c r="N29" s="582"/>
      <c r="O29" s="588"/>
      <c r="P29" s="582"/>
      <c r="Q29" s="87"/>
      <c r="R29" s="70"/>
      <c r="S29" s="274"/>
      <c r="T29" s="588"/>
      <c r="U29" s="70"/>
      <c r="V29" s="588"/>
      <c r="W29" s="70"/>
      <c r="X29" s="237"/>
      <c r="Y29" s="588"/>
      <c r="Z29" s="70"/>
      <c r="AA29" s="274"/>
      <c r="AB29" s="588"/>
      <c r="AC29" s="70"/>
      <c r="AD29" s="274"/>
      <c r="AE29" s="588"/>
      <c r="AF29" s="70"/>
      <c r="AG29" s="274"/>
      <c r="AH29" s="588"/>
      <c r="AI29" s="70"/>
      <c r="AJ29" s="237"/>
      <c r="AK29" s="87"/>
      <c r="AL29" s="70"/>
      <c r="AM29" s="588"/>
      <c r="AN29" s="19"/>
    </row>
    <row r="30" spans="1:40" s="12" customFormat="1" ht="13" x14ac:dyDescent="0.3">
      <c r="A30" s="10">
        <v>5619</v>
      </c>
      <c r="B30" s="11" t="s">
        <v>460</v>
      </c>
      <c r="C30" s="282">
        <v>783</v>
      </c>
      <c r="D30" s="54">
        <v>514</v>
      </c>
      <c r="E30" s="706">
        <f t="shared" si="1"/>
        <v>0.65644955300127716</v>
      </c>
      <c r="F30" s="287">
        <v>262</v>
      </c>
      <c r="G30" s="489">
        <v>190</v>
      </c>
      <c r="H30" s="573">
        <v>320</v>
      </c>
      <c r="I30" s="70"/>
      <c r="J30" s="236"/>
      <c r="K30" s="274"/>
      <c r="L30" s="70"/>
      <c r="M30" s="87"/>
      <c r="N30" s="582"/>
      <c r="O30" s="588"/>
      <c r="P30" s="582"/>
      <c r="Q30" s="87"/>
      <c r="R30" s="70"/>
      <c r="S30" s="274"/>
      <c r="T30" s="588"/>
      <c r="U30" s="70"/>
      <c r="V30" s="588"/>
      <c r="W30" s="70"/>
      <c r="X30" s="237"/>
      <c r="Y30" s="588"/>
      <c r="Z30" s="70"/>
      <c r="AA30" s="274"/>
      <c r="AB30" s="588"/>
      <c r="AC30" s="70"/>
      <c r="AD30" s="274"/>
      <c r="AE30" s="588"/>
      <c r="AF30" s="70"/>
      <c r="AG30" s="274"/>
      <c r="AH30" s="588"/>
      <c r="AI30" s="70"/>
      <c r="AJ30" s="237"/>
      <c r="AK30" s="87"/>
      <c r="AL30" s="70"/>
      <c r="AM30" s="588"/>
      <c r="AN30" s="19"/>
    </row>
    <row r="31" spans="1:40" s="12" customFormat="1" ht="13" x14ac:dyDescent="0.3">
      <c r="A31" s="10">
        <v>5620</v>
      </c>
      <c r="B31" s="11" t="s">
        <v>461</v>
      </c>
      <c r="C31" s="282">
        <v>739</v>
      </c>
      <c r="D31" s="54">
        <v>504</v>
      </c>
      <c r="E31" s="706">
        <f t="shared" si="1"/>
        <v>0.68200270635994586</v>
      </c>
      <c r="F31" s="287">
        <v>263</v>
      </c>
      <c r="G31" s="489">
        <v>177</v>
      </c>
      <c r="H31" s="573">
        <v>326</v>
      </c>
      <c r="I31" s="70"/>
      <c r="J31" s="236"/>
      <c r="K31" s="274"/>
      <c r="L31" s="70"/>
      <c r="M31" s="87"/>
      <c r="N31" s="582"/>
      <c r="O31" s="588"/>
      <c r="P31" s="582"/>
      <c r="Q31" s="87"/>
      <c r="R31" s="70"/>
      <c r="S31" s="274"/>
      <c r="T31" s="588"/>
      <c r="U31" s="70"/>
      <c r="V31" s="588"/>
      <c r="W31" s="70"/>
      <c r="X31" s="237"/>
      <c r="Y31" s="588"/>
      <c r="Z31" s="70"/>
      <c r="AA31" s="274"/>
      <c r="AB31" s="588"/>
      <c r="AC31" s="70"/>
      <c r="AD31" s="274"/>
      <c r="AE31" s="588"/>
      <c r="AF31" s="70"/>
      <c r="AG31" s="274"/>
      <c r="AH31" s="588"/>
      <c r="AI31" s="70"/>
      <c r="AJ31" s="237"/>
      <c r="AK31" s="87"/>
      <c r="AL31" s="70"/>
      <c r="AM31" s="588"/>
      <c r="AN31" s="19"/>
    </row>
    <row r="32" spans="1:40" s="12" customFormat="1" ht="13" x14ac:dyDescent="0.3">
      <c r="A32" s="10">
        <v>5621</v>
      </c>
      <c r="B32" s="11" t="s">
        <v>462</v>
      </c>
      <c r="C32" s="282">
        <v>1081</v>
      </c>
      <c r="D32" s="54">
        <v>735</v>
      </c>
      <c r="E32" s="706">
        <f t="shared" si="1"/>
        <v>0.67992599444958368</v>
      </c>
      <c r="F32" s="287">
        <v>386</v>
      </c>
      <c r="G32" s="489">
        <v>261</v>
      </c>
      <c r="H32" s="573">
        <v>466</v>
      </c>
      <c r="I32" s="70"/>
      <c r="J32" s="236"/>
      <c r="K32" s="274"/>
      <c r="L32" s="70"/>
      <c r="M32" s="87"/>
      <c r="N32" s="582"/>
      <c r="O32" s="588"/>
      <c r="P32" s="582"/>
      <c r="Q32" s="87"/>
      <c r="R32" s="70"/>
      <c r="S32" s="274"/>
      <c r="T32" s="588"/>
      <c r="U32" s="70"/>
      <c r="V32" s="588"/>
      <c r="W32" s="70"/>
      <c r="X32" s="237"/>
      <c r="Y32" s="588"/>
      <c r="Z32" s="70"/>
      <c r="AA32" s="274"/>
      <c r="AB32" s="588"/>
      <c r="AC32" s="70"/>
      <c r="AD32" s="274"/>
      <c r="AE32" s="588"/>
      <c r="AF32" s="70"/>
      <c r="AG32" s="274"/>
      <c r="AH32" s="588"/>
      <c r="AI32" s="70"/>
      <c r="AJ32" s="237"/>
      <c r="AK32" s="87"/>
      <c r="AL32" s="70"/>
      <c r="AM32" s="588"/>
      <c r="AN32" s="19"/>
    </row>
    <row r="33" spans="1:40" s="12" customFormat="1" ht="13" x14ac:dyDescent="0.3">
      <c r="A33" s="10">
        <v>5622</v>
      </c>
      <c r="B33" s="11" t="s">
        <v>463</v>
      </c>
      <c r="C33" s="282">
        <v>640</v>
      </c>
      <c r="D33" s="54">
        <v>414</v>
      </c>
      <c r="E33" s="706">
        <f t="shared" si="1"/>
        <v>0.64687499999999998</v>
      </c>
      <c r="F33" s="287">
        <v>220</v>
      </c>
      <c r="G33" s="489">
        <v>135</v>
      </c>
      <c r="H33" s="573">
        <v>257</v>
      </c>
      <c r="I33" s="70"/>
      <c r="J33" s="236"/>
      <c r="K33" s="274"/>
      <c r="L33" s="70"/>
      <c r="M33" s="87"/>
      <c r="N33" s="582"/>
      <c r="O33" s="588"/>
      <c r="P33" s="582"/>
      <c r="Q33" s="87"/>
      <c r="R33" s="70"/>
      <c r="S33" s="274"/>
      <c r="T33" s="588"/>
      <c r="U33" s="70"/>
      <c r="V33" s="588"/>
      <c r="W33" s="70"/>
      <c r="X33" s="237"/>
      <c r="Y33" s="588"/>
      <c r="Z33" s="70"/>
      <c r="AA33" s="274"/>
      <c r="AB33" s="588"/>
      <c r="AC33" s="70"/>
      <c r="AD33" s="274"/>
      <c r="AE33" s="588"/>
      <c r="AF33" s="70"/>
      <c r="AG33" s="274"/>
      <c r="AH33" s="588"/>
      <c r="AI33" s="70"/>
      <c r="AJ33" s="237"/>
      <c r="AK33" s="87"/>
      <c r="AL33" s="70"/>
      <c r="AM33" s="588"/>
      <c r="AN33" s="19"/>
    </row>
    <row r="34" spans="1:40" s="12" customFormat="1" ht="13" x14ac:dyDescent="0.3">
      <c r="A34" s="10">
        <v>5623</v>
      </c>
      <c r="B34" s="11" t="s">
        <v>464</v>
      </c>
      <c r="C34" s="282">
        <v>868</v>
      </c>
      <c r="D34" s="54">
        <v>547</v>
      </c>
      <c r="E34" s="706">
        <f t="shared" si="1"/>
        <v>0.63018433179723499</v>
      </c>
      <c r="F34" s="287">
        <v>292</v>
      </c>
      <c r="G34" s="489">
        <v>181</v>
      </c>
      <c r="H34" s="573">
        <v>353</v>
      </c>
      <c r="I34" s="70"/>
      <c r="J34" s="236"/>
      <c r="K34" s="274"/>
      <c r="L34" s="70"/>
      <c r="M34" s="87"/>
      <c r="N34" s="582"/>
      <c r="O34" s="588"/>
      <c r="P34" s="582"/>
      <c r="Q34" s="87"/>
      <c r="R34" s="70"/>
      <c r="S34" s="274"/>
      <c r="T34" s="588"/>
      <c r="U34" s="70"/>
      <c r="V34" s="588"/>
      <c r="W34" s="70"/>
      <c r="X34" s="237"/>
      <c r="Y34" s="588"/>
      <c r="Z34" s="70"/>
      <c r="AA34" s="274"/>
      <c r="AB34" s="588"/>
      <c r="AC34" s="70"/>
      <c r="AD34" s="274"/>
      <c r="AE34" s="588"/>
      <c r="AF34" s="70"/>
      <c r="AG34" s="274"/>
      <c r="AH34" s="588"/>
      <c r="AI34" s="70"/>
      <c r="AJ34" s="237"/>
      <c r="AK34" s="87"/>
      <c r="AL34" s="70"/>
      <c r="AM34" s="588"/>
      <c r="AN34" s="19"/>
    </row>
    <row r="35" spans="1:40" s="12" customFormat="1" ht="13" x14ac:dyDescent="0.3">
      <c r="A35" s="10">
        <v>5624</v>
      </c>
      <c r="B35" s="11" t="s">
        <v>465</v>
      </c>
      <c r="C35" s="282">
        <v>754</v>
      </c>
      <c r="D35" s="54">
        <v>479</v>
      </c>
      <c r="E35" s="706">
        <f t="shared" si="1"/>
        <v>0.63527851458885942</v>
      </c>
      <c r="F35" s="287">
        <v>251</v>
      </c>
      <c r="G35" s="489">
        <v>162</v>
      </c>
      <c r="H35" s="573">
        <v>313</v>
      </c>
      <c r="I35" s="70"/>
      <c r="J35" s="236"/>
      <c r="K35" s="274"/>
      <c r="L35" s="70"/>
      <c r="M35" s="87"/>
      <c r="N35" s="582"/>
      <c r="O35" s="588"/>
      <c r="P35" s="582"/>
      <c r="Q35" s="87"/>
      <c r="R35" s="70"/>
      <c r="S35" s="274"/>
      <c r="T35" s="588"/>
      <c r="U35" s="70"/>
      <c r="V35" s="588"/>
      <c r="W35" s="70"/>
      <c r="X35" s="237"/>
      <c r="Y35" s="588"/>
      <c r="Z35" s="70"/>
      <c r="AA35" s="274"/>
      <c r="AB35" s="588"/>
      <c r="AC35" s="70"/>
      <c r="AD35" s="274"/>
      <c r="AE35" s="588"/>
      <c r="AF35" s="70"/>
      <c r="AG35" s="274"/>
      <c r="AH35" s="588"/>
      <c r="AI35" s="70"/>
      <c r="AJ35" s="237"/>
      <c r="AK35" s="87"/>
      <c r="AL35" s="70"/>
      <c r="AM35" s="588"/>
      <c r="AN35" s="19"/>
    </row>
    <row r="36" spans="1:40" s="12" customFormat="1" ht="13" x14ac:dyDescent="0.3">
      <c r="A36" s="10">
        <v>5625</v>
      </c>
      <c r="B36" s="11" t="s">
        <v>466</v>
      </c>
      <c r="C36" s="282">
        <v>695</v>
      </c>
      <c r="D36" s="54">
        <v>372</v>
      </c>
      <c r="E36" s="706">
        <f t="shared" si="1"/>
        <v>0.53525179856115113</v>
      </c>
      <c r="F36" s="287">
        <v>143</v>
      </c>
      <c r="G36" s="489">
        <v>160</v>
      </c>
      <c r="H36" s="573">
        <v>261</v>
      </c>
      <c r="I36" s="70"/>
      <c r="J36" s="236"/>
      <c r="K36" s="274"/>
      <c r="L36" s="70"/>
      <c r="M36" s="87"/>
      <c r="N36" s="582"/>
      <c r="O36" s="588"/>
      <c r="P36" s="582"/>
      <c r="Q36" s="87"/>
      <c r="R36" s="70"/>
      <c r="S36" s="274"/>
      <c r="T36" s="588"/>
      <c r="U36" s="70"/>
      <c r="V36" s="588"/>
      <c r="W36" s="70"/>
      <c r="X36" s="237"/>
      <c r="Y36" s="588"/>
      <c r="Z36" s="70"/>
      <c r="AA36" s="274"/>
      <c r="AB36" s="588"/>
      <c r="AC36" s="70"/>
      <c r="AD36" s="274"/>
      <c r="AE36" s="588"/>
      <c r="AF36" s="70"/>
      <c r="AG36" s="274"/>
      <c r="AH36" s="588"/>
      <c r="AI36" s="70"/>
      <c r="AJ36" s="237"/>
      <c r="AK36" s="87"/>
      <c r="AL36" s="70"/>
      <c r="AM36" s="588"/>
      <c r="AN36" s="19"/>
    </row>
    <row r="37" spans="1:40" s="12" customFormat="1" ht="13" x14ac:dyDescent="0.3">
      <c r="A37" s="10">
        <v>5626</v>
      </c>
      <c r="B37" s="11" t="s">
        <v>467</v>
      </c>
      <c r="C37" s="282">
        <v>1074</v>
      </c>
      <c r="D37" s="54">
        <v>717</v>
      </c>
      <c r="E37" s="706">
        <f t="shared" si="1"/>
        <v>0.66759776536312854</v>
      </c>
      <c r="F37" s="287">
        <v>369</v>
      </c>
      <c r="G37" s="489">
        <v>258</v>
      </c>
      <c r="H37" s="573">
        <v>483</v>
      </c>
      <c r="I37" s="70"/>
      <c r="J37" s="236"/>
      <c r="K37" s="274"/>
      <c r="L37" s="70"/>
      <c r="M37" s="87"/>
      <c r="N37" s="582"/>
      <c r="O37" s="588"/>
      <c r="P37" s="582"/>
      <c r="Q37" s="87"/>
      <c r="R37" s="70"/>
      <c r="S37" s="274"/>
      <c r="T37" s="588"/>
      <c r="U37" s="70"/>
      <c r="V37" s="588"/>
      <c r="W37" s="70"/>
      <c r="X37" s="237"/>
      <c r="Y37" s="588"/>
      <c r="Z37" s="70"/>
      <c r="AA37" s="274"/>
      <c r="AB37" s="588"/>
      <c r="AC37" s="70"/>
      <c r="AD37" s="274"/>
      <c r="AE37" s="588"/>
      <c r="AF37" s="70"/>
      <c r="AG37" s="274"/>
      <c r="AH37" s="588"/>
      <c r="AI37" s="70"/>
      <c r="AJ37" s="237"/>
      <c r="AK37" s="87"/>
      <c r="AL37" s="70"/>
      <c r="AM37" s="588"/>
      <c r="AN37" s="19"/>
    </row>
    <row r="38" spans="1:40" s="12" customFormat="1" ht="13" x14ac:dyDescent="0.3">
      <c r="A38" s="10">
        <v>5627</v>
      </c>
      <c r="B38" s="11" t="s">
        <v>468</v>
      </c>
      <c r="C38" s="282">
        <v>1149</v>
      </c>
      <c r="D38" s="54">
        <v>812</v>
      </c>
      <c r="E38" s="706">
        <f t="shared" si="1"/>
        <v>0.70670147954743257</v>
      </c>
      <c r="F38" s="287">
        <v>439</v>
      </c>
      <c r="G38" s="489">
        <v>263</v>
      </c>
      <c r="H38" s="573">
        <v>518</v>
      </c>
      <c r="I38" s="70"/>
      <c r="J38" s="236"/>
      <c r="K38" s="274"/>
      <c r="L38" s="70"/>
      <c r="M38" s="87"/>
      <c r="N38" s="582"/>
      <c r="O38" s="588"/>
      <c r="P38" s="582"/>
      <c r="Q38" s="87"/>
      <c r="R38" s="70"/>
      <c r="S38" s="274"/>
      <c r="T38" s="588"/>
      <c r="U38" s="70"/>
      <c r="V38" s="588"/>
      <c r="W38" s="70"/>
      <c r="X38" s="237"/>
      <c r="Y38" s="588"/>
      <c r="Z38" s="70"/>
      <c r="AA38" s="274"/>
      <c r="AB38" s="588"/>
      <c r="AC38" s="70"/>
      <c r="AD38" s="274"/>
      <c r="AE38" s="588"/>
      <c r="AF38" s="70"/>
      <c r="AG38" s="274"/>
      <c r="AH38" s="588"/>
      <c r="AI38" s="70"/>
      <c r="AJ38" s="237"/>
      <c r="AK38" s="87"/>
      <c r="AL38" s="70"/>
      <c r="AM38" s="588"/>
      <c r="AN38" s="19"/>
    </row>
    <row r="39" spans="1:40" s="12" customFormat="1" ht="13" x14ac:dyDescent="0.3">
      <c r="A39" s="10">
        <v>5628</v>
      </c>
      <c r="B39" s="11" t="s">
        <v>469</v>
      </c>
      <c r="C39" s="282">
        <v>920</v>
      </c>
      <c r="D39" s="54">
        <v>592</v>
      </c>
      <c r="E39" s="706">
        <f t="shared" si="1"/>
        <v>0.64347826086956517</v>
      </c>
      <c r="F39" s="287">
        <v>283</v>
      </c>
      <c r="G39" s="489">
        <v>239</v>
      </c>
      <c r="H39" s="573">
        <v>407</v>
      </c>
      <c r="I39" s="70"/>
      <c r="J39" s="236"/>
      <c r="K39" s="274"/>
      <c r="L39" s="70"/>
      <c r="M39" s="87"/>
      <c r="N39" s="582"/>
      <c r="O39" s="588"/>
      <c r="P39" s="582"/>
      <c r="Q39" s="87"/>
      <c r="R39" s="70"/>
      <c r="S39" s="274"/>
      <c r="T39" s="588"/>
      <c r="U39" s="70"/>
      <c r="V39" s="588"/>
      <c r="W39" s="70"/>
      <c r="X39" s="237"/>
      <c r="Y39" s="588"/>
      <c r="Z39" s="70"/>
      <c r="AA39" s="274"/>
      <c r="AB39" s="588"/>
      <c r="AC39" s="70"/>
      <c r="AD39" s="274"/>
      <c r="AE39" s="588"/>
      <c r="AF39" s="70"/>
      <c r="AG39" s="274"/>
      <c r="AH39" s="588"/>
      <c r="AI39" s="70"/>
      <c r="AJ39" s="237"/>
      <c r="AK39" s="87"/>
      <c r="AL39" s="70"/>
      <c r="AM39" s="588"/>
      <c r="AN39" s="19"/>
    </row>
    <row r="40" spans="1:40" s="12" customFormat="1" ht="13" x14ac:dyDescent="0.3">
      <c r="A40" s="10">
        <v>5629</v>
      </c>
      <c r="B40" s="11" t="s">
        <v>470</v>
      </c>
      <c r="C40" s="282">
        <v>664</v>
      </c>
      <c r="D40" s="54">
        <v>456</v>
      </c>
      <c r="E40" s="706">
        <f t="shared" si="1"/>
        <v>0.68674698795180722</v>
      </c>
      <c r="F40" s="287">
        <v>227</v>
      </c>
      <c r="G40" s="489">
        <v>183</v>
      </c>
      <c r="H40" s="573">
        <v>290</v>
      </c>
      <c r="I40" s="70"/>
      <c r="J40" s="236"/>
      <c r="K40" s="274"/>
      <c r="L40" s="70"/>
      <c r="M40" s="87"/>
      <c r="N40" s="582"/>
      <c r="O40" s="588"/>
      <c r="P40" s="582"/>
      <c r="Q40" s="87"/>
      <c r="R40" s="70"/>
      <c r="S40" s="274"/>
      <c r="T40" s="588"/>
      <c r="U40" s="70"/>
      <c r="V40" s="588"/>
      <c r="W40" s="70"/>
      <c r="X40" s="237"/>
      <c r="Y40" s="588"/>
      <c r="Z40" s="70"/>
      <c r="AA40" s="274"/>
      <c r="AB40" s="588"/>
      <c r="AC40" s="70"/>
      <c r="AD40" s="274"/>
      <c r="AE40" s="588"/>
      <c r="AF40" s="70"/>
      <c r="AG40" s="274"/>
      <c r="AH40" s="588"/>
      <c r="AI40" s="70"/>
      <c r="AJ40" s="237"/>
      <c r="AK40" s="87"/>
      <c r="AL40" s="70"/>
      <c r="AM40" s="588"/>
      <c r="AN40" s="19"/>
    </row>
    <row r="41" spans="1:40" s="12" customFormat="1" ht="13" x14ac:dyDescent="0.3">
      <c r="A41" s="10">
        <v>5630</v>
      </c>
      <c r="B41" s="11" t="s">
        <v>471</v>
      </c>
      <c r="C41" s="282">
        <v>1236</v>
      </c>
      <c r="D41" s="54">
        <v>810</v>
      </c>
      <c r="E41" s="706">
        <f t="shared" si="1"/>
        <v>0.65533980582524276</v>
      </c>
      <c r="F41" s="287">
        <v>442</v>
      </c>
      <c r="G41" s="489">
        <v>274</v>
      </c>
      <c r="H41" s="573">
        <v>541</v>
      </c>
      <c r="I41" s="70"/>
      <c r="J41" s="236"/>
      <c r="K41" s="274"/>
      <c r="L41" s="70"/>
      <c r="M41" s="87"/>
      <c r="N41" s="582"/>
      <c r="O41" s="588"/>
      <c r="P41" s="582"/>
      <c r="Q41" s="87"/>
      <c r="R41" s="70"/>
      <c r="S41" s="274"/>
      <c r="T41" s="588"/>
      <c r="U41" s="70"/>
      <c r="V41" s="588"/>
      <c r="W41" s="70"/>
      <c r="X41" s="237"/>
      <c r="Y41" s="588"/>
      <c r="Z41" s="70"/>
      <c r="AA41" s="274"/>
      <c r="AB41" s="588"/>
      <c r="AC41" s="70"/>
      <c r="AD41" s="274"/>
      <c r="AE41" s="588"/>
      <c r="AF41" s="70"/>
      <c r="AG41" s="274"/>
      <c r="AH41" s="588"/>
      <c r="AI41" s="70"/>
      <c r="AJ41" s="237"/>
      <c r="AK41" s="87"/>
      <c r="AL41" s="70"/>
      <c r="AM41" s="588"/>
      <c r="AN41" s="19"/>
    </row>
    <row r="42" spans="1:40" s="12" customFormat="1" ht="13" x14ac:dyDescent="0.3">
      <c r="A42" s="10">
        <v>5631</v>
      </c>
      <c r="B42" s="11" t="s">
        <v>472</v>
      </c>
      <c r="C42" s="282">
        <v>786</v>
      </c>
      <c r="D42" s="54">
        <v>461</v>
      </c>
      <c r="E42" s="706">
        <f t="shared" si="1"/>
        <v>0.58651399491094147</v>
      </c>
      <c r="F42" s="287">
        <v>250</v>
      </c>
      <c r="G42" s="489">
        <v>165</v>
      </c>
      <c r="H42" s="573">
        <v>281</v>
      </c>
      <c r="I42" s="70"/>
      <c r="J42" s="236"/>
      <c r="K42" s="274"/>
      <c r="L42" s="70"/>
      <c r="M42" s="87"/>
      <c r="N42" s="582"/>
      <c r="O42" s="588"/>
      <c r="P42" s="582"/>
      <c r="Q42" s="87"/>
      <c r="R42" s="70"/>
      <c r="S42" s="274"/>
      <c r="T42" s="588"/>
      <c r="U42" s="70"/>
      <c r="V42" s="588"/>
      <c r="W42" s="70"/>
      <c r="X42" s="237"/>
      <c r="Y42" s="588"/>
      <c r="Z42" s="70"/>
      <c r="AA42" s="274"/>
      <c r="AB42" s="588"/>
      <c r="AC42" s="70"/>
      <c r="AD42" s="274"/>
      <c r="AE42" s="588"/>
      <c r="AF42" s="70"/>
      <c r="AG42" s="274"/>
      <c r="AH42" s="588"/>
      <c r="AI42" s="70"/>
      <c r="AJ42" s="237"/>
      <c r="AK42" s="87"/>
      <c r="AL42" s="70"/>
      <c r="AM42" s="588"/>
      <c r="AN42" s="19"/>
    </row>
    <row r="43" spans="1:40" s="12" customFormat="1" ht="13" x14ac:dyDescent="0.3">
      <c r="A43" s="10">
        <v>5632</v>
      </c>
      <c r="B43" s="11" t="s">
        <v>473</v>
      </c>
      <c r="C43" s="282">
        <v>1275</v>
      </c>
      <c r="D43" s="54">
        <v>747</v>
      </c>
      <c r="E43" s="706">
        <f t="shared" si="1"/>
        <v>0.58588235294117652</v>
      </c>
      <c r="F43" s="287">
        <v>393</v>
      </c>
      <c r="G43" s="489">
        <v>245</v>
      </c>
      <c r="H43" s="573">
        <v>478</v>
      </c>
      <c r="I43" s="279"/>
      <c r="J43" s="578"/>
      <c r="K43" s="280"/>
      <c r="L43" s="279"/>
      <c r="M43" s="281"/>
      <c r="N43" s="582"/>
      <c r="O43" s="588"/>
      <c r="P43" s="582"/>
      <c r="Q43" s="87"/>
      <c r="R43" s="70"/>
      <c r="S43" s="274"/>
      <c r="T43" s="588"/>
      <c r="U43" s="70"/>
      <c r="V43" s="588"/>
      <c r="W43" s="70"/>
      <c r="X43" s="237"/>
      <c r="Y43" s="588"/>
      <c r="Z43" s="70"/>
      <c r="AA43" s="274"/>
      <c r="AB43" s="588"/>
      <c r="AC43" s="70"/>
      <c r="AD43" s="274"/>
      <c r="AE43" s="588"/>
      <c r="AF43" s="70"/>
      <c r="AG43" s="274"/>
      <c r="AH43" s="588"/>
      <c r="AI43" s="70"/>
      <c r="AJ43" s="237"/>
      <c r="AK43" s="87"/>
      <c r="AL43" s="70"/>
      <c r="AM43" s="588"/>
      <c r="AN43" s="19"/>
    </row>
    <row r="44" spans="1:40" s="12" customFormat="1" ht="13" x14ac:dyDescent="0.3">
      <c r="A44" s="10">
        <v>5901</v>
      </c>
      <c r="B44" s="11" t="s">
        <v>475</v>
      </c>
      <c r="C44" s="282">
        <v>1169</v>
      </c>
      <c r="D44" s="54">
        <v>751</v>
      </c>
      <c r="E44" s="706">
        <f t="shared" si="1"/>
        <v>0.64242942686056459</v>
      </c>
      <c r="F44" s="273"/>
      <c r="G44" s="488"/>
      <c r="H44" s="572"/>
      <c r="I44" s="276">
        <v>105</v>
      </c>
      <c r="J44" s="282">
        <v>220</v>
      </c>
      <c r="K44" s="283">
        <v>321</v>
      </c>
      <c r="L44" s="276">
        <v>466</v>
      </c>
      <c r="M44" s="278">
        <v>128</v>
      </c>
      <c r="N44" s="582"/>
      <c r="O44" s="588"/>
      <c r="P44" s="582"/>
      <c r="Q44" s="87"/>
      <c r="R44" s="70"/>
      <c r="S44" s="274"/>
      <c r="T44" s="588"/>
      <c r="U44" s="70"/>
      <c r="V44" s="588"/>
      <c r="W44" s="70"/>
      <c r="X44" s="237"/>
      <c r="Y44" s="588"/>
      <c r="Z44" s="70"/>
      <c r="AA44" s="274"/>
      <c r="AB44" s="588"/>
      <c r="AC44" s="70"/>
      <c r="AD44" s="274"/>
      <c r="AE44" s="588"/>
      <c r="AF44" s="70"/>
      <c r="AG44" s="274"/>
      <c r="AH44" s="588"/>
      <c r="AI44" s="70"/>
      <c r="AJ44" s="237"/>
      <c r="AK44" s="87"/>
      <c r="AL44" s="70"/>
      <c r="AM44" s="588"/>
      <c r="AN44" s="19"/>
    </row>
    <row r="45" spans="1:40" s="12" customFormat="1" ht="13" x14ac:dyDescent="0.3">
      <c r="A45" s="10">
        <v>5902</v>
      </c>
      <c r="B45" s="11" t="s">
        <v>476</v>
      </c>
      <c r="C45" s="282">
        <v>1061</v>
      </c>
      <c r="D45" s="54">
        <v>479</v>
      </c>
      <c r="E45" s="706">
        <f t="shared" si="1"/>
        <v>0.45146088595664469</v>
      </c>
      <c r="F45" s="273"/>
      <c r="G45" s="488"/>
      <c r="H45" s="572"/>
      <c r="I45" s="276">
        <v>162</v>
      </c>
      <c r="J45" s="282">
        <v>125</v>
      </c>
      <c r="K45" s="283">
        <v>101</v>
      </c>
      <c r="L45" s="276">
        <v>157</v>
      </c>
      <c r="M45" s="278">
        <v>216</v>
      </c>
      <c r="N45" s="582"/>
      <c r="O45" s="588"/>
      <c r="P45" s="582"/>
      <c r="Q45" s="87"/>
      <c r="R45" s="70"/>
      <c r="S45" s="274"/>
      <c r="T45" s="588"/>
      <c r="U45" s="70"/>
      <c r="V45" s="588"/>
      <c r="W45" s="70"/>
      <c r="X45" s="237"/>
      <c r="Y45" s="588"/>
      <c r="Z45" s="70"/>
      <c r="AA45" s="274"/>
      <c r="AB45" s="588"/>
      <c r="AC45" s="70"/>
      <c r="AD45" s="274"/>
      <c r="AE45" s="588"/>
      <c r="AF45" s="70"/>
      <c r="AG45" s="274"/>
      <c r="AH45" s="588"/>
      <c r="AI45" s="70"/>
      <c r="AJ45" s="237"/>
      <c r="AK45" s="87"/>
      <c r="AL45" s="70"/>
      <c r="AM45" s="588"/>
      <c r="AN45" s="19"/>
    </row>
    <row r="46" spans="1:40" s="12" customFormat="1" ht="13" x14ac:dyDescent="0.3">
      <c r="A46" s="10">
        <v>5903</v>
      </c>
      <c r="B46" s="11" t="s">
        <v>477</v>
      </c>
      <c r="C46" s="282">
        <v>1198</v>
      </c>
      <c r="D46" s="54">
        <v>475</v>
      </c>
      <c r="E46" s="706">
        <f t="shared" si="1"/>
        <v>0.39649415692821371</v>
      </c>
      <c r="F46" s="273"/>
      <c r="G46" s="488"/>
      <c r="H46" s="572"/>
      <c r="I46" s="276">
        <v>175</v>
      </c>
      <c r="J46" s="282">
        <v>109</v>
      </c>
      <c r="K46" s="283">
        <v>120</v>
      </c>
      <c r="L46" s="276">
        <v>159</v>
      </c>
      <c r="M46" s="278">
        <v>219</v>
      </c>
      <c r="N46" s="582"/>
      <c r="O46" s="588"/>
      <c r="P46" s="582"/>
      <c r="Q46" s="87"/>
      <c r="R46" s="70"/>
      <c r="S46" s="274"/>
      <c r="T46" s="588"/>
      <c r="U46" s="70"/>
      <c r="V46" s="588"/>
      <c r="W46" s="70"/>
      <c r="X46" s="237"/>
      <c r="Y46" s="588"/>
      <c r="Z46" s="70"/>
      <c r="AA46" s="274"/>
      <c r="AB46" s="588"/>
      <c r="AC46" s="70"/>
      <c r="AD46" s="274"/>
      <c r="AE46" s="588"/>
      <c r="AF46" s="70"/>
      <c r="AG46" s="274"/>
      <c r="AH46" s="588"/>
      <c r="AI46" s="70"/>
      <c r="AJ46" s="237"/>
      <c r="AK46" s="87"/>
      <c r="AL46" s="70"/>
      <c r="AM46" s="588"/>
      <c r="AN46" s="19"/>
    </row>
    <row r="47" spans="1:40" s="12" customFormat="1" ht="13" x14ac:dyDescent="0.3">
      <c r="A47" s="10">
        <v>5904</v>
      </c>
      <c r="B47" s="11" t="s">
        <v>478</v>
      </c>
      <c r="C47" s="282">
        <v>1075</v>
      </c>
      <c r="D47" s="54">
        <v>381</v>
      </c>
      <c r="E47" s="706">
        <f t="shared" si="1"/>
        <v>0.35441860465116282</v>
      </c>
      <c r="F47" s="273"/>
      <c r="G47" s="488"/>
      <c r="H47" s="572"/>
      <c r="I47" s="276">
        <v>150</v>
      </c>
      <c r="J47" s="282">
        <v>74</v>
      </c>
      <c r="K47" s="283">
        <v>96</v>
      </c>
      <c r="L47" s="276">
        <v>135</v>
      </c>
      <c r="M47" s="278">
        <v>176</v>
      </c>
      <c r="N47" s="582"/>
      <c r="O47" s="588"/>
      <c r="P47" s="582"/>
      <c r="Q47" s="87"/>
      <c r="R47" s="70"/>
      <c r="S47" s="274"/>
      <c r="T47" s="588"/>
      <c r="U47" s="70"/>
      <c r="V47" s="588"/>
      <c r="W47" s="70"/>
      <c r="X47" s="237"/>
      <c r="Y47" s="588"/>
      <c r="Z47" s="70"/>
      <c r="AA47" s="274"/>
      <c r="AB47" s="588"/>
      <c r="AC47" s="70"/>
      <c r="AD47" s="274"/>
      <c r="AE47" s="588"/>
      <c r="AF47" s="70"/>
      <c r="AG47" s="274"/>
      <c r="AH47" s="588"/>
      <c r="AI47" s="70"/>
      <c r="AJ47" s="237"/>
      <c r="AK47" s="87"/>
      <c r="AL47" s="70"/>
      <c r="AM47" s="588"/>
      <c r="AN47" s="19"/>
    </row>
    <row r="48" spans="1:40" s="12" customFormat="1" ht="13" x14ac:dyDescent="0.3">
      <c r="A48" s="10">
        <v>5905</v>
      </c>
      <c r="B48" s="11" t="s">
        <v>479</v>
      </c>
      <c r="C48" s="282">
        <v>1317</v>
      </c>
      <c r="D48" s="54">
        <v>788</v>
      </c>
      <c r="E48" s="706">
        <f t="shared" si="1"/>
        <v>0.59832953682612</v>
      </c>
      <c r="F48" s="273"/>
      <c r="G48" s="488"/>
      <c r="H48" s="572"/>
      <c r="I48" s="276">
        <v>159</v>
      </c>
      <c r="J48" s="282">
        <v>225</v>
      </c>
      <c r="K48" s="283">
        <v>282</v>
      </c>
      <c r="L48" s="276">
        <v>413</v>
      </c>
      <c r="M48" s="278">
        <v>205</v>
      </c>
      <c r="N48" s="582"/>
      <c r="O48" s="588"/>
      <c r="P48" s="582"/>
      <c r="Q48" s="87"/>
      <c r="R48" s="70"/>
      <c r="S48" s="274"/>
      <c r="T48" s="588"/>
      <c r="U48" s="70"/>
      <c r="V48" s="588"/>
      <c r="W48" s="70"/>
      <c r="X48" s="237"/>
      <c r="Y48" s="588"/>
      <c r="Z48" s="70"/>
      <c r="AA48" s="274"/>
      <c r="AB48" s="588"/>
      <c r="AC48" s="70"/>
      <c r="AD48" s="274"/>
      <c r="AE48" s="588"/>
      <c r="AF48" s="70"/>
      <c r="AG48" s="274"/>
      <c r="AH48" s="588"/>
      <c r="AI48" s="70"/>
      <c r="AJ48" s="237"/>
      <c r="AK48" s="87"/>
      <c r="AL48" s="70"/>
      <c r="AM48" s="588"/>
      <c r="AN48" s="19"/>
    </row>
    <row r="49" spans="1:40" s="12" customFormat="1" ht="13" x14ac:dyDescent="0.3">
      <c r="A49" s="10">
        <v>5906</v>
      </c>
      <c r="B49" s="11" t="s">
        <v>480</v>
      </c>
      <c r="C49" s="282">
        <v>1329</v>
      </c>
      <c r="D49" s="54">
        <v>740</v>
      </c>
      <c r="E49" s="706">
        <f t="shared" si="1"/>
        <v>0.55680963130173067</v>
      </c>
      <c r="F49" s="273"/>
      <c r="G49" s="488"/>
      <c r="H49" s="572"/>
      <c r="I49" s="276">
        <v>166</v>
      </c>
      <c r="J49" s="282">
        <v>212</v>
      </c>
      <c r="K49" s="283">
        <v>255</v>
      </c>
      <c r="L49" s="276">
        <v>406</v>
      </c>
      <c r="M49" s="278">
        <v>175</v>
      </c>
      <c r="N49" s="582"/>
      <c r="O49" s="588"/>
      <c r="P49" s="582"/>
      <c r="Q49" s="87"/>
      <c r="R49" s="70"/>
      <c r="S49" s="274"/>
      <c r="T49" s="588"/>
      <c r="U49" s="70"/>
      <c r="V49" s="588"/>
      <c r="W49" s="70"/>
      <c r="X49" s="237"/>
      <c r="Y49" s="588"/>
      <c r="Z49" s="70"/>
      <c r="AA49" s="274"/>
      <c r="AB49" s="588"/>
      <c r="AC49" s="70"/>
      <c r="AD49" s="274"/>
      <c r="AE49" s="588"/>
      <c r="AF49" s="70"/>
      <c r="AG49" s="274"/>
      <c r="AH49" s="588"/>
      <c r="AI49" s="70"/>
      <c r="AJ49" s="237"/>
      <c r="AK49" s="87"/>
      <c r="AL49" s="70"/>
      <c r="AM49" s="588"/>
      <c r="AN49" s="19"/>
    </row>
    <row r="50" spans="1:40" s="12" customFormat="1" ht="13" x14ac:dyDescent="0.3">
      <c r="A50" s="10">
        <v>5907</v>
      </c>
      <c r="B50" s="11" t="s">
        <v>481</v>
      </c>
      <c r="C50" s="282">
        <v>1179</v>
      </c>
      <c r="D50" s="54">
        <v>694</v>
      </c>
      <c r="E50" s="706">
        <f t="shared" si="1"/>
        <v>0.58863443596268028</v>
      </c>
      <c r="F50" s="273"/>
      <c r="G50" s="488"/>
      <c r="H50" s="572"/>
      <c r="I50" s="276">
        <v>127</v>
      </c>
      <c r="J50" s="282">
        <v>193</v>
      </c>
      <c r="K50" s="283">
        <v>251</v>
      </c>
      <c r="L50" s="276">
        <v>361</v>
      </c>
      <c r="M50" s="278">
        <v>178</v>
      </c>
      <c r="N50" s="582"/>
      <c r="O50" s="588"/>
      <c r="P50" s="582"/>
      <c r="Q50" s="87"/>
      <c r="R50" s="70"/>
      <c r="S50" s="274"/>
      <c r="T50" s="588"/>
      <c r="U50" s="70"/>
      <c r="V50" s="588"/>
      <c r="W50" s="70"/>
      <c r="X50" s="237"/>
      <c r="Y50" s="588"/>
      <c r="Z50" s="70"/>
      <c r="AA50" s="274"/>
      <c r="AB50" s="588"/>
      <c r="AC50" s="70"/>
      <c r="AD50" s="274"/>
      <c r="AE50" s="588"/>
      <c r="AF50" s="70"/>
      <c r="AG50" s="274"/>
      <c r="AH50" s="588"/>
      <c r="AI50" s="70"/>
      <c r="AJ50" s="237"/>
      <c r="AK50" s="87"/>
      <c r="AL50" s="70"/>
      <c r="AM50" s="588"/>
      <c r="AN50" s="19"/>
    </row>
    <row r="51" spans="1:40" s="12" customFormat="1" ht="13" x14ac:dyDescent="0.3">
      <c r="A51" s="10">
        <v>5908</v>
      </c>
      <c r="B51" s="11" t="s">
        <v>482</v>
      </c>
      <c r="C51" s="282">
        <v>1447</v>
      </c>
      <c r="D51" s="54">
        <v>740</v>
      </c>
      <c r="E51" s="706">
        <f t="shared" si="1"/>
        <v>0.51140290255701448</v>
      </c>
      <c r="F51" s="273"/>
      <c r="G51" s="488"/>
      <c r="H51" s="572"/>
      <c r="I51" s="276">
        <v>191</v>
      </c>
      <c r="J51" s="282">
        <v>178</v>
      </c>
      <c r="K51" s="283">
        <v>229</v>
      </c>
      <c r="L51" s="276">
        <v>368</v>
      </c>
      <c r="M51" s="278">
        <v>227</v>
      </c>
      <c r="N51" s="582"/>
      <c r="O51" s="588"/>
      <c r="P51" s="582"/>
      <c r="Q51" s="87"/>
      <c r="R51" s="70"/>
      <c r="S51" s="274"/>
      <c r="T51" s="588"/>
      <c r="U51" s="70"/>
      <c r="V51" s="588"/>
      <c r="W51" s="70"/>
      <c r="X51" s="237"/>
      <c r="Y51" s="588"/>
      <c r="Z51" s="70"/>
      <c r="AA51" s="274"/>
      <c r="AB51" s="588"/>
      <c r="AC51" s="70"/>
      <c r="AD51" s="274"/>
      <c r="AE51" s="588"/>
      <c r="AF51" s="70"/>
      <c r="AG51" s="274"/>
      <c r="AH51" s="588"/>
      <c r="AI51" s="70"/>
      <c r="AJ51" s="237"/>
      <c r="AK51" s="87"/>
      <c r="AL51" s="70"/>
      <c r="AM51" s="588"/>
      <c r="AN51" s="19"/>
    </row>
    <row r="52" spans="1:40" s="12" customFormat="1" ht="13" x14ac:dyDescent="0.3">
      <c r="A52" s="10">
        <v>5909</v>
      </c>
      <c r="B52" s="11" t="s">
        <v>483</v>
      </c>
      <c r="C52" s="282">
        <v>826</v>
      </c>
      <c r="D52" s="54">
        <v>509</v>
      </c>
      <c r="E52" s="706">
        <f t="shared" si="1"/>
        <v>0.61622276029055689</v>
      </c>
      <c r="F52" s="273"/>
      <c r="G52" s="488"/>
      <c r="H52" s="572"/>
      <c r="I52" s="276">
        <v>80</v>
      </c>
      <c r="J52" s="282">
        <v>116</v>
      </c>
      <c r="K52" s="283">
        <v>226</v>
      </c>
      <c r="L52" s="276">
        <v>279</v>
      </c>
      <c r="M52" s="278">
        <v>119</v>
      </c>
      <c r="N52" s="582"/>
      <c r="O52" s="588"/>
      <c r="P52" s="582"/>
      <c r="Q52" s="87"/>
      <c r="R52" s="70"/>
      <c r="S52" s="274"/>
      <c r="T52" s="588"/>
      <c r="U52" s="70"/>
      <c r="V52" s="588"/>
      <c r="W52" s="70"/>
      <c r="X52" s="237"/>
      <c r="Y52" s="588"/>
      <c r="Z52" s="70"/>
      <c r="AA52" s="274"/>
      <c r="AB52" s="588"/>
      <c r="AC52" s="70"/>
      <c r="AD52" s="274"/>
      <c r="AE52" s="588"/>
      <c r="AF52" s="70"/>
      <c r="AG52" s="274"/>
      <c r="AH52" s="588"/>
      <c r="AI52" s="70"/>
      <c r="AJ52" s="237"/>
      <c r="AK52" s="87"/>
      <c r="AL52" s="70"/>
      <c r="AM52" s="588"/>
      <c r="AN52" s="19"/>
    </row>
    <row r="53" spans="1:40" s="12" customFormat="1" ht="13" x14ac:dyDescent="0.3">
      <c r="A53" s="10">
        <v>5910</v>
      </c>
      <c r="B53" s="11" t="s">
        <v>484</v>
      </c>
      <c r="C53" s="282">
        <v>1345</v>
      </c>
      <c r="D53" s="54">
        <v>564</v>
      </c>
      <c r="E53" s="706">
        <f t="shared" si="1"/>
        <v>0.41933085501858736</v>
      </c>
      <c r="F53" s="273"/>
      <c r="G53" s="488"/>
      <c r="H53" s="572"/>
      <c r="I53" s="276">
        <v>166</v>
      </c>
      <c r="J53" s="282">
        <v>158</v>
      </c>
      <c r="K53" s="283">
        <v>151</v>
      </c>
      <c r="L53" s="276">
        <v>245</v>
      </c>
      <c r="M53" s="278">
        <v>205</v>
      </c>
      <c r="N53" s="582"/>
      <c r="O53" s="588"/>
      <c r="P53" s="582"/>
      <c r="Q53" s="87"/>
      <c r="R53" s="70"/>
      <c r="S53" s="274"/>
      <c r="T53" s="588"/>
      <c r="U53" s="70"/>
      <c r="V53" s="588"/>
      <c r="W53" s="70"/>
      <c r="X53" s="237"/>
      <c r="Y53" s="588"/>
      <c r="Z53" s="70"/>
      <c r="AA53" s="274"/>
      <c r="AB53" s="588"/>
      <c r="AC53" s="70"/>
      <c r="AD53" s="274"/>
      <c r="AE53" s="588"/>
      <c r="AF53" s="70"/>
      <c r="AG53" s="274"/>
      <c r="AH53" s="588"/>
      <c r="AI53" s="70"/>
      <c r="AJ53" s="237"/>
      <c r="AK53" s="87"/>
      <c r="AL53" s="70"/>
      <c r="AM53" s="588"/>
      <c r="AN53" s="19"/>
    </row>
    <row r="54" spans="1:40" s="12" customFormat="1" ht="13" x14ac:dyDescent="0.3">
      <c r="A54" s="10">
        <v>5911</v>
      </c>
      <c r="B54" s="11" t="s">
        <v>485</v>
      </c>
      <c r="C54" s="282">
        <v>851</v>
      </c>
      <c r="D54" s="54">
        <v>433</v>
      </c>
      <c r="E54" s="706">
        <f t="shared" si="1"/>
        <v>0.50881316098707408</v>
      </c>
      <c r="F54" s="273"/>
      <c r="G54" s="488"/>
      <c r="H54" s="572"/>
      <c r="I54" s="276">
        <v>106</v>
      </c>
      <c r="J54" s="282">
        <v>116</v>
      </c>
      <c r="K54" s="283">
        <v>140</v>
      </c>
      <c r="L54" s="276">
        <v>184</v>
      </c>
      <c r="M54" s="278">
        <v>152</v>
      </c>
      <c r="N54" s="582"/>
      <c r="O54" s="588"/>
      <c r="P54" s="582"/>
      <c r="Q54" s="87"/>
      <c r="R54" s="70"/>
      <c r="S54" s="274"/>
      <c r="T54" s="588"/>
      <c r="U54" s="70"/>
      <c r="V54" s="588"/>
      <c r="W54" s="70"/>
      <c r="X54" s="237"/>
      <c r="Y54" s="588"/>
      <c r="Z54" s="70"/>
      <c r="AA54" s="274"/>
      <c r="AB54" s="588"/>
      <c r="AC54" s="70"/>
      <c r="AD54" s="274"/>
      <c r="AE54" s="588"/>
      <c r="AF54" s="70"/>
      <c r="AG54" s="274"/>
      <c r="AH54" s="588"/>
      <c r="AI54" s="70"/>
      <c r="AJ54" s="237"/>
      <c r="AK54" s="87"/>
      <c r="AL54" s="70"/>
      <c r="AM54" s="588"/>
      <c r="AN54" s="19"/>
    </row>
    <row r="55" spans="1:40" s="12" customFormat="1" ht="13" x14ac:dyDescent="0.3">
      <c r="A55" s="10">
        <v>5912</v>
      </c>
      <c r="B55" s="11" t="s">
        <v>486</v>
      </c>
      <c r="C55" s="282">
        <v>1183</v>
      </c>
      <c r="D55" s="54">
        <v>758</v>
      </c>
      <c r="E55" s="706">
        <f t="shared" si="1"/>
        <v>0.6407438715131023</v>
      </c>
      <c r="F55" s="273"/>
      <c r="G55" s="488"/>
      <c r="H55" s="572"/>
      <c r="I55" s="276">
        <v>110</v>
      </c>
      <c r="J55" s="282">
        <v>209</v>
      </c>
      <c r="K55" s="283">
        <v>328</v>
      </c>
      <c r="L55" s="276">
        <v>437</v>
      </c>
      <c r="M55" s="278">
        <v>170</v>
      </c>
      <c r="N55" s="582"/>
      <c r="O55" s="588"/>
      <c r="P55" s="582"/>
      <c r="Q55" s="87"/>
      <c r="R55" s="70"/>
      <c r="S55" s="274"/>
      <c r="T55" s="588"/>
      <c r="U55" s="70"/>
      <c r="V55" s="588"/>
      <c r="W55" s="70"/>
      <c r="X55" s="237"/>
      <c r="Y55" s="588"/>
      <c r="Z55" s="70"/>
      <c r="AA55" s="274"/>
      <c r="AB55" s="588"/>
      <c r="AC55" s="70"/>
      <c r="AD55" s="274"/>
      <c r="AE55" s="588"/>
      <c r="AF55" s="70"/>
      <c r="AG55" s="274"/>
      <c r="AH55" s="588"/>
      <c r="AI55" s="70"/>
      <c r="AJ55" s="237"/>
      <c r="AK55" s="87"/>
      <c r="AL55" s="70"/>
      <c r="AM55" s="588"/>
      <c r="AN55" s="19"/>
    </row>
    <row r="56" spans="1:40" s="12" customFormat="1" ht="13" x14ac:dyDescent="0.3">
      <c r="A56" s="10">
        <v>5913</v>
      </c>
      <c r="B56" s="11" t="s">
        <v>487</v>
      </c>
      <c r="C56" s="282">
        <v>1034</v>
      </c>
      <c r="D56" s="54">
        <v>409</v>
      </c>
      <c r="E56" s="706">
        <f t="shared" si="1"/>
        <v>0.39555125725338491</v>
      </c>
      <c r="F56" s="273"/>
      <c r="G56" s="488"/>
      <c r="H56" s="572"/>
      <c r="I56" s="276">
        <v>144</v>
      </c>
      <c r="J56" s="282">
        <v>106</v>
      </c>
      <c r="K56" s="283">
        <v>88</v>
      </c>
      <c r="L56" s="276">
        <v>141</v>
      </c>
      <c r="M56" s="278">
        <v>194</v>
      </c>
      <c r="N56" s="582"/>
      <c r="O56" s="588"/>
      <c r="P56" s="582"/>
      <c r="Q56" s="87"/>
      <c r="R56" s="70"/>
      <c r="S56" s="274"/>
      <c r="T56" s="588"/>
      <c r="U56" s="70"/>
      <c r="V56" s="588"/>
      <c r="W56" s="70"/>
      <c r="X56" s="237"/>
      <c r="Y56" s="588"/>
      <c r="Z56" s="70"/>
      <c r="AA56" s="274"/>
      <c r="AB56" s="588"/>
      <c r="AC56" s="70"/>
      <c r="AD56" s="274"/>
      <c r="AE56" s="588"/>
      <c r="AF56" s="70"/>
      <c r="AG56" s="274"/>
      <c r="AH56" s="588"/>
      <c r="AI56" s="70"/>
      <c r="AJ56" s="237"/>
      <c r="AK56" s="87"/>
      <c r="AL56" s="70"/>
      <c r="AM56" s="588"/>
      <c r="AN56" s="19"/>
    </row>
    <row r="57" spans="1:40" s="12" customFormat="1" ht="13" x14ac:dyDescent="0.3">
      <c r="A57" s="10">
        <v>5914</v>
      </c>
      <c r="B57" s="11" t="s">
        <v>488</v>
      </c>
      <c r="C57" s="282">
        <v>1359</v>
      </c>
      <c r="D57" s="54">
        <v>732</v>
      </c>
      <c r="E57" s="706">
        <f t="shared" si="1"/>
        <v>0.53863134657836642</v>
      </c>
      <c r="F57" s="273"/>
      <c r="G57" s="488"/>
      <c r="H57" s="572"/>
      <c r="I57" s="276">
        <v>155</v>
      </c>
      <c r="J57" s="282">
        <v>202</v>
      </c>
      <c r="K57" s="283">
        <v>237</v>
      </c>
      <c r="L57" s="276">
        <v>341</v>
      </c>
      <c r="M57" s="278">
        <v>210</v>
      </c>
      <c r="N57" s="582"/>
      <c r="O57" s="588"/>
      <c r="P57" s="582"/>
      <c r="Q57" s="87"/>
      <c r="R57" s="70"/>
      <c r="S57" s="274"/>
      <c r="T57" s="588"/>
      <c r="U57" s="70"/>
      <c r="V57" s="588"/>
      <c r="W57" s="70"/>
      <c r="X57" s="237"/>
      <c r="Y57" s="588"/>
      <c r="Z57" s="70"/>
      <c r="AA57" s="274"/>
      <c r="AB57" s="588"/>
      <c r="AC57" s="70"/>
      <c r="AD57" s="274"/>
      <c r="AE57" s="588"/>
      <c r="AF57" s="70"/>
      <c r="AG57" s="274"/>
      <c r="AH57" s="588"/>
      <c r="AI57" s="70"/>
      <c r="AJ57" s="237"/>
      <c r="AK57" s="87"/>
      <c r="AL57" s="70"/>
      <c r="AM57" s="588"/>
      <c r="AN57" s="19"/>
    </row>
    <row r="58" spans="1:40" s="12" customFormat="1" ht="13" x14ac:dyDescent="0.3">
      <c r="A58" s="10">
        <v>5915</v>
      </c>
      <c r="B58" s="11" t="s">
        <v>489</v>
      </c>
      <c r="C58" s="282">
        <v>566</v>
      </c>
      <c r="D58" s="54">
        <v>273</v>
      </c>
      <c r="E58" s="706">
        <f t="shared" si="1"/>
        <v>0.48233215547703179</v>
      </c>
      <c r="F58" s="273"/>
      <c r="G58" s="488"/>
      <c r="H58" s="572"/>
      <c r="I58" s="276">
        <v>57</v>
      </c>
      <c r="J58" s="282">
        <v>62</v>
      </c>
      <c r="K58" s="283">
        <v>93</v>
      </c>
      <c r="L58" s="276">
        <v>140</v>
      </c>
      <c r="M58" s="278">
        <v>67</v>
      </c>
      <c r="N58" s="582"/>
      <c r="O58" s="588"/>
      <c r="P58" s="582"/>
      <c r="Q58" s="87"/>
      <c r="R58" s="70"/>
      <c r="S58" s="274"/>
      <c r="T58" s="588"/>
      <c r="U58" s="70"/>
      <c r="V58" s="588"/>
      <c r="W58" s="70"/>
      <c r="X58" s="237"/>
      <c r="Y58" s="588"/>
      <c r="Z58" s="70"/>
      <c r="AA58" s="274"/>
      <c r="AB58" s="588"/>
      <c r="AC58" s="70"/>
      <c r="AD58" s="274"/>
      <c r="AE58" s="588"/>
      <c r="AF58" s="70"/>
      <c r="AG58" s="274"/>
      <c r="AH58" s="588"/>
      <c r="AI58" s="70"/>
      <c r="AJ58" s="237"/>
      <c r="AK58" s="87"/>
      <c r="AL58" s="70"/>
      <c r="AM58" s="588"/>
      <c r="AN58" s="19"/>
    </row>
    <row r="59" spans="1:40" s="12" customFormat="1" ht="13" x14ac:dyDescent="0.3">
      <c r="A59" s="10">
        <v>5916</v>
      </c>
      <c r="B59" s="11" t="s">
        <v>490</v>
      </c>
      <c r="C59" s="282">
        <v>521</v>
      </c>
      <c r="D59" s="54">
        <v>235</v>
      </c>
      <c r="E59" s="706">
        <f t="shared" si="1"/>
        <v>0.45105566218809978</v>
      </c>
      <c r="F59" s="273"/>
      <c r="G59" s="488"/>
      <c r="H59" s="572"/>
      <c r="I59" s="276">
        <v>103</v>
      </c>
      <c r="J59" s="282">
        <v>39</v>
      </c>
      <c r="K59" s="283">
        <v>59</v>
      </c>
      <c r="L59" s="276">
        <v>79</v>
      </c>
      <c r="M59" s="278">
        <v>114</v>
      </c>
      <c r="N59" s="582"/>
      <c r="O59" s="588"/>
      <c r="P59" s="582"/>
      <c r="Q59" s="87"/>
      <c r="R59" s="70"/>
      <c r="S59" s="274"/>
      <c r="T59" s="588"/>
      <c r="U59" s="70"/>
      <c r="V59" s="588"/>
      <c r="W59" s="70"/>
      <c r="X59" s="237"/>
      <c r="Y59" s="588"/>
      <c r="Z59" s="70"/>
      <c r="AA59" s="274"/>
      <c r="AB59" s="588"/>
      <c r="AC59" s="70"/>
      <c r="AD59" s="274"/>
      <c r="AE59" s="588"/>
      <c r="AF59" s="70"/>
      <c r="AG59" s="274"/>
      <c r="AH59" s="588"/>
      <c r="AI59" s="70"/>
      <c r="AJ59" s="237"/>
      <c r="AK59" s="87"/>
      <c r="AL59" s="70"/>
      <c r="AM59" s="588"/>
      <c r="AN59" s="19"/>
    </row>
    <row r="60" spans="1:40" s="12" customFormat="1" ht="13" x14ac:dyDescent="0.3">
      <c r="A60" s="10">
        <v>5917</v>
      </c>
      <c r="B60" s="11" t="s">
        <v>491</v>
      </c>
      <c r="C60" s="282">
        <v>1182</v>
      </c>
      <c r="D60" s="54">
        <v>748</v>
      </c>
      <c r="E60" s="706">
        <f t="shared" si="1"/>
        <v>0.63282571912013541</v>
      </c>
      <c r="F60" s="273"/>
      <c r="G60" s="488"/>
      <c r="H60" s="572"/>
      <c r="I60" s="276">
        <v>105</v>
      </c>
      <c r="J60" s="282">
        <v>188</v>
      </c>
      <c r="K60" s="283">
        <v>314</v>
      </c>
      <c r="L60" s="276">
        <v>428</v>
      </c>
      <c r="M60" s="278">
        <v>145</v>
      </c>
      <c r="N60" s="582"/>
      <c r="O60" s="588"/>
      <c r="P60" s="582"/>
      <c r="Q60" s="87"/>
      <c r="R60" s="70"/>
      <c r="S60" s="274"/>
      <c r="T60" s="588"/>
      <c r="U60" s="70"/>
      <c r="V60" s="588"/>
      <c r="W60" s="70"/>
      <c r="X60" s="237"/>
      <c r="Y60" s="588"/>
      <c r="Z60" s="70"/>
      <c r="AA60" s="274"/>
      <c r="AB60" s="588"/>
      <c r="AC60" s="70"/>
      <c r="AD60" s="274"/>
      <c r="AE60" s="588"/>
      <c r="AF60" s="70"/>
      <c r="AG60" s="274"/>
      <c r="AH60" s="588"/>
      <c r="AI60" s="70"/>
      <c r="AJ60" s="237"/>
      <c r="AK60" s="87"/>
      <c r="AL60" s="70"/>
      <c r="AM60" s="588"/>
      <c r="AN60" s="19"/>
    </row>
    <row r="61" spans="1:40" s="12" customFormat="1" ht="13" x14ac:dyDescent="0.3">
      <c r="A61" s="10">
        <v>5918</v>
      </c>
      <c r="B61" s="11" t="s">
        <v>492</v>
      </c>
      <c r="C61" s="282">
        <v>1238</v>
      </c>
      <c r="D61" s="54">
        <v>524</v>
      </c>
      <c r="E61" s="706">
        <f t="shared" si="1"/>
        <v>0.42326332794830374</v>
      </c>
      <c r="F61" s="273"/>
      <c r="G61" s="488"/>
      <c r="H61" s="572"/>
      <c r="I61" s="276">
        <v>154</v>
      </c>
      <c r="J61" s="282">
        <v>118</v>
      </c>
      <c r="K61" s="283">
        <v>165</v>
      </c>
      <c r="L61" s="276">
        <v>224</v>
      </c>
      <c r="M61" s="278">
        <v>198</v>
      </c>
      <c r="N61" s="582"/>
      <c r="O61" s="588"/>
      <c r="P61" s="582"/>
      <c r="Q61" s="87"/>
      <c r="R61" s="70"/>
      <c r="S61" s="274"/>
      <c r="T61" s="588"/>
      <c r="U61" s="70"/>
      <c r="V61" s="588"/>
      <c r="W61" s="70"/>
      <c r="X61" s="237"/>
      <c r="Y61" s="588"/>
      <c r="Z61" s="70"/>
      <c r="AA61" s="274"/>
      <c r="AB61" s="588"/>
      <c r="AC61" s="70"/>
      <c r="AD61" s="274"/>
      <c r="AE61" s="588"/>
      <c r="AF61" s="70"/>
      <c r="AG61" s="274"/>
      <c r="AH61" s="588"/>
      <c r="AI61" s="70"/>
      <c r="AJ61" s="237"/>
      <c r="AK61" s="87"/>
      <c r="AL61" s="70"/>
      <c r="AM61" s="588"/>
      <c r="AN61" s="19"/>
    </row>
    <row r="62" spans="1:40" s="12" customFormat="1" ht="13" x14ac:dyDescent="0.3">
      <c r="A62" s="10">
        <v>5919</v>
      </c>
      <c r="B62" s="11" t="s">
        <v>493</v>
      </c>
      <c r="C62" s="282">
        <v>1165</v>
      </c>
      <c r="D62" s="54">
        <v>633</v>
      </c>
      <c r="E62" s="706">
        <f t="shared" si="1"/>
        <v>0.54334763948497855</v>
      </c>
      <c r="F62" s="273"/>
      <c r="G62" s="488"/>
      <c r="H62" s="572"/>
      <c r="I62" s="276">
        <v>131</v>
      </c>
      <c r="J62" s="282">
        <v>134</v>
      </c>
      <c r="K62" s="283">
        <v>272</v>
      </c>
      <c r="L62" s="276">
        <v>341</v>
      </c>
      <c r="M62" s="278">
        <v>163</v>
      </c>
      <c r="N62" s="582"/>
      <c r="O62" s="588"/>
      <c r="P62" s="582"/>
      <c r="Q62" s="87"/>
      <c r="R62" s="70"/>
      <c r="S62" s="274"/>
      <c r="T62" s="588"/>
      <c r="U62" s="70"/>
      <c r="V62" s="588"/>
      <c r="W62" s="70"/>
      <c r="X62" s="237"/>
      <c r="Y62" s="588"/>
      <c r="Z62" s="70"/>
      <c r="AA62" s="274"/>
      <c r="AB62" s="588"/>
      <c r="AC62" s="70"/>
      <c r="AD62" s="274"/>
      <c r="AE62" s="588"/>
      <c r="AF62" s="70"/>
      <c r="AG62" s="274"/>
      <c r="AH62" s="588"/>
      <c r="AI62" s="70"/>
      <c r="AJ62" s="237"/>
      <c r="AK62" s="87"/>
      <c r="AL62" s="70"/>
      <c r="AM62" s="588"/>
      <c r="AN62" s="19"/>
    </row>
    <row r="63" spans="1:40" s="12" customFormat="1" ht="13" x14ac:dyDescent="0.3">
      <c r="A63" s="10">
        <v>5920</v>
      </c>
      <c r="B63" s="11" t="s">
        <v>494</v>
      </c>
      <c r="C63" s="282">
        <v>1193</v>
      </c>
      <c r="D63" s="54">
        <v>494</v>
      </c>
      <c r="E63" s="706">
        <f t="shared" si="1"/>
        <v>0.41408214585079633</v>
      </c>
      <c r="F63" s="273"/>
      <c r="G63" s="488"/>
      <c r="H63" s="572"/>
      <c r="I63" s="276">
        <v>210</v>
      </c>
      <c r="J63" s="282">
        <v>93</v>
      </c>
      <c r="K63" s="283">
        <v>115</v>
      </c>
      <c r="L63" s="276">
        <v>172</v>
      </c>
      <c r="M63" s="278">
        <v>223</v>
      </c>
      <c r="N63" s="582"/>
      <c r="O63" s="588"/>
      <c r="P63" s="582"/>
      <c r="Q63" s="87"/>
      <c r="R63" s="70"/>
      <c r="S63" s="274"/>
      <c r="T63" s="588"/>
      <c r="U63" s="70"/>
      <c r="V63" s="588"/>
      <c r="W63" s="70"/>
      <c r="X63" s="237"/>
      <c r="Y63" s="588"/>
      <c r="Z63" s="70"/>
      <c r="AA63" s="274"/>
      <c r="AB63" s="588"/>
      <c r="AC63" s="70"/>
      <c r="AD63" s="274"/>
      <c r="AE63" s="588"/>
      <c r="AF63" s="70"/>
      <c r="AG63" s="274"/>
      <c r="AH63" s="588"/>
      <c r="AI63" s="70"/>
      <c r="AJ63" s="237"/>
      <c r="AK63" s="87"/>
      <c r="AL63" s="70"/>
      <c r="AM63" s="588"/>
      <c r="AN63" s="19"/>
    </row>
    <row r="64" spans="1:40" s="12" customFormat="1" ht="13" x14ac:dyDescent="0.3">
      <c r="A64" s="10">
        <v>5921</v>
      </c>
      <c r="B64" s="11" t="s">
        <v>495</v>
      </c>
      <c r="C64" s="282">
        <v>957</v>
      </c>
      <c r="D64" s="54">
        <v>480</v>
      </c>
      <c r="E64" s="706">
        <f t="shared" si="1"/>
        <v>0.50156739811912221</v>
      </c>
      <c r="F64" s="273"/>
      <c r="G64" s="488"/>
      <c r="H64" s="572"/>
      <c r="I64" s="276">
        <v>138</v>
      </c>
      <c r="J64" s="282">
        <v>99</v>
      </c>
      <c r="K64" s="283">
        <v>140</v>
      </c>
      <c r="L64" s="276">
        <v>174</v>
      </c>
      <c r="M64" s="278">
        <v>163</v>
      </c>
      <c r="N64" s="582"/>
      <c r="O64" s="588"/>
      <c r="P64" s="582"/>
      <c r="Q64" s="87"/>
      <c r="R64" s="70"/>
      <c r="S64" s="274"/>
      <c r="T64" s="588"/>
      <c r="U64" s="70"/>
      <c r="V64" s="588"/>
      <c r="W64" s="70"/>
      <c r="X64" s="237"/>
      <c r="Y64" s="588"/>
      <c r="Z64" s="70"/>
      <c r="AA64" s="274"/>
      <c r="AB64" s="588"/>
      <c r="AC64" s="70"/>
      <c r="AD64" s="274"/>
      <c r="AE64" s="588"/>
      <c r="AF64" s="70"/>
      <c r="AG64" s="274"/>
      <c r="AH64" s="588"/>
      <c r="AI64" s="70"/>
      <c r="AJ64" s="237"/>
      <c r="AK64" s="87"/>
      <c r="AL64" s="70"/>
      <c r="AM64" s="588"/>
      <c r="AN64" s="19"/>
    </row>
    <row r="65" spans="1:40" s="12" customFormat="1" ht="13" x14ac:dyDescent="0.3">
      <c r="A65" s="10">
        <v>5922</v>
      </c>
      <c r="B65" s="11" t="s">
        <v>496</v>
      </c>
      <c r="C65" s="282">
        <v>1150</v>
      </c>
      <c r="D65" s="54">
        <v>495</v>
      </c>
      <c r="E65" s="706">
        <f t="shared" si="1"/>
        <v>0.43043478260869567</v>
      </c>
      <c r="F65" s="273"/>
      <c r="G65" s="488"/>
      <c r="H65" s="572"/>
      <c r="I65" s="276">
        <v>137</v>
      </c>
      <c r="J65" s="282">
        <v>133</v>
      </c>
      <c r="K65" s="283">
        <v>116</v>
      </c>
      <c r="L65" s="276">
        <v>183</v>
      </c>
      <c r="M65" s="278">
        <v>183</v>
      </c>
      <c r="N65" s="582"/>
      <c r="O65" s="588"/>
      <c r="P65" s="582"/>
      <c r="Q65" s="87"/>
      <c r="R65" s="70"/>
      <c r="S65" s="274"/>
      <c r="T65" s="588"/>
      <c r="U65" s="70"/>
      <c r="V65" s="588"/>
      <c r="W65" s="70"/>
      <c r="X65" s="237"/>
      <c r="Y65" s="588"/>
      <c r="Z65" s="70"/>
      <c r="AA65" s="274"/>
      <c r="AB65" s="588"/>
      <c r="AC65" s="70"/>
      <c r="AD65" s="274"/>
      <c r="AE65" s="588"/>
      <c r="AF65" s="70"/>
      <c r="AG65" s="274"/>
      <c r="AH65" s="588"/>
      <c r="AI65" s="70"/>
      <c r="AJ65" s="237"/>
      <c r="AK65" s="87"/>
      <c r="AL65" s="70"/>
      <c r="AM65" s="588"/>
      <c r="AN65" s="19"/>
    </row>
    <row r="66" spans="1:40" s="12" customFormat="1" ht="13" x14ac:dyDescent="0.3">
      <c r="A66" s="10">
        <v>5923</v>
      </c>
      <c r="B66" s="11" t="s">
        <v>497</v>
      </c>
      <c r="C66" s="282">
        <v>694</v>
      </c>
      <c r="D66" s="54">
        <v>224</v>
      </c>
      <c r="E66" s="706">
        <f t="shared" si="1"/>
        <v>0.32276657060518732</v>
      </c>
      <c r="F66" s="273"/>
      <c r="G66" s="488"/>
      <c r="H66" s="572"/>
      <c r="I66" s="276">
        <v>86</v>
      </c>
      <c r="J66" s="282">
        <v>61</v>
      </c>
      <c r="K66" s="283">
        <v>43</v>
      </c>
      <c r="L66" s="276">
        <v>73</v>
      </c>
      <c r="M66" s="278">
        <v>114</v>
      </c>
      <c r="N66" s="582"/>
      <c r="O66" s="588"/>
      <c r="P66" s="582"/>
      <c r="Q66" s="87"/>
      <c r="R66" s="70"/>
      <c r="S66" s="274"/>
      <c r="T66" s="588"/>
      <c r="U66" s="70"/>
      <c r="V66" s="588"/>
      <c r="W66" s="70"/>
      <c r="X66" s="237"/>
      <c r="Y66" s="588"/>
      <c r="Z66" s="70"/>
      <c r="AA66" s="274"/>
      <c r="AB66" s="588"/>
      <c r="AC66" s="70"/>
      <c r="AD66" s="274"/>
      <c r="AE66" s="588"/>
      <c r="AF66" s="70"/>
      <c r="AG66" s="274"/>
      <c r="AH66" s="588"/>
      <c r="AI66" s="70"/>
      <c r="AJ66" s="237"/>
      <c r="AK66" s="87"/>
      <c r="AL66" s="70"/>
      <c r="AM66" s="588"/>
      <c r="AN66" s="19"/>
    </row>
    <row r="67" spans="1:40" s="12" customFormat="1" ht="13" x14ac:dyDescent="0.3">
      <c r="A67" s="10">
        <v>5924</v>
      </c>
      <c r="B67" s="11" t="s">
        <v>498</v>
      </c>
      <c r="C67" s="282">
        <v>1126</v>
      </c>
      <c r="D67" s="54">
        <v>464</v>
      </c>
      <c r="E67" s="706">
        <f t="shared" si="1"/>
        <v>0.41207815275310833</v>
      </c>
      <c r="F67" s="273"/>
      <c r="G67" s="488"/>
      <c r="H67" s="572"/>
      <c r="I67" s="276">
        <v>195</v>
      </c>
      <c r="J67" s="282">
        <v>77</v>
      </c>
      <c r="K67" s="283">
        <v>113</v>
      </c>
      <c r="L67" s="276">
        <v>167</v>
      </c>
      <c r="M67" s="278">
        <v>199</v>
      </c>
      <c r="N67" s="582"/>
      <c r="O67" s="588"/>
      <c r="P67" s="582"/>
      <c r="Q67" s="87"/>
      <c r="R67" s="70"/>
      <c r="S67" s="274"/>
      <c r="T67" s="588"/>
      <c r="U67" s="70"/>
      <c r="V67" s="588"/>
      <c r="W67" s="70"/>
      <c r="X67" s="237"/>
      <c r="Y67" s="588"/>
      <c r="Z67" s="70"/>
      <c r="AA67" s="274"/>
      <c r="AB67" s="588"/>
      <c r="AC67" s="70"/>
      <c r="AD67" s="274"/>
      <c r="AE67" s="588"/>
      <c r="AF67" s="70"/>
      <c r="AG67" s="274"/>
      <c r="AH67" s="588"/>
      <c r="AI67" s="70"/>
      <c r="AJ67" s="237"/>
      <c r="AK67" s="87"/>
      <c r="AL67" s="70"/>
      <c r="AM67" s="588"/>
      <c r="AN67" s="19"/>
    </row>
    <row r="68" spans="1:40" s="12" customFormat="1" ht="13" x14ac:dyDescent="0.3">
      <c r="A68" s="10">
        <v>5925</v>
      </c>
      <c r="B68" s="11" t="s">
        <v>499</v>
      </c>
      <c r="C68" s="282">
        <v>1242</v>
      </c>
      <c r="D68" s="54">
        <v>489</v>
      </c>
      <c r="E68" s="706">
        <f t="shared" si="1"/>
        <v>0.39371980676328505</v>
      </c>
      <c r="F68" s="273"/>
      <c r="G68" s="488"/>
      <c r="H68" s="572"/>
      <c r="I68" s="276">
        <v>214</v>
      </c>
      <c r="J68" s="282">
        <v>111</v>
      </c>
      <c r="K68" s="283">
        <v>98</v>
      </c>
      <c r="L68" s="276">
        <v>162</v>
      </c>
      <c r="M68" s="278">
        <v>239</v>
      </c>
      <c r="N68" s="582"/>
      <c r="O68" s="588"/>
      <c r="P68" s="582"/>
      <c r="Q68" s="87"/>
      <c r="R68" s="70"/>
      <c r="S68" s="274"/>
      <c r="T68" s="588"/>
      <c r="U68" s="70"/>
      <c r="V68" s="588"/>
      <c r="W68" s="70"/>
      <c r="X68" s="237"/>
      <c r="Y68" s="588"/>
      <c r="Z68" s="70"/>
      <c r="AA68" s="274"/>
      <c r="AB68" s="588"/>
      <c r="AC68" s="70"/>
      <c r="AD68" s="274"/>
      <c r="AE68" s="588"/>
      <c r="AF68" s="70"/>
      <c r="AG68" s="274"/>
      <c r="AH68" s="588"/>
      <c r="AI68" s="70"/>
      <c r="AJ68" s="237"/>
      <c r="AK68" s="87"/>
      <c r="AL68" s="70"/>
      <c r="AM68" s="588"/>
      <c r="AN68" s="19"/>
    </row>
    <row r="69" spans="1:40" s="12" customFormat="1" ht="13" x14ac:dyDescent="0.3">
      <c r="A69" s="10">
        <v>5926</v>
      </c>
      <c r="B69" s="11" t="s">
        <v>500</v>
      </c>
      <c r="C69" s="282">
        <v>1325</v>
      </c>
      <c r="D69" s="54">
        <v>539</v>
      </c>
      <c r="E69" s="706">
        <f t="shared" si="1"/>
        <v>0.40679245283018867</v>
      </c>
      <c r="F69" s="273"/>
      <c r="G69" s="488"/>
      <c r="H69" s="572"/>
      <c r="I69" s="276">
        <v>213</v>
      </c>
      <c r="J69" s="282">
        <v>112</v>
      </c>
      <c r="K69" s="283">
        <v>129</v>
      </c>
      <c r="L69" s="276">
        <v>169</v>
      </c>
      <c r="M69" s="278">
        <v>281</v>
      </c>
      <c r="N69" s="582"/>
      <c r="O69" s="588"/>
      <c r="P69" s="582"/>
      <c r="Q69" s="87"/>
      <c r="R69" s="70"/>
      <c r="S69" s="274"/>
      <c r="T69" s="588"/>
      <c r="U69" s="70"/>
      <c r="V69" s="588"/>
      <c r="W69" s="70"/>
      <c r="X69" s="237"/>
      <c r="Y69" s="588"/>
      <c r="Z69" s="70"/>
      <c r="AA69" s="274"/>
      <c r="AB69" s="588"/>
      <c r="AC69" s="70"/>
      <c r="AD69" s="274"/>
      <c r="AE69" s="588"/>
      <c r="AF69" s="70"/>
      <c r="AG69" s="274"/>
      <c r="AH69" s="588"/>
      <c r="AI69" s="70"/>
      <c r="AJ69" s="237"/>
      <c r="AK69" s="87"/>
      <c r="AL69" s="70"/>
      <c r="AM69" s="588"/>
      <c r="AN69" s="19"/>
    </row>
    <row r="70" spans="1:40" s="12" customFormat="1" ht="13" x14ac:dyDescent="0.3">
      <c r="A70" s="10">
        <v>5927</v>
      </c>
      <c r="B70" s="11" t="s">
        <v>501</v>
      </c>
      <c r="C70" s="282">
        <v>1102</v>
      </c>
      <c r="D70" s="54">
        <v>743</v>
      </c>
      <c r="E70" s="706">
        <f t="shared" si="1"/>
        <v>0.67422867513611617</v>
      </c>
      <c r="F70" s="273"/>
      <c r="G70" s="488"/>
      <c r="H70" s="572"/>
      <c r="I70" s="276">
        <v>116</v>
      </c>
      <c r="J70" s="282">
        <v>180</v>
      </c>
      <c r="K70" s="283">
        <v>291</v>
      </c>
      <c r="L70" s="276">
        <v>409</v>
      </c>
      <c r="M70" s="278">
        <v>136</v>
      </c>
      <c r="N70" s="582"/>
      <c r="O70" s="588"/>
      <c r="P70" s="582"/>
      <c r="Q70" s="87"/>
      <c r="R70" s="70"/>
      <c r="S70" s="274"/>
      <c r="T70" s="588"/>
      <c r="U70" s="70"/>
      <c r="V70" s="588"/>
      <c r="W70" s="70"/>
      <c r="X70" s="237"/>
      <c r="Y70" s="588"/>
      <c r="Z70" s="70"/>
      <c r="AA70" s="274"/>
      <c r="AB70" s="588"/>
      <c r="AC70" s="70"/>
      <c r="AD70" s="274"/>
      <c r="AE70" s="588"/>
      <c r="AF70" s="70"/>
      <c r="AG70" s="274"/>
      <c r="AH70" s="588"/>
      <c r="AI70" s="70"/>
      <c r="AJ70" s="237"/>
      <c r="AK70" s="87"/>
      <c r="AL70" s="70"/>
      <c r="AM70" s="588"/>
      <c r="AN70" s="19"/>
    </row>
    <row r="71" spans="1:40" s="12" customFormat="1" ht="13" x14ac:dyDescent="0.3">
      <c r="A71" s="10">
        <v>5928</v>
      </c>
      <c r="B71" s="11" t="s">
        <v>502</v>
      </c>
      <c r="C71" s="282">
        <v>1306</v>
      </c>
      <c r="D71" s="54">
        <v>730</v>
      </c>
      <c r="E71" s="706">
        <f t="shared" si="1"/>
        <v>0.55895865237366005</v>
      </c>
      <c r="F71" s="273"/>
      <c r="G71" s="488"/>
      <c r="H71" s="572"/>
      <c r="I71" s="276">
        <v>150</v>
      </c>
      <c r="J71" s="282">
        <v>173</v>
      </c>
      <c r="K71" s="283">
        <v>279</v>
      </c>
      <c r="L71" s="276">
        <v>402</v>
      </c>
      <c r="M71" s="278">
        <v>171</v>
      </c>
      <c r="N71" s="582"/>
      <c r="O71" s="588"/>
      <c r="P71" s="582"/>
      <c r="Q71" s="87"/>
      <c r="R71" s="70"/>
      <c r="S71" s="274"/>
      <c r="T71" s="588"/>
      <c r="U71" s="70"/>
      <c r="V71" s="588"/>
      <c r="W71" s="70"/>
      <c r="X71" s="237"/>
      <c r="Y71" s="588"/>
      <c r="Z71" s="70"/>
      <c r="AA71" s="274"/>
      <c r="AB71" s="588"/>
      <c r="AC71" s="70"/>
      <c r="AD71" s="274"/>
      <c r="AE71" s="588"/>
      <c r="AF71" s="70"/>
      <c r="AG71" s="274"/>
      <c r="AH71" s="588"/>
      <c r="AI71" s="70"/>
      <c r="AJ71" s="237"/>
      <c r="AK71" s="87"/>
      <c r="AL71" s="70"/>
      <c r="AM71" s="588"/>
      <c r="AN71" s="19"/>
    </row>
    <row r="72" spans="1:40" s="12" customFormat="1" ht="13" x14ac:dyDescent="0.3">
      <c r="A72" s="10">
        <v>5929</v>
      </c>
      <c r="B72" s="11" t="s">
        <v>503</v>
      </c>
      <c r="C72" s="282">
        <v>1172</v>
      </c>
      <c r="D72" s="54">
        <v>338</v>
      </c>
      <c r="E72" s="706">
        <f t="shared" si="1"/>
        <v>0.28839590443686008</v>
      </c>
      <c r="F72" s="273"/>
      <c r="G72" s="488"/>
      <c r="H72" s="572"/>
      <c r="I72" s="276">
        <v>110</v>
      </c>
      <c r="J72" s="282">
        <v>66</v>
      </c>
      <c r="K72" s="283">
        <v>91</v>
      </c>
      <c r="L72" s="276">
        <v>132</v>
      </c>
      <c r="M72" s="278">
        <v>131</v>
      </c>
      <c r="N72" s="582"/>
      <c r="O72" s="588"/>
      <c r="P72" s="582"/>
      <c r="Q72" s="87"/>
      <c r="R72" s="70"/>
      <c r="S72" s="274"/>
      <c r="T72" s="588"/>
      <c r="U72" s="70"/>
      <c r="V72" s="588"/>
      <c r="W72" s="70"/>
      <c r="X72" s="237"/>
      <c r="Y72" s="588"/>
      <c r="Z72" s="70"/>
      <c r="AA72" s="274"/>
      <c r="AB72" s="588"/>
      <c r="AC72" s="70"/>
      <c r="AD72" s="274"/>
      <c r="AE72" s="588"/>
      <c r="AF72" s="70"/>
      <c r="AG72" s="274"/>
      <c r="AH72" s="588"/>
      <c r="AI72" s="70"/>
      <c r="AJ72" s="237"/>
      <c r="AK72" s="87"/>
      <c r="AL72" s="70"/>
      <c r="AM72" s="588"/>
      <c r="AN72" s="19"/>
    </row>
    <row r="73" spans="1:40" s="12" customFormat="1" ht="13" x14ac:dyDescent="0.3">
      <c r="A73" s="10">
        <v>5930</v>
      </c>
      <c r="B73" s="11" t="s">
        <v>504</v>
      </c>
      <c r="C73" s="282">
        <v>966</v>
      </c>
      <c r="D73" s="54">
        <v>352</v>
      </c>
      <c r="E73" s="706">
        <f t="shared" si="1"/>
        <v>0.36438923395445133</v>
      </c>
      <c r="F73" s="273"/>
      <c r="G73" s="488"/>
      <c r="H73" s="572"/>
      <c r="I73" s="276">
        <v>212</v>
      </c>
      <c r="J73" s="282">
        <v>42</v>
      </c>
      <c r="K73" s="283">
        <v>60</v>
      </c>
      <c r="L73" s="276">
        <v>71</v>
      </c>
      <c r="M73" s="278">
        <v>240</v>
      </c>
      <c r="N73" s="582"/>
      <c r="O73" s="588"/>
      <c r="P73" s="582"/>
      <c r="Q73" s="87"/>
      <c r="R73" s="70"/>
      <c r="S73" s="274"/>
      <c r="T73" s="588"/>
      <c r="U73" s="70"/>
      <c r="V73" s="588"/>
      <c r="W73" s="70"/>
      <c r="X73" s="237"/>
      <c r="Y73" s="588"/>
      <c r="Z73" s="70"/>
      <c r="AA73" s="274"/>
      <c r="AB73" s="588"/>
      <c r="AC73" s="70"/>
      <c r="AD73" s="274"/>
      <c r="AE73" s="588"/>
      <c r="AF73" s="70"/>
      <c r="AG73" s="274"/>
      <c r="AH73" s="588"/>
      <c r="AI73" s="70"/>
      <c r="AJ73" s="237"/>
      <c r="AK73" s="87"/>
      <c r="AL73" s="70"/>
      <c r="AM73" s="588"/>
      <c r="AN73" s="19"/>
    </row>
    <row r="74" spans="1:40" s="12" customFormat="1" ht="13" x14ac:dyDescent="0.3">
      <c r="A74" s="10">
        <v>5931</v>
      </c>
      <c r="B74" s="11" t="s">
        <v>505</v>
      </c>
      <c r="C74" s="282">
        <v>1175</v>
      </c>
      <c r="D74" s="54">
        <v>524</v>
      </c>
      <c r="E74" s="706">
        <f t="shared" si="1"/>
        <v>0.44595744680851063</v>
      </c>
      <c r="F74" s="273"/>
      <c r="G74" s="488"/>
      <c r="H74" s="572"/>
      <c r="I74" s="276">
        <v>139</v>
      </c>
      <c r="J74" s="282">
        <v>112</v>
      </c>
      <c r="K74" s="283">
        <v>152</v>
      </c>
      <c r="L74" s="276">
        <v>201</v>
      </c>
      <c r="M74" s="278">
        <v>182</v>
      </c>
      <c r="N74" s="582"/>
      <c r="O74" s="588"/>
      <c r="P74" s="582"/>
      <c r="Q74" s="87"/>
      <c r="R74" s="70"/>
      <c r="S74" s="274"/>
      <c r="T74" s="588"/>
      <c r="U74" s="70"/>
      <c r="V74" s="588"/>
      <c r="W74" s="70"/>
      <c r="X74" s="237"/>
      <c r="Y74" s="588"/>
      <c r="Z74" s="70"/>
      <c r="AA74" s="274"/>
      <c r="AB74" s="588"/>
      <c r="AC74" s="70"/>
      <c r="AD74" s="274"/>
      <c r="AE74" s="588"/>
      <c r="AF74" s="70"/>
      <c r="AG74" s="274"/>
      <c r="AH74" s="588"/>
      <c r="AI74" s="70"/>
      <c r="AJ74" s="237"/>
      <c r="AK74" s="87"/>
      <c r="AL74" s="70"/>
      <c r="AM74" s="588"/>
      <c r="AN74" s="19"/>
    </row>
    <row r="75" spans="1:40" s="12" customFormat="1" ht="13" x14ac:dyDescent="0.3">
      <c r="A75" s="10">
        <v>5932</v>
      </c>
      <c r="B75" s="11" t="s">
        <v>506</v>
      </c>
      <c r="C75" s="282">
        <v>480</v>
      </c>
      <c r="D75" s="54">
        <v>178</v>
      </c>
      <c r="E75" s="706">
        <f t="shared" si="1"/>
        <v>0.37083333333333335</v>
      </c>
      <c r="F75" s="273"/>
      <c r="G75" s="488"/>
      <c r="H75" s="572"/>
      <c r="I75" s="276">
        <v>46</v>
      </c>
      <c r="J75" s="282">
        <v>47</v>
      </c>
      <c r="K75" s="283">
        <v>52</v>
      </c>
      <c r="L75" s="276">
        <v>65</v>
      </c>
      <c r="M75" s="278">
        <v>65</v>
      </c>
      <c r="N75" s="582"/>
      <c r="O75" s="588"/>
      <c r="P75" s="582"/>
      <c r="Q75" s="87"/>
      <c r="R75" s="70"/>
      <c r="S75" s="274"/>
      <c r="T75" s="588"/>
      <c r="U75" s="70"/>
      <c r="V75" s="588"/>
      <c r="W75" s="70"/>
      <c r="X75" s="237"/>
      <c r="Y75" s="588"/>
      <c r="Z75" s="70"/>
      <c r="AA75" s="274"/>
      <c r="AB75" s="588"/>
      <c r="AC75" s="70"/>
      <c r="AD75" s="274"/>
      <c r="AE75" s="588"/>
      <c r="AF75" s="70"/>
      <c r="AG75" s="274"/>
      <c r="AH75" s="588"/>
      <c r="AI75" s="70"/>
      <c r="AJ75" s="237"/>
      <c r="AK75" s="87"/>
      <c r="AL75" s="70"/>
      <c r="AM75" s="588"/>
      <c r="AN75" s="19"/>
    </row>
    <row r="76" spans="1:40" s="12" customFormat="1" ht="13" x14ac:dyDescent="0.3">
      <c r="A76" s="10">
        <v>5933</v>
      </c>
      <c r="B76" s="11" t="s">
        <v>507</v>
      </c>
      <c r="C76" s="282">
        <v>1171</v>
      </c>
      <c r="D76" s="54">
        <v>508</v>
      </c>
      <c r="E76" s="706">
        <f t="shared" ref="E76:E137" si="2">SUM(D76/C76)</f>
        <v>0.43381725021349277</v>
      </c>
      <c r="F76" s="273"/>
      <c r="G76" s="488"/>
      <c r="H76" s="572"/>
      <c r="I76" s="276">
        <v>203</v>
      </c>
      <c r="J76" s="282">
        <v>101</v>
      </c>
      <c r="K76" s="283">
        <v>133</v>
      </c>
      <c r="L76" s="276">
        <v>192</v>
      </c>
      <c r="M76" s="278">
        <v>224</v>
      </c>
      <c r="N76" s="582"/>
      <c r="O76" s="588"/>
      <c r="P76" s="582"/>
      <c r="Q76" s="87"/>
      <c r="R76" s="70"/>
      <c r="S76" s="274"/>
      <c r="T76" s="588"/>
      <c r="U76" s="70"/>
      <c r="V76" s="588"/>
      <c r="W76" s="70"/>
      <c r="X76" s="237"/>
      <c r="Y76" s="588"/>
      <c r="Z76" s="70"/>
      <c r="AA76" s="274"/>
      <c r="AB76" s="588"/>
      <c r="AC76" s="70"/>
      <c r="AD76" s="274"/>
      <c r="AE76" s="588"/>
      <c r="AF76" s="70"/>
      <c r="AG76" s="274"/>
      <c r="AH76" s="588"/>
      <c r="AI76" s="70"/>
      <c r="AJ76" s="237"/>
      <c r="AK76" s="87"/>
      <c r="AL76" s="70"/>
      <c r="AM76" s="588"/>
      <c r="AN76" s="19"/>
    </row>
    <row r="77" spans="1:40" s="12" customFormat="1" ht="13" x14ac:dyDescent="0.3">
      <c r="A77" s="10">
        <v>5934</v>
      </c>
      <c r="B77" s="11" t="s">
        <v>508</v>
      </c>
      <c r="C77" s="282">
        <v>1030</v>
      </c>
      <c r="D77" s="54">
        <v>375</v>
      </c>
      <c r="E77" s="706">
        <f t="shared" si="2"/>
        <v>0.36407766990291263</v>
      </c>
      <c r="F77" s="273"/>
      <c r="G77" s="488"/>
      <c r="H77" s="572"/>
      <c r="I77" s="276">
        <v>139</v>
      </c>
      <c r="J77" s="282">
        <v>96</v>
      </c>
      <c r="K77" s="283">
        <v>76</v>
      </c>
      <c r="L77" s="276">
        <v>114</v>
      </c>
      <c r="M77" s="278">
        <v>174</v>
      </c>
      <c r="N77" s="582"/>
      <c r="O77" s="588"/>
      <c r="P77" s="582"/>
      <c r="Q77" s="87"/>
      <c r="R77" s="70"/>
      <c r="S77" s="274"/>
      <c r="T77" s="588"/>
      <c r="U77" s="70"/>
      <c r="V77" s="588"/>
      <c r="W77" s="70"/>
      <c r="X77" s="237"/>
      <c r="Y77" s="588"/>
      <c r="Z77" s="70"/>
      <c r="AA77" s="274"/>
      <c r="AB77" s="588"/>
      <c r="AC77" s="70"/>
      <c r="AD77" s="274"/>
      <c r="AE77" s="588"/>
      <c r="AF77" s="70"/>
      <c r="AG77" s="274"/>
      <c r="AH77" s="588"/>
      <c r="AI77" s="70"/>
      <c r="AJ77" s="237"/>
      <c r="AK77" s="87"/>
      <c r="AL77" s="70"/>
      <c r="AM77" s="588"/>
      <c r="AN77" s="19"/>
    </row>
    <row r="78" spans="1:40" s="12" customFormat="1" ht="13" x14ac:dyDescent="0.3">
      <c r="A78" s="10">
        <v>5935</v>
      </c>
      <c r="B78" s="11" t="s">
        <v>509</v>
      </c>
      <c r="C78" s="282">
        <v>475</v>
      </c>
      <c r="D78" s="54">
        <v>279</v>
      </c>
      <c r="E78" s="706">
        <f t="shared" si="2"/>
        <v>0.58736842105263154</v>
      </c>
      <c r="F78" s="273"/>
      <c r="G78" s="488"/>
      <c r="H78" s="572"/>
      <c r="I78" s="276">
        <v>71</v>
      </c>
      <c r="J78" s="282">
        <v>80</v>
      </c>
      <c r="K78" s="283">
        <v>68</v>
      </c>
      <c r="L78" s="276">
        <v>100</v>
      </c>
      <c r="M78" s="278">
        <v>102</v>
      </c>
      <c r="N78" s="582"/>
      <c r="O78" s="588"/>
      <c r="P78" s="582"/>
      <c r="Q78" s="87"/>
      <c r="R78" s="70"/>
      <c r="S78" s="274"/>
      <c r="T78" s="588"/>
      <c r="U78" s="70"/>
      <c r="V78" s="588"/>
      <c r="W78" s="70"/>
      <c r="X78" s="237"/>
      <c r="Y78" s="588"/>
      <c r="Z78" s="70"/>
      <c r="AA78" s="274"/>
      <c r="AB78" s="588"/>
      <c r="AC78" s="70"/>
      <c r="AD78" s="274"/>
      <c r="AE78" s="588"/>
      <c r="AF78" s="70"/>
      <c r="AG78" s="274"/>
      <c r="AH78" s="588"/>
      <c r="AI78" s="70"/>
      <c r="AJ78" s="237"/>
      <c r="AK78" s="87"/>
      <c r="AL78" s="70"/>
      <c r="AM78" s="588"/>
      <c r="AN78" s="19"/>
    </row>
    <row r="79" spans="1:40" s="12" customFormat="1" ht="13" x14ac:dyDescent="0.3">
      <c r="A79" s="10">
        <v>5936</v>
      </c>
      <c r="B79" s="11" t="s">
        <v>510</v>
      </c>
      <c r="C79" s="282">
        <v>1239</v>
      </c>
      <c r="D79" s="54">
        <v>572</v>
      </c>
      <c r="E79" s="706">
        <f t="shared" si="2"/>
        <v>0.46166263115415657</v>
      </c>
      <c r="F79" s="273"/>
      <c r="G79" s="488"/>
      <c r="H79" s="572"/>
      <c r="I79" s="276">
        <v>186</v>
      </c>
      <c r="J79" s="282">
        <v>116</v>
      </c>
      <c r="K79" s="283">
        <v>152</v>
      </c>
      <c r="L79" s="276">
        <v>204</v>
      </c>
      <c r="M79" s="278">
        <v>228</v>
      </c>
      <c r="N79" s="582"/>
      <c r="O79" s="588"/>
      <c r="P79" s="582"/>
      <c r="Q79" s="87"/>
      <c r="R79" s="70"/>
      <c r="S79" s="274"/>
      <c r="T79" s="588"/>
      <c r="U79" s="70"/>
      <c r="V79" s="588"/>
      <c r="W79" s="70"/>
      <c r="X79" s="237"/>
      <c r="Y79" s="588"/>
      <c r="Z79" s="70"/>
      <c r="AA79" s="274"/>
      <c r="AB79" s="588"/>
      <c r="AC79" s="70"/>
      <c r="AD79" s="274"/>
      <c r="AE79" s="588"/>
      <c r="AF79" s="70"/>
      <c r="AG79" s="274"/>
      <c r="AH79" s="588"/>
      <c r="AI79" s="70"/>
      <c r="AJ79" s="237"/>
      <c r="AK79" s="87"/>
      <c r="AL79" s="70"/>
      <c r="AM79" s="588"/>
      <c r="AN79" s="19"/>
    </row>
    <row r="80" spans="1:40" s="12" customFormat="1" ht="13" x14ac:dyDescent="0.3">
      <c r="A80" s="10">
        <v>5937</v>
      </c>
      <c r="B80" s="11" t="s">
        <v>511</v>
      </c>
      <c r="C80" s="282">
        <v>1334</v>
      </c>
      <c r="D80" s="54">
        <v>548</v>
      </c>
      <c r="E80" s="706">
        <f t="shared" si="2"/>
        <v>0.4107946026986507</v>
      </c>
      <c r="F80" s="273"/>
      <c r="G80" s="488"/>
      <c r="H80" s="572"/>
      <c r="I80" s="276">
        <v>254</v>
      </c>
      <c r="J80" s="282">
        <v>108</v>
      </c>
      <c r="K80" s="283">
        <v>98</v>
      </c>
      <c r="L80" s="276">
        <v>156</v>
      </c>
      <c r="M80" s="278">
        <v>292</v>
      </c>
      <c r="N80" s="582"/>
      <c r="O80" s="588"/>
      <c r="P80" s="582"/>
      <c r="Q80" s="87"/>
      <c r="R80" s="70"/>
      <c r="S80" s="274"/>
      <c r="T80" s="588"/>
      <c r="U80" s="70"/>
      <c r="V80" s="588"/>
      <c r="W80" s="70"/>
      <c r="X80" s="237"/>
      <c r="Y80" s="588"/>
      <c r="Z80" s="70"/>
      <c r="AA80" s="274"/>
      <c r="AB80" s="588"/>
      <c r="AC80" s="70"/>
      <c r="AD80" s="274"/>
      <c r="AE80" s="588"/>
      <c r="AF80" s="70"/>
      <c r="AG80" s="274"/>
      <c r="AH80" s="588"/>
      <c r="AI80" s="70"/>
      <c r="AJ80" s="237"/>
      <c r="AK80" s="87"/>
      <c r="AL80" s="70"/>
      <c r="AM80" s="588"/>
      <c r="AN80" s="19"/>
    </row>
    <row r="81" spans="1:40" s="12" customFormat="1" ht="13" x14ac:dyDescent="0.3">
      <c r="A81" s="10">
        <v>5938</v>
      </c>
      <c r="B81" s="11" t="s">
        <v>512</v>
      </c>
      <c r="C81" s="282">
        <v>685</v>
      </c>
      <c r="D81" s="54">
        <v>340</v>
      </c>
      <c r="E81" s="706">
        <f t="shared" si="2"/>
        <v>0.49635036496350365</v>
      </c>
      <c r="F81" s="273"/>
      <c r="G81" s="488"/>
      <c r="H81" s="572"/>
      <c r="I81" s="276">
        <v>111</v>
      </c>
      <c r="J81" s="282">
        <v>76</v>
      </c>
      <c r="K81" s="283">
        <v>90</v>
      </c>
      <c r="L81" s="276">
        <v>116</v>
      </c>
      <c r="M81" s="278">
        <v>146</v>
      </c>
      <c r="N81" s="583"/>
      <c r="O81" s="589"/>
      <c r="P81" s="582"/>
      <c r="Q81" s="87"/>
      <c r="R81" s="70"/>
      <c r="S81" s="274"/>
      <c r="T81" s="588"/>
      <c r="U81" s="70"/>
      <c r="V81" s="588"/>
      <c r="W81" s="70"/>
      <c r="X81" s="237"/>
      <c r="Y81" s="588"/>
      <c r="Z81" s="70"/>
      <c r="AA81" s="274"/>
      <c r="AB81" s="588"/>
      <c r="AC81" s="70"/>
      <c r="AD81" s="274"/>
      <c r="AE81" s="588"/>
      <c r="AF81" s="70"/>
      <c r="AG81" s="274"/>
      <c r="AH81" s="588"/>
      <c r="AI81" s="70"/>
      <c r="AJ81" s="237"/>
      <c r="AK81" s="87"/>
      <c r="AL81" s="70"/>
      <c r="AM81" s="588"/>
      <c r="AN81" s="19"/>
    </row>
    <row r="82" spans="1:40" s="12" customFormat="1" ht="13" x14ac:dyDescent="0.3">
      <c r="A82" s="10">
        <v>6201</v>
      </c>
      <c r="B82" s="11" t="s">
        <v>513</v>
      </c>
      <c r="C82" s="282">
        <v>165</v>
      </c>
      <c r="D82" s="54">
        <v>103</v>
      </c>
      <c r="E82" s="706">
        <f t="shared" si="2"/>
        <v>0.62424242424242427</v>
      </c>
      <c r="F82" s="273"/>
      <c r="G82" s="488"/>
      <c r="H82" s="572"/>
      <c r="I82" s="70"/>
      <c r="J82" s="236"/>
      <c r="K82" s="274"/>
      <c r="L82" s="70"/>
      <c r="M82" s="87"/>
      <c r="N82" s="584">
        <v>66</v>
      </c>
      <c r="O82" s="590">
        <v>65</v>
      </c>
      <c r="P82" s="582"/>
      <c r="Q82" s="87"/>
      <c r="R82" s="70"/>
      <c r="S82" s="274"/>
      <c r="T82" s="588"/>
      <c r="U82" s="70"/>
      <c r="V82" s="588"/>
      <c r="W82" s="70"/>
      <c r="X82" s="237"/>
      <c r="Y82" s="588"/>
      <c r="Z82" s="70"/>
      <c r="AA82" s="274"/>
      <c r="AB82" s="588"/>
      <c r="AC82" s="70"/>
      <c r="AD82" s="274"/>
      <c r="AE82" s="588"/>
      <c r="AF82" s="70"/>
      <c r="AG82" s="274"/>
      <c r="AH82" s="588"/>
      <c r="AI82" s="70"/>
      <c r="AJ82" s="237"/>
      <c r="AK82" s="87"/>
      <c r="AL82" s="70"/>
      <c r="AM82" s="588"/>
      <c r="AN82" s="19"/>
    </row>
    <row r="83" spans="1:40" s="12" customFormat="1" ht="13" x14ac:dyDescent="0.3">
      <c r="A83" s="10">
        <v>6202</v>
      </c>
      <c r="B83" s="11" t="s">
        <v>514</v>
      </c>
      <c r="C83" s="282">
        <v>378</v>
      </c>
      <c r="D83" s="54">
        <v>194</v>
      </c>
      <c r="E83" s="706">
        <f t="shared" si="2"/>
        <v>0.51322751322751325</v>
      </c>
      <c r="F83" s="273"/>
      <c r="G83" s="488"/>
      <c r="H83" s="572"/>
      <c r="I83" s="70"/>
      <c r="J83" s="236"/>
      <c r="K83" s="274"/>
      <c r="L83" s="70"/>
      <c r="M83" s="87"/>
      <c r="N83" s="584">
        <v>144</v>
      </c>
      <c r="O83" s="590">
        <v>134</v>
      </c>
      <c r="P83" s="582"/>
      <c r="Q83" s="87"/>
      <c r="R83" s="70"/>
      <c r="S83" s="274"/>
      <c r="T83" s="588"/>
      <c r="U83" s="70"/>
      <c r="V83" s="588"/>
      <c r="W83" s="70"/>
      <c r="X83" s="237"/>
      <c r="Y83" s="588"/>
      <c r="Z83" s="70"/>
      <c r="AA83" s="274"/>
      <c r="AB83" s="588"/>
      <c r="AC83" s="70"/>
      <c r="AD83" s="274"/>
      <c r="AE83" s="588"/>
      <c r="AF83" s="70"/>
      <c r="AG83" s="274"/>
      <c r="AH83" s="588"/>
      <c r="AI83" s="70"/>
      <c r="AJ83" s="237"/>
      <c r="AK83" s="87"/>
      <c r="AL83" s="70"/>
      <c r="AM83" s="588"/>
      <c r="AN83" s="19"/>
    </row>
    <row r="84" spans="1:40" s="12" customFormat="1" ht="13" x14ac:dyDescent="0.3">
      <c r="A84" s="10">
        <v>6203</v>
      </c>
      <c r="B84" s="11" t="s">
        <v>515</v>
      </c>
      <c r="C84" s="282">
        <v>430</v>
      </c>
      <c r="D84" s="54">
        <v>317</v>
      </c>
      <c r="E84" s="706">
        <f t="shared" si="2"/>
        <v>0.73720930232558135</v>
      </c>
      <c r="F84" s="273"/>
      <c r="G84" s="488"/>
      <c r="H84" s="572"/>
      <c r="I84" s="70"/>
      <c r="J84" s="236"/>
      <c r="K84" s="274"/>
      <c r="L84" s="70"/>
      <c r="M84" s="87"/>
      <c r="N84" s="584">
        <v>222</v>
      </c>
      <c r="O84" s="590">
        <v>220</v>
      </c>
      <c r="P84" s="582"/>
      <c r="Q84" s="87"/>
      <c r="R84" s="70"/>
      <c r="S84" s="274"/>
      <c r="T84" s="588"/>
      <c r="U84" s="70"/>
      <c r="V84" s="588"/>
      <c r="W84" s="70"/>
      <c r="X84" s="237"/>
      <c r="Y84" s="588"/>
      <c r="Z84" s="70"/>
      <c r="AA84" s="274"/>
      <c r="AB84" s="588"/>
      <c r="AC84" s="70"/>
      <c r="AD84" s="274"/>
      <c r="AE84" s="588"/>
      <c r="AF84" s="70"/>
      <c r="AG84" s="274"/>
      <c r="AH84" s="588"/>
      <c r="AI84" s="70"/>
      <c r="AJ84" s="237"/>
      <c r="AK84" s="87"/>
      <c r="AL84" s="70"/>
      <c r="AM84" s="588"/>
      <c r="AN84" s="19"/>
    </row>
    <row r="85" spans="1:40" s="12" customFormat="1" ht="13" x14ac:dyDescent="0.3">
      <c r="A85" s="10">
        <v>6204</v>
      </c>
      <c r="B85" s="11" t="s">
        <v>516</v>
      </c>
      <c r="C85" s="282">
        <v>582</v>
      </c>
      <c r="D85" s="54">
        <v>217</v>
      </c>
      <c r="E85" s="706">
        <f t="shared" si="2"/>
        <v>0.37285223367697595</v>
      </c>
      <c r="F85" s="273"/>
      <c r="G85" s="488"/>
      <c r="H85" s="572"/>
      <c r="I85" s="70"/>
      <c r="J85" s="236"/>
      <c r="K85" s="274"/>
      <c r="L85" s="70"/>
      <c r="M85" s="87"/>
      <c r="N85" s="584">
        <v>146</v>
      </c>
      <c r="O85" s="590">
        <v>140</v>
      </c>
      <c r="P85" s="582"/>
      <c r="Q85" s="87"/>
      <c r="R85" s="70"/>
      <c r="S85" s="274"/>
      <c r="T85" s="588"/>
      <c r="U85" s="70"/>
      <c r="V85" s="588"/>
      <c r="W85" s="70"/>
      <c r="X85" s="237"/>
      <c r="Y85" s="588"/>
      <c r="Z85" s="70"/>
      <c r="AA85" s="274"/>
      <c r="AB85" s="588"/>
      <c r="AC85" s="70"/>
      <c r="AD85" s="274"/>
      <c r="AE85" s="588"/>
      <c r="AF85" s="70"/>
      <c r="AG85" s="274"/>
      <c r="AH85" s="588"/>
      <c r="AI85" s="70"/>
      <c r="AJ85" s="237"/>
      <c r="AK85" s="87"/>
      <c r="AL85" s="70"/>
      <c r="AM85" s="588"/>
      <c r="AN85" s="19"/>
    </row>
    <row r="86" spans="1:40" s="12" customFormat="1" ht="13" x14ac:dyDescent="0.3">
      <c r="A86" s="10">
        <v>6205</v>
      </c>
      <c r="B86" s="11" t="s">
        <v>517</v>
      </c>
      <c r="C86" s="282">
        <v>349</v>
      </c>
      <c r="D86" s="54">
        <v>171</v>
      </c>
      <c r="E86" s="706">
        <f t="shared" si="2"/>
        <v>0.48997134670487108</v>
      </c>
      <c r="F86" s="273"/>
      <c r="G86" s="488"/>
      <c r="H86" s="572"/>
      <c r="I86" s="70"/>
      <c r="J86" s="236"/>
      <c r="K86" s="274"/>
      <c r="L86" s="70"/>
      <c r="M86" s="87"/>
      <c r="N86" s="584">
        <v>122</v>
      </c>
      <c r="O86" s="590">
        <v>127</v>
      </c>
      <c r="P86" s="582"/>
      <c r="Q86" s="87"/>
      <c r="R86" s="70"/>
      <c r="S86" s="274"/>
      <c r="T86" s="588"/>
      <c r="U86" s="70"/>
      <c r="V86" s="588"/>
      <c r="W86" s="70"/>
      <c r="X86" s="237"/>
      <c r="Y86" s="588"/>
      <c r="Z86" s="70"/>
      <c r="AA86" s="274"/>
      <c r="AB86" s="588"/>
      <c r="AC86" s="70"/>
      <c r="AD86" s="274"/>
      <c r="AE86" s="588"/>
      <c r="AF86" s="70"/>
      <c r="AG86" s="274"/>
      <c r="AH86" s="588"/>
      <c r="AI86" s="70"/>
      <c r="AJ86" s="237"/>
      <c r="AK86" s="87"/>
      <c r="AL86" s="70"/>
      <c r="AM86" s="588"/>
      <c r="AN86" s="19"/>
    </row>
    <row r="87" spans="1:40" s="12" customFormat="1" ht="13" x14ac:dyDescent="0.3">
      <c r="A87" s="10">
        <v>6206</v>
      </c>
      <c r="B87" s="11" t="s">
        <v>518</v>
      </c>
      <c r="C87" s="282">
        <v>619</v>
      </c>
      <c r="D87" s="54">
        <v>350</v>
      </c>
      <c r="E87" s="706">
        <f t="shared" si="2"/>
        <v>0.56542810985460423</v>
      </c>
      <c r="F87" s="273"/>
      <c r="G87" s="488"/>
      <c r="H87" s="572"/>
      <c r="I87" s="70"/>
      <c r="J87" s="236"/>
      <c r="K87" s="274"/>
      <c r="L87" s="70"/>
      <c r="M87" s="87"/>
      <c r="N87" s="584">
        <v>239</v>
      </c>
      <c r="O87" s="590">
        <v>224</v>
      </c>
      <c r="P87" s="582"/>
      <c r="Q87" s="87"/>
      <c r="R87" s="70"/>
      <c r="S87" s="274"/>
      <c r="T87" s="588"/>
      <c r="U87" s="70"/>
      <c r="V87" s="588"/>
      <c r="W87" s="70"/>
      <c r="X87" s="237"/>
      <c r="Y87" s="588"/>
      <c r="Z87" s="70"/>
      <c r="AA87" s="274"/>
      <c r="AB87" s="588"/>
      <c r="AC87" s="70"/>
      <c r="AD87" s="274"/>
      <c r="AE87" s="588"/>
      <c r="AF87" s="70"/>
      <c r="AG87" s="274"/>
      <c r="AH87" s="588"/>
      <c r="AI87" s="70"/>
      <c r="AJ87" s="237"/>
      <c r="AK87" s="87"/>
      <c r="AL87" s="70"/>
      <c r="AM87" s="588"/>
      <c r="AN87" s="19"/>
    </row>
    <row r="88" spans="1:40" s="12" customFormat="1" ht="13" x14ac:dyDescent="0.3">
      <c r="A88" s="10">
        <v>6207</v>
      </c>
      <c r="B88" s="11" t="s">
        <v>519</v>
      </c>
      <c r="C88" s="282">
        <v>811</v>
      </c>
      <c r="D88" s="54">
        <v>432</v>
      </c>
      <c r="E88" s="706">
        <f t="shared" si="2"/>
        <v>0.53267570900123307</v>
      </c>
      <c r="F88" s="273"/>
      <c r="G88" s="488"/>
      <c r="H88" s="572"/>
      <c r="I88" s="70"/>
      <c r="J88" s="236"/>
      <c r="K88" s="274"/>
      <c r="L88" s="70"/>
      <c r="M88" s="87"/>
      <c r="N88" s="584">
        <v>294</v>
      </c>
      <c r="O88" s="590">
        <v>297</v>
      </c>
      <c r="P88" s="582"/>
      <c r="Q88" s="87"/>
      <c r="R88" s="70"/>
      <c r="S88" s="274"/>
      <c r="T88" s="588"/>
      <c r="U88" s="70"/>
      <c r="V88" s="588"/>
      <c r="W88" s="70"/>
      <c r="X88" s="237"/>
      <c r="Y88" s="588"/>
      <c r="Z88" s="70"/>
      <c r="AA88" s="274"/>
      <c r="AB88" s="588"/>
      <c r="AC88" s="70"/>
      <c r="AD88" s="274"/>
      <c r="AE88" s="588"/>
      <c r="AF88" s="70"/>
      <c r="AG88" s="274"/>
      <c r="AH88" s="588"/>
      <c r="AI88" s="70"/>
      <c r="AJ88" s="237"/>
      <c r="AK88" s="87"/>
      <c r="AL88" s="70"/>
      <c r="AM88" s="588"/>
      <c r="AN88" s="19"/>
    </row>
    <row r="89" spans="1:40" s="12" customFormat="1" ht="13" x14ac:dyDescent="0.3">
      <c r="A89" s="10">
        <v>6208</v>
      </c>
      <c r="B89" s="11" t="s">
        <v>520</v>
      </c>
      <c r="C89" s="282">
        <v>1</v>
      </c>
      <c r="D89" s="54">
        <v>1</v>
      </c>
      <c r="E89" s="706">
        <f t="shared" si="2"/>
        <v>1</v>
      </c>
      <c r="F89" s="273"/>
      <c r="G89" s="488"/>
      <c r="H89" s="572"/>
      <c r="I89" s="70"/>
      <c r="J89" s="236"/>
      <c r="K89" s="274"/>
      <c r="L89" s="70"/>
      <c r="M89" s="87"/>
      <c r="N89" s="584">
        <v>1</v>
      </c>
      <c r="O89" s="590">
        <v>1</v>
      </c>
      <c r="P89" s="582"/>
      <c r="Q89" s="87"/>
      <c r="R89" s="70"/>
      <c r="S89" s="274"/>
      <c r="T89" s="588"/>
      <c r="U89" s="70"/>
      <c r="V89" s="588"/>
      <c r="W89" s="70"/>
      <c r="X89" s="237"/>
      <c r="Y89" s="588"/>
      <c r="Z89" s="70"/>
      <c r="AA89" s="274"/>
      <c r="AB89" s="588"/>
      <c r="AC89" s="70"/>
      <c r="AD89" s="274"/>
      <c r="AE89" s="588"/>
      <c r="AF89" s="70"/>
      <c r="AG89" s="274"/>
      <c r="AH89" s="588"/>
      <c r="AI89" s="70"/>
      <c r="AJ89" s="237"/>
      <c r="AK89" s="87"/>
      <c r="AL89" s="70"/>
      <c r="AM89" s="588"/>
      <c r="AN89" s="19"/>
    </row>
    <row r="90" spans="1:40" s="12" customFormat="1" ht="13" x14ac:dyDescent="0.3">
      <c r="A90" s="10">
        <v>6209</v>
      </c>
      <c r="B90" s="11" t="s">
        <v>521</v>
      </c>
      <c r="C90" s="282">
        <v>95</v>
      </c>
      <c r="D90" s="54">
        <v>42</v>
      </c>
      <c r="E90" s="706">
        <f t="shared" ref="E90" si="3">SUM(D90/C90)</f>
        <v>0.44210526315789472</v>
      </c>
      <c r="F90" s="273"/>
      <c r="G90" s="488"/>
      <c r="H90" s="572"/>
      <c r="I90" s="70"/>
      <c r="J90" s="236"/>
      <c r="K90" s="274"/>
      <c r="L90" s="70"/>
      <c r="M90" s="87"/>
      <c r="N90" s="584">
        <v>32</v>
      </c>
      <c r="O90" s="590">
        <v>32</v>
      </c>
      <c r="P90" s="582"/>
      <c r="Q90" s="87"/>
      <c r="R90" s="70"/>
      <c r="S90" s="274"/>
      <c r="T90" s="588"/>
      <c r="U90" s="70"/>
      <c r="V90" s="588"/>
      <c r="W90" s="70"/>
      <c r="X90" s="237"/>
      <c r="Y90" s="588"/>
      <c r="Z90" s="70"/>
      <c r="AA90" s="274"/>
      <c r="AB90" s="588"/>
      <c r="AC90" s="70"/>
      <c r="AD90" s="274"/>
      <c r="AE90" s="588"/>
      <c r="AF90" s="70"/>
      <c r="AG90" s="274"/>
      <c r="AH90" s="588"/>
      <c r="AI90" s="70"/>
      <c r="AJ90" s="237"/>
      <c r="AK90" s="87"/>
      <c r="AL90" s="70"/>
      <c r="AM90" s="588"/>
      <c r="AN90" s="19"/>
    </row>
    <row r="91" spans="1:40" s="12" customFormat="1" ht="13" x14ac:dyDescent="0.3">
      <c r="A91" s="10">
        <v>6401</v>
      </c>
      <c r="B91" s="11" t="s">
        <v>522</v>
      </c>
      <c r="C91" s="282">
        <v>1467</v>
      </c>
      <c r="D91" s="54">
        <v>696</v>
      </c>
      <c r="E91" s="706">
        <f t="shared" si="2"/>
        <v>0.47443762781186094</v>
      </c>
      <c r="F91" s="273"/>
      <c r="G91" s="488"/>
      <c r="H91" s="572"/>
      <c r="I91" s="70"/>
      <c r="J91" s="236"/>
      <c r="K91" s="274"/>
      <c r="L91" s="70"/>
      <c r="M91" s="87"/>
      <c r="N91" s="582"/>
      <c r="O91" s="588"/>
      <c r="P91" s="584">
        <v>491</v>
      </c>
      <c r="Q91" s="278">
        <v>467</v>
      </c>
      <c r="R91" s="70"/>
      <c r="S91" s="274"/>
      <c r="T91" s="588"/>
      <c r="U91" s="70"/>
      <c r="V91" s="588"/>
      <c r="W91" s="70"/>
      <c r="X91" s="237"/>
      <c r="Y91" s="588"/>
      <c r="Z91" s="70"/>
      <c r="AA91" s="274"/>
      <c r="AB91" s="588"/>
      <c r="AC91" s="70"/>
      <c r="AD91" s="274"/>
      <c r="AE91" s="588"/>
      <c r="AF91" s="70"/>
      <c r="AG91" s="274"/>
      <c r="AH91" s="588"/>
      <c r="AI91" s="70"/>
      <c r="AJ91" s="237"/>
      <c r="AK91" s="87"/>
      <c r="AL91" s="70"/>
      <c r="AM91" s="588"/>
      <c r="AN91" s="19"/>
    </row>
    <row r="92" spans="1:40" s="12" customFormat="1" ht="13" x14ac:dyDescent="0.3">
      <c r="A92" s="10">
        <v>6402</v>
      </c>
      <c r="B92" s="11" t="s">
        <v>523</v>
      </c>
      <c r="C92" s="282">
        <v>1331</v>
      </c>
      <c r="D92" s="54">
        <v>733</v>
      </c>
      <c r="E92" s="706">
        <f t="shared" si="2"/>
        <v>0.55071374906085646</v>
      </c>
      <c r="F92" s="273"/>
      <c r="G92" s="488"/>
      <c r="H92" s="572"/>
      <c r="I92" s="70"/>
      <c r="J92" s="236"/>
      <c r="K92" s="274"/>
      <c r="L92" s="70"/>
      <c r="M92" s="87"/>
      <c r="N92" s="582"/>
      <c r="O92" s="588"/>
      <c r="P92" s="584">
        <v>544</v>
      </c>
      <c r="Q92" s="278">
        <v>469</v>
      </c>
      <c r="R92" s="279"/>
      <c r="S92" s="280"/>
      <c r="T92" s="589"/>
      <c r="U92" s="70"/>
      <c r="V92" s="588"/>
      <c r="W92" s="70"/>
      <c r="X92" s="237"/>
      <c r="Y92" s="588"/>
      <c r="Z92" s="70"/>
      <c r="AA92" s="274"/>
      <c r="AB92" s="588"/>
      <c r="AC92" s="70"/>
      <c r="AD92" s="274"/>
      <c r="AE92" s="588"/>
      <c r="AF92" s="70"/>
      <c r="AG92" s="274"/>
      <c r="AH92" s="588"/>
      <c r="AI92" s="70"/>
      <c r="AJ92" s="237"/>
      <c r="AK92" s="87"/>
      <c r="AL92" s="70"/>
      <c r="AM92" s="588"/>
      <c r="AN92" s="19"/>
    </row>
    <row r="93" spans="1:40" s="12" customFormat="1" ht="13" x14ac:dyDescent="0.3">
      <c r="A93" s="10">
        <v>6501</v>
      </c>
      <c r="B93" s="11" t="s">
        <v>524</v>
      </c>
      <c r="C93" s="282">
        <v>1297</v>
      </c>
      <c r="D93" s="54">
        <v>501</v>
      </c>
      <c r="E93" s="706">
        <f t="shared" si="2"/>
        <v>0.38627602158828067</v>
      </c>
      <c r="F93" s="273"/>
      <c r="G93" s="488"/>
      <c r="H93" s="572"/>
      <c r="I93" s="70"/>
      <c r="J93" s="236"/>
      <c r="K93" s="274"/>
      <c r="L93" s="70"/>
      <c r="M93" s="87"/>
      <c r="N93" s="582"/>
      <c r="O93" s="588"/>
      <c r="P93" s="582"/>
      <c r="Q93" s="87"/>
      <c r="R93" s="276">
        <v>173</v>
      </c>
      <c r="S93" s="283">
        <v>255</v>
      </c>
      <c r="T93" s="590">
        <v>365</v>
      </c>
      <c r="U93" s="70"/>
      <c r="V93" s="588"/>
      <c r="W93" s="70"/>
      <c r="X93" s="237"/>
      <c r="Y93" s="588"/>
      <c r="Z93" s="70"/>
      <c r="AA93" s="274"/>
      <c r="AB93" s="588"/>
      <c r="AC93" s="70"/>
      <c r="AD93" s="274"/>
      <c r="AE93" s="588"/>
      <c r="AF93" s="70"/>
      <c r="AG93" s="274"/>
      <c r="AH93" s="588"/>
      <c r="AI93" s="70"/>
      <c r="AJ93" s="237"/>
      <c r="AK93" s="87"/>
      <c r="AL93" s="70"/>
      <c r="AM93" s="588"/>
      <c r="AN93" s="19"/>
    </row>
    <row r="94" spans="1:40" s="12" customFormat="1" ht="13" x14ac:dyDescent="0.3">
      <c r="A94" s="10">
        <v>6502</v>
      </c>
      <c r="B94" s="11" t="s">
        <v>525</v>
      </c>
      <c r="C94" s="282">
        <v>1166</v>
      </c>
      <c r="D94" s="54">
        <v>476</v>
      </c>
      <c r="E94" s="706">
        <f t="shared" si="2"/>
        <v>0.40823327615780447</v>
      </c>
      <c r="F94" s="273"/>
      <c r="G94" s="488"/>
      <c r="H94" s="572"/>
      <c r="I94" s="70"/>
      <c r="J94" s="236"/>
      <c r="K94" s="274"/>
      <c r="L94" s="70"/>
      <c r="M94" s="87"/>
      <c r="N94" s="582"/>
      <c r="O94" s="588"/>
      <c r="P94" s="582"/>
      <c r="Q94" s="87"/>
      <c r="R94" s="276">
        <v>152</v>
      </c>
      <c r="S94" s="283">
        <v>258</v>
      </c>
      <c r="T94" s="590">
        <v>317</v>
      </c>
      <c r="U94" s="70"/>
      <c r="V94" s="588"/>
      <c r="W94" s="70"/>
      <c r="X94" s="237"/>
      <c r="Y94" s="588"/>
      <c r="Z94" s="70"/>
      <c r="AA94" s="274"/>
      <c r="AB94" s="588"/>
      <c r="AC94" s="70"/>
      <c r="AD94" s="274"/>
      <c r="AE94" s="588"/>
      <c r="AF94" s="70"/>
      <c r="AG94" s="274"/>
      <c r="AH94" s="588"/>
      <c r="AI94" s="70"/>
      <c r="AJ94" s="237"/>
      <c r="AK94" s="87"/>
      <c r="AL94" s="70"/>
      <c r="AM94" s="588"/>
      <c r="AN94" s="19"/>
    </row>
    <row r="95" spans="1:40" s="12" customFormat="1" ht="13" x14ac:dyDescent="0.3">
      <c r="A95" s="10">
        <v>6503</v>
      </c>
      <c r="B95" s="11" t="s">
        <v>526</v>
      </c>
      <c r="C95" s="282">
        <v>1128</v>
      </c>
      <c r="D95" s="54">
        <v>685</v>
      </c>
      <c r="E95" s="706">
        <f t="shared" si="2"/>
        <v>0.60726950354609932</v>
      </c>
      <c r="F95" s="273"/>
      <c r="G95" s="488"/>
      <c r="H95" s="572"/>
      <c r="I95" s="70"/>
      <c r="J95" s="236"/>
      <c r="K95" s="274"/>
      <c r="L95" s="70"/>
      <c r="M95" s="87"/>
      <c r="N95" s="582"/>
      <c r="O95" s="588"/>
      <c r="P95" s="582"/>
      <c r="Q95" s="87"/>
      <c r="R95" s="276">
        <v>239</v>
      </c>
      <c r="S95" s="283">
        <v>349</v>
      </c>
      <c r="T95" s="590">
        <v>494</v>
      </c>
      <c r="U95" s="70"/>
      <c r="V95" s="588"/>
      <c r="W95" s="70"/>
      <c r="X95" s="237"/>
      <c r="Y95" s="588"/>
      <c r="Z95" s="70"/>
      <c r="AA95" s="274"/>
      <c r="AB95" s="588"/>
      <c r="AC95" s="70"/>
      <c r="AD95" s="274"/>
      <c r="AE95" s="588"/>
      <c r="AF95" s="70"/>
      <c r="AG95" s="274"/>
      <c r="AH95" s="588"/>
      <c r="AI95" s="70"/>
      <c r="AJ95" s="237"/>
      <c r="AK95" s="87"/>
      <c r="AL95" s="70"/>
      <c r="AM95" s="588"/>
      <c r="AN95" s="19"/>
    </row>
    <row r="96" spans="1:40" s="12" customFormat="1" ht="13" x14ac:dyDescent="0.3">
      <c r="A96" s="10">
        <v>6504</v>
      </c>
      <c r="B96" s="11" t="s">
        <v>527</v>
      </c>
      <c r="C96" s="282">
        <v>948</v>
      </c>
      <c r="D96" s="54">
        <v>446</v>
      </c>
      <c r="E96" s="706">
        <f t="shared" si="2"/>
        <v>0.47046413502109707</v>
      </c>
      <c r="F96" s="273"/>
      <c r="G96" s="488"/>
      <c r="H96" s="572"/>
      <c r="I96" s="70"/>
      <c r="J96" s="236"/>
      <c r="K96" s="274"/>
      <c r="L96" s="70"/>
      <c r="M96" s="87"/>
      <c r="N96" s="582"/>
      <c r="O96" s="588"/>
      <c r="P96" s="582"/>
      <c r="Q96" s="87"/>
      <c r="R96" s="276">
        <v>148</v>
      </c>
      <c r="S96" s="283">
        <v>237</v>
      </c>
      <c r="T96" s="590">
        <v>322</v>
      </c>
      <c r="U96" s="70"/>
      <c r="V96" s="588"/>
      <c r="W96" s="70"/>
      <c r="X96" s="237"/>
      <c r="Y96" s="588"/>
      <c r="Z96" s="70"/>
      <c r="AA96" s="274"/>
      <c r="AB96" s="588"/>
      <c r="AC96" s="70"/>
      <c r="AD96" s="274"/>
      <c r="AE96" s="588"/>
      <c r="AF96" s="70"/>
      <c r="AG96" s="274"/>
      <c r="AH96" s="588"/>
      <c r="AI96" s="70"/>
      <c r="AJ96" s="237"/>
      <c r="AK96" s="87"/>
      <c r="AL96" s="70"/>
      <c r="AM96" s="588"/>
      <c r="AN96" s="19"/>
    </row>
    <row r="97" spans="1:40" s="12" customFormat="1" ht="13" x14ac:dyDescent="0.3">
      <c r="A97" s="10">
        <v>6505</v>
      </c>
      <c r="B97" s="11" t="s">
        <v>528</v>
      </c>
      <c r="C97" s="282">
        <v>984</v>
      </c>
      <c r="D97" s="54">
        <v>594</v>
      </c>
      <c r="E97" s="706">
        <f t="shared" si="2"/>
        <v>0.60365853658536583</v>
      </c>
      <c r="F97" s="273"/>
      <c r="G97" s="488"/>
      <c r="H97" s="572"/>
      <c r="I97" s="70"/>
      <c r="J97" s="236"/>
      <c r="K97" s="274"/>
      <c r="L97" s="70"/>
      <c r="M97" s="87"/>
      <c r="N97" s="582"/>
      <c r="O97" s="588"/>
      <c r="P97" s="582"/>
      <c r="Q97" s="87"/>
      <c r="R97" s="276">
        <v>169</v>
      </c>
      <c r="S97" s="283">
        <v>336</v>
      </c>
      <c r="T97" s="590">
        <v>455</v>
      </c>
      <c r="U97" s="70"/>
      <c r="V97" s="588"/>
      <c r="W97" s="70"/>
      <c r="X97" s="237"/>
      <c r="Y97" s="588"/>
      <c r="Z97" s="70"/>
      <c r="AA97" s="274"/>
      <c r="AB97" s="588"/>
      <c r="AC97" s="70"/>
      <c r="AD97" s="274"/>
      <c r="AE97" s="588"/>
      <c r="AF97" s="70"/>
      <c r="AG97" s="274"/>
      <c r="AH97" s="588"/>
      <c r="AI97" s="70"/>
      <c r="AJ97" s="237"/>
      <c r="AK97" s="87"/>
      <c r="AL97" s="70"/>
      <c r="AM97" s="588"/>
      <c r="AN97" s="19"/>
    </row>
    <row r="98" spans="1:40" s="12" customFormat="1" ht="13" x14ac:dyDescent="0.3">
      <c r="A98" s="10">
        <v>6506</v>
      </c>
      <c r="B98" s="11" t="s">
        <v>529</v>
      </c>
      <c r="C98" s="282">
        <v>1184</v>
      </c>
      <c r="D98" s="54">
        <v>590</v>
      </c>
      <c r="E98" s="706">
        <f t="shared" si="2"/>
        <v>0.4983108108108108</v>
      </c>
      <c r="F98" s="273"/>
      <c r="G98" s="488"/>
      <c r="H98" s="572"/>
      <c r="I98" s="70"/>
      <c r="J98" s="236"/>
      <c r="K98" s="274"/>
      <c r="L98" s="70"/>
      <c r="M98" s="87"/>
      <c r="N98" s="582"/>
      <c r="O98" s="588"/>
      <c r="P98" s="582"/>
      <c r="Q98" s="87"/>
      <c r="R98" s="276">
        <v>176</v>
      </c>
      <c r="S98" s="283">
        <v>314</v>
      </c>
      <c r="T98" s="590">
        <v>412</v>
      </c>
      <c r="U98" s="70"/>
      <c r="V98" s="588"/>
      <c r="W98" s="70"/>
      <c r="X98" s="237"/>
      <c r="Y98" s="588"/>
      <c r="Z98" s="70"/>
      <c r="AA98" s="274"/>
      <c r="AB98" s="588"/>
      <c r="AC98" s="70"/>
      <c r="AD98" s="274"/>
      <c r="AE98" s="588"/>
      <c r="AF98" s="70"/>
      <c r="AG98" s="274"/>
      <c r="AH98" s="588"/>
      <c r="AI98" s="70"/>
      <c r="AJ98" s="237"/>
      <c r="AK98" s="87"/>
      <c r="AL98" s="70"/>
      <c r="AM98" s="588"/>
      <c r="AN98" s="19"/>
    </row>
    <row r="99" spans="1:40" s="12" customFormat="1" ht="13" x14ac:dyDescent="0.3">
      <c r="A99" s="10">
        <v>6507</v>
      </c>
      <c r="B99" s="11" t="s">
        <v>530</v>
      </c>
      <c r="C99" s="282">
        <v>1175</v>
      </c>
      <c r="D99" s="54">
        <v>717</v>
      </c>
      <c r="E99" s="706">
        <f t="shared" si="2"/>
        <v>0.61021276595744678</v>
      </c>
      <c r="F99" s="273"/>
      <c r="G99" s="488"/>
      <c r="H99" s="572"/>
      <c r="I99" s="70"/>
      <c r="J99" s="236"/>
      <c r="K99" s="274"/>
      <c r="L99" s="70"/>
      <c r="M99" s="87"/>
      <c r="N99" s="582"/>
      <c r="O99" s="588"/>
      <c r="P99" s="582"/>
      <c r="Q99" s="87"/>
      <c r="R99" s="276">
        <v>201</v>
      </c>
      <c r="S99" s="283">
        <v>355</v>
      </c>
      <c r="T99" s="590">
        <v>482</v>
      </c>
      <c r="U99" s="70"/>
      <c r="V99" s="588"/>
      <c r="W99" s="70"/>
      <c r="X99" s="237"/>
      <c r="Y99" s="588"/>
      <c r="Z99" s="70"/>
      <c r="AA99" s="274"/>
      <c r="AB99" s="588"/>
      <c r="AC99" s="70"/>
      <c r="AD99" s="274"/>
      <c r="AE99" s="588"/>
      <c r="AF99" s="70"/>
      <c r="AG99" s="274"/>
      <c r="AH99" s="588"/>
      <c r="AI99" s="70"/>
      <c r="AJ99" s="237"/>
      <c r="AK99" s="87"/>
      <c r="AL99" s="70"/>
      <c r="AM99" s="588"/>
      <c r="AN99" s="19"/>
    </row>
    <row r="100" spans="1:40" s="12" customFormat="1" ht="13" x14ac:dyDescent="0.3">
      <c r="A100" s="10">
        <v>6508</v>
      </c>
      <c r="B100" s="11" t="s">
        <v>531</v>
      </c>
      <c r="C100" s="282">
        <v>1340</v>
      </c>
      <c r="D100" s="54">
        <v>777</v>
      </c>
      <c r="E100" s="706">
        <f t="shared" si="2"/>
        <v>0.57985074626865674</v>
      </c>
      <c r="F100" s="273"/>
      <c r="G100" s="488"/>
      <c r="H100" s="572"/>
      <c r="I100" s="70"/>
      <c r="J100" s="236"/>
      <c r="K100" s="274"/>
      <c r="L100" s="70"/>
      <c r="M100" s="87"/>
      <c r="N100" s="582"/>
      <c r="O100" s="588"/>
      <c r="P100" s="582"/>
      <c r="Q100" s="87"/>
      <c r="R100" s="276">
        <v>261</v>
      </c>
      <c r="S100" s="283">
        <v>418</v>
      </c>
      <c r="T100" s="590">
        <v>575</v>
      </c>
      <c r="U100" s="70"/>
      <c r="V100" s="588"/>
      <c r="W100" s="70"/>
      <c r="X100" s="237"/>
      <c r="Y100" s="588"/>
      <c r="Z100" s="70"/>
      <c r="AA100" s="274"/>
      <c r="AB100" s="588"/>
      <c r="AC100" s="70"/>
      <c r="AD100" s="274"/>
      <c r="AE100" s="588"/>
      <c r="AF100" s="70"/>
      <c r="AG100" s="274"/>
      <c r="AH100" s="588"/>
      <c r="AI100" s="70"/>
      <c r="AJ100" s="237"/>
      <c r="AK100" s="87"/>
      <c r="AL100" s="70"/>
      <c r="AM100" s="588"/>
      <c r="AN100" s="19"/>
    </row>
    <row r="101" spans="1:40" s="12" customFormat="1" ht="13" x14ac:dyDescent="0.3">
      <c r="A101" s="10">
        <v>6509</v>
      </c>
      <c r="B101" s="11" t="s">
        <v>532</v>
      </c>
      <c r="C101" s="282">
        <v>681</v>
      </c>
      <c r="D101" s="54">
        <v>356</v>
      </c>
      <c r="E101" s="706">
        <f t="shared" si="2"/>
        <v>0.52276064610866368</v>
      </c>
      <c r="F101" s="273"/>
      <c r="G101" s="488"/>
      <c r="H101" s="572"/>
      <c r="I101" s="70"/>
      <c r="J101" s="236"/>
      <c r="K101" s="274"/>
      <c r="L101" s="70"/>
      <c r="M101" s="87"/>
      <c r="N101" s="582"/>
      <c r="O101" s="588"/>
      <c r="P101" s="582"/>
      <c r="Q101" s="87"/>
      <c r="R101" s="276">
        <v>121</v>
      </c>
      <c r="S101" s="283">
        <v>173</v>
      </c>
      <c r="T101" s="590">
        <v>255</v>
      </c>
      <c r="U101" s="70"/>
      <c r="V101" s="588"/>
      <c r="W101" s="70"/>
      <c r="X101" s="237"/>
      <c r="Y101" s="588"/>
      <c r="Z101" s="70"/>
      <c r="AA101" s="274"/>
      <c r="AB101" s="588"/>
      <c r="AC101" s="70"/>
      <c r="AD101" s="274"/>
      <c r="AE101" s="588"/>
      <c r="AF101" s="70"/>
      <c r="AG101" s="274"/>
      <c r="AH101" s="588"/>
      <c r="AI101" s="70"/>
      <c r="AJ101" s="237"/>
      <c r="AK101" s="87"/>
      <c r="AL101" s="70"/>
      <c r="AM101" s="588"/>
      <c r="AN101" s="19"/>
    </row>
    <row r="102" spans="1:40" s="12" customFormat="1" ht="13" x14ac:dyDescent="0.3">
      <c r="A102" s="10">
        <v>6510</v>
      </c>
      <c r="B102" s="11" t="s">
        <v>533</v>
      </c>
      <c r="C102" s="282">
        <v>1372</v>
      </c>
      <c r="D102" s="54">
        <v>660</v>
      </c>
      <c r="E102" s="706">
        <f t="shared" si="2"/>
        <v>0.48104956268221577</v>
      </c>
      <c r="F102" s="273"/>
      <c r="G102" s="488"/>
      <c r="H102" s="572"/>
      <c r="I102" s="70"/>
      <c r="J102" s="236"/>
      <c r="K102" s="274"/>
      <c r="L102" s="70"/>
      <c r="M102" s="87"/>
      <c r="N102" s="582"/>
      <c r="O102" s="588"/>
      <c r="P102" s="582"/>
      <c r="Q102" s="87"/>
      <c r="R102" s="276">
        <v>223</v>
      </c>
      <c r="S102" s="283">
        <v>353</v>
      </c>
      <c r="T102" s="590">
        <v>468</v>
      </c>
      <c r="U102" s="70"/>
      <c r="V102" s="588"/>
      <c r="W102" s="70"/>
      <c r="X102" s="237"/>
      <c r="Y102" s="588"/>
      <c r="Z102" s="70"/>
      <c r="AA102" s="274"/>
      <c r="AB102" s="588"/>
      <c r="AC102" s="70"/>
      <c r="AD102" s="274"/>
      <c r="AE102" s="588"/>
      <c r="AF102" s="70"/>
      <c r="AG102" s="274"/>
      <c r="AH102" s="588"/>
      <c r="AI102" s="70"/>
      <c r="AJ102" s="237"/>
      <c r="AK102" s="87"/>
      <c r="AL102" s="70"/>
      <c r="AM102" s="588"/>
      <c r="AN102" s="19"/>
    </row>
    <row r="103" spans="1:40" s="12" customFormat="1" ht="13" x14ac:dyDescent="0.3">
      <c r="A103" s="10">
        <v>6511</v>
      </c>
      <c r="B103" s="11" t="s">
        <v>534</v>
      </c>
      <c r="C103" s="282">
        <v>824</v>
      </c>
      <c r="D103" s="54">
        <v>516</v>
      </c>
      <c r="E103" s="706">
        <f t="shared" si="2"/>
        <v>0.62621359223300976</v>
      </c>
      <c r="F103" s="273"/>
      <c r="G103" s="488"/>
      <c r="H103" s="572"/>
      <c r="I103" s="70"/>
      <c r="J103" s="236"/>
      <c r="K103" s="274"/>
      <c r="L103" s="70"/>
      <c r="M103" s="87"/>
      <c r="N103" s="582"/>
      <c r="O103" s="588"/>
      <c r="P103" s="582"/>
      <c r="Q103" s="87"/>
      <c r="R103" s="276">
        <v>164</v>
      </c>
      <c r="S103" s="283">
        <v>302</v>
      </c>
      <c r="T103" s="590">
        <v>402</v>
      </c>
      <c r="U103" s="70"/>
      <c r="V103" s="588"/>
      <c r="W103" s="70"/>
      <c r="X103" s="237"/>
      <c r="Y103" s="588"/>
      <c r="Z103" s="70"/>
      <c r="AA103" s="274"/>
      <c r="AB103" s="588"/>
      <c r="AC103" s="70"/>
      <c r="AD103" s="274"/>
      <c r="AE103" s="588"/>
      <c r="AF103" s="70"/>
      <c r="AG103" s="274"/>
      <c r="AH103" s="588"/>
      <c r="AI103" s="70"/>
      <c r="AJ103" s="237"/>
      <c r="AK103" s="87"/>
      <c r="AL103" s="70"/>
      <c r="AM103" s="588"/>
      <c r="AN103" s="19"/>
    </row>
    <row r="104" spans="1:40" s="12" customFormat="1" ht="13" x14ac:dyDescent="0.3">
      <c r="A104" s="10">
        <v>6512</v>
      </c>
      <c r="B104" s="11" t="s">
        <v>535</v>
      </c>
      <c r="C104" s="282">
        <v>1069</v>
      </c>
      <c r="D104" s="54">
        <v>659</v>
      </c>
      <c r="E104" s="706">
        <f t="shared" si="2"/>
        <v>0.61646398503274091</v>
      </c>
      <c r="F104" s="273"/>
      <c r="G104" s="488"/>
      <c r="H104" s="572"/>
      <c r="I104" s="70"/>
      <c r="J104" s="236"/>
      <c r="K104" s="274"/>
      <c r="L104" s="70"/>
      <c r="M104" s="87"/>
      <c r="N104" s="582"/>
      <c r="O104" s="588"/>
      <c r="P104" s="582"/>
      <c r="Q104" s="87"/>
      <c r="R104" s="276">
        <v>166</v>
      </c>
      <c r="S104" s="283">
        <v>383</v>
      </c>
      <c r="T104" s="590">
        <v>447</v>
      </c>
      <c r="U104" s="70"/>
      <c r="V104" s="588"/>
      <c r="W104" s="70"/>
      <c r="X104" s="237"/>
      <c r="Y104" s="588"/>
      <c r="Z104" s="70"/>
      <c r="AA104" s="274"/>
      <c r="AB104" s="588"/>
      <c r="AC104" s="70"/>
      <c r="AD104" s="274"/>
      <c r="AE104" s="588"/>
      <c r="AF104" s="70"/>
      <c r="AG104" s="274"/>
      <c r="AH104" s="588"/>
      <c r="AI104" s="70"/>
      <c r="AJ104" s="237"/>
      <c r="AK104" s="87"/>
      <c r="AL104" s="70"/>
      <c r="AM104" s="588"/>
      <c r="AN104" s="19"/>
    </row>
    <row r="105" spans="1:40" s="12" customFormat="1" ht="13" x14ac:dyDescent="0.3">
      <c r="A105" s="10">
        <v>6513</v>
      </c>
      <c r="B105" s="11" t="s">
        <v>536</v>
      </c>
      <c r="C105" s="282">
        <v>1055</v>
      </c>
      <c r="D105" s="54">
        <v>521</v>
      </c>
      <c r="E105" s="706">
        <f t="shared" si="2"/>
        <v>0.4938388625592417</v>
      </c>
      <c r="F105" s="273"/>
      <c r="G105" s="488"/>
      <c r="H105" s="572"/>
      <c r="I105" s="70"/>
      <c r="J105" s="236"/>
      <c r="K105" s="274"/>
      <c r="L105" s="70"/>
      <c r="M105" s="87"/>
      <c r="N105" s="582"/>
      <c r="O105" s="588"/>
      <c r="P105" s="582"/>
      <c r="Q105" s="87"/>
      <c r="R105" s="276">
        <v>172</v>
      </c>
      <c r="S105" s="283">
        <v>292</v>
      </c>
      <c r="T105" s="590">
        <v>383</v>
      </c>
      <c r="U105" s="70"/>
      <c r="V105" s="588"/>
      <c r="W105" s="70"/>
      <c r="X105" s="237"/>
      <c r="Y105" s="588"/>
      <c r="Z105" s="70"/>
      <c r="AA105" s="274"/>
      <c r="AB105" s="588"/>
      <c r="AC105" s="70"/>
      <c r="AD105" s="274"/>
      <c r="AE105" s="588"/>
      <c r="AF105" s="70"/>
      <c r="AG105" s="274"/>
      <c r="AH105" s="588"/>
      <c r="AI105" s="70"/>
      <c r="AJ105" s="237"/>
      <c r="AK105" s="87"/>
      <c r="AL105" s="70"/>
      <c r="AM105" s="588"/>
      <c r="AN105" s="19"/>
    </row>
    <row r="106" spans="1:40" s="12" customFormat="1" ht="13" x14ac:dyDescent="0.3">
      <c r="A106" s="10">
        <v>6514</v>
      </c>
      <c r="B106" s="11" t="s">
        <v>537</v>
      </c>
      <c r="C106" s="282">
        <v>621</v>
      </c>
      <c r="D106" s="54">
        <v>275</v>
      </c>
      <c r="E106" s="706">
        <f t="shared" si="2"/>
        <v>0.44283413848631242</v>
      </c>
      <c r="F106" s="273"/>
      <c r="G106" s="488"/>
      <c r="H106" s="572"/>
      <c r="I106" s="70"/>
      <c r="J106" s="236"/>
      <c r="K106" s="274"/>
      <c r="L106" s="70"/>
      <c r="M106" s="87"/>
      <c r="N106" s="582"/>
      <c r="O106" s="588"/>
      <c r="P106" s="582"/>
      <c r="Q106" s="87"/>
      <c r="R106" s="276">
        <v>103</v>
      </c>
      <c r="S106" s="283">
        <v>135</v>
      </c>
      <c r="T106" s="590">
        <v>194</v>
      </c>
      <c r="U106" s="70"/>
      <c r="V106" s="588"/>
      <c r="W106" s="70"/>
      <c r="X106" s="237"/>
      <c r="Y106" s="588"/>
      <c r="Z106" s="70"/>
      <c r="AA106" s="274"/>
      <c r="AB106" s="588"/>
      <c r="AC106" s="70"/>
      <c r="AD106" s="274"/>
      <c r="AE106" s="588"/>
      <c r="AF106" s="70"/>
      <c r="AG106" s="274"/>
      <c r="AH106" s="588"/>
      <c r="AI106" s="70"/>
      <c r="AJ106" s="237"/>
      <c r="AK106" s="87"/>
      <c r="AL106" s="70"/>
      <c r="AM106" s="588"/>
      <c r="AN106" s="19"/>
    </row>
    <row r="107" spans="1:40" s="12" customFormat="1" ht="13" x14ac:dyDescent="0.3">
      <c r="A107" s="10">
        <v>6515</v>
      </c>
      <c r="B107" s="11" t="s">
        <v>538</v>
      </c>
      <c r="C107" s="282">
        <v>1203</v>
      </c>
      <c r="D107" s="54">
        <v>703</v>
      </c>
      <c r="E107" s="706">
        <f t="shared" si="2"/>
        <v>0.58437240232751453</v>
      </c>
      <c r="F107" s="273"/>
      <c r="G107" s="488"/>
      <c r="H107" s="572"/>
      <c r="I107" s="70"/>
      <c r="J107" s="236"/>
      <c r="K107" s="274"/>
      <c r="L107" s="70"/>
      <c r="M107" s="87"/>
      <c r="N107" s="582"/>
      <c r="O107" s="588"/>
      <c r="P107" s="582"/>
      <c r="Q107" s="87"/>
      <c r="R107" s="276">
        <v>234</v>
      </c>
      <c r="S107" s="283">
        <v>368</v>
      </c>
      <c r="T107" s="590">
        <v>504</v>
      </c>
      <c r="U107" s="70"/>
      <c r="V107" s="588"/>
      <c r="W107" s="70"/>
      <c r="X107" s="237"/>
      <c r="Y107" s="588"/>
      <c r="Z107" s="70"/>
      <c r="AA107" s="274"/>
      <c r="AB107" s="588"/>
      <c r="AC107" s="70"/>
      <c r="AD107" s="274"/>
      <c r="AE107" s="588"/>
      <c r="AF107" s="70"/>
      <c r="AG107" s="274"/>
      <c r="AH107" s="588"/>
      <c r="AI107" s="70"/>
      <c r="AJ107" s="237"/>
      <c r="AK107" s="87"/>
      <c r="AL107" s="70"/>
      <c r="AM107" s="588"/>
      <c r="AN107" s="19"/>
    </row>
    <row r="108" spans="1:40" s="12" customFormat="1" ht="13" x14ac:dyDescent="0.3">
      <c r="A108" s="10">
        <v>6516</v>
      </c>
      <c r="B108" s="11" t="s">
        <v>539</v>
      </c>
      <c r="C108" s="282">
        <v>1009</v>
      </c>
      <c r="D108" s="54">
        <v>583</v>
      </c>
      <c r="E108" s="706">
        <f t="shared" si="2"/>
        <v>0.57779980178394452</v>
      </c>
      <c r="F108" s="273"/>
      <c r="G108" s="488"/>
      <c r="H108" s="572"/>
      <c r="I108" s="70"/>
      <c r="J108" s="236"/>
      <c r="K108" s="274"/>
      <c r="L108" s="70"/>
      <c r="M108" s="87"/>
      <c r="N108" s="582"/>
      <c r="O108" s="588"/>
      <c r="P108" s="582"/>
      <c r="Q108" s="87"/>
      <c r="R108" s="276">
        <v>178</v>
      </c>
      <c r="S108" s="283">
        <v>305</v>
      </c>
      <c r="T108" s="590">
        <v>411</v>
      </c>
      <c r="U108" s="70"/>
      <c r="V108" s="588"/>
      <c r="W108" s="70"/>
      <c r="X108" s="237"/>
      <c r="Y108" s="588"/>
      <c r="Z108" s="70"/>
      <c r="AA108" s="274"/>
      <c r="AB108" s="588"/>
      <c r="AC108" s="70"/>
      <c r="AD108" s="274"/>
      <c r="AE108" s="588"/>
      <c r="AF108" s="70"/>
      <c r="AG108" s="274"/>
      <c r="AH108" s="588"/>
      <c r="AI108" s="70"/>
      <c r="AJ108" s="237"/>
      <c r="AK108" s="87"/>
      <c r="AL108" s="70"/>
      <c r="AM108" s="588"/>
      <c r="AN108" s="19"/>
    </row>
    <row r="109" spans="1:40" s="12" customFormat="1" ht="13" x14ac:dyDescent="0.3">
      <c r="A109" s="10">
        <v>6517</v>
      </c>
      <c r="B109" s="11" t="s">
        <v>540</v>
      </c>
      <c r="C109" s="282">
        <v>1148</v>
      </c>
      <c r="D109" s="54">
        <v>743</v>
      </c>
      <c r="E109" s="706">
        <f t="shared" si="2"/>
        <v>0.64721254355400692</v>
      </c>
      <c r="F109" s="273"/>
      <c r="G109" s="488"/>
      <c r="H109" s="572"/>
      <c r="I109" s="70"/>
      <c r="J109" s="236"/>
      <c r="K109" s="274"/>
      <c r="L109" s="70"/>
      <c r="M109" s="87"/>
      <c r="N109" s="582"/>
      <c r="O109" s="588"/>
      <c r="P109" s="582"/>
      <c r="Q109" s="87"/>
      <c r="R109" s="276">
        <v>185</v>
      </c>
      <c r="S109" s="283">
        <v>445</v>
      </c>
      <c r="T109" s="590">
        <v>586</v>
      </c>
      <c r="U109" s="70"/>
      <c r="V109" s="588"/>
      <c r="W109" s="70"/>
      <c r="X109" s="237"/>
      <c r="Y109" s="588"/>
      <c r="Z109" s="70"/>
      <c r="AA109" s="274"/>
      <c r="AB109" s="588"/>
      <c r="AC109" s="70"/>
      <c r="AD109" s="274"/>
      <c r="AE109" s="588"/>
      <c r="AF109" s="70"/>
      <c r="AG109" s="274"/>
      <c r="AH109" s="588"/>
      <c r="AI109" s="70"/>
      <c r="AJ109" s="237"/>
      <c r="AK109" s="87"/>
      <c r="AL109" s="70"/>
      <c r="AM109" s="588"/>
      <c r="AN109" s="19"/>
    </row>
    <row r="110" spans="1:40" s="12" customFormat="1" ht="13" x14ac:dyDescent="0.3">
      <c r="A110" s="10">
        <v>6518</v>
      </c>
      <c r="B110" s="11" t="s">
        <v>541</v>
      </c>
      <c r="C110" s="282">
        <v>888</v>
      </c>
      <c r="D110" s="54">
        <v>452</v>
      </c>
      <c r="E110" s="706">
        <f t="shared" si="2"/>
        <v>0.50900900900900903</v>
      </c>
      <c r="F110" s="273"/>
      <c r="G110" s="488"/>
      <c r="H110" s="572"/>
      <c r="I110" s="70"/>
      <c r="J110" s="236"/>
      <c r="K110" s="274"/>
      <c r="L110" s="70"/>
      <c r="M110" s="87"/>
      <c r="N110" s="582"/>
      <c r="O110" s="588"/>
      <c r="P110" s="582"/>
      <c r="Q110" s="87"/>
      <c r="R110" s="276">
        <v>93</v>
      </c>
      <c r="S110" s="283">
        <v>287</v>
      </c>
      <c r="T110" s="590">
        <v>331</v>
      </c>
      <c r="U110" s="70"/>
      <c r="V110" s="588"/>
      <c r="W110" s="70"/>
      <c r="X110" s="237"/>
      <c r="Y110" s="588"/>
      <c r="Z110" s="70"/>
      <c r="AA110" s="274"/>
      <c r="AB110" s="588"/>
      <c r="AC110" s="70"/>
      <c r="AD110" s="274"/>
      <c r="AE110" s="588"/>
      <c r="AF110" s="70"/>
      <c r="AG110" s="274"/>
      <c r="AH110" s="588"/>
      <c r="AI110" s="70"/>
      <c r="AJ110" s="237"/>
      <c r="AK110" s="87"/>
      <c r="AL110" s="70"/>
      <c r="AM110" s="588"/>
      <c r="AN110" s="19"/>
    </row>
    <row r="111" spans="1:40" s="12" customFormat="1" ht="13" x14ac:dyDescent="0.3">
      <c r="A111" s="10">
        <v>6519</v>
      </c>
      <c r="B111" s="11" t="s">
        <v>542</v>
      </c>
      <c r="C111" s="282">
        <v>1094</v>
      </c>
      <c r="D111" s="54">
        <v>607</v>
      </c>
      <c r="E111" s="706">
        <f t="shared" si="2"/>
        <v>0.55484460694698357</v>
      </c>
      <c r="F111" s="273"/>
      <c r="G111" s="488"/>
      <c r="H111" s="572"/>
      <c r="I111" s="70"/>
      <c r="J111" s="236"/>
      <c r="K111" s="274"/>
      <c r="L111" s="70"/>
      <c r="M111" s="87"/>
      <c r="N111" s="582"/>
      <c r="O111" s="588"/>
      <c r="P111" s="582"/>
      <c r="Q111" s="87"/>
      <c r="R111" s="276">
        <v>206</v>
      </c>
      <c r="S111" s="283">
        <v>327</v>
      </c>
      <c r="T111" s="590">
        <v>430</v>
      </c>
      <c r="U111" s="279"/>
      <c r="V111" s="589"/>
      <c r="W111" s="70"/>
      <c r="X111" s="237"/>
      <c r="Y111" s="588"/>
      <c r="Z111" s="70"/>
      <c r="AA111" s="274"/>
      <c r="AB111" s="588"/>
      <c r="AC111" s="70"/>
      <c r="AD111" s="274"/>
      <c r="AE111" s="588"/>
      <c r="AF111" s="70"/>
      <c r="AG111" s="274"/>
      <c r="AH111" s="588"/>
      <c r="AI111" s="70"/>
      <c r="AJ111" s="237"/>
      <c r="AK111" s="87"/>
      <c r="AL111" s="70"/>
      <c r="AM111" s="588"/>
      <c r="AN111" s="19"/>
    </row>
    <row r="112" spans="1:40" s="12" customFormat="1" ht="13" x14ac:dyDescent="0.3">
      <c r="A112" s="10">
        <v>7301</v>
      </c>
      <c r="B112" s="11" t="s">
        <v>552</v>
      </c>
      <c r="C112" s="282">
        <v>1173</v>
      </c>
      <c r="D112" s="54">
        <v>639</v>
      </c>
      <c r="E112" s="706">
        <f t="shared" si="2"/>
        <v>0.54475703324808189</v>
      </c>
      <c r="F112" s="273"/>
      <c r="G112" s="488"/>
      <c r="H112" s="572"/>
      <c r="I112" s="70"/>
      <c r="J112" s="236"/>
      <c r="K112" s="274"/>
      <c r="L112" s="70"/>
      <c r="M112" s="87"/>
      <c r="N112" s="582"/>
      <c r="O112" s="588"/>
      <c r="P112" s="582"/>
      <c r="Q112" s="87"/>
      <c r="R112" s="70"/>
      <c r="S112" s="274"/>
      <c r="T112" s="588"/>
      <c r="U112" s="276">
        <v>436</v>
      </c>
      <c r="V112" s="590">
        <v>431</v>
      </c>
      <c r="W112" s="70"/>
      <c r="X112" s="237"/>
      <c r="Y112" s="588"/>
      <c r="Z112" s="70"/>
      <c r="AA112" s="274"/>
      <c r="AB112" s="588"/>
      <c r="AC112" s="70"/>
      <c r="AD112" s="274"/>
      <c r="AE112" s="588"/>
      <c r="AF112" s="70"/>
      <c r="AG112" s="274"/>
      <c r="AH112" s="588"/>
      <c r="AI112" s="70"/>
      <c r="AJ112" s="237"/>
      <c r="AK112" s="87"/>
      <c r="AL112" s="70"/>
      <c r="AM112" s="588"/>
      <c r="AN112" s="19"/>
    </row>
    <row r="113" spans="1:40" s="12" customFormat="1" ht="13" x14ac:dyDescent="0.3">
      <c r="A113" s="10">
        <v>7302</v>
      </c>
      <c r="B113" s="11" t="s">
        <v>553</v>
      </c>
      <c r="C113" s="282">
        <v>1206</v>
      </c>
      <c r="D113" s="54">
        <v>684</v>
      </c>
      <c r="E113" s="706">
        <f t="shared" si="2"/>
        <v>0.56716417910447758</v>
      </c>
      <c r="F113" s="273"/>
      <c r="G113" s="488"/>
      <c r="H113" s="572"/>
      <c r="I113" s="70"/>
      <c r="J113" s="236"/>
      <c r="K113" s="274"/>
      <c r="L113" s="70"/>
      <c r="M113" s="87"/>
      <c r="N113" s="582"/>
      <c r="O113" s="588"/>
      <c r="P113" s="582"/>
      <c r="Q113" s="87"/>
      <c r="R113" s="70"/>
      <c r="S113" s="274"/>
      <c r="T113" s="588"/>
      <c r="U113" s="276">
        <v>457</v>
      </c>
      <c r="V113" s="590">
        <v>455</v>
      </c>
      <c r="W113" s="70"/>
      <c r="X113" s="237"/>
      <c r="Y113" s="588"/>
      <c r="Z113" s="70"/>
      <c r="AA113" s="274"/>
      <c r="AB113" s="588"/>
      <c r="AC113" s="70"/>
      <c r="AD113" s="274"/>
      <c r="AE113" s="588"/>
      <c r="AF113" s="70"/>
      <c r="AG113" s="274"/>
      <c r="AH113" s="588"/>
      <c r="AI113" s="70"/>
      <c r="AJ113" s="237"/>
      <c r="AK113" s="87"/>
      <c r="AL113" s="70"/>
      <c r="AM113" s="588"/>
      <c r="AN113" s="19"/>
    </row>
    <row r="114" spans="1:40" s="12" customFormat="1" ht="13" x14ac:dyDescent="0.3">
      <c r="A114" s="10">
        <v>7303</v>
      </c>
      <c r="B114" s="11" t="s">
        <v>554</v>
      </c>
      <c r="C114" s="282">
        <v>945</v>
      </c>
      <c r="D114" s="54">
        <v>487</v>
      </c>
      <c r="E114" s="706">
        <f t="shared" si="2"/>
        <v>0.51534391534391533</v>
      </c>
      <c r="F114" s="273"/>
      <c r="G114" s="488"/>
      <c r="H114" s="572"/>
      <c r="I114" s="70"/>
      <c r="J114" s="236"/>
      <c r="K114" s="274"/>
      <c r="L114" s="70"/>
      <c r="M114" s="87"/>
      <c r="N114" s="582"/>
      <c r="O114" s="588"/>
      <c r="P114" s="582"/>
      <c r="Q114" s="87"/>
      <c r="R114" s="70"/>
      <c r="S114" s="274"/>
      <c r="T114" s="588"/>
      <c r="U114" s="276">
        <v>280</v>
      </c>
      <c r="V114" s="590">
        <v>283</v>
      </c>
      <c r="W114" s="70"/>
      <c r="X114" s="237"/>
      <c r="Y114" s="588"/>
      <c r="Z114" s="70"/>
      <c r="AA114" s="274"/>
      <c r="AB114" s="588"/>
      <c r="AC114" s="70"/>
      <c r="AD114" s="274"/>
      <c r="AE114" s="588"/>
      <c r="AF114" s="70"/>
      <c r="AG114" s="274"/>
      <c r="AH114" s="588"/>
      <c r="AI114" s="70"/>
      <c r="AJ114" s="237"/>
      <c r="AK114" s="87"/>
      <c r="AL114" s="70"/>
      <c r="AM114" s="588"/>
      <c r="AN114" s="19"/>
    </row>
    <row r="115" spans="1:40" s="12" customFormat="1" ht="13" x14ac:dyDescent="0.3">
      <c r="A115" s="10">
        <v>7304</v>
      </c>
      <c r="B115" s="11" t="s">
        <v>555</v>
      </c>
      <c r="C115" s="282">
        <v>1259</v>
      </c>
      <c r="D115" s="54">
        <v>693</v>
      </c>
      <c r="E115" s="706">
        <f t="shared" si="2"/>
        <v>0.5504368546465449</v>
      </c>
      <c r="F115" s="273"/>
      <c r="G115" s="488"/>
      <c r="H115" s="572"/>
      <c r="I115" s="70"/>
      <c r="J115" s="236"/>
      <c r="K115" s="274"/>
      <c r="L115" s="70"/>
      <c r="M115" s="87"/>
      <c r="N115" s="582"/>
      <c r="O115" s="588"/>
      <c r="P115" s="582"/>
      <c r="Q115" s="87"/>
      <c r="R115" s="70"/>
      <c r="S115" s="274"/>
      <c r="T115" s="588"/>
      <c r="U115" s="276">
        <v>510</v>
      </c>
      <c r="V115" s="590">
        <v>496</v>
      </c>
      <c r="W115" s="70"/>
      <c r="X115" s="237"/>
      <c r="Y115" s="588"/>
      <c r="Z115" s="70"/>
      <c r="AA115" s="274"/>
      <c r="AB115" s="588"/>
      <c r="AC115" s="70"/>
      <c r="AD115" s="274"/>
      <c r="AE115" s="588"/>
      <c r="AF115" s="70"/>
      <c r="AG115" s="274"/>
      <c r="AH115" s="588"/>
      <c r="AI115" s="70"/>
      <c r="AJ115" s="237"/>
      <c r="AK115" s="87"/>
      <c r="AL115" s="70"/>
      <c r="AM115" s="588"/>
      <c r="AN115" s="19"/>
    </row>
    <row r="116" spans="1:40" s="12" customFormat="1" ht="13" x14ac:dyDescent="0.3">
      <c r="A116" s="10">
        <v>7305</v>
      </c>
      <c r="B116" s="11" t="s">
        <v>556</v>
      </c>
      <c r="C116" s="282">
        <v>1262</v>
      </c>
      <c r="D116" s="54">
        <v>808</v>
      </c>
      <c r="E116" s="706">
        <f t="shared" si="2"/>
        <v>0.64025356576862125</v>
      </c>
      <c r="F116" s="273"/>
      <c r="G116" s="488"/>
      <c r="H116" s="572"/>
      <c r="I116" s="70"/>
      <c r="J116" s="236"/>
      <c r="K116" s="274"/>
      <c r="L116" s="70"/>
      <c r="M116" s="87"/>
      <c r="N116" s="582"/>
      <c r="O116" s="588"/>
      <c r="P116" s="582"/>
      <c r="Q116" s="87"/>
      <c r="R116" s="70"/>
      <c r="S116" s="274"/>
      <c r="T116" s="588"/>
      <c r="U116" s="276">
        <v>586</v>
      </c>
      <c r="V116" s="590">
        <v>570</v>
      </c>
      <c r="W116" s="70"/>
      <c r="X116" s="237"/>
      <c r="Y116" s="588"/>
      <c r="Z116" s="70"/>
      <c r="AA116" s="274"/>
      <c r="AB116" s="588"/>
      <c r="AC116" s="70"/>
      <c r="AD116" s="274"/>
      <c r="AE116" s="588"/>
      <c r="AF116" s="70"/>
      <c r="AG116" s="274"/>
      <c r="AH116" s="588"/>
      <c r="AI116" s="70"/>
      <c r="AJ116" s="237"/>
      <c r="AK116" s="87"/>
      <c r="AL116" s="70"/>
      <c r="AM116" s="588"/>
      <c r="AN116" s="19"/>
    </row>
    <row r="117" spans="1:40" s="12" customFormat="1" ht="13" x14ac:dyDescent="0.3">
      <c r="A117" s="10">
        <v>7306</v>
      </c>
      <c r="B117" s="11" t="s">
        <v>557</v>
      </c>
      <c r="C117" s="282">
        <v>1121</v>
      </c>
      <c r="D117" s="54">
        <v>587</v>
      </c>
      <c r="E117" s="706">
        <f t="shared" si="2"/>
        <v>0.52363960749330951</v>
      </c>
      <c r="F117" s="273"/>
      <c r="G117" s="488"/>
      <c r="H117" s="572"/>
      <c r="I117" s="70"/>
      <c r="J117" s="236"/>
      <c r="K117" s="274"/>
      <c r="L117" s="70"/>
      <c r="M117" s="87"/>
      <c r="N117" s="582"/>
      <c r="O117" s="588"/>
      <c r="P117" s="582"/>
      <c r="Q117" s="87"/>
      <c r="R117" s="70"/>
      <c r="S117" s="274"/>
      <c r="T117" s="588"/>
      <c r="U117" s="276">
        <v>407</v>
      </c>
      <c r="V117" s="590">
        <v>408</v>
      </c>
      <c r="W117" s="70"/>
      <c r="X117" s="237"/>
      <c r="Y117" s="588"/>
      <c r="Z117" s="70"/>
      <c r="AA117" s="274"/>
      <c r="AB117" s="588"/>
      <c r="AC117" s="70"/>
      <c r="AD117" s="274"/>
      <c r="AE117" s="588"/>
      <c r="AF117" s="70"/>
      <c r="AG117" s="274"/>
      <c r="AH117" s="588"/>
      <c r="AI117" s="70"/>
      <c r="AJ117" s="237"/>
      <c r="AK117" s="87"/>
      <c r="AL117" s="70"/>
      <c r="AM117" s="588"/>
      <c r="AN117" s="19"/>
    </row>
    <row r="118" spans="1:40" s="12" customFormat="1" ht="13" x14ac:dyDescent="0.3">
      <c r="A118" s="10">
        <v>7307</v>
      </c>
      <c r="B118" s="11" t="s">
        <v>558</v>
      </c>
      <c r="C118" s="282">
        <v>822</v>
      </c>
      <c r="D118" s="54">
        <v>534</v>
      </c>
      <c r="E118" s="706">
        <f t="shared" si="2"/>
        <v>0.64963503649635035</v>
      </c>
      <c r="F118" s="273"/>
      <c r="G118" s="488"/>
      <c r="H118" s="572"/>
      <c r="I118" s="70"/>
      <c r="J118" s="236"/>
      <c r="K118" s="274"/>
      <c r="L118" s="70"/>
      <c r="M118" s="87"/>
      <c r="N118" s="582"/>
      <c r="O118" s="588"/>
      <c r="P118" s="582"/>
      <c r="Q118" s="87"/>
      <c r="R118" s="70"/>
      <c r="S118" s="274"/>
      <c r="T118" s="588"/>
      <c r="U118" s="276">
        <v>387</v>
      </c>
      <c r="V118" s="590">
        <v>372</v>
      </c>
      <c r="W118" s="70"/>
      <c r="X118" s="237"/>
      <c r="Y118" s="588"/>
      <c r="Z118" s="70"/>
      <c r="AA118" s="274"/>
      <c r="AB118" s="588"/>
      <c r="AC118" s="70"/>
      <c r="AD118" s="274"/>
      <c r="AE118" s="588"/>
      <c r="AF118" s="70"/>
      <c r="AG118" s="274"/>
      <c r="AH118" s="588"/>
      <c r="AI118" s="70"/>
      <c r="AJ118" s="237"/>
      <c r="AK118" s="87"/>
      <c r="AL118" s="70"/>
      <c r="AM118" s="588"/>
      <c r="AN118" s="19"/>
    </row>
    <row r="119" spans="1:40" s="12" customFormat="1" ht="13" x14ac:dyDescent="0.3">
      <c r="A119" s="10">
        <v>7308</v>
      </c>
      <c r="B119" s="11" t="s">
        <v>559</v>
      </c>
      <c r="C119" s="282">
        <v>829</v>
      </c>
      <c r="D119" s="54">
        <v>429</v>
      </c>
      <c r="E119" s="706">
        <f t="shared" si="2"/>
        <v>0.51749095295536796</v>
      </c>
      <c r="F119" s="273"/>
      <c r="G119" s="488"/>
      <c r="H119" s="572"/>
      <c r="I119" s="70"/>
      <c r="J119" s="236"/>
      <c r="K119" s="274"/>
      <c r="L119" s="70"/>
      <c r="M119" s="87"/>
      <c r="N119" s="582"/>
      <c r="O119" s="588"/>
      <c r="P119" s="582"/>
      <c r="Q119" s="87"/>
      <c r="R119" s="70"/>
      <c r="S119" s="274"/>
      <c r="T119" s="588"/>
      <c r="U119" s="276">
        <v>289</v>
      </c>
      <c r="V119" s="590">
        <v>284</v>
      </c>
      <c r="W119" s="70"/>
      <c r="X119" s="237"/>
      <c r="Y119" s="588"/>
      <c r="Z119" s="70"/>
      <c r="AA119" s="274"/>
      <c r="AB119" s="588"/>
      <c r="AC119" s="70"/>
      <c r="AD119" s="274"/>
      <c r="AE119" s="588"/>
      <c r="AF119" s="70"/>
      <c r="AG119" s="274"/>
      <c r="AH119" s="588"/>
      <c r="AI119" s="70"/>
      <c r="AJ119" s="237"/>
      <c r="AK119" s="87"/>
      <c r="AL119" s="70"/>
      <c r="AM119" s="588"/>
      <c r="AN119" s="19"/>
    </row>
    <row r="120" spans="1:40" s="12" customFormat="1" ht="13" x14ac:dyDescent="0.3">
      <c r="A120" s="10">
        <v>7309</v>
      </c>
      <c r="B120" s="11" t="s">
        <v>560</v>
      </c>
      <c r="C120" s="282">
        <v>1157</v>
      </c>
      <c r="D120" s="54">
        <v>511</v>
      </c>
      <c r="E120" s="706">
        <f t="shared" si="2"/>
        <v>0.44165946413137425</v>
      </c>
      <c r="F120" s="273"/>
      <c r="G120" s="488"/>
      <c r="H120" s="572"/>
      <c r="I120" s="70"/>
      <c r="J120" s="236"/>
      <c r="K120" s="274"/>
      <c r="L120" s="70"/>
      <c r="M120" s="87"/>
      <c r="N120" s="582"/>
      <c r="O120" s="588"/>
      <c r="P120" s="582"/>
      <c r="Q120" s="87"/>
      <c r="R120" s="70"/>
      <c r="S120" s="274"/>
      <c r="T120" s="588"/>
      <c r="U120" s="276">
        <v>364</v>
      </c>
      <c r="V120" s="590">
        <v>358</v>
      </c>
      <c r="W120" s="70"/>
      <c r="X120" s="237"/>
      <c r="Y120" s="588"/>
      <c r="Z120" s="70"/>
      <c r="AA120" s="274"/>
      <c r="AB120" s="588"/>
      <c r="AC120" s="70"/>
      <c r="AD120" s="274"/>
      <c r="AE120" s="588"/>
      <c r="AF120" s="70"/>
      <c r="AG120" s="274"/>
      <c r="AH120" s="588"/>
      <c r="AI120" s="70"/>
      <c r="AJ120" s="237"/>
      <c r="AK120" s="87"/>
      <c r="AL120" s="70"/>
      <c r="AM120" s="588"/>
      <c r="AN120" s="19"/>
    </row>
    <row r="121" spans="1:40" s="12" customFormat="1" ht="13" x14ac:dyDescent="0.3">
      <c r="A121" s="10">
        <v>7310</v>
      </c>
      <c r="B121" s="11" t="s">
        <v>561</v>
      </c>
      <c r="C121" s="282">
        <v>901</v>
      </c>
      <c r="D121" s="54">
        <v>567</v>
      </c>
      <c r="E121" s="706">
        <f t="shared" si="2"/>
        <v>0.62930077691453945</v>
      </c>
      <c r="F121" s="273"/>
      <c r="G121" s="488"/>
      <c r="H121" s="572"/>
      <c r="I121" s="70"/>
      <c r="J121" s="236"/>
      <c r="K121" s="274"/>
      <c r="L121" s="70"/>
      <c r="M121" s="87"/>
      <c r="N121" s="582"/>
      <c r="O121" s="588"/>
      <c r="P121" s="582"/>
      <c r="Q121" s="87"/>
      <c r="R121" s="70"/>
      <c r="S121" s="274"/>
      <c r="T121" s="588"/>
      <c r="U121" s="276">
        <v>387</v>
      </c>
      <c r="V121" s="590">
        <v>386</v>
      </c>
      <c r="W121" s="70"/>
      <c r="X121" s="237"/>
      <c r="Y121" s="588"/>
      <c r="Z121" s="70"/>
      <c r="AA121" s="274"/>
      <c r="AB121" s="588"/>
      <c r="AC121" s="70"/>
      <c r="AD121" s="274"/>
      <c r="AE121" s="588"/>
      <c r="AF121" s="70"/>
      <c r="AG121" s="274"/>
      <c r="AH121" s="588"/>
      <c r="AI121" s="70"/>
      <c r="AJ121" s="237"/>
      <c r="AK121" s="87"/>
      <c r="AL121" s="70"/>
      <c r="AM121" s="588"/>
      <c r="AN121" s="19"/>
    </row>
    <row r="122" spans="1:40" s="12" customFormat="1" ht="13" x14ac:dyDescent="0.3">
      <c r="A122" s="10">
        <v>7311</v>
      </c>
      <c r="B122" s="11" t="s">
        <v>562</v>
      </c>
      <c r="C122" s="282">
        <v>1178</v>
      </c>
      <c r="D122" s="54">
        <v>765</v>
      </c>
      <c r="E122" s="706">
        <f t="shared" si="2"/>
        <v>0.64940577249575548</v>
      </c>
      <c r="F122" s="273"/>
      <c r="G122" s="488"/>
      <c r="H122" s="572"/>
      <c r="I122" s="70"/>
      <c r="J122" s="236"/>
      <c r="K122" s="274"/>
      <c r="L122" s="70"/>
      <c r="M122" s="87"/>
      <c r="N122" s="582"/>
      <c r="O122" s="588"/>
      <c r="P122" s="582"/>
      <c r="Q122" s="87"/>
      <c r="R122" s="70"/>
      <c r="S122" s="274"/>
      <c r="T122" s="588"/>
      <c r="U122" s="276">
        <v>541</v>
      </c>
      <c r="V122" s="590">
        <v>536</v>
      </c>
      <c r="W122" s="70"/>
      <c r="X122" s="237"/>
      <c r="Y122" s="588"/>
      <c r="Z122" s="70"/>
      <c r="AA122" s="274"/>
      <c r="AB122" s="588"/>
      <c r="AC122" s="70"/>
      <c r="AD122" s="274"/>
      <c r="AE122" s="588"/>
      <c r="AF122" s="70"/>
      <c r="AG122" s="274"/>
      <c r="AH122" s="588"/>
      <c r="AI122" s="70"/>
      <c r="AJ122" s="237"/>
      <c r="AK122" s="87"/>
      <c r="AL122" s="70"/>
      <c r="AM122" s="588"/>
      <c r="AN122" s="19"/>
    </row>
    <row r="123" spans="1:40" s="12" customFormat="1" ht="13" x14ac:dyDescent="0.3">
      <c r="A123" s="10">
        <v>7312</v>
      </c>
      <c r="B123" s="11" t="s">
        <v>563</v>
      </c>
      <c r="C123" s="282">
        <v>1344</v>
      </c>
      <c r="D123" s="54">
        <v>761</v>
      </c>
      <c r="E123" s="706">
        <f t="shared" si="2"/>
        <v>0.56622023809523814</v>
      </c>
      <c r="F123" s="273"/>
      <c r="G123" s="488"/>
      <c r="H123" s="572"/>
      <c r="I123" s="70"/>
      <c r="J123" s="236"/>
      <c r="K123" s="274"/>
      <c r="L123" s="70"/>
      <c r="M123" s="87"/>
      <c r="N123" s="582"/>
      <c r="O123" s="588"/>
      <c r="P123" s="582"/>
      <c r="Q123" s="87"/>
      <c r="R123" s="70"/>
      <c r="S123" s="274"/>
      <c r="T123" s="588"/>
      <c r="U123" s="276">
        <v>569</v>
      </c>
      <c r="V123" s="590">
        <v>547</v>
      </c>
      <c r="W123" s="70"/>
      <c r="X123" s="237"/>
      <c r="Y123" s="588"/>
      <c r="Z123" s="70"/>
      <c r="AA123" s="274"/>
      <c r="AB123" s="588"/>
      <c r="AC123" s="70"/>
      <c r="AD123" s="274"/>
      <c r="AE123" s="588"/>
      <c r="AF123" s="70"/>
      <c r="AG123" s="274"/>
      <c r="AH123" s="588"/>
      <c r="AI123" s="70"/>
      <c r="AJ123" s="237"/>
      <c r="AK123" s="87"/>
      <c r="AL123" s="70"/>
      <c r="AM123" s="588"/>
      <c r="AN123" s="19"/>
    </row>
    <row r="124" spans="1:40" s="12" customFormat="1" ht="13" x14ac:dyDescent="0.3">
      <c r="A124" s="10">
        <v>7313</v>
      </c>
      <c r="B124" s="11" t="s">
        <v>564</v>
      </c>
      <c r="C124" s="282">
        <v>711</v>
      </c>
      <c r="D124" s="54">
        <v>438</v>
      </c>
      <c r="E124" s="706">
        <f t="shared" si="2"/>
        <v>0.61603375527426163</v>
      </c>
      <c r="F124" s="273"/>
      <c r="G124" s="488"/>
      <c r="H124" s="572"/>
      <c r="I124" s="70"/>
      <c r="J124" s="236"/>
      <c r="K124" s="274"/>
      <c r="L124" s="70"/>
      <c r="M124" s="87"/>
      <c r="N124" s="582"/>
      <c r="O124" s="588"/>
      <c r="P124" s="582"/>
      <c r="Q124" s="87"/>
      <c r="R124" s="70"/>
      <c r="S124" s="274"/>
      <c r="T124" s="588"/>
      <c r="U124" s="276">
        <v>322</v>
      </c>
      <c r="V124" s="590">
        <v>312</v>
      </c>
      <c r="W124" s="70"/>
      <c r="X124" s="237"/>
      <c r="Y124" s="588"/>
      <c r="Z124" s="70"/>
      <c r="AA124" s="274"/>
      <c r="AB124" s="588"/>
      <c r="AC124" s="70"/>
      <c r="AD124" s="274"/>
      <c r="AE124" s="588"/>
      <c r="AF124" s="70"/>
      <c r="AG124" s="274"/>
      <c r="AH124" s="588"/>
      <c r="AI124" s="70"/>
      <c r="AJ124" s="237"/>
      <c r="AK124" s="87"/>
      <c r="AL124" s="70"/>
      <c r="AM124" s="588"/>
      <c r="AN124" s="19"/>
    </row>
    <row r="125" spans="1:40" s="12" customFormat="1" ht="13" x14ac:dyDescent="0.3">
      <c r="A125" s="10">
        <v>7314</v>
      </c>
      <c r="B125" s="11" t="s">
        <v>565</v>
      </c>
      <c r="C125" s="282">
        <v>1295</v>
      </c>
      <c r="D125" s="54">
        <v>613</v>
      </c>
      <c r="E125" s="706">
        <f t="shared" si="2"/>
        <v>0.47335907335907335</v>
      </c>
      <c r="F125" s="273"/>
      <c r="G125" s="488"/>
      <c r="H125" s="572"/>
      <c r="I125" s="70"/>
      <c r="J125" s="236"/>
      <c r="K125" s="274"/>
      <c r="L125" s="70"/>
      <c r="M125" s="87"/>
      <c r="N125" s="582"/>
      <c r="O125" s="588"/>
      <c r="P125" s="582"/>
      <c r="Q125" s="87"/>
      <c r="R125" s="70"/>
      <c r="S125" s="274"/>
      <c r="T125" s="588"/>
      <c r="U125" s="276">
        <v>432</v>
      </c>
      <c r="V125" s="590">
        <v>426</v>
      </c>
      <c r="W125" s="70"/>
      <c r="X125" s="237"/>
      <c r="Y125" s="588"/>
      <c r="Z125" s="70"/>
      <c r="AA125" s="274"/>
      <c r="AB125" s="588"/>
      <c r="AC125" s="70"/>
      <c r="AD125" s="274"/>
      <c r="AE125" s="588"/>
      <c r="AF125" s="70"/>
      <c r="AG125" s="274"/>
      <c r="AH125" s="588"/>
      <c r="AI125" s="70"/>
      <c r="AJ125" s="237"/>
      <c r="AK125" s="87"/>
      <c r="AL125" s="70"/>
      <c r="AM125" s="588"/>
      <c r="AN125" s="19"/>
    </row>
    <row r="126" spans="1:40" s="12" customFormat="1" ht="13" x14ac:dyDescent="0.3">
      <c r="A126" s="10">
        <v>7315</v>
      </c>
      <c r="B126" s="11" t="s">
        <v>566</v>
      </c>
      <c r="C126" s="282">
        <v>1318</v>
      </c>
      <c r="D126" s="54">
        <v>677</v>
      </c>
      <c r="E126" s="706">
        <f t="shared" si="2"/>
        <v>0.51365705614567525</v>
      </c>
      <c r="F126" s="273"/>
      <c r="G126" s="488"/>
      <c r="H126" s="572"/>
      <c r="I126" s="70"/>
      <c r="J126" s="236"/>
      <c r="K126" s="274"/>
      <c r="L126" s="70"/>
      <c r="M126" s="87"/>
      <c r="N126" s="582"/>
      <c r="O126" s="588"/>
      <c r="P126" s="582"/>
      <c r="Q126" s="87"/>
      <c r="R126" s="70"/>
      <c r="S126" s="274"/>
      <c r="T126" s="588"/>
      <c r="U126" s="276">
        <v>430</v>
      </c>
      <c r="V126" s="590">
        <v>431</v>
      </c>
      <c r="W126" s="70"/>
      <c r="X126" s="237"/>
      <c r="Y126" s="588"/>
      <c r="Z126" s="70"/>
      <c r="AA126" s="274"/>
      <c r="AB126" s="588"/>
      <c r="AC126" s="70"/>
      <c r="AD126" s="274"/>
      <c r="AE126" s="588"/>
      <c r="AF126" s="70"/>
      <c r="AG126" s="274"/>
      <c r="AH126" s="588"/>
      <c r="AI126" s="70"/>
      <c r="AJ126" s="237"/>
      <c r="AK126" s="87"/>
      <c r="AL126" s="70"/>
      <c r="AM126" s="588"/>
      <c r="AN126" s="19"/>
    </row>
    <row r="127" spans="1:40" s="12" customFormat="1" ht="13" x14ac:dyDescent="0.3">
      <c r="A127" s="10">
        <v>7316</v>
      </c>
      <c r="B127" s="11" t="s">
        <v>567</v>
      </c>
      <c r="C127" s="282">
        <v>1051</v>
      </c>
      <c r="D127" s="54">
        <v>627</v>
      </c>
      <c r="E127" s="706">
        <f t="shared" si="2"/>
        <v>0.59657469077069458</v>
      </c>
      <c r="F127" s="273"/>
      <c r="G127" s="488"/>
      <c r="H127" s="572"/>
      <c r="I127" s="70"/>
      <c r="J127" s="236"/>
      <c r="K127" s="274"/>
      <c r="L127" s="70"/>
      <c r="M127" s="87"/>
      <c r="N127" s="582"/>
      <c r="O127" s="588"/>
      <c r="P127" s="582"/>
      <c r="Q127" s="87"/>
      <c r="R127" s="70"/>
      <c r="S127" s="274"/>
      <c r="T127" s="588"/>
      <c r="U127" s="276">
        <v>419</v>
      </c>
      <c r="V127" s="590">
        <v>416</v>
      </c>
      <c r="W127" s="70"/>
      <c r="X127" s="237"/>
      <c r="Y127" s="588"/>
      <c r="Z127" s="70"/>
      <c r="AA127" s="274"/>
      <c r="AB127" s="588"/>
      <c r="AC127" s="70"/>
      <c r="AD127" s="274"/>
      <c r="AE127" s="588"/>
      <c r="AF127" s="70"/>
      <c r="AG127" s="274"/>
      <c r="AH127" s="588"/>
      <c r="AI127" s="70"/>
      <c r="AJ127" s="237"/>
      <c r="AK127" s="87"/>
      <c r="AL127" s="70"/>
      <c r="AM127" s="588"/>
      <c r="AN127" s="19"/>
    </row>
    <row r="128" spans="1:40" s="12" customFormat="1" ht="13" x14ac:dyDescent="0.3">
      <c r="A128" s="10">
        <v>7317</v>
      </c>
      <c r="B128" s="11" t="s">
        <v>568</v>
      </c>
      <c r="C128" s="282">
        <v>1182</v>
      </c>
      <c r="D128" s="54">
        <v>719</v>
      </c>
      <c r="E128" s="706">
        <f t="shared" si="2"/>
        <v>0.60829103214890012</v>
      </c>
      <c r="F128" s="273"/>
      <c r="G128" s="488"/>
      <c r="H128" s="572"/>
      <c r="I128" s="70"/>
      <c r="J128" s="236"/>
      <c r="K128" s="274"/>
      <c r="L128" s="70"/>
      <c r="M128" s="87"/>
      <c r="N128" s="582"/>
      <c r="O128" s="588"/>
      <c r="P128" s="582"/>
      <c r="Q128" s="87"/>
      <c r="R128" s="70"/>
      <c r="S128" s="274"/>
      <c r="T128" s="588"/>
      <c r="U128" s="276">
        <v>482</v>
      </c>
      <c r="V128" s="590">
        <v>472</v>
      </c>
      <c r="W128" s="70"/>
      <c r="X128" s="237"/>
      <c r="Y128" s="588"/>
      <c r="Z128" s="70"/>
      <c r="AA128" s="274"/>
      <c r="AB128" s="588"/>
      <c r="AC128" s="70"/>
      <c r="AD128" s="274"/>
      <c r="AE128" s="588"/>
      <c r="AF128" s="70"/>
      <c r="AG128" s="274"/>
      <c r="AH128" s="588"/>
      <c r="AI128" s="70"/>
      <c r="AJ128" s="237"/>
      <c r="AK128" s="87"/>
      <c r="AL128" s="70"/>
      <c r="AM128" s="588"/>
      <c r="AN128" s="19"/>
    </row>
    <row r="129" spans="1:40" s="12" customFormat="1" ht="13" x14ac:dyDescent="0.3">
      <c r="A129" s="10">
        <v>7318</v>
      </c>
      <c r="B129" s="11" t="s">
        <v>569</v>
      </c>
      <c r="C129" s="282">
        <v>725</v>
      </c>
      <c r="D129" s="54">
        <v>422</v>
      </c>
      <c r="E129" s="706">
        <f t="shared" si="2"/>
        <v>0.58206896551724141</v>
      </c>
      <c r="F129" s="273"/>
      <c r="G129" s="488"/>
      <c r="H129" s="572"/>
      <c r="I129" s="70"/>
      <c r="J129" s="236"/>
      <c r="K129" s="274"/>
      <c r="L129" s="70"/>
      <c r="M129" s="87"/>
      <c r="N129" s="582"/>
      <c r="O129" s="588"/>
      <c r="P129" s="582"/>
      <c r="Q129" s="87"/>
      <c r="R129" s="70"/>
      <c r="S129" s="274"/>
      <c r="T129" s="588"/>
      <c r="U129" s="276">
        <v>287</v>
      </c>
      <c r="V129" s="590">
        <v>289</v>
      </c>
      <c r="W129" s="70"/>
      <c r="X129" s="237"/>
      <c r="Y129" s="588"/>
      <c r="Z129" s="70"/>
      <c r="AA129" s="274"/>
      <c r="AB129" s="588"/>
      <c r="AC129" s="70"/>
      <c r="AD129" s="274"/>
      <c r="AE129" s="588"/>
      <c r="AF129" s="70"/>
      <c r="AG129" s="274"/>
      <c r="AH129" s="588"/>
      <c r="AI129" s="70"/>
      <c r="AJ129" s="237"/>
      <c r="AK129" s="87"/>
      <c r="AL129" s="70"/>
      <c r="AM129" s="588"/>
      <c r="AN129" s="19"/>
    </row>
    <row r="130" spans="1:40" s="12" customFormat="1" ht="13" x14ac:dyDescent="0.3">
      <c r="A130" s="10">
        <v>7319</v>
      </c>
      <c r="B130" s="11" t="s">
        <v>570</v>
      </c>
      <c r="C130" s="282">
        <v>1252</v>
      </c>
      <c r="D130" s="54">
        <v>569</v>
      </c>
      <c r="E130" s="706">
        <f t="shared" si="2"/>
        <v>0.45447284345047922</v>
      </c>
      <c r="F130" s="273"/>
      <c r="G130" s="488"/>
      <c r="H130" s="572"/>
      <c r="I130" s="70"/>
      <c r="J130" s="236"/>
      <c r="K130" s="274"/>
      <c r="L130" s="70"/>
      <c r="M130" s="87"/>
      <c r="N130" s="582"/>
      <c r="O130" s="588"/>
      <c r="P130" s="582"/>
      <c r="Q130" s="87"/>
      <c r="R130" s="70"/>
      <c r="S130" s="274"/>
      <c r="T130" s="588"/>
      <c r="U130" s="276">
        <v>389</v>
      </c>
      <c r="V130" s="590">
        <v>383</v>
      </c>
      <c r="W130" s="70"/>
      <c r="X130" s="237"/>
      <c r="Y130" s="588"/>
      <c r="Z130" s="70"/>
      <c r="AA130" s="274"/>
      <c r="AB130" s="588"/>
      <c r="AC130" s="70"/>
      <c r="AD130" s="274"/>
      <c r="AE130" s="588"/>
      <c r="AF130" s="70"/>
      <c r="AG130" s="274"/>
      <c r="AH130" s="588"/>
      <c r="AI130" s="70"/>
      <c r="AJ130" s="237"/>
      <c r="AK130" s="87"/>
      <c r="AL130" s="70"/>
      <c r="AM130" s="588"/>
      <c r="AN130" s="19"/>
    </row>
    <row r="131" spans="1:40" s="12" customFormat="1" ht="13" x14ac:dyDescent="0.3">
      <c r="A131" s="10">
        <v>7320</v>
      </c>
      <c r="B131" s="11" t="s">
        <v>571</v>
      </c>
      <c r="C131" s="282">
        <v>538</v>
      </c>
      <c r="D131" s="54">
        <v>265</v>
      </c>
      <c r="E131" s="706">
        <f t="shared" si="2"/>
        <v>0.49256505576208176</v>
      </c>
      <c r="F131" s="273"/>
      <c r="G131" s="488"/>
      <c r="H131" s="572"/>
      <c r="I131" s="70"/>
      <c r="J131" s="236"/>
      <c r="K131" s="274"/>
      <c r="L131" s="70"/>
      <c r="M131" s="87"/>
      <c r="N131" s="582"/>
      <c r="O131" s="588"/>
      <c r="P131" s="582"/>
      <c r="Q131" s="87"/>
      <c r="R131" s="70"/>
      <c r="S131" s="274"/>
      <c r="T131" s="588"/>
      <c r="U131" s="276">
        <v>185</v>
      </c>
      <c r="V131" s="590">
        <v>181</v>
      </c>
      <c r="W131" s="70"/>
      <c r="X131" s="237"/>
      <c r="Y131" s="588"/>
      <c r="Z131" s="70"/>
      <c r="AA131" s="274"/>
      <c r="AB131" s="588"/>
      <c r="AC131" s="70"/>
      <c r="AD131" s="274"/>
      <c r="AE131" s="588"/>
      <c r="AF131" s="70"/>
      <c r="AG131" s="274"/>
      <c r="AH131" s="588"/>
      <c r="AI131" s="70"/>
      <c r="AJ131" s="237"/>
      <c r="AK131" s="87"/>
      <c r="AL131" s="70"/>
      <c r="AM131" s="588"/>
      <c r="AN131" s="19"/>
    </row>
    <row r="132" spans="1:40" s="12" customFormat="1" ht="13" x14ac:dyDescent="0.3">
      <c r="A132" s="10">
        <v>7321</v>
      </c>
      <c r="B132" s="11" t="s">
        <v>572</v>
      </c>
      <c r="C132" s="282">
        <v>696</v>
      </c>
      <c r="D132" s="54">
        <v>403</v>
      </c>
      <c r="E132" s="706">
        <f t="shared" si="2"/>
        <v>0.57902298850574707</v>
      </c>
      <c r="F132" s="273"/>
      <c r="G132" s="488"/>
      <c r="H132" s="572"/>
      <c r="I132" s="70"/>
      <c r="J132" s="236"/>
      <c r="K132" s="274"/>
      <c r="L132" s="70"/>
      <c r="M132" s="87"/>
      <c r="N132" s="582"/>
      <c r="O132" s="588"/>
      <c r="P132" s="582"/>
      <c r="Q132" s="87"/>
      <c r="R132" s="70"/>
      <c r="S132" s="274"/>
      <c r="T132" s="588"/>
      <c r="U132" s="276">
        <v>279</v>
      </c>
      <c r="V132" s="590">
        <v>266</v>
      </c>
      <c r="W132" s="70"/>
      <c r="X132" s="237"/>
      <c r="Y132" s="588"/>
      <c r="Z132" s="70"/>
      <c r="AA132" s="274"/>
      <c r="AB132" s="588"/>
      <c r="AC132" s="70"/>
      <c r="AD132" s="274"/>
      <c r="AE132" s="588"/>
      <c r="AF132" s="70"/>
      <c r="AG132" s="274"/>
      <c r="AH132" s="588"/>
      <c r="AI132" s="70"/>
      <c r="AJ132" s="237"/>
      <c r="AK132" s="87"/>
      <c r="AL132" s="70"/>
      <c r="AM132" s="588"/>
      <c r="AN132" s="19"/>
    </row>
    <row r="133" spans="1:40" s="12" customFormat="1" ht="13" x14ac:dyDescent="0.3">
      <c r="A133" s="10">
        <v>7322</v>
      </c>
      <c r="B133" s="11" t="s">
        <v>573</v>
      </c>
      <c r="C133" s="282">
        <v>1084</v>
      </c>
      <c r="D133" s="54">
        <v>555</v>
      </c>
      <c r="E133" s="706">
        <f t="shared" si="2"/>
        <v>0.51199261992619927</v>
      </c>
      <c r="F133" s="273"/>
      <c r="G133" s="488"/>
      <c r="H133" s="572"/>
      <c r="I133" s="70"/>
      <c r="J133" s="236"/>
      <c r="K133" s="274"/>
      <c r="L133" s="70"/>
      <c r="M133" s="87"/>
      <c r="N133" s="582"/>
      <c r="O133" s="588"/>
      <c r="P133" s="582"/>
      <c r="Q133" s="87"/>
      <c r="R133" s="70"/>
      <c r="S133" s="274"/>
      <c r="T133" s="588"/>
      <c r="U133" s="276">
        <v>346</v>
      </c>
      <c r="V133" s="590">
        <v>340</v>
      </c>
      <c r="W133" s="70"/>
      <c r="X133" s="237"/>
      <c r="Y133" s="588"/>
      <c r="Z133" s="70"/>
      <c r="AA133" s="274"/>
      <c r="AB133" s="588"/>
      <c r="AC133" s="70"/>
      <c r="AD133" s="274"/>
      <c r="AE133" s="588"/>
      <c r="AF133" s="70"/>
      <c r="AG133" s="274"/>
      <c r="AH133" s="588"/>
      <c r="AI133" s="70"/>
      <c r="AJ133" s="237"/>
      <c r="AK133" s="87"/>
      <c r="AL133" s="70"/>
      <c r="AM133" s="588"/>
      <c r="AN133" s="19"/>
    </row>
    <row r="134" spans="1:40" s="12" customFormat="1" ht="13" x14ac:dyDescent="0.3">
      <c r="A134" s="10">
        <v>7323</v>
      </c>
      <c r="B134" s="11" t="s">
        <v>574</v>
      </c>
      <c r="C134" s="282">
        <v>1288</v>
      </c>
      <c r="D134" s="54">
        <v>866</v>
      </c>
      <c r="E134" s="706">
        <f t="shared" si="2"/>
        <v>0.67236024844720499</v>
      </c>
      <c r="F134" s="273"/>
      <c r="G134" s="488"/>
      <c r="H134" s="572"/>
      <c r="I134" s="70"/>
      <c r="J134" s="236"/>
      <c r="K134" s="274"/>
      <c r="L134" s="70"/>
      <c r="M134" s="87"/>
      <c r="N134" s="582"/>
      <c r="O134" s="588"/>
      <c r="P134" s="582"/>
      <c r="Q134" s="87"/>
      <c r="R134" s="70"/>
      <c r="S134" s="274"/>
      <c r="T134" s="588"/>
      <c r="U134" s="276">
        <v>672</v>
      </c>
      <c r="V134" s="590">
        <v>651</v>
      </c>
      <c r="W134" s="70"/>
      <c r="X134" s="237"/>
      <c r="Y134" s="588"/>
      <c r="Z134" s="70"/>
      <c r="AA134" s="274"/>
      <c r="AB134" s="588"/>
      <c r="AC134" s="70"/>
      <c r="AD134" s="274"/>
      <c r="AE134" s="588"/>
      <c r="AF134" s="70"/>
      <c r="AG134" s="274"/>
      <c r="AH134" s="588"/>
      <c r="AI134" s="70"/>
      <c r="AJ134" s="237"/>
      <c r="AK134" s="87"/>
      <c r="AL134" s="70"/>
      <c r="AM134" s="588"/>
      <c r="AN134" s="19"/>
    </row>
    <row r="135" spans="1:40" s="12" customFormat="1" ht="13" x14ac:dyDescent="0.3">
      <c r="A135" s="10">
        <v>7324</v>
      </c>
      <c r="B135" s="11" t="s">
        <v>575</v>
      </c>
      <c r="C135" s="282">
        <v>1310</v>
      </c>
      <c r="D135" s="54">
        <v>792</v>
      </c>
      <c r="E135" s="706">
        <f t="shared" si="2"/>
        <v>0.60458015267175569</v>
      </c>
      <c r="F135" s="273"/>
      <c r="G135" s="488"/>
      <c r="H135" s="572"/>
      <c r="I135" s="70"/>
      <c r="J135" s="236"/>
      <c r="K135" s="274"/>
      <c r="L135" s="70"/>
      <c r="M135" s="87"/>
      <c r="N135" s="582"/>
      <c r="O135" s="588"/>
      <c r="P135" s="582"/>
      <c r="Q135" s="87"/>
      <c r="R135" s="70"/>
      <c r="S135" s="274"/>
      <c r="T135" s="588"/>
      <c r="U135" s="276">
        <v>542</v>
      </c>
      <c r="V135" s="590">
        <v>538</v>
      </c>
      <c r="W135" s="70"/>
      <c r="X135" s="237"/>
      <c r="Y135" s="588"/>
      <c r="Z135" s="70"/>
      <c r="AA135" s="274"/>
      <c r="AB135" s="588"/>
      <c r="AC135" s="70"/>
      <c r="AD135" s="274"/>
      <c r="AE135" s="588"/>
      <c r="AF135" s="70"/>
      <c r="AG135" s="274"/>
      <c r="AH135" s="588"/>
      <c r="AI135" s="70"/>
      <c r="AJ135" s="237"/>
      <c r="AK135" s="87"/>
      <c r="AL135" s="70"/>
      <c r="AM135" s="588"/>
      <c r="AN135" s="19"/>
    </row>
    <row r="136" spans="1:40" s="12" customFormat="1" ht="13" x14ac:dyDescent="0.3">
      <c r="A136" s="10">
        <v>7325</v>
      </c>
      <c r="B136" s="11" t="s">
        <v>576</v>
      </c>
      <c r="C136" s="282">
        <v>913</v>
      </c>
      <c r="D136" s="54">
        <v>576</v>
      </c>
      <c r="E136" s="706">
        <f t="shared" si="2"/>
        <v>0.63088718510405262</v>
      </c>
      <c r="F136" s="273"/>
      <c r="G136" s="488"/>
      <c r="H136" s="572"/>
      <c r="I136" s="70"/>
      <c r="J136" s="236"/>
      <c r="K136" s="274"/>
      <c r="L136" s="70"/>
      <c r="M136" s="87"/>
      <c r="N136" s="582"/>
      <c r="O136" s="588"/>
      <c r="P136" s="582"/>
      <c r="Q136" s="87"/>
      <c r="R136" s="70"/>
      <c r="S136" s="274"/>
      <c r="T136" s="588"/>
      <c r="U136" s="276">
        <v>403</v>
      </c>
      <c r="V136" s="590">
        <v>388</v>
      </c>
      <c r="W136" s="70"/>
      <c r="X136" s="237"/>
      <c r="Y136" s="588"/>
      <c r="Z136" s="70"/>
      <c r="AA136" s="274"/>
      <c r="AB136" s="588"/>
      <c r="AC136" s="70"/>
      <c r="AD136" s="274"/>
      <c r="AE136" s="588"/>
      <c r="AF136" s="70"/>
      <c r="AG136" s="274"/>
      <c r="AH136" s="588"/>
      <c r="AI136" s="70"/>
      <c r="AJ136" s="237"/>
      <c r="AK136" s="87"/>
      <c r="AL136" s="70"/>
      <c r="AM136" s="588"/>
      <c r="AN136" s="19"/>
    </row>
    <row r="137" spans="1:40" s="12" customFormat="1" ht="13" x14ac:dyDescent="0.3">
      <c r="A137" s="10">
        <v>7326</v>
      </c>
      <c r="B137" s="11" t="s">
        <v>577</v>
      </c>
      <c r="C137" s="282">
        <v>1396</v>
      </c>
      <c r="D137" s="54">
        <v>761</v>
      </c>
      <c r="E137" s="706">
        <f t="shared" si="2"/>
        <v>0.54512893982808019</v>
      </c>
      <c r="F137" s="273"/>
      <c r="G137" s="488"/>
      <c r="H137" s="572"/>
      <c r="I137" s="70"/>
      <c r="J137" s="236"/>
      <c r="K137" s="274"/>
      <c r="L137" s="70"/>
      <c r="M137" s="87"/>
      <c r="N137" s="582"/>
      <c r="O137" s="588"/>
      <c r="P137" s="582"/>
      <c r="Q137" s="87"/>
      <c r="R137" s="70"/>
      <c r="S137" s="274"/>
      <c r="T137" s="588"/>
      <c r="U137" s="276">
        <v>531</v>
      </c>
      <c r="V137" s="590">
        <v>518</v>
      </c>
      <c r="W137" s="70"/>
      <c r="X137" s="237"/>
      <c r="Y137" s="588"/>
      <c r="Z137" s="70"/>
      <c r="AA137" s="274"/>
      <c r="AB137" s="588"/>
      <c r="AC137" s="70"/>
      <c r="AD137" s="274"/>
      <c r="AE137" s="588"/>
      <c r="AF137" s="70"/>
      <c r="AG137" s="274"/>
      <c r="AH137" s="588"/>
      <c r="AI137" s="70"/>
      <c r="AJ137" s="237"/>
      <c r="AK137" s="87"/>
      <c r="AL137" s="70"/>
      <c r="AM137" s="588"/>
      <c r="AN137" s="19"/>
    </row>
    <row r="138" spans="1:40" s="12" customFormat="1" ht="13" x14ac:dyDescent="0.3">
      <c r="A138" s="10">
        <v>7327</v>
      </c>
      <c r="B138" s="11" t="s">
        <v>578</v>
      </c>
      <c r="C138" s="282">
        <v>966</v>
      </c>
      <c r="D138" s="54">
        <v>610</v>
      </c>
      <c r="E138" s="706">
        <f t="shared" ref="E138:E202" si="4">SUM(D138/C138)</f>
        <v>0.6314699792960663</v>
      </c>
      <c r="F138" s="273"/>
      <c r="G138" s="488"/>
      <c r="H138" s="572"/>
      <c r="I138" s="70"/>
      <c r="J138" s="236"/>
      <c r="K138" s="274"/>
      <c r="L138" s="70"/>
      <c r="M138" s="87"/>
      <c r="N138" s="582"/>
      <c r="O138" s="588"/>
      <c r="P138" s="582"/>
      <c r="Q138" s="87"/>
      <c r="R138" s="70"/>
      <c r="S138" s="274"/>
      <c r="T138" s="588"/>
      <c r="U138" s="276">
        <v>422</v>
      </c>
      <c r="V138" s="590">
        <v>392</v>
      </c>
      <c r="W138" s="70"/>
      <c r="X138" s="237"/>
      <c r="Y138" s="588"/>
      <c r="Z138" s="70"/>
      <c r="AA138" s="274"/>
      <c r="AB138" s="588"/>
      <c r="AC138" s="70"/>
      <c r="AD138" s="274"/>
      <c r="AE138" s="588"/>
      <c r="AF138" s="70"/>
      <c r="AG138" s="274"/>
      <c r="AH138" s="588"/>
      <c r="AI138" s="70"/>
      <c r="AJ138" s="237"/>
      <c r="AK138" s="87"/>
      <c r="AL138" s="70"/>
      <c r="AM138" s="588"/>
      <c r="AN138" s="19"/>
    </row>
    <row r="139" spans="1:40" s="12" customFormat="1" ht="13" x14ac:dyDescent="0.3">
      <c r="A139" s="10">
        <v>7328</v>
      </c>
      <c r="B139" s="11" t="s">
        <v>579</v>
      </c>
      <c r="C139" s="282">
        <v>1059</v>
      </c>
      <c r="D139" s="54">
        <v>503</v>
      </c>
      <c r="E139" s="706">
        <f t="shared" si="4"/>
        <v>0.4749763928234183</v>
      </c>
      <c r="F139" s="273"/>
      <c r="G139" s="488"/>
      <c r="H139" s="572"/>
      <c r="I139" s="70"/>
      <c r="J139" s="236"/>
      <c r="K139" s="274"/>
      <c r="L139" s="70"/>
      <c r="M139" s="87"/>
      <c r="N139" s="582"/>
      <c r="O139" s="588"/>
      <c r="P139" s="582"/>
      <c r="Q139" s="87"/>
      <c r="R139" s="70"/>
      <c r="S139" s="274"/>
      <c r="T139" s="588"/>
      <c r="U139" s="276">
        <v>340</v>
      </c>
      <c r="V139" s="590">
        <v>337</v>
      </c>
      <c r="W139" s="70"/>
      <c r="X139" s="237"/>
      <c r="Y139" s="588"/>
      <c r="Z139" s="70"/>
      <c r="AA139" s="274"/>
      <c r="AB139" s="588"/>
      <c r="AC139" s="70"/>
      <c r="AD139" s="274"/>
      <c r="AE139" s="588"/>
      <c r="AF139" s="70"/>
      <c r="AG139" s="274"/>
      <c r="AH139" s="588"/>
      <c r="AI139" s="70"/>
      <c r="AJ139" s="237"/>
      <c r="AK139" s="87"/>
      <c r="AL139" s="70"/>
      <c r="AM139" s="588"/>
      <c r="AN139" s="19"/>
    </row>
    <row r="140" spans="1:40" s="12" customFormat="1" ht="13" x14ac:dyDescent="0.3">
      <c r="A140" s="10">
        <v>7329</v>
      </c>
      <c r="B140" s="11" t="s">
        <v>580</v>
      </c>
      <c r="C140" s="282">
        <v>1138</v>
      </c>
      <c r="D140" s="54">
        <v>507</v>
      </c>
      <c r="E140" s="706">
        <f t="shared" si="4"/>
        <v>0.44551845342706503</v>
      </c>
      <c r="F140" s="273"/>
      <c r="G140" s="488"/>
      <c r="H140" s="572"/>
      <c r="I140" s="70"/>
      <c r="J140" s="236"/>
      <c r="K140" s="274"/>
      <c r="L140" s="70"/>
      <c r="M140" s="87"/>
      <c r="N140" s="582"/>
      <c r="O140" s="588"/>
      <c r="P140" s="582"/>
      <c r="Q140" s="87"/>
      <c r="R140" s="70"/>
      <c r="S140" s="274"/>
      <c r="T140" s="588"/>
      <c r="U140" s="276">
        <v>373</v>
      </c>
      <c r="V140" s="590">
        <v>367</v>
      </c>
      <c r="W140" s="70"/>
      <c r="X140" s="237"/>
      <c r="Y140" s="588"/>
      <c r="Z140" s="70"/>
      <c r="AA140" s="274"/>
      <c r="AB140" s="588"/>
      <c r="AC140" s="70"/>
      <c r="AD140" s="274"/>
      <c r="AE140" s="588"/>
      <c r="AF140" s="70"/>
      <c r="AG140" s="274"/>
      <c r="AH140" s="588"/>
      <c r="AI140" s="70"/>
      <c r="AJ140" s="237"/>
      <c r="AK140" s="87"/>
      <c r="AL140" s="70"/>
      <c r="AM140" s="588"/>
      <c r="AN140" s="19"/>
    </row>
    <row r="141" spans="1:40" s="12" customFormat="1" ht="13" x14ac:dyDescent="0.3">
      <c r="A141" s="10">
        <v>7330</v>
      </c>
      <c r="B141" s="11" t="s">
        <v>581</v>
      </c>
      <c r="C141" s="282">
        <v>928</v>
      </c>
      <c r="D141" s="54">
        <v>521</v>
      </c>
      <c r="E141" s="706">
        <f t="shared" si="4"/>
        <v>0.56142241379310343</v>
      </c>
      <c r="F141" s="273"/>
      <c r="G141" s="488"/>
      <c r="H141" s="572"/>
      <c r="I141" s="70"/>
      <c r="J141" s="236"/>
      <c r="K141" s="274"/>
      <c r="L141" s="70"/>
      <c r="M141" s="87"/>
      <c r="N141" s="582"/>
      <c r="O141" s="588"/>
      <c r="P141" s="582"/>
      <c r="Q141" s="87"/>
      <c r="R141" s="70"/>
      <c r="S141" s="274"/>
      <c r="T141" s="588"/>
      <c r="U141" s="276">
        <v>370</v>
      </c>
      <c r="V141" s="590">
        <v>365</v>
      </c>
      <c r="W141" s="70"/>
      <c r="X141" s="237"/>
      <c r="Y141" s="588"/>
      <c r="Z141" s="70"/>
      <c r="AA141" s="274"/>
      <c r="AB141" s="588"/>
      <c r="AC141" s="70"/>
      <c r="AD141" s="274"/>
      <c r="AE141" s="588"/>
      <c r="AF141" s="70"/>
      <c r="AG141" s="274"/>
      <c r="AH141" s="588"/>
      <c r="AI141" s="70"/>
      <c r="AJ141" s="237"/>
      <c r="AK141" s="87"/>
      <c r="AL141" s="70"/>
      <c r="AM141" s="588"/>
      <c r="AN141" s="19"/>
    </row>
    <row r="142" spans="1:40" s="12" customFormat="1" ht="13" x14ac:dyDescent="0.3">
      <c r="A142" s="10">
        <v>7331</v>
      </c>
      <c r="B142" s="11" t="s">
        <v>582</v>
      </c>
      <c r="C142" s="282">
        <v>1042</v>
      </c>
      <c r="D142" s="54">
        <v>545</v>
      </c>
      <c r="E142" s="706">
        <f t="shared" si="4"/>
        <v>0.52303262955854124</v>
      </c>
      <c r="F142" s="273"/>
      <c r="G142" s="488"/>
      <c r="H142" s="572"/>
      <c r="I142" s="70"/>
      <c r="J142" s="236"/>
      <c r="K142" s="274"/>
      <c r="L142" s="70"/>
      <c r="M142" s="87"/>
      <c r="N142" s="582"/>
      <c r="O142" s="588"/>
      <c r="P142" s="582"/>
      <c r="Q142" s="87"/>
      <c r="R142" s="70"/>
      <c r="S142" s="274"/>
      <c r="T142" s="588"/>
      <c r="U142" s="276">
        <v>392</v>
      </c>
      <c r="V142" s="590">
        <v>380</v>
      </c>
      <c r="W142" s="70"/>
      <c r="X142" s="237"/>
      <c r="Y142" s="588"/>
      <c r="Z142" s="70"/>
      <c r="AA142" s="274"/>
      <c r="AB142" s="588"/>
      <c r="AC142" s="70"/>
      <c r="AD142" s="274"/>
      <c r="AE142" s="588"/>
      <c r="AF142" s="70"/>
      <c r="AG142" s="274"/>
      <c r="AH142" s="588"/>
      <c r="AI142" s="70"/>
      <c r="AJ142" s="237"/>
      <c r="AK142" s="87"/>
      <c r="AL142" s="70"/>
      <c r="AM142" s="588"/>
      <c r="AN142" s="19"/>
    </row>
    <row r="143" spans="1:40" s="12" customFormat="1" ht="13" x14ac:dyDescent="0.3">
      <c r="A143" s="10">
        <v>7332</v>
      </c>
      <c r="B143" s="11" t="s">
        <v>583</v>
      </c>
      <c r="C143" s="282">
        <v>1011</v>
      </c>
      <c r="D143" s="54">
        <v>549</v>
      </c>
      <c r="E143" s="706">
        <f t="shared" si="4"/>
        <v>0.54302670623145399</v>
      </c>
      <c r="F143" s="273"/>
      <c r="G143" s="488"/>
      <c r="H143" s="572"/>
      <c r="I143" s="70"/>
      <c r="J143" s="236"/>
      <c r="K143" s="274"/>
      <c r="L143" s="70"/>
      <c r="M143" s="87"/>
      <c r="N143" s="582"/>
      <c r="O143" s="588"/>
      <c r="P143" s="582"/>
      <c r="Q143" s="87"/>
      <c r="R143" s="70"/>
      <c r="S143" s="274"/>
      <c r="T143" s="588"/>
      <c r="U143" s="276">
        <v>371</v>
      </c>
      <c r="V143" s="590">
        <v>350</v>
      </c>
      <c r="W143" s="70"/>
      <c r="X143" s="237"/>
      <c r="Y143" s="588"/>
      <c r="Z143" s="70"/>
      <c r="AA143" s="274"/>
      <c r="AB143" s="588"/>
      <c r="AC143" s="70"/>
      <c r="AD143" s="274"/>
      <c r="AE143" s="588"/>
      <c r="AF143" s="70"/>
      <c r="AG143" s="274"/>
      <c r="AH143" s="588"/>
      <c r="AI143" s="70"/>
      <c r="AJ143" s="237"/>
      <c r="AK143" s="87"/>
      <c r="AL143" s="70"/>
      <c r="AM143" s="588"/>
      <c r="AN143" s="19"/>
    </row>
    <row r="144" spans="1:40" s="12" customFormat="1" ht="13" x14ac:dyDescent="0.3">
      <c r="A144" s="10">
        <v>7333</v>
      </c>
      <c r="B144" s="11" t="s">
        <v>584</v>
      </c>
      <c r="C144" s="282">
        <v>1232</v>
      </c>
      <c r="D144" s="54">
        <v>734</v>
      </c>
      <c r="E144" s="706">
        <f t="shared" si="4"/>
        <v>0.59577922077922074</v>
      </c>
      <c r="F144" s="273"/>
      <c r="G144" s="488"/>
      <c r="H144" s="572"/>
      <c r="I144" s="70"/>
      <c r="J144" s="236"/>
      <c r="K144" s="274"/>
      <c r="L144" s="70"/>
      <c r="M144" s="87"/>
      <c r="N144" s="582"/>
      <c r="O144" s="588"/>
      <c r="P144" s="582"/>
      <c r="Q144" s="87"/>
      <c r="R144" s="70"/>
      <c r="S144" s="274"/>
      <c r="T144" s="588"/>
      <c r="U144" s="276">
        <v>549</v>
      </c>
      <c r="V144" s="590">
        <v>535</v>
      </c>
      <c r="W144" s="70"/>
      <c r="X144" s="237"/>
      <c r="Y144" s="588"/>
      <c r="Z144" s="70"/>
      <c r="AA144" s="274"/>
      <c r="AB144" s="588"/>
      <c r="AC144" s="70"/>
      <c r="AD144" s="274"/>
      <c r="AE144" s="588"/>
      <c r="AF144" s="70"/>
      <c r="AG144" s="274"/>
      <c r="AH144" s="588"/>
      <c r="AI144" s="70"/>
      <c r="AJ144" s="237"/>
      <c r="AK144" s="87"/>
      <c r="AL144" s="70"/>
      <c r="AM144" s="588"/>
      <c r="AN144" s="19"/>
    </row>
    <row r="145" spans="1:40" s="12" customFormat="1" ht="13" x14ac:dyDescent="0.3">
      <c r="A145" s="10">
        <v>7334</v>
      </c>
      <c r="B145" s="11" t="s">
        <v>585</v>
      </c>
      <c r="C145" s="282">
        <v>1228</v>
      </c>
      <c r="D145" s="54">
        <v>622</v>
      </c>
      <c r="E145" s="706">
        <f t="shared" si="4"/>
        <v>0.50651465798045603</v>
      </c>
      <c r="F145" s="273"/>
      <c r="G145" s="488"/>
      <c r="H145" s="572"/>
      <c r="I145" s="70"/>
      <c r="J145" s="236"/>
      <c r="K145" s="274"/>
      <c r="L145" s="70"/>
      <c r="M145" s="87"/>
      <c r="N145" s="582"/>
      <c r="O145" s="588"/>
      <c r="P145" s="582"/>
      <c r="Q145" s="87"/>
      <c r="R145" s="70"/>
      <c r="S145" s="274"/>
      <c r="T145" s="588"/>
      <c r="U145" s="276">
        <v>401</v>
      </c>
      <c r="V145" s="590">
        <v>399</v>
      </c>
      <c r="W145" s="70"/>
      <c r="X145" s="237"/>
      <c r="Y145" s="588"/>
      <c r="Z145" s="70"/>
      <c r="AA145" s="274"/>
      <c r="AB145" s="588"/>
      <c r="AC145" s="70"/>
      <c r="AD145" s="274"/>
      <c r="AE145" s="588"/>
      <c r="AF145" s="70"/>
      <c r="AG145" s="274"/>
      <c r="AH145" s="588"/>
      <c r="AI145" s="70"/>
      <c r="AJ145" s="237"/>
      <c r="AK145" s="87"/>
      <c r="AL145" s="70"/>
      <c r="AM145" s="588"/>
      <c r="AN145" s="19"/>
    </row>
    <row r="146" spans="1:40" s="12" customFormat="1" ht="13" x14ac:dyDescent="0.3">
      <c r="A146" s="10">
        <v>7335</v>
      </c>
      <c r="B146" s="11" t="s">
        <v>586</v>
      </c>
      <c r="C146" s="282">
        <v>722</v>
      </c>
      <c r="D146" s="54">
        <v>315</v>
      </c>
      <c r="E146" s="706">
        <f t="shared" si="4"/>
        <v>0.43628808864265928</v>
      </c>
      <c r="F146" s="273"/>
      <c r="G146" s="488"/>
      <c r="H146" s="572"/>
      <c r="I146" s="70"/>
      <c r="J146" s="236"/>
      <c r="K146" s="274"/>
      <c r="L146" s="70"/>
      <c r="M146" s="87"/>
      <c r="N146" s="582"/>
      <c r="O146" s="588"/>
      <c r="P146" s="582"/>
      <c r="Q146" s="87"/>
      <c r="R146" s="70"/>
      <c r="S146" s="274"/>
      <c r="T146" s="588"/>
      <c r="U146" s="276">
        <v>205</v>
      </c>
      <c r="V146" s="590">
        <v>212</v>
      </c>
      <c r="W146" s="70"/>
      <c r="X146" s="237"/>
      <c r="Y146" s="588"/>
      <c r="Z146" s="70"/>
      <c r="AA146" s="274"/>
      <c r="AB146" s="588"/>
      <c r="AC146" s="70"/>
      <c r="AD146" s="274"/>
      <c r="AE146" s="588"/>
      <c r="AF146" s="70"/>
      <c r="AG146" s="274"/>
      <c r="AH146" s="588"/>
      <c r="AI146" s="70"/>
      <c r="AJ146" s="237"/>
      <c r="AK146" s="87"/>
      <c r="AL146" s="70"/>
      <c r="AM146" s="588"/>
      <c r="AN146" s="19"/>
    </row>
    <row r="147" spans="1:40" s="12" customFormat="1" ht="13" x14ac:dyDescent="0.3">
      <c r="A147" s="10">
        <v>7336</v>
      </c>
      <c r="B147" s="11" t="s">
        <v>587</v>
      </c>
      <c r="C147" s="282">
        <v>1175</v>
      </c>
      <c r="D147" s="54">
        <v>632</v>
      </c>
      <c r="E147" s="706">
        <f t="shared" si="4"/>
        <v>0.53787234042553189</v>
      </c>
      <c r="F147" s="273"/>
      <c r="G147" s="488"/>
      <c r="H147" s="572"/>
      <c r="I147" s="70"/>
      <c r="J147" s="236"/>
      <c r="K147" s="274"/>
      <c r="L147" s="70"/>
      <c r="M147" s="87"/>
      <c r="N147" s="582"/>
      <c r="O147" s="588"/>
      <c r="P147" s="582"/>
      <c r="Q147" s="87"/>
      <c r="R147" s="70"/>
      <c r="S147" s="274"/>
      <c r="T147" s="588"/>
      <c r="U147" s="276">
        <v>444</v>
      </c>
      <c r="V147" s="590">
        <v>430</v>
      </c>
      <c r="W147" s="70"/>
      <c r="X147" s="237"/>
      <c r="Y147" s="588"/>
      <c r="Z147" s="70"/>
      <c r="AA147" s="274"/>
      <c r="AB147" s="588"/>
      <c r="AC147" s="70"/>
      <c r="AD147" s="274"/>
      <c r="AE147" s="588"/>
      <c r="AF147" s="70"/>
      <c r="AG147" s="274"/>
      <c r="AH147" s="588"/>
      <c r="AI147" s="70"/>
      <c r="AJ147" s="237"/>
      <c r="AK147" s="87"/>
      <c r="AL147" s="70"/>
      <c r="AM147" s="588"/>
      <c r="AN147" s="19"/>
    </row>
    <row r="148" spans="1:40" s="12" customFormat="1" ht="13" x14ac:dyDescent="0.3">
      <c r="A148" s="10">
        <v>7337</v>
      </c>
      <c r="B148" s="11" t="s">
        <v>588</v>
      </c>
      <c r="C148" s="282">
        <v>1095</v>
      </c>
      <c r="D148" s="54">
        <v>649</v>
      </c>
      <c r="E148" s="706">
        <f t="shared" si="4"/>
        <v>0.59269406392694068</v>
      </c>
      <c r="F148" s="273"/>
      <c r="G148" s="488"/>
      <c r="H148" s="572"/>
      <c r="I148" s="70"/>
      <c r="J148" s="236"/>
      <c r="K148" s="274"/>
      <c r="L148" s="70"/>
      <c r="M148" s="87"/>
      <c r="N148" s="582"/>
      <c r="O148" s="588"/>
      <c r="P148" s="582"/>
      <c r="Q148" s="87"/>
      <c r="R148" s="70"/>
      <c r="S148" s="274"/>
      <c r="T148" s="588"/>
      <c r="U148" s="276">
        <v>453</v>
      </c>
      <c r="V148" s="590">
        <v>452</v>
      </c>
      <c r="W148" s="70"/>
      <c r="X148" s="237"/>
      <c r="Y148" s="588"/>
      <c r="Z148" s="70"/>
      <c r="AA148" s="274"/>
      <c r="AB148" s="588"/>
      <c r="AC148" s="70"/>
      <c r="AD148" s="274"/>
      <c r="AE148" s="588"/>
      <c r="AF148" s="70"/>
      <c r="AG148" s="274"/>
      <c r="AH148" s="588"/>
      <c r="AI148" s="70"/>
      <c r="AJ148" s="237"/>
      <c r="AK148" s="87"/>
      <c r="AL148" s="70"/>
      <c r="AM148" s="588"/>
      <c r="AN148" s="19"/>
    </row>
    <row r="149" spans="1:40" s="12" customFormat="1" ht="13" x14ac:dyDescent="0.3">
      <c r="A149" s="10">
        <v>7338</v>
      </c>
      <c r="B149" s="11" t="s">
        <v>589</v>
      </c>
      <c r="C149" s="282">
        <v>943</v>
      </c>
      <c r="D149" s="54">
        <v>591</v>
      </c>
      <c r="E149" s="706">
        <f t="shared" si="4"/>
        <v>0.62672322375397671</v>
      </c>
      <c r="F149" s="273"/>
      <c r="G149" s="488"/>
      <c r="H149" s="572"/>
      <c r="I149" s="70"/>
      <c r="J149" s="236"/>
      <c r="K149" s="274"/>
      <c r="L149" s="70"/>
      <c r="M149" s="87"/>
      <c r="N149" s="582"/>
      <c r="O149" s="588"/>
      <c r="P149" s="582"/>
      <c r="Q149" s="87"/>
      <c r="R149" s="70"/>
      <c r="S149" s="274"/>
      <c r="T149" s="588"/>
      <c r="U149" s="276">
        <v>419</v>
      </c>
      <c r="V149" s="590">
        <v>419</v>
      </c>
      <c r="W149" s="70"/>
      <c r="X149" s="237"/>
      <c r="Y149" s="588"/>
      <c r="Z149" s="70"/>
      <c r="AA149" s="274"/>
      <c r="AB149" s="588"/>
      <c r="AC149" s="70"/>
      <c r="AD149" s="274"/>
      <c r="AE149" s="588"/>
      <c r="AF149" s="70"/>
      <c r="AG149" s="274"/>
      <c r="AH149" s="588"/>
      <c r="AI149" s="70"/>
      <c r="AJ149" s="237"/>
      <c r="AK149" s="87"/>
      <c r="AL149" s="70"/>
      <c r="AM149" s="588"/>
      <c r="AN149" s="19"/>
    </row>
    <row r="150" spans="1:40" s="12" customFormat="1" ht="13" x14ac:dyDescent="0.3">
      <c r="A150" s="10">
        <v>7339</v>
      </c>
      <c r="B150" s="11" t="s">
        <v>590</v>
      </c>
      <c r="C150" s="282">
        <v>697</v>
      </c>
      <c r="D150" s="54">
        <v>458</v>
      </c>
      <c r="E150" s="706">
        <f t="shared" si="4"/>
        <v>0.65710186513629842</v>
      </c>
      <c r="F150" s="273"/>
      <c r="G150" s="488"/>
      <c r="H150" s="572"/>
      <c r="I150" s="70"/>
      <c r="J150" s="236"/>
      <c r="K150" s="274"/>
      <c r="L150" s="70"/>
      <c r="M150" s="87"/>
      <c r="N150" s="582"/>
      <c r="O150" s="588"/>
      <c r="P150" s="582"/>
      <c r="Q150" s="87"/>
      <c r="R150" s="70"/>
      <c r="S150" s="274"/>
      <c r="T150" s="588"/>
      <c r="U150" s="276">
        <v>328</v>
      </c>
      <c r="V150" s="590">
        <v>318</v>
      </c>
      <c r="W150" s="70"/>
      <c r="X150" s="237"/>
      <c r="Y150" s="588"/>
      <c r="Z150" s="70"/>
      <c r="AA150" s="274"/>
      <c r="AB150" s="588"/>
      <c r="AC150" s="70"/>
      <c r="AD150" s="274"/>
      <c r="AE150" s="588"/>
      <c r="AF150" s="70"/>
      <c r="AG150" s="274"/>
      <c r="AH150" s="588"/>
      <c r="AI150" s="70"/>
      <c r="AJ150" s="237"/>
      <c r="AK150" s="87"/>
      <c r="AL150" s="70"/>
      <c r="AM150" s="588"/>
      <c r="AN150" s="19"/>
    </row>
    <row r="151" spans="1:40" s="12" customFormat="1" ht="13" x14ac:dyDescent="0.3">
      <c r="A151" s="10">
        <v>7340</v>
      </c>
      <c r="B151" s="11" t="s">
        <v>591</v>
      </c>
      <c r="C151" s="282">
        <v>671</v>
      </c>
      <c r="D151" s="54">
        <v>385</v>
      </c>
      <c r="E151" s="706">
        <f t="shared" si="4"/>
        <v>0.57377049180327866</v>
      </c>
      <c r="F151" s="273"/>
      <c r="G151" s="488"/>
      <c r="H151" s="572"/>
      <c r="I151" s="70"/>
      <c r="J151" s="236"/>
      <c r="K151" s="274"/>
      <c r="L151" s="70"/>
      <c r="M151" s="87"/>
      <c r="N151" s="582"/>
      <c r="O151" s="588"/>
      <c r="P151" s="582"/>
      <c r="Q151" s="87"/>
      <c r="R151" s="70"/>
      <c r="S151" s="274"/>
      <c r="T151" s="588"/>
      <c r="U151" s="276">
        <v>264</v>
      </c>
      <c r="V151" s="590">
        <v>256</v>
      </c>
      <c r="W151" s="70"/>
      <c r="X151" s="237"/>
      <c r="Y151" s="588"/>
      <c r="Z151" s="70"/>
      <c r="AA151" s="274"/>
      <c r="AB151" s="588"/>
      <c r="AC151" s="70"/>
      <c r="AD151" s="274"/>
      <c r="AE151" s="588"/>
      <c r="AF151" s="70"/>
      <c r="AG151" s="274"/>
      <c r="AH151" s="588"/>
      <c r="AI151" s="70"/>
      <c r="AJ151" s="237"/>
      <c r="AK151" s="87"/>
      <c r="AL151" s="70"/>
      <c r="AM151" s="588"/>
      <c r="AN151" s="19"/>
    </row>
    <row r="152" spans="1:40" s="12" customFormat="1" ht="13" x14ac:dyDescent="0.3">
      <c r="A152" s="10">
        <v>7341</v>
      </c>
      <c r="B152" s="11" t="s">
        <v>592</v>
      </c>
      <c r="C152" s="282">
        <v>615</v>
      </c>
      <c r="D152" s="54">
        <v>346</v>
      </c>
      <c r="E152" s="706">
        <f t="shared" si="4"/>
        <v>0.56260162601626018</v>
      </c>
      <c r="F152" s="273"/>
      <c r="G152" s="488"/>
      <c r="H152" s="572"/>
      <c r="I152" s="70"/>
      <c r="J152" s="236"/>
      <c r="K152" s="274"/>
      <c r="L152" s="70"/>
      <c r="M152" s="87"/>
      <c r="N152" s="582"/>
      <c r="O152" s="588"/>
      <c r="P152" s="582"/>
      <c r="Q152" s="87"/>
      <c r="R152" s="70"/>
      <c r="S152" s="274"/>
      <c r="T152" s="588"/>
      <c r="U152" s="276">
        <v>258</v>
      </c>
      <c r="V152" s="590">
        <v>247</v>
      </c>
      <c r="W152" s="70"/>
      <c r="X152" s="237"/>
      <c r="Y152" s="588"/>
      <c r="Z152" s="70"/>
      <c r="AA152" s="274"/>
      <c r="AB152" s="588"/>
      <c r="AC152" s="70"/>
      <c r="AD152" s="274"/>
      <c r="AE152" s="588"/>
      <c r="AF152" s="70"/>
      <c r="AG152" s="274"/>
      <c r="AH152" s="588"/>
      <c r="AI152" s="70"/>
      <c r="AJ152" s="237"/>
      <c r="AK152" s="87"/>
      <c r="AL152" s="70"/>
      <c r="AM152" s="588"/>
      <c r="AN152" s="19"/>
    </row>
    <row r="153" spans="1:40" s="12" customFormat="1" ht="13" x14ac:dyDescent="0.3">
      <c r="A153" s="10">
        <v>7342</v>
      </c>
      <c r="B153" s="11" t="s">
        <v>593</v>
      </c>
      <c r="C153" s="282">
        <v>1320</v>
      </c>
      <c r="D153" s="54">
        <v>774</v>
      </c>
      <c r="E153" s="706">
        <f t="shared" si="4"/>
        <v>0.58636363636363631</v>
      </c>
      <c r="F153" s="273"/>
      <c r="G153" s="488"/>
      <c r="H153" s="572"/>
      <c r="I153" s="70"/>
      <c r="J153" s="236"/>
      <c r="K153" s="274"/>
      <c r="L153" s="70"/>
      <c r="M153" s="87"/>
      <c r="N153" s="582"/>
      <c r="O153" s="588"/>
      <c r="P153" s="582"/>
      <c r="Q153" s="87"/>
      <c r="R153" s="70"/>
      <c r="S153" s="274"/>
      <c r="T153" s="588"/>
      <c r="U153" s="276">
        <v>549</v>
      </c>
      <c r="V153" s="590">
        <v>522</v>
      </c>
      <c r="W153" s="70"/>
      <c r="X153" s="237"/>
      <c r="Y153" s="588"/>
      <c r="Z153" s="70"/>
      <c r="AA153" s="274"/>
      <c r="AB153" s="588"/>
      <c r="AC153" s="70"/>
      <c r="AD153" s="274"/>
      <c r="AE153" s="588"/>
      <c r="AF153" s="70"/>
      <c r="AG153" s="274"/>
      <c r="AH153" s="588"/>
      <c r="AI153" s="70"/>
      <c r="AJ153" s="237"/>
      <c r="AK153" s="87"/>
      <c r="AL153" s="70"/>
      <c r="AM153" s="588"/>
      <c r="AN153" s="19"/>
    </row>
    <row r="154" spans="1:40" s="12" customFormat="1" ht="13" x14ac:dyDescent="0.3">
      <c r="A154" s="10">
        <v>7343</v>
      </c>
      <c r="B154" s="11" t="s">
        <v>594</v>
      </c>
      <c r="C154" s="282">
        <v>1160</v>
      </c>
      <c r="D154" s="54">
        <v>761</v>
      </c>
      <c r="E154" s="706">
        <f t="shared" si="4"/>
        <v>0.65603448275862064</v>
      </c>
      <c r="F154" s="273"/>
      <c r="G154" s="488"/>
      <c r="H154" s="572"/>
      <c r="I154" s="70"/>
      <c r="J154" s="236"/>
      <c r="K154" s="274"/>
      <c r="L154" s="70"/>
      <c r="M154" s="87"/>
      <c r="N154" s="582"/>
      <c r="O154" s="588"/>
      <c r="P154" s="582"/>
      <c r="Q154" s="87"/>
      <c r="R154" s="70"/>
      <c r="S154" s="274"/>
      <c r="T154" s="588"/>
      <c r="U154" s="276">
        <v>562</v>
      </c>
      <c r="V154" s="590">
        <v>551</v>
      </c>
      <c r="W154" s="279"/>
      <c r="X154" s="284"/>
      <c r="Y154" s="589"/>
      <c r="Z154" s="70"/>
      <c r="AA154" s="274"/>
      <c r="AB154" s="588"/>
      <c r="AC154" s="70"/>
      <c r="AD154" s="274"/>
      <c r="AE154" s="588"/>
      <c r="AF154" s="70"/>
      <c r="AG154" s="274"/>
      <c r="AH154" s="588"/>
      <c r="AI154" s="70"/>
      <c r="AJ154" s="237"/>
      <c r="AK154" s="87"/>
      <c r="AL154" s="70"/>
      <c r="AM154" s="588"/>
      <c r="AN154" s="19"/>
    </row>
    <row r="155" spans="1:40" s="12" customFormat="1" ht="13" x14ac:dyDescent="0.3">
      <c r="A155" s="10">
        <v>7601</v>
      </c>
      <c r="B155" s="11" t="s">
        <v>598</v>
      </c>
      <c r="C155" s="282">
        <v>728</v>
      </c>
      <c r="D155" s="54">
        <v>443</v>
      </c>
      <c r="E155" s="706">
        <f t="shared" si="4"/>
        <v>0.60851648351648346</v>
      </c>
      <c r="F155" s="273"/>
      <c r="G155" s="488"/>
      <c r="H155" s="572"/>
      <c r="I155" s="70"/>
      <c r="J155" s="236"/>
      <c r="K155" s="274"/>
      <c r="L155" s="70"/>
      <c r="M155" s="87"/>
      <c r="N155" s="582"/>
      <c r="O155" s="588"/>
      <c r="P155" s="582"/>
      <c r="Q155" s="87"/>
      <c r="R155" s="70"/>
      <c r="S155" s="274"/>
      <c r="T155" s="588"/>
      <c r="U155" s="70"/>
      <c r="V155" s="588"/>
      <c r="W155" s="276">
        <v>246</v>
      </c>
      <c r="X155" s="277">
        <v>89</v>
      </c>
      <c r="Y155" s="590">
        <v>278</v>
      </c>
      <c r="Z155" s="70"/>
      <c r="AA155" s="274"/>
      <c r="AB155" s="588"/>
      <c r="AC155" s="70"/>
      <c r="AD155" s="274"/>
      <c r="AE155" s="588"/>
      <c r="AF155" s="70"/>
      <c r="AG155" s="274"/>
      <c r="AH155" s="588"/>
      <c r="AI155" s="70"/>
      <c r="AJ155" s="237"/>
      <c r="AK155" s="87"/>
      <c r="AL155" s="70"/>
      <c r="AM155" s="588"/>
      <c r="AN155" s="19"/>
    </row>
    <row r="156" spans="1:40" s="12" customFormat="1" ht="13" x14ac:dyDescent="0.3">
      <c r="A156" s="10">
        <v>7602</v>
      </c>
      <c r="B156" s="11" t="s">
        <v>599</v>
      </c>
      <c r="C156" s="282">
        <v>1295</v>
      </c>
      <c r="D156" s="54">
        <v>715</v>
      </c>
      <c r="E156" s="706">
        <f t="shared" si="4"/>
        <v>0.55212355212355213</v>
      </c>
      <c r="F156" s="273"/>
      <c r="G156" s="488"/>
      <c r="H156" s="572"/>
      <c r="I156" s="70"/>
      <c r="J156" s="236"/>
      <c r="K156" s="274"/>
      <c r="L156" s="70"/>
      <c r="M156" s="87"/>
      <c r="N156" s="582"/>
      <c r="O156" s="588"/>
      <c r="P156" s="582"/>
      <c r="Q156" s="87"/>
      <c r="R156" s="70"/>
      <c r="S156" s="274"/>
      <c r="T156" s="588"/>
      <c r="U156" s="70"/>
      <c r="V156" s="588"/>
      <c r="W156" s="276">
        <v>371</v>
      </c>
      <c r="X156" s="277">
        <v>163</v>
      </c>
      <c r="Y156" s="590">
        <v>424</v>
      </c>
      <c r="Z156" s="70"/>
      <c r="AA156" s="274"/>
      <c r="AB156" s="588"/>
      <c r="AC156" s="70"/>
      <c r="AD156" s="274"/>
      <c r="AE156" s="588"/>
      <c r="AF156" s="70"/>
      <c r="AG156" s="274"/>
      <c r="AH156" s="588"/>
      <c r="AI156" s="70"/>
      <c r="AJ156" s="237"/>
      <c r="AK156" s="87"/>
      <c r="AL156" s="70"/>
      <c r="AM156" s="588"/>
      <c r="AN156" s="19"/>
    </row>
    <row r="157" spans="1:40" s="12" customFormat="1" ht="13" x14ac:dyDescent="0.3">
      <c r="A157" s="10">
        <v>7603</v>
      </c>
      <c r="B157" s="11" t="s">
        <v>600</v>
      </c>
      <c r="C157" s="282">
        <v>908</v>
      </c>
      <c r="D157" s="54">
        <v>331</v>
      </c>
      <c r="E157" s="706">
        <f t="shared" si="4"/>
        <v>0.36453744493392071</v>
      </c>
      <c r="F157" s="273"/>
      <c r="G157" s="488"/>
      <c r="H157" s="572"/>
      <c r="I157" s="70"/>
      <c r="J157" s="236"/>
      <c r="K157" s="274"/>
      <c r="L157" s="70"/>
      <c r="M157" s="87"/>
      <c r="N157" s="582"/>
      <c r="O157" s="588"/>
      <c r="P157" s="582"/>
      <c r="Q157" s="87"/>
      <c r="R157" s="70"/>
      <c r="S157" s="274"/>
      <c r="T157" s="588"/>
      <c r="U157" s="70"/>
      <c r="V157" s="588"/>
      <c r="W157" s="276">
        <v>152</v>
      </c>
      <c r="X157" s="277">
        <v>105</v>
      </c>
      <c r="Y157" s="590">
        <v>229</v>
      </c>
      <c r="Z157" s="70"/>
      <c r="AA157" s="274"/>
      <c r="AB157" s="588"/>
      <c r="AC157" s="70"/>
      <c r="AD157" s="274"/>
      <c r="AE157" s="588"/>
      <c r="AF157" s="70"/>
      <c r="AG157" s="274"/>
      <c r="AH157" s="588"/>
      <c r="AI157" s="70"/>
      <c r="AJ157" s="237"/>
      <c r="AK157" s="87"/>
      <c r="AL157" s="70"/>
      <c r="AM157" s="588"/>
      <c r="AN157" s="19"/>
    </row>
    <row r="158" spans="1:40" s="12" customFormat="1" ht="13" x14ac:dyDescent="0.3">
      <c r="A158" s="10">
        <v>8211</v>
      </c>
      <c r="B158" s="11" t="s">
        <v>607</v>
      </c>
      <c r="C158" s="282">
        <v>581</v>
      </c>
      <c r="D158" s="54">
        <v>179</v>
      </c>
      <c r="E158" s="706">
        <f t="shared" si="4"/>
        <v>0.30808950086058517</v>
      </c>
      <c r="F158" s="273"/>
      <c r="G158" s="488"/>
      <c r="H158" s="572"/>
      <c r="I158" s="70"/>
      <c r="J158" s="236"/>
      <c r="K158" s="274"/>
      <c r="L158" s="70"/>
      <c r="M158" s="87"/>
      <c r="N158" s="582"/>
      <c r="O158" s="588"/>
      <c r="P158" s="582"/>
      <c r="Q158" s="87"/>
      <c r="R158" s="70"/>
      <c r="S158" s="274"/>
      <c r="T158" s="588"/>
      <c r="U158" s="70"/>
      <c r="V158" s="588"/>
      <c r="W158" s="70"/>
      <c r="X158" s="237"/>
      <c r="Y158" s="588"/>
      <c r="Z158" s="276">
        <v>58</v>
      </c>
      <c r="AA158" s="283">
        <v>78</v>
      </c>
      <c r="AB158" s="590">
        <v>120</v>
      </c>
      <c r="AC158" s="70"/>
      <c r="AD158" s="274"/>
      <c r="AE158" s="588"/>
      <c r="AF158" s="70"/>
      <c r="AG158" s="274"/>
      <c r="AH158" s="588"/>
      <c r="AI158" s="70"/>
      <c r="AJ158" s="237"/>
      <c r="AK158" s="87"/>
      <c r="AL158" s="70"/>
      <c r="AM158" s="588"/>
      <c r="AN158" s="19"/>
    </row>
    <row r="159" spans="1:40" s="12" customFormat="1" ht="13" x14ac:dyDescent="0.3">
      <c r="A159" s="10">
        <v>8221</v>
      </c>
      <c r="B159" s="11" t="s">
        <v>608</v>
      </c>
      <c r="C159" s="282">
        <v>913</v>
      </c>
      <c r="D159" s="54">
        <v>346</v>
      </c>
      <c r="E159" s="706">
        <f t="shared" si="4"/>
        <v>0.37897042716319823</v>
      </c>
      <c r="F159" s="273"/>
      <c r="G159" s="488"/>
      <c r="H159" s="572"/>
      <c r="I159" s="70"/>
      <c r="J159" s="236"/>
      <c r="K159" s="274"/>
      <c r="L159" s="70"/>
      <c r="M159" s="87"/>
      <c r="N159" s="582"/>
      <c r="O159" s="588"/>
      <c r="P159" s="582"/>
      <c r="Q159" s="87"/>
      <c r="R159" s="70"/>
      <c r="S159" s="274"/>
      <c r="T159" s="588"/>
      <c r="U159" s="70"/>
      <c r="V159" s="588"/>
      <c r="W159" s="70"/>
      <c r="X159" s="237"/>
      <c r="Y159" s="588"/>
      <c r="Z159" s="276">
        <v>84</v>
      </c>
      <c r="AA159" s="283">
        <v>222</v>
      </c>
      <c r="AB159" s="590">
        <v>260</v>
      </c>
      <c r="AC159" s="70"/>
      <c r="AD159" s="274"/>
      <c r="AE159" s="588"/>
      <c r="AF159" s="70"/>
      <c r="AG159" s="274"/>
      <c r="AH159" s="588"/>
      <c r="AI159" s="70"/>
      <c r="AJ159" s="237"/>
      <c r="AK159" s="87"/>
      <c r="AL159" s="70"/>
      <c r="AM159" s="588"/>
      <c r="AN159" s="19"/>
    </row>
    <row r="160" spans="1:40" s="12" customFormat="1" ht="13" x14ac:dyDescent="0.3">
      <c r="A160" s="10">
        <v>8222</v>
      </c>
      <c r="B160" s="11" t="s">
        <v>609</v>
      </c>
      <c r="C160" s="282">
        <v>1404</v>
      </c>
      <c r="D160" s="54">
        <v>820</v>
      </c>
      <c r="E160" s="706">
        <f t="shared" si="4"/>
        <v>0.58404558404558404</v>
      </c>
      <c r="F160" s="273"/>
      <c r="G160" s="488"/>
      <c r="H160" s="572"/>
      <c r="I160" s="70"/>
      <c r="J160" s="236"/>
      <c r="K160" s="274"/>
      <c r="L160" s="70"/>
      <c r="M160" s="87"/>
      <c r="N160" s="582"/>
      <c r="O160" s="588"/>
      <c r="P160" s="582"/>
      <c r="Q160" s="87"/>
      <c r="R160" s="70"/>
      <c r="S160" s="274"/>
      <c r="T160" s="588"/>
      <c r="U160" s="70"/>
      <c r="V160" s="588"/>
      <c r="W160" s="70"/>
      <c r="X160" s="237"/>
      <c r="Y160" s="588"/>
      <c r="Z160" s="276">
        <v>237</v>
      </c>
      <c r="AA160" s="283">
        <v>479</v>
      </c>
      <c r="AB160" s="590">
        <v>587</v>
      </c>
      <c r="AC160" s="70"/>
      <c r="AD160" s="274"/>
      <c r="AE160" s="588"/>
      <c r="AF160" s="70"/>
      <c r="AG160" s="274"/>
      <c r="AH160" s="588"/>
      <c r="AI160" s="70"/>
      <c r="AJ160" s="237"/>
      <c r="AK160" s="87"/>
      <c r="AL160" s="70"/>
      <c r="AM160" s="588"/>
      <c r="AN160" s="19"/>
    </row>
    <row r="161" spans="1:40" s="12" customFormat="1" ht="13" x14ac:dyDescent="0.3">
      <c r="A161" s="10">
        <v>8231</v>
      </c>
      <c r="B161" s="11" t="s">
        <v>610</v>
      </c>
      <c r="C161" s="282">
        <v>768</v>
      </c>
      <c r="D161" s="54">
        <v>483</v>
      </c>
      <c r="E161" s="706">
        <f t="shared" si="4"/>
        <v>0.62890625</v>
      </c>
      <c r="F161" s="273"/>
      <c r="G161" s="488"/>
      <c r="H161" s="572"/>
      <c r="I161" s="70"/>
      <c r="J161" s="236"/>
      <c r="K161" s="274"/>
      <c r="L161" s="70"/>
      <c r="M161" s="87"/>
      <c r="N161" s="582"/>
      <c r="O161" s="588"/>
      <c r="P161" s="582"/>
      <c r="Q161" s="87"/>
      <c r="R161" s="70"/>
      <c r="S161" s="274"/>
      <c r="T161" s="588"/>
      <c r="U161" s="70"/>
      <c r="V161" s="588"/>
      <c r="W161" s="70"/>
      <c r="X161" s="237"/>
      <c r="Y161" s="588"/>
      <c r="Z161" s="276">
        <v>234</v>
      </c>
      <c r="AA161" s="283">
        <v>188</v>
      </c>
      <c r="AB161" s="590">
        <v>374</v>
      </c>
      <c r="AC161" s="70"/>
      <c r="AD161" s="274"/>
      <c r="AE161" s="588"/>
      <c r="AF161" s="70"/>
      <c r="AG161" s="274"/>
      <c r="AH161" s="588"/>
      <c r="AI161" s="70"/>
      <c r="AJ161" s="237"/>
      <c r="AK161" s="87"/>
      <c r="AL161" s="70"/>
      <c r="AM161" s="588"/>
      <c r="AN161" s="19"/>
    </row>
    <row r="162" spans="1:40" s="12" customFormat="1" ht="13" x14ac:dyDescent="0.3">
      <c r="A162" s="10">
        <v>8301</v>
      </c>
      <c r="B162" s="11" t="s">
        <v>611</v>
      </c>
      <c r="C162" s="282">
        <v>1256</v>
      </c>
      <c r="D162" s="54">
        <v>772</v>
      </c>
      <c r="E162" s="706">
        <f t="shared" si="4"/>
        <v>0.61464968152866239</v>
      </c>
      <c r="F162" s="273"/>
      <c r="G162" s="488"/>
      <c r="H162" s="572"/>
      <c r="I162" s="70"/>
      <c r="J162" s="236"/>
      <c r="K162" s="274"/>
      <c r="L162" s="70"/>
      <c r="M162" s="87"/>
      <c r="N162" s="582"/>
      <c r="O162" s="588"/>
      <c r="P162" s="582"/>
      <c r="Q162" s="87"/>
      <c r="R162" s="70"/>
      <c r="S162" s="274"/>
      <c r="T162" s="588"/>
      <c r="U162" s="70"/>
      <c r="V162" s="588"/>
      <c r="W162" s="70"/>
      <c r="X162" s="237"/>
      <c r="Y162" s="588"/>
      <c r="Z162" s="276">
        <v>325</v>
      </c>
      <c r="AA162" s="283">
        <v>328</v>
      </c>
      <c r="AB162" s="590">
        <v>499</v>
      </c>
      <c r="AC162" s="70"/>
      <c r="AD162" s="274"/>
      <c r="AE162" s="588"/>
      <c r="AF162" s="70"/>
      <c r="AG162" s="274"/>
      <c r="AH162" s="588"/>
      <c r="AI162" s="70"/>
      <c r="AJ162" s="237"/>
      <c r="AK162" s="87"/>
      <c r="AL162" s="70"/>
      <c r="AM162" s="588"/>
      <c r="AN162" s="19"/>
    </row>
    <row r="163" spans="1:40" s="12" customFormat="1" ht="13" x14ac:dyDescent="0.3">
      <c r="A163" s="10">
        <v>8302</v>
      </c>
      <c r="B163" s="11" t="s">
        <v>612</v>
      </c>
      <c r="C163" s="282">
        <v>1475</v>
      </c>
      <c r="D163" s="54">
        <v>889</v>
      </c>
      <c r="E163" s="706">
        <f t="shared" si="4"/>
        <v>0.60271186440677971</v>
      </c>
      <c r="F163" s="273"/>
      <c r="G163" s="488"/>
      <c r="H163" s="572"/>
      <c r="I163" s="70"/>
      <c r="J163" s="236"/>
      <c r="K163" s="274"/>
      <c r="L163" s="70"/>
      <c r="M163" s="87"/>
      <c r="N163" s="582"/>
      <c r="O163" s="588"/>
      <c r="P163" s="582"/>
      <c r="Q163" s="87"/>
      <c r="R163" s="70"/>
      <c r="S163" s="274"/>
      <c r="T163" s="588"/>
      <c r="U163" s="70"/>
      <c r="V163" s="588"/>
      <c r="W163" s="70"/>
      <c r="X163" s="237"/>
      <c r="Y163" s="588"/>
      <c r="Z163" s="276">
        <v>405</v>
      </c>
      <c r="AA163" s="283">
        <v>388</v>
      </c>
      <c r="AB163" s="590">
        <v>667</v>
      </c>
      <c r="AC163" s="70"/>
      <c r="AD163" s="274"/>
      <c r="AE163" s="588"/>
      <c r="AF163" s="70"/>
      <c r="AG163" s="274"/>
      <c r="AH163" s="588"/>
      <c r="AI163" s="70"/>
      <c r="AJ163" s="237"/>
      <c r="AK163" s="87"/>
      <c r="AL163" s="70"/>
      <c r="AM163" s="588"/>
      <c r="AN163" s="19"/>
    </row>
    <row r="164" spans="1:40" s="12" customFormat="1" ht="13" x14ac:dyDescent="0.3">
      <c r="A164" s="10">
        <v>8303</v>
      </c>
      <c r="B164" s="11" t="s">
        <v>613</v>
      </c>
      <c r="C164" s="282">
        <v>1263</v>
      </c>
      <c r="D164" s="54">
        <v>619</v>
      </c>
      <c r="E164" s="706">
        <f t="shared" si="4"/>
        <v>0.49010292953285828</v>
      </c>
      <c r="F164" s="273"/>
      <c r="G164" s="488"/>
      <c r="H164" s="572"/>
      <c r="I164" s="70"/>
      <c r="J164" s="236"/>
      <c r="K164" s="274"/>
      <c r="L164" s="70"/>
      <c r="M164" s="87"/>
      <c r="N164" s="582"/>
      <c r="O164" s="588"/>
      <c r="P164" s="582"/>
      <c r="Q164" s="87"/>
      <c r="R164" s="70"/>
      <c r="S164" s="274"/>
      <c r="T164" s="588"/>
      <c r="U164" s="70"/>
      <c r="V164" s="588"/>
      <c r="W164" s="70"/>
      <c r="X164" s="237"/>
      <c r="Y164" s="588"/>
      <c r="Z164" s="276">
        <v>293</v>
      </c>
      <c r="AA164" s="283">
        <v>213</v>
      </c>
      <c r="AB164" s="590">
        <v>411</v>
      </c>
      <c r="AC164" s="70"/>
      <c r="AD164" s="274"/>
      <c r="AE164" s="588"/>
      <c r="AF164" s="70"/>
      <c r="AG164" s="274"/>
      <c r="AH164" s="588"/>
      <c r="AI164" s="70"/>
      <c r="AJ164" s="237"/>
      <c r="AK164" s="87"/>
      <c r="AL164" s="70"/>
      <c r="AM164" s="588"/>
      <c r="AN164" s="19"/>
    </row>
    <row r="165" spans="1:40" s="12" customFormat="1" ht="13" x14ac:dyDescent="0.3">
      <c r="A165" s="10">
        <v>8304</v>
      </c>
      <c r="B165" s="11" t="s">
        <v>614</v>
      </c>
      <c r="C165" s="282">
        <v>1250</v>
      </c>
      <c r="D165" s="54">
        <v>794</v>
      </c>
      <c r="E165" s="706">
        <f t="shared" si="4"/>
        <v>0.63519999999999999</v>
      </c>
      <c r="F165" s="273"/>
      <c r="G165" s="488"/>
      <c r="H165" s="572"/>
      <c r="I165" s="70"/>
      <c r="J165" s="236"/>
      <c r="K165" s="274"/>
      <c r="L165" s="70"/>
      <c r="M165" s="87"/>
      <c r="N165" s="582"/>
      <c r="O165" s="588"/>
      <c r="P165" s="582"/>
      <c r="Q165" s="87"/>
      <c r="R165" s="70"/>
      <c r="S165" s="274"/>
      <c r="T165" s="588"/>
      <c r="U165" s="70"/>
      <c r="V165" s="588"/>
      <c r="W165" s="70"/>
      <c r="X165" s="237"/>
      <c r="Y165" s="588"/>
      <c r="Z165" s="276">
        <v>348</v>
      </c>
      <c r="AA165" s="283">
        <v>353</v>
      </c>
      <c r="AB165" s="590">
        <v>582</v>
      </c>
      <c r="AC165" s="70"/>
      <c r="AD165" s="274"/>
      <c r="AE165" s="588"/>
      <c r="AF165" s="70"/>
      <c r="AG165" s="274"/>
      <c r="AH165" s="588"/>
      <c r="AI165" s="70"/>
      <c r="AJ165" s="237"/>
      <c r="AK165" s="87"/>
      <c r="AL165" s="70"/>
      <c r="AM165" s="588"/>
      <c r="AN165" s="19"/>
    </row>
    <row r="166" spans="1:40" s="12" customFormat="1" ht="13" x14ac:dyDescent="0.3">
      <c r="A166" s="10">
        <v>8305</v>
      </c>
      <c r="B166" s="11" t="s">
        <v>615</v>
      </c>
      <c r="C166" s="282">
        <v>1028</v>
      </c>
      <c r="D166" s="54">
        <v>680</v>
      </c>
      <c r="E166" s="706">
        <f t="shared" si="4"/>
        <v>0.66147859922178986</v>
      </c>
      <c r="F166" s="273"/>
      <c r="G166" s="488"/>
      <c r="H166" s="572"/>
      <c r="I166" s="70"/>
      <c r="J166" s="236"/>
      <c r="K166" s="274"/>
      <c r="L166" s="70"/>
      <c r="M166" s="87"/>
      <c r="N166" s="582"/>
      <c r="O166" s="588"/>
      <c r="P166" s="582"/>
      <c r="Q166" s="87"/>
      <c r="R166" s="70"/>
      <c r="S166" s="274"/>
      <c r="T166" s="588"/>
      <c r="U166" s="70"/>
      <c r="V166" s="588"/>
      <c r="W166" s="70"/>
      <c r="X166" s="237"/>
      <c r="Y166" s="588"/>
      <c r="Z166" s="276">
        <v>400</v>
      </c>
      <c r="AA166" s="283">
        <v>160</v>
      </c>
      <c r="AB166" s="590">
        <v>442</v>
      </c>
      <c r="AC166" s="70"/>
      <c r="AD166" s="274"/>
      <c r="AE166" s="588"/>
      <c r="AF166" s="70"/>
      <c r="AG166" s="274"/>
      <c r="AH166" s="588"/>
      <c r="AI166" s="70"/>
      <c r="AJ166" s="237"/>
      <c r="AK166" s="87"/>
      <c r="AL166" s="70"/>
      <c r="AM166" s="588"/>
      <c r="AN166" s="19"/>
    </row>
    <row r="167" spans="1:40" s="12" customFormat="1" ht="13" x14ac:dyDescent="0.3">
      <c r="A167" s="10">
        <v>8306</v>
      </c>
      <c r="B167" s="11" t="s">
        <v>616</v>
      </c>
      <c r="C167" s="282">
        <v>625</v>
      </c>
      <c r="D167" s="54">
        <v>354</v>
      </c>
      <c r="E167" s="706">
        <f t="shared" si="4"/>
        <v>0.56640000000000001</v>
      </c>
      <c r="F167" s="273"/>
      <c r="G167" s="488"/>
      <c r="H167" s="572"/>
      <c r="I167" s="70"/>
      <c r="J167" s="236"/>
      <c r="K167" s="274"/>
      <c r="L167" s="70"/>
      <c r="M167" s="87"/>
      <c r="N167" s="582"/>
      <c r="O167" s="588"/>
      <c r="P167" s="582"/>
      <c r="Q167" s="87"/>
      <c r="R167" s="70"/>
      <c r="S167" s="274"/>
      <c r="T167" s="588"/>
      <c r="U167" s="70"/>
      <c r="V167" s="588"/>
      <c r="W167" s="70"/>
      <c r="X167" s="237"/>
      <c r="Y167" s="588"/>
      <c r="Z167" s="276">
        <v>146</v>
      </c>
      <c r="AA167" s="283">
        <v>154</v>
      </c>
      <c r="AB167" s="590">
        <v>263</v>
      </c>
      <c r="AC167" s="70"/>
      <c r="AD167" s="274"/>
      <c r="AE167" s="588"/>
      <c r="AF167" s="70"/>
      <c r="AG167" s="274"/>
      <c r="AH167" s="588"/>
      <c r="AI167" s="70"/>
      <c r="AJ167" s="237"/>
      <c r="AK167" s="87"/>
      <c r="AL167" s="70"/>
      <c r="AM167" s="588"/>
      <c r="AN167" s="19"/>
    </row>
    <row r="168" spans="1:40" s="12" customFormat="1" ht="13" x14ac:dyDescent="0.3">
      <c r="A168" s="10">
        <v>8307</v>
      </c>
      <c r="B168" s="11" t="s">
        <v>617</v>
      </c>
      <c r="C168" s="282">
        <v>1279</v>
      </c>
      <c r="D168" s="54">
        <v>770</v>
      </c>
      <c r="E168" s="706">
        <f t="shared" si="4"/>
        <v>0.60203283815480846</v>
      </c>
      <c r="F168" s="273"/>
      <c r="G168" s="488"/>
      <c r="H168" s="572"/>
      <c r="I168" s="70"/>
      <c r="J168" s="236"/>
      <c r="K168" s="274"/>
      <c r="L168" s="70"/>
      <c r="M168" s="87"/>
      <c r="N168" s="582"/>
      <c r="O168" s="588"/>
      <c r="P168" s="582"/>
      <c r="Q168" s="87"/>
      <c r="R168" s="70"/>
      <c r="S168" s="274"/>
      <c r="T168" s="588"/>
      <c r="U168" s="70"/>
      <c r="V168" s="588"/>
      <c r="W168" s="70"/>
      <c r="X168" s="237"/>
      <c r="Y168" s="588"/>
      <c r="Z168" s="276">
        <v>293</v>
      </c>
      <c r="AA168" s="283">
        <v>363</v>
      </c>
      <c r="AB168" s="590">
        <v>537</v>
      </c>
      <c r="AC168" s="70"/>
      <c r="AD168" s="274"/>
      <c r="AE168" s="588"/>
      <c r="AF168" s="70"/>
      <c r="AG168" s="274"/>
      <c r="AH168" s="588"/>
      <c r="AI168" s="70"/>
      <c r="AJ168" s="237"/>
      <c r="AK168" s="87"/>
      <c r="AL168" s="70"/>
      <c r="AM168" s="588"/>
      <c r="AN168" s="19"/>
    </row>
    <row r="169" spans="1:40" s="12" customFormat="1" ht="13" x14ac:dyDescent="0.3">
      <c r="A169" s="10">
        <v>8308</v>
      </c>
      <c r="B169" s="11" t="s">
        <v>618</v>
      </c>
      <c r="C169" s="282">
        <v>457</v>
      </c>
      <c r="D169" s="54">
        <v>282</v>
      </c>
      <c r="E169" s="706">
        <f t="shared" si="4"/>
        <v>0.61706783369803064</v>
      </c>
      <c r="F169" s="273"/>
      <c r="G169" s="488"/>
      <c r="H169" s="572"/>
      <c r="I169" s="70"/>
      <c r="J169" s="236"/>
      <c r="K169" s="274"/>
      <c r="L169" s="70"/>
      <c r="M169" s="87"/>
      <c r="N169" s="582"/>
      <c r="O169" s="588"/>
      <c r="P169" s="582"/>
      <c r="Q169" s="87"/>
      <c r="R169" s="70"/>
      <c r="S169" s="274"/>
      <c r="T169" s="588"/>
      <c r="U169" s="70"/>
      <c r="V169" s="588"/>
      <c r="W169" s="70"/>
      <c r="X169" s="237"/>
      <c r="Y169" s="588"/>
      <c r="Z169" s="276">
        <v>95</v>
      </c>
      <c r="AA169" s="283">
        <v>144</v>
      </c>
      <c r="AB169" s="590">
        <v>207</v>
      </c>
      <c r="AC169" s="70"/>
      <c r="AD169" s="274"/>
      <c r="AE169" s="588"/>
      <c r="AF169" s="70"/>
      <c r="AG169" s="274"/>
      <c r="AH169" s="588"/>
      <c r="AI169" s="70"/>
      <c r="AJ169" s="237"/>
      <c r="AK169" s="87"/>
      <c r="AL169" s="70"/>
      <c r="AM169" s="588"/>
      <c r="AN169" s="19"/>
    </row>
    <row r="170" spans="1:40" s="12" customFormat="1" ht="13" x14ac:dyDescent="0.3">
      <c r="A170" s="10">
        <v>8701</v>
      </c>
      <c r="B170" s="11" t="s">
        <v>628</v>
      </c>
      <c r="C170" s="282">
        <v>811</v>
      </c>
      <c r="D170" s="54">
        <v>249</v>
      </c>
      <c r="E170" s="706">
        <f t="shared" si="4"/>
        <v>0.30702836004932182</v>
      </c>
      <c r="F170" s="273"/>
      <c r="G170" s="488"/>
      <c r="H170" s="572"/>
      <c r="I170" s="70"/>
      <c r="J170" s="236"/>
      <c r="K170" s="274"/>
      <c r="L170" s="70"/>
      <c r="M170" s="87"/>
      <c r="N170" s="582"/>
      <c r="O170" s="588"/>
      <c r="P170" s="582"/>
      <c r="Q170" s="87"/>
      <c r="R170" s="70"/>
      <c r="S170" s="274"/>
      <c r="T170" s="588"/>
      <c r="U170" s="70"/>
      <c r="V170" s="588"/>
      <c r="W170" s="70"/>
      <c r="X170" s="237"/>
      <c r="Y170" s="588"/>
      <c r="Z170" s="70"/>
      <c r="AA170" s="274"/>
      <c r="AB170" s="588"/>
      <c r="AC170" s="276">
        <v>136</v>
      </c>
      <c r="AD170" s="283">
        <v>86</v>
      </c>
      <c r="AE170" s="590">
        <v>159</v>
      </c>
      <c r="AF170" s="70"/>
      <c r="AG170" s="274"/>
      <c r="AH170" s="588"/>
      <c r="AI170" s="70"/>
      <c r="AJ170" s="237"/>
      <c r="AK170" s="87"/>
      <c r="AL170" s="70"/>
      <c r="AM170" s="588"/>
      <c r="AN170" s="19"/>
    </row>
    <row r="171" spans="1:40" s="12" customFormat="1" ht="13" x14ac:dyDescent="0.3">
      <c r="A171" s="10">
        <v>8702</v>
      </c>
      <c r="B171" s="11" t="s">
        <v>629</v>
      </c>
      <c r="C171" s="282">
        <v>691</v>
      </c>
      <c r="D171" s="54">
        <v>332</v>
      </c>
      <c r="E171" s="706">
        <f t="shared" si="4"/>
        <v>0.48046309696092621</v>
      </c>
      <c r="F171" s="273"/>
      <c r="G171" s="488"/>
      <c r="H171" s="572"/>
      <c r="I171" s="70"/>
      <c r="J171" s="236"/>
      <c r="K171" s="274"/>
      <c r="L171" s="70"/>
      <c r="M171" s="87"/>
      <c r="N171" s="582"/>
      <c r="O171" s="588"/>
      <c r="P171" s="582"/>
      <c r="Q171" s="87"/>
      <c r="R171" s="70"/>
      <c r="S171" s="274"/>
      <c r="T171" s="588"/>
      <c r="U171" s="70"/>
      <c r="V171" s="588"/>
      <c r="W171" s="70"/>
      <c r="X171" s="237"/>
      <c r="Y171" s="588"/>
      <c r="Z171" s="70"/>
      <c r="AA171" s="274"/>
      <c r="AB171" s="588"/>
      <c r="AC171" s="276">
        <v>153</v>
      </c>
      <c r="AD171" s="283">
        <v>130</v>
      </c>
      <c r="AE171" s="590">
        <v>229</v>
      </c>
      <c r="AF171" s="70"/>
      <c r="AG171" s="274"/>
      <c r="AH171" s="588"/>
      <c r="AI171" s="70"/>
      <c r="AJ171" s="237"/>
      <c r="AK171" s="87"/>
      <c r="AL171" s="70"/>
      <c r="AM171" s="588"/>
      <c r="AN171" s="19"/>
    </row>
    <row r="172" spans="1:40" s="12" customFormat="1" ht="13" x14ac:dyDescent="0.3">
      <c r="A172" s="10">
        <v>8703</v>
      </c>
      <c r="B172" s="11" t="s">
        <v>630</v>
      </c>
      <c r="C172" s="282">
        <v>1279</v>
      </c>
      <c r="D172" s="54">
        <v>617</v>
      </c>
      <c r="E172" s="706">
        <f t="shared" si="4"/>
        <v>0.48240813135261923</v>
      </c>
      <c r="F172" s="273"/>
      <c r="G172" s="488"/>
      <c r="H172" s="572"/>
      <c r="I172" s="70"/>
      <c r="J172" s="236"/>
      <c r="K172" s="274"/>
      <c r="L172" s="70"/>
      <c r="M172" s="87"/>
      <c r="N172" s="582"/>
      <c r="O172" s="588"/>
      <c r="P172" s="582"/>
      <c r="Q172" s="87"/>
      <c r="R172" s="70"/>
      <c r="S172" s="274"/>
      <c r="T172" s="588"/>
      <c r="U172" s="70"/>
      <c r="V172" s="588"/>
      <c r="W172" s="70"/>
      <c r="X172" s="237"/>
      <c r="Y172" s="588"/>
      <c r="Z172" s="70"/>
      <c r="AA172" s="274"/>
      <c r="AB172" s="588"/>
      <c r="AC172" s="276">
        <v>266</v>
      </c>
      <c r="AD172" s="283">
        <v>293</v>
      </c>
      <c r="AE172" s="590">
        <v>420</v>
      </c>
      <c r="AF172" s="70"/>
      <c r="AG172" s="274"/>
      <c r="AH172" s="588"/>
      <c r="AI172" s="70"/>
      <c r="AJ172" s="237"/>
      <c r="AK172" s="87"/>
      <c r="AL172" s="70"/>
      <c r="AM172" s="588"/>
      <c r="AN172" s="19"/>
    </row>
    <row r="173" spans="1:40" s="12" customFormat="1" ht="13" x14ac:dyDescent="0.3">
      <c r="A173" s="10">
        <v>8704</v>
      </c>
      <c r="B173" s="11" t="s">
        <v>631</v>
      </c>
      <c r="C173" s="282">
        <v>869</v>
      </c>
      <c r="D173" s="54">
        <v>453</v>
      </c>
      <c r="E173" s="706">
        <f t="shared" si="4"/>
        <v>0.52128883774453394</v>
      </c>
      <c r="F173" s="273"/>
      <c r="G173" s="488"/>
      <c r="H173" s="572"/>
      <c r="I173" s="70"/>
      <c r="J173" s="236"/>
      <c r="K173" s="274"/>
      <c r="L173" s="70"/>
      <c r="M173" s="87"/>
      <c r="N173" s="582"/>
      <c r="O173" s="588"/>
      <c r="P173" s="582"/>
      <c r="Q173" s="87"/>
      <c r="R173" s="70"/>
      <c r="S173" s="274"/>
      <c r="T173" s="588"/>
      <c r="U173" s="70"/>
      <c r="V173" s="588"/>
      <c r="W173" s="70"/>
      <c r="X173" s="237"/>
      <c r="Y173" s="588"/>
      <c r="Z173" s="70"/>
      <c r="AA173" s="274"/>
      <c r="AB173" s="588"/>
      <c r="AC173" s="276">
        <v>170</v>
      </c>
      <c r="AD173" s="283">
        <v>215</v>
      </c>
      <c r="AE173" s="590">
        <v>260</v>
      </c>
      <c r="AF173" s="70"/>
      <c r="AG173" s="274"/>
      <c r="AH173" s="588"/>
      <c r="AI173" s="70"/>
      <c r="AJ173" s="237"/>
      <c r="AK173" s="87"/>
      <c r="AL173" s="70"/>
      <c r="AM173" s="588"/>
      <c r="AN173" s="19"/>
    </row>
    <row r="174" spans="1:40" s="12" customFormat="1" ht="13" x14ac:dyDescent="0.3">
      <c r="A174" s="10">
        <v>8705</v>
      </c>
      <c r="B174" s="11" t="s">
        <v>632</v>
      </c>
      <c r="C174" s="282">
        <v>547</v>
      </c>
      <c r="D174" s="54">
        <v>289</v>
      </c>
      <c r="E174" s="706">
        <f t="shared" si="4"/>
        <v>0.52833638025594154</v>
      </c>
      <c r="F174" s="273"/>
      <c r="G174" s="488"/>
      <c r="H174" s="572"/>
      <c r="I174" s="70"/>
      <c r="J174" s="236"/>
      <c r="K174" s="274"/>
      <c r="L174" s="70"/>
      <c r="M174" s="87"/>
      <c r="N174" s="582"/>
      <c r="O174" s="588"/>
      <c r="P174" s="582"/>
      <c r="Q174" s="87"/>
      <c r="R174" s="70"/>
      <c r="S174" s="274"/>
      <c r="T174" s="588"/>
      <c r="U174" s="70"/>
      <c r="V174" s="588"/>
      <c r="W174" s="70"/>
      <c r="X174" s="237"/>
      <c r="Y174" s="588"/>
      <c r="Z174" s="70"/>
      <c r="AA174" s="274"/>
      <c r="AB174" s="588"/>
      <c r="AC174" s="276">
        <v>121</v>
      </c>
      <c r="AD174" s="283">
        <v>113</v>
      </c>
      <c r="AE174" s="590">
        <v>176</v>
      </c>
      <c r="AF174" s="70"/>
      <c r="AG174" s="274"/>
      <c r="AH174" s="588"/>
      <c r="AI174" s="70"/>
      <c r="AJ174" s="237"/>
      <c r="AK174" s="87"/>
      <c r="AL174" s="70"/>
      <c r="AM174" s="588"/>
      <c r="AN174" s="19"/>
    </row>
    <row r="175" spans="1:40" s="12" customFormat="1" ht="13" x14ac:dyDescent="0.3">
      <c r="A175" s="10">
        <v>8706</v>
      </c>
      <c r="B175" s="11" t="s">
        <v>633</v>
      </c>
      <c r="C175" s="282">
        <v>696</v>
      </c>
      <c r="D175" s="54">
        <v>461</v>
      </c>
      <c r="E175" s="706">
        <f t="shared" si="4"/>
        <v>0.66235632183908044</v>
      </c>
      <c r="F175" s="273"/>
      <c r="G175" s="488"/>
      <c r="H175" s="572"/>
      <c r="I175" s="70"/>
      <c r="J175" s="236"/>
      <c r="K175" s="274"/>
      <c r="L175" s="70"/>
      <c r="M175" s="87"/>
      <c r="N175" s="582"/>
      <c r="O175" s="588"/>
      <c r="P175" s="582"/>
      <c r="Q175" s="87"/>
      <c r="R175" s="70"/>
      <c r="S175" s="274"/>
      <c r="T175" s="588"/>
      <c r="U175" s="70"/>
      <c r="V175" s="588"/>
      <c r="W175" s="70"/>
      <c r="X175" s="237"/>
      <c r="Y175" s="588"/>
      <c r="Z175" s="70"/>
      <c r="AA175" s="274"/>
      <c r="AB175" s="588"/>
      <c r="AC175" s="276">
        <v>190</v>
      </c>
      <c r="AD175" s="283">
        <v>158</v>
      </c>
      <c r="AE175" s="590">
        <v>290</v>
      </c>
      <c r="AF175" s="70"/>
      <c r="AG175" s="274"/>
      <c r="AH175" s="588"/>
      <c r="AI175" s="70"/>
      <c r="AJ175" s="237"/>
      <c r="AK175" s="87"/>
      <c r="AL175" s="70"/>
      <c r="AM175" s="588"/>
      <c r="AN175" s="19"/>
    </row>
    <row r="176" spans="1:40" s="12" customFormat="1" ht="13" x14ac:dyDescent="0.3">
      <c r="A176" s="10">
        <v>8707</v>
      </c>
      <c r="B176" s="11" t="s">
        <v>634</v>
      </c>
      <c r="C176" s="282">
        <v>1164</v>
      </c>
      <c r="D176" s="54">
        <v>633</v>
      </c>
      <c r="E176" s="706">
        <f t="shared" si="4"/>
        <v>0.54381443298969068</v>
      </c>
      <c r="F176" s="273"/>
      <c r="G176" s="488"/>
      <c r="H176" s="572"/>
      <c r="I176" s="70"/>
      <c r="J176" s="236"/>
      <c r="K176" s="274"/>
      <c r="L176" s="70"/>
      <c r="M176" s="87"/>
      <c r="N176" s="582"/>
      <c r="O176" s="588"/>
      <c r="P176" s="582"/>
      <c r="Q176" s="87"/>
      <c r="R176" s="70"/>
      <c r="S176" s="274"/>
      <c r="T176" s="588"/>
      <c r="U176" s="70"/>
      <c r="V176" s="588"/>
      <c r="W176" s="70"/>
      <c r="X176" s="237"/>
      <c r="Y176" s="588"/>
      <c r="Z176" s="70"/>
      <c r="AA176" s="274"/>
      <c r="AB176" s="588"/>
      <c r="AC176" s="276">
        <v>235</v>
      </c>
      <c r="AD176" s="283">
        <v>301</v>
      </c>
      <c r="AE176" s="590">
        <v>417</v>
      </c>
      <c r="AF176" s="70"/>
      <c r="AG176" s="274"/>
      <c r="AH176" s="588"/>
      <c r="AI176" s="70"/>
      <c r="AJ176" s="237"/>
      <c r="AK176" s="87"/>
      <c r="AL176" s="70"/>
      <c r="AM176" s="588"/>
      <c r="AN176" s="19"/>
    </row>
    <row r="177" spans="1:40" s="12" customFormat="1" ht="13" x14ac:dyDescent="0.3">
      <c r="A177" s="10">
        <v>8708</v>
      </c>
      <c r="B177" s="11" t="s">
        <v>635</v>
      </c>
      <c r="C177" s="282">
        <v>1077</v>
      </c>
      <c r="D177" s="54">
        <v>640</v>
      </c>
      <c r="E177" s="706">
        <f t="shared" si="4"/>
        <v>0.59424326833797581</v>
      </c>
      <c r="F177" s="273"/>
      <c r="G177" s="488"/>
      <c r="H177" s="572"/>
      <c r="I177" s="70"/>
      <c r="J177" s="236"/>
      <c r="K177" s="274"/>
      <c r="L177" s="70"/>
      <c r="M177" s="87"/>
      <c r="N177" s="582"/>
      <c r="O177" s="588"/>
      <c r="P177" s="582"/>
      <c r="Q177" s="87"/>
      <c r="R177" s="70"/>
      <c r="S177" s="274"/>
      <c r="T177" s="588"/>
      <c r="U177" s="70"/>
      <c r="V177" s="588"/>
      <c r="W177" s="70"/>
      <c r="X177" s="237"/>
      <c r="Y177" s="588"/>
      <c r="Z177" s="70"/>
      <c r="AA177" s="274"/>
      <c r="AB177" s="588"/>
      <c r="AC177" s="276">
        <v>285</v>
      </c>
      <c r="AD177" s="283">
        <v>276</v>
      </c>
      <c r="AE177" s="590">
        <v>422</v>
      </c>
      <c r="AF177" s="70"/>
      <c r="AG177" s="274"/>
      <c r="AH177" s="588"/>
      <c r="AI177" s="70"/>
      <c r="AJ177" s="237"/>
      <c r="AK177" s="87"/>
      <c r="AL177" s="70"/>
      <c r="AM177" s="588"/>
      <c r="AN177" s="19"/>
    </row>
    <row r="178" spans="1:40" s="12" customFormat="1" ht="13" x14ac:dyDescent="0.3">
      <c r="A178" s="10">
        <v>8709</v>
      </c>
      <c r="B178" s="11" t="s">
        <v>636</v>
      </c>
      <c r="C178" s="282">
        <v>504</v>
      </c>
      <c r="D178" s="54">
        <v>216</v>
      </c>
      <c r="E178" s="706">
        <f t="shared" si="4"/>
        <v>0.42857142857142855</v>
      </c>
      <c r="F178" s="273"/>
      <c r="G178" s="488"/>
      <c r="H178" s="572"/>
      <c r="I178" s="70"/>
      <c r="J178" s="236"/>
      <c r="K178" s="274"/>
      <c r="L178" s="70"/>
      <c r="M178" s="87"/>
      <c r="N178" s="582"/>
      <c r="O178" s="588"/>
      <c r="P178" s="582"/>
      <c r="Q178" s="87"/>
      <c r="R178" s="70"/>
      <c r="S178" s="274"/>
      <c r="T178" s="588"/>
      <c r="U178" s="70"/>
      <c r="V178" s="588"/>
      <c r="W178" s="70"/>
      <c r="X178" s="237"/>
      <c r="Y178" s="588"/>
      <c r="Z178" s="70"/>
      <c r="AA178" s="274"/>
      <c r="AB178" s="588"/>
      <c r="AC178" s="276">
        <v>95</v>
      </c>
      <c r="AD178" s="283">
        <v>79</v>
      </c>
      <c r="AE178" s="590">
        <v>152</v>
      </c>
      <c r="AF178" s="70"/>
      <c r="AG178" s="274"/>
      <c r="AH178" s="588"/>
      <c r="AI178" s="70"/>
      <c r="AJ178" s="237"/>
      <c r="AK178" s="87"/>
      <c r="AL178" s="70"/>
      <c r="AM178" s="588"/>
      <c r="AN178" s="19"/>
    </row>
    <row r="179" spans="1:40" s="12" customFormat="1" ht="13" x14ac:dyDescent="0.3">
      <c r="A179" s="10">
        <v>8710</v>
      </c>
      <c r="B179" s="11" t="s">
        <v>637</v>
      </c>
      <c r="C179" s="282">
        <v>930</v>
      </c>
      <c r="D179" s="54">
        <v>450</v>
      </c>
      <c r="E179" s="706">
        <f t="shared" si="4"/>
        <v>0.4838709677419355</v>
      </c>
      <c r="F179" s="273"/>
      <c r="G179" s="488"/>
      <c r="H179" s="572"/>
      <c r="I179" s="70"/>
      <c r="J179" s="236"/>
      <c r="K179" s="274"/>
      <c r="L179" s="70"/>
      <c r="M179" s="87"/>
      <c r="N179" s="582"/>
      <c r="O179" s="588"/>
      <c r="P179" s="582"/>
      <c r="Q179" s="87"/>
      <c r="R179" s="70"/>
      <c r="S179" s="274"/>
      <c r="T179" s="588"/>
      <c r="U179" s="70"/>
      <c r="V179" s="588"/>
      <c r="W179" s="70"/>
      <c r="X179" s="237"/>
      <c r="Y179" s="588"/>
      <c r="Z179" s="70"/>
      <c r="AA179" s="274"/>
      <c r="AB179" s="588"/>
      <c r="AC179" s="276">
        <v>179</v>
      </c>
      <c r="AD179" s="283">
        <v>234</v>
      </c>
      <c r="AE179" s="590">
        <v>308</v>
      </c>
      <c r="AF179" s="70"/>
      <c r="AG179" s="274"/>
      <c r="AH179" s="588"/>
      <c r="AI179" s="70"/>
      <c r="AJ179" s="237"/>
      <c r="AK179" s="87"/>
      <c r="AL179" s="70"/>
      <c r="AM179" s="588"/>
      <c r="AN179" s="19"/>
    </row>
    <row r="180" spans="1:40" s="12" customFormat="1" ht="13" x14ac:dyDescent="0.3">
      <c r="A180" s="10">
        <v>8711</v>
      </c>
      <c r="B180" s="11" t="s">
        <v>638</v>
      </c>
      <c r="C180" s="282">
        <v>873</v>
      </c>
      <c r="D180" s="54">
        <v>304</v>
      </c>
      <c r="E180" s="706">
        <f t="shared" si="4"/>
        <v>0.34822451317296677</v>
      </c>
      <c r="F180" s="273"/>
      <c r="G180" s="488"/>
      <c r="H180" s="572"/>
      <c r="I180" s="70"/>
      <c r="J180" s="236"/>
      <c r="K180" s="274"/>
      <c r="L180" s="70"/>
      <c r="M180" s="87"/>
      <c r="N180" s="582"/>
      <c r="O180" s="588"/>
      <c r="P180" s="582"/>
      <c r="Q180" s="87"/>
      <c r="R180" s="70"/>
      <c r="S180" s="274"/>
      <c r="T180" s="588"/>
      <c r="U180" s="70"/>
      <c r="V180" s="588"/>
      <c r="W180" s="70"/>
      <c r="X180" s="237"/>
      <c r="Y180" s="588"/>
      <c r="Z180" s="70"/>
      <c r="AA180" s="274"/>
      <c r="AB180" s="588"/>
      <c r="AC180" s="276">
        <v>109</v>
      </c>
      <c r="AD180" s="283">
        <v>145</v>
      </c>
      <c r="AE180" s="590">
        <v>204</v>
      </c>
      <c r="AF180" s="70"/>
      <c r="AG180" s="274"/>
      <c r="AH180" s="588"/>
      <c r="AI180" s="70"/>
      <c r="AJ180" s="237"/>
      <c r="AK180" s="87"/>
      <c r="AL180" s="70"/>
      <c r="AM180" s="588"/>
      <c r="AN180" s="19"/>
    </row>
    <row r="181" spans="1:40" s="12" customFormat="1" ht="13" x14ac:dyDescent="0.3">
      <c r="A181" s="10">
        <v>8712</v>
      </c>
      <c r="B181" s="11" t="s">
        <v>639</v>
      </c>
      <c r="C181" s="282">
        <v>294</v>
      </c>
      <c r="D181" s="54">
        <v>114</v>
      </c>
      <c r="E181" s="706">
        <f t="shared" si="4"/>
        <v>0.38775510204081631</v>
      </c>
      <c r="F181" s="273"/>
      <c r="G181" s="488"/>
      <c r="H181" s="572"/>
      <c r="I181" s="70"/>
      <c r="J181" s="236"/>
      <c r="K181" s="274"/>
      <c r="L181" s="70"/>
      <c r="M181" s="87"/>
      <c r="N181" s="582"/>
      <c r="O181" s="588"/>
      <c r="P181" s="582"/>
      <c r="Q181" s="87"/>
      <c r="R181" s="70"/>
      <c r="S181" s="274"/>
      <c r="T181" s="588"/>
      <c r="U181" s="70"/>
      <c r="V181" s="588"/>
      <c r="W181" s="70"/>
      <c r="X181" s="237"/>
      <c r="Y181" s="588"/>
      <c r="Z181" s="70"/>
      <c r="AA181" s="274"/>
      <c r="AB181" s="588"/>
      <c r="AC181" s="276">
        <v>50</v>
      </c>
      <c r="AD181" s="283">
        <v>48</v>
      </c>
      <c r="AE181" s="590">
        <v>79</v>
      </c>
      <c r="AF181" s="70"/>
      <c r="AG181" s="274"/>
      <c r="AH181" s="588"/>
      <c r="AI181" s="70"/>
      <c r="AJ181" s="237"/>
      <c r="AK181" s="87"/>
      <c r="AL181" s="70"/>
      <c r="AM181" s="588"/>
      <c r="AN181" s="19"/>
    </row>
    <row r="182" spans="1:40" s="12" customFormat="1" ht="13" x14ac:dyDescent="0.3">
      <c r="A182" s="10">
        <v>8713</v>
      </c>
      <c r="B182" s="11" t="s">
        <v>640</v>
      </c>
      <c r="C182" s="282">
        <v>1166</v>
      </c>
      <c r="D182" s="54">
        <v>532</v>
      </c>
      <c r="E182" s="706">
        <f t="shared" si="4"/>
        <v>0.45626072041166382</v>
      </c>
      <c r="F182" s="273"/>
      <c r="G182" s="488"/>
      <c r="H182" s="572"/>
      <c r="I182" s="70"/>
      <c r="J182" s="236"/>
      <c r="K182" s="274"/>
      <c r="L182" s="70"/>
      <c r="M182" s="87"/>
      <c r="N182" s="582"/>
      <c r="O182" s="588"/>
      <c r="P182" s="582"/>
      <c r="Q182" s="87"/>
      <c r="R182" s="70"/>
      <c r="S182" s="274"/>
      <c r="T182" s="588"/>
      <c r="U182" s="70"/>
      <c r="V182" s="588"/>
      <c r="W182" s="70"/>
      <c r="X182" s="237"/>
      <c r="Y182" s="588"/>
      <c r="Z182" s="70"/>
      <c r="AA182" s="274"/>
      <c r="AB182" s="588"/>
      <c r="AC182" s="276">
        <v>260</v>
      </c>
      <c r="AD182" s="283">
        <v>225</v>
      </c>
      <c r="AE182" s="590">
        <v>356</v>
      </c>
      <c r="AF182" s="70"/>
      <c r="AG182" s="274"/>
      <c r="AH182" s="588"/>
      <c r="AI182" s="70"/>
      <c r="AJ182" s="237"/>
      <c r="AK182" s="87"/>
      <c r="AL182" s="70"/>
      <c r="AM182" s="588"/>
      <c r="AN182" s="19"/>
    </row>
    <row r="183" spans="1:40" s="12" customFormat="1" ht="13" x14ac:dyDescent="0.3">
      <c r="A183" s="10">
        <v>8714</v>
      </c>
      <c r="B183" s="11" t="s">
        <v>641</v>
      </c>
      <c r="C183" s="282">
        <v>1096</v>
      </c>
      <c r="D183" s="54">
        <v>634</v>
      </c>
      <c r="E183" s="706">
        <f t="shared" si="4"/>
        <v>0.57846715328467158</v>
      </c>
      <c r="F183" s="273"/>
      <c r="G183" s="488"/>
      <c r="H183" s="572"/>
      <c r="I183" s="70"/>
      <c r="J183" s="236"/>
      <c r="K183" s="274"/>
      <c r="L183" s="70"/>
      <c r="M183" s="87"/>
      <c r="N183" s="582"/>
      <c r="O183" s="588"/>
      <c r="P183" s="582"/>
      <c r="Q183" s="87"/>
      <c r="R183" s="70"/>
      <c r="S183" s="274"/>
      <c r="T183" s="588"/>
      <c r="U183" s="70"/>
      <c r="V183" s="588"/>
      <c r="W183" s="70"/>
      <c r="X183" s="237"/>
      <c r="Y183" s="588"/>
      <c r="Z183" s="70"/>
      <c r="AA183" s="274"/>
      <c r="AB183" s="588"/>
      <c r="AC183" s="276">
        <v>305</v>
      </c>
      <c r="AD183" s="283">
        <v>251</v>
      </c>
      <c r="AE183" s="590">
        <v>419</v>
      </c>
      <c r="AF183" s="70"/>
      <c r="AG183" s="274"/>
      <c r="AH183" s="588"/>
      <c r="AI183" s="70"/>
      <c r="AJ183" s="237"/>
      <c r="AK183" s="87"/>
      <c r="AL183" s="70"/>
      <c r="AM183" s="588"/>
      <c r="AN183" s="19"/>
    </row>
    <row r="184" spans="1:40" s="12" customFormat="1" ht="13" x14ac:dyDescent="0.3">
      <c r="A184" s="10">
        <v>8715</v>
      </c>
      <c r="B184" s="11" t="s">
        <v>642</v>
      </c>
      <c r="C184" s="282">
        <v>1062</v>
      </c>
      <c r="D184" s="54">
        <v>385</v>
      </c>
      <c r="E184" s="706">
        <f t="shared" si="4"/>
        <v>0.36252354048964219</v>
      </c>
      <c r="F184" s="273"/>
      <c r="G184" s="488"/>
      <c r="H184" s="572"/>
      <c r="I184" s="70"/>
      <c r="J184" s="236"/>
      <c r="K184" s="274"/>
      <c r="L184" s="70"/>
      <c r="M184" s="87"/>
      <c r="N184" s="582"/>
      <c r="O184" s="588"/>
      <c r="P184" s="582"/>
      <c r="Q184" s="87"/>
      <c r="R184" s="70"/>
      <c r="S184" s="274"/>
      <c r="T184" s="588"/>
      <c r="U184" s="70"/>
      <c r="V184" s="588"/>
      <c r="W184" s="70"/>
      <c r="X184" s="237"/>
      <c r="Y184" s="588"/>
      <c r="Z184" s="70"/>
      <c r="AA184" s="274"/>
      <c r="AB184" s="588"/>
      <c r="AC184" s="276">
        <v>197</v>
      </c>
      <c r="AD184" s="283">
        <v>160</v>
      </c>
      <c r="AE184" s="590">
        <v>250</v>
      </c>
      <c r="AF184" s="70"/>
      <c r="AG184" s="274"/>
      <c r="AH184" s="588"/>
      <c r="AI184" s="70"/>
      <c r="AJ184" s="237"/>
      <c r="AK184" s="87"/>
      <c r="AL184" s="70"/>
      <c r="AM184" s="588"/>
      <c r="AN184" s="19"/>
    </row>
    <row r="185" spans="1:40" s="12" customFormat="1" ht="13" x14ac:dyDescent="0.3">
      <c r="A185" s="10">
        <v>8716</v>
      </c>
      <c r="B185" s="11" t="s">
        <v>643</v>
      </c>
      <c r="C185" s="282">
        <v>859</v>
      </c>
      <c r="D185" s="54">
        <v>370</v>
      </c>
      <c r="E185" s="706">
        <f t="shared" si="4"/>
        <v>0.43073341094295692</v>
      </c>
      <c r="F185" s="273"/>
      <c r="G185" s="488"/>
      <c r="H185" s="572"/>
      <c r="I185" s="70"/>
      <c r="J185" s="236"/>
      <c r="K185" s="274"/>
      <c r="L185" s="70"/>
      <c r="M185" s="87"/>
      <c r="N185" s="582"/>
      <c r="O185" s="588"/>
      <c r="P185" s="582"/>
      <c r="Q185" s="87"/>
      <c r="R185" s="70"/>
      <c r="S185" s="274"/>
      <c r="T185" s="588"/>
      <c r="U185" s="70"/>
      <c r="V185" s="588"/>
      <c r="W185" s="70"/>
      <c r="X185" s="237"/>
      <c r="Y185" s="588"/>
      <c r="Z185" s="70"/>
      <c r="AA185" s="274"/>
      <c r="AB185" s="588"/>
      <c r="AC185" s="276">
        <v>174</v>
      </c>
      <c r="AD185" s="283">
        <v>158</v>
      </c>
      <c r="AE185" s="590">
        <v>247</v>
      </c>
      <c r="AF185" s="70"/>
      <c r="AG185" s="274"/>
      <c r="AH185" s="588"/>
      <c r="AI185" s="70"/>
      <c r="AJ185" s="237"/>
      <c r="AK185" s="87"/>
      <c r="AL185" s="70"/>
      <c r="AM185" s="588"/>
      <c r="AN185" s="19"/>
    </row>
    <row r="186" spans="1:40" s="12" customFormat="1" ht="13" x14ac:dyDescent="0.3">
      <c r="A186" s="10">
        <v>8717</v>
      </c>
      <c r="B186" s="11" t="s">
        <v>644</v>
      </c>
      <c r="C186" s="282">
        <v>1311</v>
      </c>
      <c r="D186" s="54">
        <v>497</v>
      </c>
      <c r="E186" s="706">
        <f t="shared" si="4"/>
        <v>0.37909992372234935</v>
      </c>
      <c r="F186" s="273"/>
      <c r="G186" s="488"/>
      <c r="H186" s="572"/>
      <c r="I186" s="70"/>
      <c r="J186" s="236"/>
      <c r="K186" s="274"/>
      <c r="L186" s="70"/>
      <c r="M186" s="87"/>
      <c r="N186" s="582"/>
      <c r="O186" s="588"/>
      <c r="P186" s="582"/>
      <c r="Q186" s="87"/>
      <c r="R186" s="70"/>
      <c r="S186" s="274"/>
      <c r="T186" s="588"/>
      <c r="U186" s="70"/>
      <c r="V186" s="588"/>
      <c r="W186" s="70"/>
      <c r="X186" s="237"/>
      <c r="Y186" s="588"/>
      <c r="Z186" s="70"/>
      <c r="AA186" s="274"/>
      <c r="AB186" s="588"/>
      <c r="AC186" s="276">
        <v>256</v>
      </c>
      <c r="AD186" s="283">
        <v>188</v>
      </c>
      <c r="AE186" s="590">
        <v>333</v>
      </c>
      <c r="AF186" s="70"/>
      <c r="AG186" s="274"/>
      <c r="AH186" s="588"/>
      <c r="AI186" s="70"/>
      <c r="AJ186" s="237"/>
      <c r="AK186" s="87"/>
      <c r="AL186" s="70"/>
      <c r="AM186" s="588"/>
      <c r="AN186" s="19"/>
    </row>
    <row r="187" spans="1:40" s="12" customFormat="1" ht="13" x14ac:dyDescent="0.3">
      <c r="A187" s="10">
        <v>8718</v>
      </c>
      <c r="B187" s="11" t="s">
        <v>645</v>
      </c>
      <c r="C187" s="282">
        <v>1143</v>
      </c>
      <c r="D187" s="54">
        <v>530</v>
      </c>
      <c r="E187" s="706">
        <f t="shared" si="4"/>
        <v>0.46369203849518809</v>
      </c>
      <c r="F187" s="273"/>
      <c r="G187" s="488"/>
      <c r="H187" s="572"/>
      <c r="I187" s="70"/>
      <c r="J187" s="236"/>
      <c r="K187" s="274"/>
      <c r="L187" s="70"/>
      <c r="M187" s="87"/>
      <c r="N187" s="582"/>
      <c r="O187" s="588"/>
      <c r="P187" s="582"/>
      <c r="Q187" s="87"/>
      <c r="R187" s="70"/>
      <c r="S187" s="274"/>
      <c r="T187" s="588"/>
      <c r="U187" s="70"/>
      <c r="V187" s="588"/>
      <c r="W187" s="70"/>
      <c r="X187" s="237"/>
      <c r="Y187" s="588"/>
      <c r="Z187" s="70"/>
      <c r="AA187" s="274"/>
      <c r="AB187" s="588"/>
      <c r="AC187" s="276">
        <v>240</v>
      </c>
      <c r="AD187" s="283">
        <v>208</v>
      </c>
      <c r="AE187" s="590">
        <v>326</v>
      </c>
      <c r="AF187" s="70"/>
      <c r="AG187" s="274"/>
      <c r="AH187" s="588"/>
      <c r="AI187" s="70"/>
      <c r="AJ187" s="237"/>
      <c r="AK187" s="87"/>
      <c r="AL187" s="70"/>
      <c r="AM187" s="588"/>
      <c r="AN187" s="19"/>
    </row>
    <row r="188" spans="1:40" s="12" customFormat="1" ht="13" x14ac:dyDescent="0.3">
      <c r="A188" s="10">
        <v>8719</v>
      </c>
      <c r="B188" s="11" t="s">
        <v>646</v>
      </c>
      <c r="C188" s="282">
        <v>1151</v>
      </c>
      <c r="D188" s="54">
        <v>689</v>
      </c>
      <c r="E188" s="706">
        <f t="shared" si="4"/>
        <v>0.59860990443092965</v>
      </c>
      <c r="F188" s="273"/>
      <c r="G188" s="488"/>
      <c r="H188" s="572"/>
      <c r="I188" s="70"/>
      <c r="J188" s="236"/>
      <c r="K188" s="274"/>
      <c r="L188" s="70"/>
      <c r="M188" s="87"/>
      <c r="N188" s="582"/>
      <c r="O188" s="588"/>
      <c r="P188" s="582"/>
      <c r="Q188" s="87"/>
      <c r="R188" s="70"/>
      <c r="S188" s="274"/>
      <c r="T188" s="588"/>
      <c r="U188" s="70"/>
      <c r="V188" s="588"/>
      <c r="W188" s="70"/>
      <c r="X188" s="237"/>
      <c r="Y188" s="588"/>
      <c r="Z188" s="70"/>
      <c r="AA188" s="274"/>
      <c r="AB188" s="588"/>
      <c r="AC188" s="276">
        <v>304</v>
      </c>
      <c r="AD188" s="283">
        <v>276</v>
      </c>
      <c r="AE188" s="590">
        <v>434</v>
      </c>
      <c r="AF188" s="70"/>
      <c r="AG188" s="274"/>
      <c r="AH188" s="588"/>
      <c r="AI188" s="70"/>
      <c r="AJ188" s="237"/>
      <c r="AK188" s="87"/>
      <c r="AL188" s="70"/>
      <c r="AM188" s="588"/>
      <c r="AN188" s="19"/>
    </row>
    <row r="189" spans="1:40" s="12" customFormat="1" ht="13" x14ac:dyDescent="0.3">
      <c r="A189" s="10">
        <v>8720</v>
      </c>
      <c r="B189" s="11" t="s">
        <v>647</v>
      </c>
      <c r="C189" s="282">
        <v>1392</v>
      </c>
      <c r="D189" s="54">
        <v>663</v>
      </c>
      <c r="E189" s="706">
        <f t="shared" si="4"/>
        <v>0.47629310344827586</v>
      </c>
      <c r="F189" s="273"/>
      <c r="G189" s="488"/>
      <c r="H189" s="572"/>
      <c r="I189" s="70"/>
      <c r="J189" s="236"/>
      <c r="K189" s="274"/>
      <c r="L189" s="70"/>
      <c r="M189" s="87"/>
      <c r="N189" s="582"/>
      <c r="O189" s="588"/>
      <c r="P189" s="582"/>
      <c r="Q189" s="87"/>
      <c r="R189" s="70"/>
      <c r="S189" s="274"/>
      <c r="T189" s="588"/>
      <c r="U189" s="70"/>
      <c r="V189" s="588"/>
      <c r="W189" s="70"/>
      <c r="X189" s="237"/>
      <c r="Y189" s="588"/>
      <c r="Z189" s="70"/>
      <c r="AA189" s="274"/>
      <c r="AB189" s="588"/>
      <c r="AC189" s="276">
        <v>233</v>
      </c>
      <c r="AD189" s="283">
        <v>299</v>
      </c>
      <c r="AE189" s="590">
        <v>398</v>
      </c>
      <c r="AF189" s="70"/>
      <c r="AG189" s="274"/>
      <c r="AH189" s="588"/>
      <c r="AI189" s="70"/>
      <c r="AJ189" s="237"/>
      <c r="AK189" s="87"/>
      <c r="AL189" s="70"/>
      <c r="AM189" s="588"/>
      <c r="AN189" s="19"/>
    </row>
    <row r="190" spans="1:40" s="12" customFormat="1" ht="13" x14ac:dyDescent="0.3">
      <c r="A190" s="10">
        <v>8721</v>
      </c>
      <c r="B190" s="11" t="s">
        <v>648</v>
      </c>
      <c r="C190" s="282">
        <v>1306</v>
      </c>
      <c r="D190" s="54">
        <v>815</v>
      </c>
      <c r="E190" s="706">
        <f t="shared" si="4"/>
        <v>0.62404287901990807</v>
      </c>
      <c r="F190" s="273"/>
      <c r="G190" s="488"/>
      <c r="H190" s="572"/>
      <c r="I190" s="70"/>
      <c r="J190" s="236"/>
      <c r="K190" s="274"/>
      <c r="L190" s="70"/>
      <c r="M190" s="87"/>
      <c r="N190" s="582"/>
      <c r="O190" s="588"/>
      <c r="P190" s="582"/>
      <c r="Q190" s="87"/>
      <c r="R190" s="70"/>
      <c r="S190" s="274"/>
      <c r="T190" s="588"/>
      <c r="U190" s="70"/>
      <c r="V190" s="588"/>
      <c r="W190" s="70"/>
      <c r="X190" s="237"/>
      <c r="Y190" s="588"/>
      <c r="Z190" s="70"/>
      <c r="AA190" s="274"/>
      <c r="AB190" s="588"/>
      <c r="AC190" s="276">
        <v>411</v>
      </c>
      <c r="AD190" s="283">
        <v>300</v>
      </c>
      <c r="AE190" s="590">
        <v>518</v>
      </c>
      <c r="AF190" s="70"/>
      <c r="AG190" s="274"/>
      <c r="AH190" s="588"/>
      <c r="AI190" s="70"/>
      <c r="AJ190" s="237"/>
      <c r="AK190" s="87"/>
      <c r="AL190" s="70"/>
      <c r="AM190" s="588"/>
      <c r="AN190" s="19"/>
    </row>
    <row r="191" spans="1:40" s="12" customFormat="1" ht="13" x14ac:dyDescent="0.3">
      <c r="A191" s="10">
        <v>8722</v>
      </c>
      <c r="B191" s="11" t="s">
        <v>649</v>
      </c>
      <c r="C191" s="282">
        <v>1040</v>
      </c>
      <c r="D191" s="54">
        <v>685</v>
      </c>
      <c r="E191" s="706">
        <f t="shared" si="4"/>
        <v>0.65865384615384615</v>
      </c>
      <c r="F191" s="273"/>
      <c r="G191" s="488"/>
      <c r="H191" s="572"/>
      <c r="I191" s="70"/>
      <c r="J191" s="236"/>
      <c r="K191" s="274"/>
      <c r="L191" s="70"/>
      <c r="M191" s="87"/>
      <c r="N191" s="582"/>
      <c r="O191" s="588"/>
      <c r="P191" s="582"/>
      <c r="Q191" s="87"/>
      <c r="R191" s="70"/>
      <c r="S191" s="274"/>
      <c r="T191" s="588"/>
      <c r="U191" s="70"/>
      <c r="V191" s="588"/>
      <c r="W191" s="70"/>
      <c r="X191" s="237"/>
      <c r="Y191" s="588"/>
      <c r="Z191" s="70"/>
      <c r="AA191" s="274"/>
      <c r="AB191" s="588"/>
      <c r="AC191" s="276">
        <v>313</v>
      </c>
      <c r="AD191" s="283">
        <v>262</v>
      </c>
      <c r="AE191" s="590">
        <v>453</v>
      </c>
      <c r="AF191" s="70"/>
      <c r="AG191" s="274"/>
      <c r="AH191" s="588"/>
      <c r="AI191" s="70"/>
      <c r="AJ191" s="237"/>
      <c r="AK191" s="87"/>
      <c r="AL191" s="70"/>
      <c r="AM191" s="588"/>
      <c r="AN191" s="19"/>
    </row>
    <row r="192" spans="1:40" s="12" customFormat="1" ht="13" x14ac:dyDescent="0.3">
      <c r="A192" s="10">
        <v>8723</v>
      </c>
      <c r="B192" s="11" t="s">
        <v>650</v>
      </c>
      <c r="C192" s="282">
        <v>1301</v>
      </c>
      <c r="D192" s="54">
        <v>711</v>
      </c>
      <c r="E192" s="706">
        <f t="shared" si="4"/>
        <v>0.54650269023827824</v>
      </c>
      <c r="F192" s="273"/>
      <c r="G192" s="488"/>
      <c r="H192" s="572"/>
      <c r="I192" s="70"/>
      <c r="J192" s="236"/>
      <c r="K192" s="274"/>
      <c r="L192" s="70"/>
      <c r="M192" s="87"/>
      <c r="N192" s="582"/>
      <c r="O192" s="588"/>
      <c r="P192" s="582"/>
      <c r="Q192" s="87"/>
      <c r="R192" s="70"/>
      <c r="S192" s="274"/>
      <c r="T192" s="588"/>
      <c r="U192" s="70"/>
      <c r="V192" s="588"/>
      <c r="W192" s="70"/>
      <c r="X192" s="237"/>
      <c r="Y192" s="588"/>
      <c r="Z192" s="70"/>
      <c r="AA192" s="274"/>
      <c r="AB192" s="588"/>
      <c r="AC192" s="276">
        <v>317</v>
      </c>
      <c r="AD192" s="283">
        <v>288</v>
      </c>
      <c r="AE192" s="590">
        <v>484</v>
      </c>
      <c r="AF192" s="70"/>
      <c r="AG192" s="274"/>
      <c r="AH192" s="588"/>
      <c r="AI192" s="70"/>
      <c r="AJ192" s="237"/>
      <c r="AK192" s="87"/>
      <c r="AL192" s="70"/>
      <c r="AM192" s="588"/>
      <c r="AN192" s="19"/>
    </row>
    <row r="193" spans="1:40" s="12" customFormat="1" ht="13" x14ac:dyDescent="0.3">
      <c r="A193" s="10">
        <v>8724</v>
      </c>
      <c r="B193" s="11" t="s">
        <v>651</v>
      </c>
      <c r="C193" s="282">
        <v>699</v>
      </c>
      <c r="D193" s="54">
        <v>354</v>
      </c>
      <c r="E193" s="706">
        <f t="shared" si="4"/>
        <v>0.50643776824034337</v>
      </c>
      <c r="F193" s="273"/>
      <c r="G193" s="488"/>
      <c r="H193" s="572"/>
      <c r="I193" s="70"/>
      <c r="J193" s="236"/>
      <c r="K193" s="274"/>
      <c r="L193" s="70"/>
      <c r="M193" s="87"/>
      <c r="N193" s="582"/>
      <c r="O193" s="588"/>
      <c r="P193" s="582"/>
      <c r="Q193" s="87"/>
      <c r="R193" s="70"/>
      <c r="S193" s="274"/>
      <c r="T193" s="588"/>
      <c r="U193" s="70"/>
      <c r="V193" s="588"/>
      <c r="W193" s="70"/>
      <c r="X193" s="237"/>
      <c r="Y193" s="588"/>
      <c r="Z193" s="70"/>
      <c r="AA193" s="274"/>
      <c r="AB193" s="588"/>
      <c r="AC193" s="276">
        <v>175</v>
      </c>
      <c r="AD193" s="283">
        <v>134</v>
      </c>
      <c r="AE193" s="590">
        <v>223</v>
      </c>
      <c r="AF193" s="70"/>
      <c r="AG193" s="274"/>
      <c r="AH193" s="588"/>
      <c r="AI193" s="70"/>
      <c r="AJ193" s="237"/>
      <c r="AK193" s="87"/>
      <c r="AL193" s="70"/>
      <c r="AM193" s="588"/>
      <c r="AN193" s="19"/>
    </row>
    <row r="194" spans="1:40" s="12" customFormat="1" ht="13" x14ac:dyDescent="0.3">
      <c r="A194" s="10">
        <v>8725</v>
      </c>
      <c r="B194" s="11" t="s">
        <v>652</v>
      </c>
      <c r="C194" s="282">
        <v>949</v>
      </c>
      <c r="D194" s="54">
        <v>384</v>
      </c>
      <c r="E194" s="706">
        <f t="shared" si="4"/>
        <v>0.40463645943097998</v>
      </c>
      <c r="F194" s="273"/>
      <c r="G194" s="488"/>
      <c r="H194" s="572"/>
      <c r="I194" s="70"/>
      <c r="J194" s="236"/>
      <c r="K194" s="274"/>
      <c r="L194" s="70"/>
      <c r="M194" s="87"/>
      <c r="N194" s="582"/>
      <c r="O194" s="588"/>
      <c r="P194" s="582"/>
      <c r="Q194" s="87"/>
      <c r="R194" s="70"/>
      <c r="S194" s="274"/>
      <c r="T194" s="588"/>
      <c r="U194" s="70"/>
      <c r="V194" s="588"/>
      <c r="W194" s="70"/>
      <c r="X194" s="237"/>
      <c r="Y194" s="588"/>
      <c r="Z194" s="70"/>
      <c r="AA194" s="274"/>
      <c r="AB194" s="588"/>
      <c r="AC194" s="276">
        <v>170</v>
      </c>
      <c r="AD194" s="283">
        <v>147</v>
      </c>
      <c r="AE194" s="590">
        <v>246</v>
      </c>
      <c r="AF194" s="70"/>
      <c r="AG194" s="274"/>
      <c r="AH194" s="588"/>
      <c r="AI194" s="70"/>
      <c r="AJ194" s="237"/>
      <c r="AK194" s="87"/>
      <c r="AL194" s="70"/>
      <c r="AM194" s="588"/>
      <c r="AN194" s="19"/>
    </row>
    <row r="195" spans="1:40" s="12" customFormat="1" ht="13" x14ac:dyDescent="0.3">
      <c r="A195" s="10">
        <v>8726</v>
      </c>
      <c r="B195" s="11" t="s">
        <v>653</v>
      </c>
      <c r="C195" s="282">
        <v>669</v>
      </c>
      <c r="D195" s="54">
        <v>350</v>
      </c>
      <c r="E195" s="706">
        <f t="shared" si="4"/>
        <v>0.52316890881913303</v>
      </c>
      <c r="F195" s="273"/>
      <c r="G195" s="488"/>
      <c r="H195" s="572"/>
      <c r="I195" s="70"/>
      <c r="J195" s="236"/>
      <c r="K195" s="274"/>
      <c r="L195" s="70"/>
      <c r="M195" s="87"/>
      <c r="N195" s="582"/>
      <c r="O195" s="588"/>
      <c r="P195" s="582"/>
      <c r="Q195" s="87"/>
      <c r="R195" s="70"/>
      <c r="S195" s="274"/>
      <c r="T195" s="588"/>
      <c r="U195" s="70"/>
      <c r="V195" s="588"/>
      <c r="W195" s="70"/>
      <c r="X195" s="237"/>
      <c r="Y195" s="588"/>
      <c r="Z195" s="70"/>
      <c r="AA195" s="274"/>
      <c r="AB195" s="588"/>
      <c r="AC195" s="276">
        <v>153</v>
      </c>
      <c r="AD195" s="283">
        <v>151</v>
      </c>
      <c r="AE195" s="590">
        <v>203</v>
      </c>
      <c r="AF195" s="70"/>
      <c r="AG195" s="274"/>
      <c r="AH195" s="588"/>
      <c r="AI195" s="70"/>
      <c r="AJ195" s="237"/>
      <c r="AK195" s="87"/>
      <c r="AL195" s="70"/>
      <c r="AM195" s="588"/>
      <c r="AN195" s="19"/>
    </row>
    <row r="196" spans="1:40" s="12" customFormat="1" ht="13" x14ac:dyDescent="0.3">
      <c r="A196" s="10">
        <v>8727</v>
      </c>
      <c r="B196" s="11" t="s">
        <v>654</v>
      </c>
      <c r="C196" s="282">
        <v>1112</v>
      </c>
      <c r="D196" s="54">
        <v>512</v>
      </c>
      <c r="E196" s="706">
        <f t="shared" si="4"/>
        <v>0.46043165467625902</v>
      </c>
      <c r="F196" s="273"/>
      <c r="G196" s="488"/>
      <c r="H196" s="572"/>
      <c r="I196" s="70"/>
      <c r="J196" s="236"/>
      <c r="K196" s="274"/>
      <c r="L196" s="70"/>
      <c r="M196" s="87"/>
      <c r="N196" s="582"/>
      <c r="O196" s="588"/>
      <c r="P196" s="582"/>
      <c r="Q196" s="87"/>
      <c r="R196" s="70"/>
      <c r="S196" s="274"/>
      <c r="T196" s="588"/>
      <c r="U196" s="70"/>
      <c r="V196" s="588"/>
      <c r="W196" s="70"/>
      <c r="X196" s="237"/>
      <c r="Y196" s="588"/>
      <c r="Z196" s="70"/>
      <c r="AA196" s="274"/>
      <c r="AB196" s="588"/>
      <c r="AC196" s="276">
        <v>163</v>
      </c>
      <c r="AD196" s="283">
        <v>249</v>
      </c>
      <c r="AE196" s="590">
        <v>336</v>
      </c>
      <c r="AF196" s="70"/>
      <c r="AG196" s="274"/>
      <c r="AH196" s="588"/>
      <c r="AI196" s="70"/>
      <c r="AJ196" s="237"/>
      <c r="AK196" s="87"/>
      <c r="AL196" s="70"/>
      <c r="AM196" s="588"/>
      <c r="AN196" s="19"/>
    </row>
    <row r="197" spans="1:40" s="12" customFormat="1" ht="13" x14ac:dyDescent="0.3">
      <c r="A197" s="10">
        <v>8728</v>
      </c>
      <c r="B197" s="11" t="s">
        <v>655</v>
      </c>
      <c r="C197" s="282">
        <v>653</v>
      </c>
      <c r="D197" s="54">
        <v>412</v>
      </c>
      <c r="E197" s="706">
        <f t="shared" si="4"/>
        <v>0.63093415007656972</v>
      </c>
      <c r="F197" s="273"/>
      <c r="G197" s="488"/>
      <c r="H197" s="572"/>
      <c r="I197" s="70"/>
      <c r="J197" s="236"/>
      <c r="K197" s="274"/>
      <c r="L197" s="70"/>
      <c r="M197" s="87"/>
      <c r="N197" s="582"/>
      <c r="O197" s="588"/>
      <c r="P197" s="582"/>
      <c r="Q197" s="87"/>
      <c r="R197" s="70"/>
      <c r="S197" s="274"/>
      <c r="T197" s="588"/>
      <c r="U197" s="70"/>
      <c r="V197" s="588"/>
      <c r="W197" s="70"/>
      <c r="X197" s="237"/>
      <c r="Y197" s="588"/>
      <c r="Z197" s="70"/>
      <c r="AA197" s="274"/>
      <c r="AB197" s="588"/>
      <c r="AC197" s="276">
        <v>187</v>
      </c>
      <c r="AD197" s="283">
        <v>164</v>
      </c>
      <c r="AE197" s="590">
        <v>261</v>
      </c>
      <c r="AF197" s="70"/>
      <c r="AG197" s="274"/>
      <c r="AH197" s="588"/>
      <c r="AI197" s="70"/>
      <c r="AJ197" s="237"/>
      <c r="AK197" s="87"/>
      <c r="AL197" s="70"/>
      <c r="AM197" s="588"/>
      <c r="AN197" s="19"/>
    </row>
    <row r="198" spans="1:40" s="12" customFormat="1" ht="13" x14ac:dyDescent="0.3">
      <c r="A198" s="10">
        <v>8901</v>
      </c>
      <c r="B198" s="11" t="s">
        <v>656</v>
      </c>
      <c r="C198" s="282">
        <v>123</v>
      </c>
      <c r="D198" s="54">
        <v>56</v>
      </c>
      <c r="E198" s="706">
        <f t="shared" si="4"/>
        <v>0.45528455284552843</v>
      </c>
      <c r="F198" s="273"/>
      <c r="G198" s="488"/>
      <c r="H198" s="572"/>
      <c r="I198" s="70"/>
      <c r="J198" s="236"/>
      <c r="K198" s="274"/>
      <c r="L198" s="70"/>
      <c r="M198" s="87"/>
      <c r="N198" s="582"/>
      <c r="O198" s="588"/>
      <c r="P198" s="582"/>
      <c r="Q198" s="87"/>
      <c r="R198" s="70"/>
      <c r="S198" s="274"/>
      <c r="T198" s="588"/>
      <c r="U198" s="70"/>
      <c r="V198" s="588"/>
      <c r="W198" s="70"/>
      <c r="X198" s="237"/>
      <c r="Y198" s="588"/>
      <c r="Z198" s="70"/>
      <c r="AA198" s="274"/>
      <c r="AB198" s="588"/>
      <c r="AC198" s="70"/>
      <c r="AD198" s="274"/>
      <c r="AE198" s="588"/>
      <c r="AF198" s="276">
        <v>11</v>
      </c>
      <c r="AG198" s="283">
        <v>40</v>
      </c>
      <c r="AH198" s="590">
        <v>37</v>
      </c>
      <c r="AI198" s="70"/>
      <c r="AJ198" s="237"/>
      <c r="AK198" s="87"/>
      <c r="AL198" s="70"/>
      <c r="AM198" s="588"/>
      <c r="AN198" s="19"/>
    </row>
    <row r="199" spans="1:40" s="12" customFormat="1" ht="13" x14ac:dyDescent="0.3">
      <c r="A199" s="10">
        <v>8902</v>
      </c>
      <c r="B199" s="11" t="s">
        <v>657</v>
      </c>
      <c r="C199" s="282">
        <v>1256</v>
      </c>
      <c r="D199" s="54">
        <v>629</v>
      </c>
      <c r="E199" s="706">
        <f t="shared" si="4"/>
        <v>0.50079617834394907</v>
      </c>
      <c r="F199" s="273"/>
      <c r="G199" s="488"/>
      <c r="H199" s="572"/>
      <c r="I199" s="70"/>
      <c r="J199" s="236"/>
      <c r="K199" s="274"/>
      <c r="L199" s="70"/>
      <c r="M199" s="87"/>
      <c r="N199" s="582"/>
      <c r="O199" s="588"/>
      <c r="P199" s="582"/>
      <c r="Q199" s="87"/>
      <c r="R199" s="70"/>
      <c r="S199" s="274"/>
      <c r="T199" s="588"/>
      <c r="U199" s="70"/>
      <c r="V199" s="588"/>
      <c r="W199" s="70"/>
      <c r="X199" s="237"/>
      <c r="Y199" s="588"/>
      <c r="Z199" s="70"/>
      <c r="AA199" s="274"/>
      <c r="AB199" s="588"/>
      <c r="AC199" s="70"/>
      <c r="AD199" s="274"/>
      <c r="AE199" s="588"/>
      <c r="AF199" s="276">
        <v>169</v>
      </c>
      <c r="AG199" s="283">
        <v>354</v>
      </c>
      <c r="AH199" s="590">
        <v>414</v>
      </c>
      <c r="AI199" s="70"/>
      <c r="AJ199" s="237"/>
      <c r="AK199" s="87"/>
      <c r="AL199" s="70"/>
      <c r="AM199" s="588"/>
      <c r="AN199" s="19"/>
    </row>
    <row r="200" spans="1:40" s="12" customFormat="1" ht="13" x14ac:dyDescent="0.3">
      <c r="A200" s="10">
        <v>8903</v>
      </c>
      <c r="B200" s="11" t="s">
        <v>658</v>
      </c>
      <c r="C200" s="282">
        <v>1393</v>
      </c>
      <c r="D200" s="54">
        <v>627</v>
      </c>
      <c r="E200" s="706">
        <f t="shared" si="4"/>
        <v>0.45010768126346018</v>
      </c>
      <c r="F200" s="273"/>
      <c r="G200" s="488"/>
      <c r="H200" s="572"/>
      <c r="I200" s="70"/>
      <c r="J200" s="236"/>
      <c r="K200" s="274"/>
      <c r="L200" s="70"/>
      <c r="M200" s="87"/>
      <c r="N200" s="582"/>
      <c r="O200" s="588"/>
      <c r="P200" s="582"/>
      <c r="Q200" s="87"/>
      <c r="R200" s="70"/>
      <c r="S200" s="274"/>
      <c r="T200" s="588"/>
      <c r="U200" s="70"/>
      <c r="V200" s="588"/>
      <c r="W200" s="70"/>
      <c r="X200" s="237"/>
      <c r="Y200" s="588"/>
      <c r="Z200" s="70"/>
      <c r="AA200" s="274"/>
      <c r="AB200" s="588"/>
      <c r="AC200" s="70"/>
      <c r="AD200" s="274"/>
      <c r="AE200" s="588"/>
      <c r="AF200" s="276">
        <v>163</v>
      </c>
      <c r="AG200" s="283">
        <v>396</v>
      </c>
      <c r="AH200" s="590">
        <v>449</v>
      </c>
      <c r="AI200" s="70"/>
      <c r="AJ200" s="237"/>
      <c r="AK200" s="87"/>
      <c r="AL200" s="70"/>
      <c r="AM200" s="588"/>
      <c r="AN200" s="19"/>
    </row>
    <row r="201" spans="1:40" s="12" customFormat="1" ht="13" x14ac:dyDescent="0.3">
      <c r="A201" s="10">
        <v>8904</v>
      </c>
      <c r="B201" s="11" t="s">
        <v>659</v>
      </c>
      <c r="C201" s="282">
        <v>741</v>
      </c>
      <c r="D201" s="54">
        <v>490</v>
      </c>
      <c r="E201" s="706">
        <f t="shared" si="4"/>
        <v>0.66126855600539813</v>
      </c>
      <c r="F201" s="273"/>
      <c r="G201" s="488"/>
      <c r="H201" s="572"/>
      <c r="I201" s="70"/>
      <c r="J201" s="236"/>
      <c r="K201" s="274"/>
      <c r="L201" s="70"/>
      <c r="M201" s="87"/>
      <c r="N201" s="582"/>
      <c r="O201" s="588"/>
      <c r="P201" s="582"/>
      <c r="Q201" s="87"/>
      <c r="R201" s="70"/>
      <c r="S201" s="274"/>
      <c r="T201" s="588"/>
      <c r="U201" s="70"/>
      <c r="V201" s="588"/>
      <c r="W201" s="70"/>
      <c r="X201" s="237"/>
      <c r="Y201" s="588"/>
      <c r="Z201" s="70"/>
      <c r="AA201" s="274"/>
      <c r="AB201" s="588"/>
      <c r="AC201" s="70"/>
      <c r="AD201" s="274"/>
      <c r="AE201" s="588"/>
      <c r="AF201" s="276">
        <v>154</v>
      </c>
      <c r="AG201" s="283">
        <v>281</v>
      </c>
      <c r="AH201" s="590">
        <v>341</v>
      </c>
      <c r="AI201" s="70"/>
      <c r="AJ201" s="237"/>
      <c r="AK201" s="87"/>
      <c r="AL201" s="70"/>
      <c r="AM201" s="588"/>
      <c r="AN201" s="19"/>
    </row>
    <row r="202" spans="1:40" s="12" customFormat="1" ht="13" x14ac:dyDescent="0.3">
      <c r="A202" s="10">
        <v>8905</v>
      </c>
      <c r="B202" s="11" t="s">
        <v>660</v>
      </c>
      <c r="C202" s="282">
        <v>1311</v>
      </c>
      <c r="D202" s="54">
        <v>820</v>
      </c>
      <c r="E202" s="706">
        <f t="shared" si="4"/>
        <v>0.62547673531655223</v>
      </c>
      <c r="F202" s="273"/>
      <c r="G202" s="488"/>
      <c r="H202" s="572"/>
      <c r="I202" s="70"/>
      <c r="J202" s="236"/>
      <c r="K202" s="274"/>
      <c r="L202" s="70"/>
      <c r="M202" s="87"/>
      <c r="N202" s="582"/>
      <c r="O202" s="588"/>
      <c r="P202" s="582"/>
      <c r="Q202" s="87"/>
      <c r="R202" s="70"/>
      <c r="S202" s="274"/>
      <c r="T202" s="588"/>
      <c r="U202" s="70"/>
      <c r="V202" s="588"/>
      <c r="W202" s="70"/>
      <c r="X202" s="237"/>
      <c r="Y202" s="588"/>
      <c r="Z202" s="70"/>
      <c r="AA202" s="274"/>
      <c r="AB202" s="588"/>
      <c r="AC202" s="70"/>
      <c r="AD202" s="274"/>
      <c r="AE202" s="588"/>
      <c r="AF202" s="276">
        <v>464</v>
      </c>
      <c r="AG202" s="283">
        <v>249</v>
      </c>
      <c r="AH202" s="590">
        <v>497</v>
      </c>
      <c r="AI202" s="70"/>
      <c r="AJ202" s="237"/>
      <c r="AK202" s="87"/>
      <c r="AL202" s="70"/>
      <c r="AM202" s="588"/>
      <c r="AN202" s="19"/>
    </row>
    <row r="203" spans="1:40" s="12" customFormat="1" ht="13" x14ac:dyDescent="0.3">
      <c r="A203" s="10">
        <v>8906</v>
      </c>
      <c r="B203" s="11" t="s">
        <v>661</v>
      </c>
      <c r="C203" s="282">
        <v>865</v>
      </c>
      <c r="D203" s="54">
        <v>541</v>
      </c>
      <c r="E203" s="706">
        <f t="shared" ref="E203:E226" si="5">SUM(D203/C203)</f>
        <v>0.62543352601156066</v>
      </c>
      <c r="F203" s="273"/>
      <c r="G203" s="488"/>
      <c r="H203" s="572"/>
      <c r="I203" s="70"/>
      <c r="J203" s="236"/>
      <c r="K203" s="274"/>
      <c r="L203" s="70"/>
      <c r="M203" s="87"/>
      <c r="N203" s="582"/>
      <c r="O203" s="588"/>
      <c r="P203" s="582"/>
      <c r="Q203" s="87"/>
      <c r="R203" s="70"/>
      <c r="S203" s="274"/>
      <c r="T203" s="588"/>
      <c r="U203" s="70"/>
      <c r="V203" s="588"/>
      <c r="W203" s="70"/>
      <c r="X203" s="237"/>
      <c r="Y203" s="588"/>
      <c r="Z203" s="70"/>
      <c r="AA203" s="274"/>
      <c r="AB203" s="588"/>
      <c r="AC203" s="70"/>
      <c r="AD203" s="274"/>
      <c r="AE203" s="588"/>
      <c r="AF203" s="276">
        <v>242</v>
      </c>
      <c r="AG203" s="283">
        <v>238</v>
      </c>
      <c r="AH203" s="590">
        <v>359</v>
      </c>
      <c r="AI203" s="70"/>
      <c r="AJ203" s="237"/>
      <c r="AK203" s="87"/>
      <c r="AL203" s="70"/>
      <c r="AM203" s="588"/>
      <c r="AN203" s="19"/>
    </row>
    <row r="204" spans="1:40" s="12" customFormat="1" ht="13" x14ac:dyDescent="0.3">
      <c r="A204" s="10">
        <v>8907</v>
      </c>
      <c r="B204" s="11" t="s">
        <v>662</v>
      </c>
      <c r="C204" s="282">
        <v>1133</v>
      </c>
      <c r="D204" s="54">
        <v>686</v>
      </c>
      <c r="E204" s="706">
        <f t="shared" si="5"/>
        <v>0.60547219770520744</v>
      </c>
      <c r="F204" s="273"/>
      <c r="G204" s="488"/>
      <c r="H204" s="572"/>
      <c r="I204" s="70"/>
      <c r="J204" s="236"/>
      <c r="K204" s="274"/>
      <c r="L204" s="70"/>
      <c r="M204" s="87"/>
      <c r="N204" s="582"/>
      <c r="O204" s="588"/>
      <c r="P204" s="582"/>
      <c r="Q204" s="87"/>
      <c r="R204" s="70"/>
      <c r="S204" s="274"/>
      <c r="T204" s="588"/>
      <c r="U204" s="70"/>
      <c r="V204" s="588"/>
      <c r="W204" s="70"/>
      <c r="X204" s="237"/>
      <c r="Y204" s="588"/>
      <c r="Z204" s="70"/>
      <c r="AA204" s="274"/>
      <c r="AB204" s="588"/>
      <c r="AC204" s="70"/>
      <c r="AD204" s="274"/>
      <c r="AE204" s="588"/>
      <c r="AF204" s="276">
        <v>314</v>
      </c>
      <c r="AG204" s="283">
        <v>291</v>
      </c>
      <c r="AH204" s="590">
        <v>429</v>
      </c>
      <c r="AI204" s="70"/>
      <c r="AJ204" s="237"/>
      <c r="AK204" s="87"/>
      <c r="AL204" s="70"/>
      <c r="AM204" s="588"/>
      <c r="AN204" s="19"/>
    </row>
    <row r="205" spans="1:40" s="12" customFormat="1" ht="13" x14ac:dyDescent="0.3">
      <c r="A205" s="10">
        <v>8908</v>
      </c>
      <c r="B205" s="11" t="s">
        <v>663</v>
      </c>
      <c r="C205" s="282">
        <v>893</v>
      </c>
      <c r="D205" s="54">
        <v>470</v>
      </c>
      <c r="E205" s="706">
        <f t="shared" si="5"/>
        <v>0.52631578947368418</v>
      </c>
      <c r="F205" s="273"/>
      <c r="G205" s="488"/>
      <c r="H205" s="572"/>
      <c r="I205" s="70"/>
      <c r="J205" s="236"/>
      <c r="K205" s="274"/>
      <c r="L205" s="70"/>
      <c r="M205" s="87"/>
      <c r="N205" s="582"/>
      <c r="O205" s="588"/>
      <c r="P205" s="582"/>
      <c r="Q205" s="87"/>
      <c r="R205" s="70"/>
      <c r="S205" s="274"/>
      <c r="T205" s="588"/>
      <c r="U205" s="70"/>
      <c r="V205" s="588"/>
      <c r="W205" s="70"/>
      <c r="X205" s="237"/>
      <c r="Y205" s="588"/>
      <c r="Z205" s="70"/>
      <c r="AA205" s="274"/>
      <c r="AB205" s="588"/>
      <c r="AC205" s="70"/>
      <c r="AD205" s="274"/>
      <c r="AE205" s="588"/>
      <c r="AF205" s="276">
        <v>156</v>
      </c>
      <c r="AG205" s="283">
        <v>223</v>
      </c>
      <c r="AH205" s="590">
        <v>264</v>
      </c>
      <c r="AI205" s="70"/>
      <c r="AJ205" s="237"/>
      <c r="AK205" s="87"/>
      <c r="AL205" s="70"/>
      <c r="AM205" s="588"/>
      <c r="AN205" s="19"/>
    </row>
    <row r="206" spans="1:40" s="12" customFormat="1" ht="13" x14ac:dyDescent="0.3">
      <c r="A206" s="10">
        <v>8909</v>
      </c>
      <c r="B206" s="11" t="s">
        <v>664</v>
      </c>
      <c r="C206" s="282">
        <v>1178</v>
      </c>
      <c r="D206" s="54">
        <v>710</v>
      </c>
      <c r="E206" s="706">
        <f t="shared" si="5"/>
        <v>0.60271646859083194</v>
      </c>
      <c r="F206" s="273"/>
      <c r="G206" s="488"/>
      <c r="H206" s="572"/>
      <c r="I206" s="70"/>
      <c r="J206" s="236"/>
      <c r="K206" s="274"/>
      <c r="L206" s="70"/>
      <c r="M206" s="87"/>
      <c r="N206" s="582"/>
      <c r="O206" s="588"/>
      <c r="P206" s="582"/>
      <c r="Q206" s="87"/>
      <c r="R206" s="70"/>
      <c r="S206" s="274"/>
      <c r="T206" s="588"/>
      <c r="U206" s="70"/>
      <c r="V206" s="588"/>
      <c r="W206" s="70"/>
      <c r="X206" s="237"/>
      <c r="Y206" s="588"/>
      <c r="Z206" s="70"/>
      <c r="AA206" s="274"/>
      <c r="AB206" s="588"/>
      <c r="AC206" s="70"/>
      <c r="AD206" s="274"/>
      <c r="AE206" s="588"/>
      <c r="AF206" s="276">
        <v>241</v>
      </c>
      <c r="AG206" s="283">
        <v>377</v>
      </c>
      <c r="AH206" s="590">
        <v>481</v>
      </c>
      <c r="AI206" s="70"/>
      <c r="AJ206" s="237"/>
      <c r="AK206" s="87"/>
      <c r="AL206" s="70"/>
      <c r="AM206" s="588"/>
      <c r="AN206" s="19"/>
    </row>
    <row r="207" spans="1:40" s="12" customFormat="1" ht="13" x14ac:dyDescent="0.3">
      <c r="A207" s="10">
        <v>8910</v>
      </c>
      <c r="B207" s="11" t="s">
        <v>665</v>
      </c>
      <c r="C207" s="282">
        <v>921</v>
      </c>
      <c r="D207" s="54">
        <v>411</v>
      </c>
      <c r="E207" s="706">
        <f t="shared" si="5"/>
        <v>0.44625407166123776</v>
      </c>
      <c r="F207" s="273"/>
      <c r="G207" s="488"/>
      <c r="H207" s="572"/>
      <c r="I207" s="70"/>
      <c r="J207" s="236"/>
      <c r="K207" s="274"/>
      <c r="L207" s="70"/>
      <c r="M207" s="87"/>
      <c r="N207" s="582"/>
      <c r="O207" s="588"/>
      <c r="P207" s="582"/>
      <c r="Q207" s="87"/>
      <c r="R207" s="70"/>
      <c r="S207" s="274"/>
      <c r="T207" s="588"/>
      <c r="U207" s="70"/>
      <c r="V207" s="588"/>
      <c r="W207" s="70"/>
      <c r="X207" s="237"/>
      <c r="Y207" s="588"/>
      <c r="Z207" s="70"/>
      <c r="AA207" s="274"/>
      <c r="AB207" s="588"/>
      <c r="AC207" s="70"/>
      <c r="AD207" s="274"/>
      <c r="AE207" s="588"/>
      <c r="AF207" s="276">
        <v>114</v>
      </c>
      <c r="AG207" s="283">
        <v>201</v>
      </c>
      <c r="AH207" s="590">
        <v>252</v>
      </c>
      <c r="AI207" s="70"/>
      <c r="AJ207" s="237"/>
      <c r="AK207" s="87"/>
      <c r="AL207" s="70"/>
      <c r="AM207" s="588"/>
      <c r="AN207" s="19"/>
    </row>
    <row r="208" spans="1:40" s="12" customFormat="1" ht="13" x14ac:dyDescent="0.3">
      <c r="A208" s="10">
        <v>8911</v>
      </c>
      <c r="B208" s="11" t="s">
        <v>666</v>
      </c>
      <c r="C208" s="282">
        <v>1264</v>
      </c>
      <c r="D208" s="54">
        <v>640</v>
      </c>
      <c r="E208" s="706">
        <f t="shared" si="5"/>
        <v>0.50632911392405067</v>
      </c>
      <c r="F208" s="273"/>
      <c r="G208" s="488"/>
      <c r="H208" s="572"/>
      <c r="I208" s="70"/>
      <c r="J208" s="236"/>
      <c r="K208" s="274"/>
      <c r="L208" s="70"/>
      <c r="M208" s="87"/>
      <c r="N208" s="582"/>
      <c r="O208" s="588"/>
      <c r="P208" s="582"/>
      <c r="Q208" s="87"/>
      <c r="R208" s="70"/>
      <c r="S208" s="274"/>
      <c r="T208" s="588"/>
      <c r="U208" s="70"/>
      <c r="V208" s="588"/>
      <c r="W208" s="70"/>
      <c r="X208" s="237"/>
      <c r="Y208" s="588"/>
      <c r="Z208" s="70"/>
      <c r="AA208" s="274"/>
      <c r="AB208" s="588"/>
      <c r="AC208" s="70"/>
      <c r="AD208" s="274"/>
      <c r="AE208" s="588"/>
      <c r="AF208" s="276">
        <v>253</v>
      </c>
      <c r="AG208" s="283">
        <v>262</v>
      </c>
      <c r="AH208" s="590">
        <v>398</v>
      </c>
      <c r="AI208" s="70"/>
      <c r="AJ208" s="237"/>
      <c r="AK208" s="87"/>
      <c r="AL208" s="70"/>
      <c r="AM208" s="588"/>
      <c r="AN208" s="19"/>
    </row>
    <row r="209" spans="1:40" s="12" customFormat="1" ht="13" x14ac:dyDescent="0.3">
      <c r="A209" s="10">
        <v>8912</v>
      </c>
      <c r="B209" s="11" t="s">
        <v>667</v>
      </c>
      <c r="C209" s="282">
        <v>1299</v>
      </c>
      <c r="D209" s="54">
        <v>714</v>
      </c>
      <c r="E209" s="706">
        <f t="shared" si="5"/>
        <v>0.54965357967667439</v>
      </c>
      <c r="F209" s="273"/>
      <c r="G209" s="488"/>
      <c r="H209" s="572"/>
      <c r="I209" s="70"/>
      <c r="J209" s="236"/>
      <c r="K209" s="274"/>
      <c r="L209" s="70"/>
      <c r="M209" s="87"/>
      <c r="N209" s="582"/>
      <c r="O209" s="588"/>
      <c r="P209" s="582"/>
      <c r="Q209" s="87"/>
      <c r="R209" s="70"/>
      <c r="S209" s="274"/>
      <c r="T209" s="588"/>
      <c r="U209" s="70"/>
      <c r="V209" s="588"/>
      <c r="W209" s="70"/>
      <c r="X209" s="237"/>
      <c r="Y209" s="588"/>
      <c r="Z209" s="70"/>
      <c r="AA209" s="274"/>
      <c r="AB209" s="588"/>
      <c r="AC209" s="70"/>
      <c r="AD209" s="274"/>
      <c r="AE209" s="588"/>
      <c r="AF209" s="276">
        <v>197</v>
      </c>
      <c r="AG209" s="283">
        <v>446</v>
      </c>
      <c r="AH209" s="590">
        <v>516</v>
      </c>
      <c r="AI209" s="70"/>
      <c r="AJ209" s="237"/>
      <c r="AK209" s="87"/>
      <c r="AL209" s="70"/>
      <c r="AM209" s="588"/>
      <c r="AN209" s="19"/>
    </row>
    <row r="210" spans="1:40" s="12" customFormat="1" ht="13" x14ac:dyDescent="0.3">
      <c r="A210" s="10">
        <v>8913</v>
      </c>
      <c r="B210" s="11" t="s">
        <v>668</v>
      </c>
      <c r="C210" s="282">
        <v>705</v>
      </c>
      <c r="D210" s="54">
        <v>385</v>
      </c>
      <c r="E210" s="706">
        <f t="shared" si="5"/>
        <v>0.54609929078014185</v>
      </c>
      <c r="F210" s="273"/>
      <c r="G210" s="488"/>
      <c r="H210" s="572"/>
      <c r="I210" s="70"/>
      <c r="J210" s="236"/>
      <c r="K210" s="274"/>
      <c r="L210" s="70"/>
      <c r="M210" s="87"/>
      <c r="N210" s="582"/>
      <c r="O210" s="588"/>
      <c r="P210" s="582"/>
      <c r="Q210" s="87"/>
      <c r="R210" s="70"/>
      <c r="S210" s="274"/>
      <c r="T210" s="588"/>
      <c r="U210" s="70"/>
      <c r="V210" s="588"/>
      <c r="W210" s="70"/>
      <c r="X210" s="237"/>
      <c r="Y210" s="588"/>
      <c r="Z210" s="70"/>
      <c r="AA210" s="274"/>
      <c r="AB210" s="588"/>
      <c r="AC210" s="70"/>
      <c r="AD210" s="274"/>
      <c r="AE210" s="588"/>
      <c r="AF210" s="276">
        <v>152</v>
      </c>
      <c r="AG210" s="283">
        <v>175</v>
      </c>
      <c r="AH210" s="590">
        <v>257</v>
      </c>
      <c r="AI210" s="70"/>
      <c r="AJ210" s="237"/>
      <c r="AK210" s="87"/>
      <c r="AL210" s="70"/>
      <c r="AM210" s="588"/>
      <c r="AN210" s="19"/>
    </row>
    <row r="211" spans="1:40" s="12" customFormat="1" ht="13" x14ac:dyDescent="0.3">
      <c r="A211" s="10">
        <v>8914</v>
      </c>
      <c r="B211" s="11" t="s">
        <v>669</v>
      </c>
      <c r="C211" s="282">
        <v>1218</v>
      </c>
      <c r="D211" s="54">
        <v>735</v>
      </c>
      <c r="E211" s="706">
        <f t="shared" si="5"/>
        <v>0.60344827586206895</v>
      </c>
      <c r="F211" s="273"/>
      <c r="G211" s="488"/>
      <c r="H211" s="572"/>
      <c r="I211" s="70"/>
      <c r="J211" s="236"/>
      <c r="K211" s="274"/>
      <c r="L211" s="70"/>
      <c r="M211" s="87"/>
      <c r="N211" s="582"/>
      <c r="O211" s="588"/>
      <c r="P211" s="582"/>
      <c r="Q211" s="87"/>
      <c r="R211" s="70"/>
      <c r="S211" s="274"/>
      <c r="T211" s="588"/>
      <c r="U211" s="70"/>
      <c r="V211" s="588"/>
      <c r="W211" s="70"/>
      <c r="X211" s="237"/>
      <c r="Y211" s="588"/>
      <c r="Z211" s="70"/>
      <c r="AA211" s="274"/>
      <c r="AB211" s="588"/>
      <c r="AC211" s="70"/>
      <c r="AD211" s="274"/>
      <c r="AE211" s="588"/>
      <c r="AF211" s="276">
        <v>239</v>
      </c>
      <c r="AG211" s="283">
        <v>433</v>
      </c>
      <c r="AH211" s="590">
        <v>522</v>
      </c>
      <c r="AI211" s="70"/>
      <c r="AJ211" s="237"/>
      <c r="AK211" s="87"/>
      <c r="AL211" s="70"/>
      <c r="AM211" s="588"/>
      <c r="AN211" s="19"/>
    </row>
    <row r="212" spans="1:40" s="12" customFormat="1" ht="13" x14ac:dyDescent="0.3">
      <c r="A212" s="10">
        <v>9101</v>
      </c>
      <c r="B212" s="11" t="s">
        <v>670</v>
      </c>
      <c r="C212" s="282">
        <v>315</v>
      </c>
      <c r="D212" s="54">
        <v>202</v>
      </c>
      <c r="E212" s="706">
        <f t="shared" si="5"/>
        <v>0.64126984126984132</v>
      </c>
      <c r="F212" s="273"/>
      <c r="G212" s="488"/>
      <c r="H212" s="572"/>
      <c r="I212" s="70"/>
      <c r="J212" s="236"/>
      <c r="K212" s="274"/>
      <c r="L212" s="70"/>
      <c r="M212" s="87"/>
      <c r="N212" s="582"/>
      <c r="O212" s="588"/>
      <c r="P212" s="582"/>
      <c r="Q212" s="87"/>
      <c r="R212" s="70"/>
      <c r="S212" s="274"/>
      <c r="T212" s="588"/>
      <c r="U212" s="70"/>
      <c r="V212" s="588"/>
      <c r="W212" s="70"/>
      <c r="X212" s="237"/>
      <c r="Y212" s="588"/>
      <c r="Z212" s="70"/>
      <c r="AA212" s="274"/>
      <c r="AB212" s="588"/>
      <c r="AC212" s="70"/>
      <c r="AD212" s="274"/>
      <c r="AE212" s="588"/>
      <c r="AF212" s="70"/>
      <c r="AG212" s="274"/>
      <c r="AH212" s="588"/>
      <c r="AI212" s="276">
        <v>106</v>
      </c>
      <c r="AJ212" s="277">
        <v>81</v>
      </c>
      <c r="AK212" s="278">
        <v>105</v>
      </c>
      <c r="AL212" s="70"/>
      <c r="AM212" s="588"/>
      <c r="AN212" s="19"/>
    </row>
    <row r="213" spans="1:40" s="12" customFormat="1" ht="13" x14ac:dyDescent="0.3">
      <c r="A213" s="10">
        <v>9102</v>
      </c>
      <c r="B213" s="11" t="s">
        <v>671</v>
      </c>
      <c r="C213" s="282">
        <v>1080</v>
      </c>
      <c r="D213" s="54">
        <v>687</v>
      </c>
      <c r="E213" s="706">
        <f t="shared" si="5"/>
        <v>0.63611111111111107</v>
      </c>
      <c r="F213" s="273"/>
      <c r="G213" s="488"/>
      <c r="H213" s="572"/>
      <c r="I213" s="70"/>
      <c r="J213" s="236"/>
      <c r="K213" s="274"/>
      <c r="L213" s="70"/>
      <c r="M213" s="87"/>
      <c r="N213" s="582"/>
      <c r="O213" s="588"/>
      <c r="P213" s="582"/>
      <c r="Q213" s="87"/>
      <c r="R213" s="70"/>
      <c r="S213" s="274"/>
      <c r="T213" s="588"/>
      <c r="U213" s="70"/>
      <c r="V213" s="588"/>
      <c r="W213" s="70"/>
      <c r="X213" s="237"/>
      <c r="Y213" s="588"/>
      <c r="Z213" s="70"/>
      <c r="AA213" s="274"/>
      <c r="AB213" s="588"/>
      <c r="AC213" s="70"/>
      <c r="AD213" s="274"/>
      <c r="AE213" s="588"/>
      <c r="AF213" s="70"/>
      <c r="AG213" s="274"/>
      <c r="AH213" s="588"/>
      <c r="AI213" s="276">
        <v>421</v>
      </c>
      <c r="AJ213" s="277">
        <v>192</v>
      </c>
      <c r="AK213" s="278">
        <v>431</v>
      </c>
      <c r="AL213" s="70"/>
      <c r="AM213" s="588"/>
      <c r="AN213" s="19"/>
    </row>
    <row r="214" spans="1:40" s="12" customFormat="1" ht="13" x14ac:dyDescent="0.3">
      <c r="A214" s="10">
        <v>9103</v>
      </c>
      <c r="B214" s="11" t="s">
        <v>672</v>
      </c>
      <c r="C214" s="282">
        <v>1338</v>
      </c>
      <c r="D214" s="54">
        <v>860</v>
      </c>
      <c r="E214" s="706">
        <f t="shared" si="5"/>
        <v>0.64275037369207777</v>
      </c>
      <c r="F214" s="273"/>
      <c r="G214" s="488"/>
      <c r="H214" s="572"/>
      <c r="I214" s="70"/>
      <c r="J214" s="236"/>
      <c r="K214" s="274"/>
      <c r="L214" s="70"/>
      <c r="M214" s="87"/>
      <c r="N214" s="582"/>
      <c r="O214" s="588"/>
      <c r="P214" s="582"/>
      <c r="Q214" s="87"/>
      <c r="R214" s="70"/>
      <c r="S214" s="274"/>
      <c r="T214" s="588"/>
      <c r="U214" s="70"/>
      <c r="V214" s="588"/>
      <c r="W214" s="70"/>
      <c r="X214" s="237"/>
      <c r="Y214" s="588"/>
      <c r="Z214" s="70"/>
      <c r="AA214" s="274"/>
      <c r="AB214" s="588"/>
      <c r="AC214" s="70"/>
      <c r="AD214" s="274"/>
      <c r="AE214" s="588"/>
      <c r="AF214" s="70"/>
      <c r="AG214" s="274"/>
      <c r="AH214" s="588"/>
      <c r="AI214" s="276">
        <v>425</v>
      </c>
      <c r="AJ214" s="277">
        <v>293</v>
      </c>
      <c r="AK214" s="278">
        <v>519</v>
      </c>
      <c r="AL214" s="70"/>
      <c r="AM214" s="588"/>
      <c r="AN214" s="19"/>
    </row>
    <row r="215" spans="1:40" s="12" customFormat="1" ht="13" x14ac:dyDescent="0.3">
      <c r="A215" s="10">
        <v>9104</v>
      </c>
      <c r="B215" s="11" t="s">
        <v>673</v>
      </c>
      <c r="C215" s="282">
        <v>1081</v>
      </c>
      <c r="D215" s="54">
        <v>593</v>
      </c>
      <c r="E215" s="706">
        <f t="shared" si="5"/>
        <v>0.54856614246068458</v>
      </c>
      <c r="F215" s="273"/>
      <c r="G215" s="488"/>
      <c r="H215" s="572"/>
      <c r="I215" s="70"/>
      <c r="J215" s="236"/>
      <c r="K215" s="274"/>
      <c r="L215" s="70"/>
      <c r="M215" s="87"/>
      <c r="N215" s="582"/>
      <c r="O215" s="588"/>
      <c r="P215" s="582"/>
      <c r="Q215" s="87"/>
      <c r="R215" s="70"/>
      <c r="S215" s="274"/>
      <c r="T215" s="588"/>
      <c r="U215" s="70"/>
      <c r="V215" s="588"/>
      <c r="W215" s="70"/>
      <c r="X215" s="237"/>
      <c r="Y215" s="588"/>
      <c r="Z215" s="70"/>
      <c r="AA215" s="274"/>
      <c r="AB215" s="588"/>
      <c r="AC215" s="70"/>
      <c r="AD215" s="274"/>
      <c r="AE215" s="588"/>
      <c r="AF215" s="70"/>
      <c r="AG215" s="274"/>
      <c r="AH215" s="588"/>
      <c r="AI215" s="276">
        <v>294</v>
      </c>
      <c r="AJ215" s="277">
        <v>257</v>
      </c>
      <c r="AK215" s="278">
        <v>395</v>
      </c>
      <c r="AL215" s="70"/>
      <c r="AM215" s="588"/>
      <c r="AN215" s="19"/>
    </row>
    <row r="216" spans="1:40" s="12" customFormat="1" ht="13" x14ac:dyDescent="0.3">
      <c r="A216" s="10">
        <v>9105</v>
      </c>
      <c r="B216" s="11" t="s">
        <v>674</v>
      </c>
      <c r="C216" s="282">
        <v>1073</v>
      </c>
      <c r="D216" s="54">
        <v>716</v>
      </c>
      <c r="E216" s="706">
        <f t="shared" si="5"/>
        <v>0.66728797763280523</v>
      </c>
      <c r="F216" s="273"/>
      <c r="G216" s="488"/>
      <c r="H216" s="572"/>
      <c r="I216" s="70"/>
      <c r="J216" s="236"/>
      <c r="K216" s="274"/>
      <c r="L216" s="70"/>
      <c r="M216" s="87"/>
      <c r="N216" s="582"/>
      <c r="O216" s="588"/>
      <c r="P216" s="582"/>
      <c r="Q216" s="87"/>
      <c r="R216" s="70"/>
      <c r="S216" s="274"/>
      <c r="T216" s="588"/>
      <c r="U216" s="70"/>
      <c r="V216" s="588"/>
      <c r="W216" s="70"/>
      <c r="X216" s="237"/>
      <c r="Y216" s="588"/>
      <c r="Z216" s="70"/>
      <c r="AA216" s="274"/>
      <c r="AB216" s="588"/>
      <c r="AC216" s="70"/>
      <c r="AD216" s="274"/>
      <c r="AE216" s="588"/>
      <c r="AF216" s="70"/>
      <c r="AG216" s="274"/>
      <c r="AH216" s="588"/>
      <c r="AI216" s="276">
        <v>340</v>
      </c>
      <c r="AJ216" s="277">
        <v>258</v>
      </c>
      <c r="AK216" s="278">
        <v>416</v>
      </c>
      <c r="AL216" s="70"/>
      <c r="AM216" s="588"/>
      <c r="AN216" s="19"/>
    </row>
    <row r="217" spans="1:40" s="12" customFormat="1" ht="13" x14ac:dyDescent="0.3">
      <c r="A217" s="10">
        <v>9106</v>
      </c>
      <c r="B217" s="11" t="s">
        <v>675</v>
      </c>
      <c r="C217" s="282">
        <v>1432</v>
      </c>
      <c r="D217" s="54">
        <v>728</v>
      </c>
      <c r="E217" s="706">
        <f t="shared" si="5"/>
        <v>0.50837988826815639</v>
      </c>
      <c r="F217" s="273"/>
      <c r="G217" s="488"/>
      <c r="H217" s="572"/>
      <c r="I217" s="70"/>
      <c r="J217" s="236"/>
      <c r="K217" s="274"/>
      <c r="L217" s="70"/>
      <c r="M217" s="87"/>
      <c r="N217" s="582"/>
      <c r="O217" s="588"/>
      <c r="P217" s="582"/>
      <c r="Q217" s="87"/>
      <c r="R217" s="70"/>
      <c r="S217" s="274"/>
      <c r="T217" s="588"/>
      <c r="U217" s="70"/>
      <c r="V217" s="588"/>
      <c r="W217" s="70"/>
      <c r="X217" s="237"/>
      <c r="Y217" s="588"/>
      <c r="Z217" s="70"/>
      <c r="AA217" s="274"/>
      <c r="AB217" s="588"/>
      <c r="AC217" s="70"/>
      <c r="AD217" s="274"/>
      <c r="AE217" s="588"/>
      <c r="AF217" s="70"/>
      <c r="AG217" s="274"/>
      <c r="AH217" s="588"/>
      <c r="AI217" s="276">
        <v>346</v>
      </c>
      <c r="AJ217" s="277">
        <v>295</v>
      </c>
      <c r="AK217" s="278">
        <v>493</v>
      </c>
      <c r="AL217" s="70"/>
      <c r="AM217" s="588"/>
      <c r="AN217" s="19"/>
    </row>
    <row r="218" spans="1:40" s="12" customFormat="1" ht="13" x14ac:dyDescent="0.3">
      <c r="A218" s="10">
        <v>9107</v>
      </c>
      <c r="B218" s="11" t="s">
        <v>676</v>
      </c>
      <c r="C218" s="282">
        <v>682</v>
      </c>
      <c r="D218" s="54">
        <v>423</v>
      </c>
      <c r="E218" s="706">
        <f t="shared" si="5"/>
        <v>0.62023460410557185</v>
      </c>
      <c r="F218" s="273"/>
      <c r="G218" s="488"/>
      <c r="H218" s="572"/>
      <c r="I218" s="70"/>
      <c r="J218" s="236"/>
      <c r="K218" s="274"/>
      <c r="L218" s="70"/>
      <c r="M218" s="87"/>
      <c r="N218" s="582"/>
      <c r="O218" s="588"/>
      <c r="P218" s="582"/>
      <c r="Q218" s="87"/>
      <c r="R218" s="70"/>
      <c r="S218" s="274"/>
      <c r="T218" s="588"/>
      <c r="U218" s="70"/>
      <c r="V218" s="588"/>
      <c r="W218" s="70"/>
      <c r="X218" s="237"/>
      <c r="Y218" s="588"/>
      <c r="Z218" s="70"/>
      <c r="AA218" s="274"/>
      <c r="AB218" s="588"/>
      <c r="AC218" s="70"/>
      <c r="AD218" s="274"/>
      <c r="AE218" s="588"/>
      <c r="AF218" s="70"/>
      <c r="AG218" s="274"/>
      <c r="AH218" s="588"/>
      <c r="AI218" s="276">
        <v>223</v>
      </c>
      <c r="AJ218" s="277">
        <v>158</v>
      </c>
      <c r="AK218" s="278">
        <v>268</v>
      </c>
      <c r="AL218" s="70"/>
      <c r="AM218" s="588"/>
      <c r="AN218" s="19"/>
    </row>
    <row r="219" spans="1:40" s="12" customFormat="1" ht="13" x14ac:dyDescent="0.3">
      <c r="A219" s="10">
        <v>9108</v>
      </c>
      <c r="B219" s="11" t="s">
        <v>677</v>
      </c>
      <c r="C219" s="282">
        <v>479</v>
      </c>
      <c r="D219" s="54">
        <v>323</v>
      </c>
      <c r="E219" s="706">
        <f t="shared" si="5"/>
        <v>0.67432150313152406</v>
      </c>
      <c r="F219" s="273"/>
      <c r="G219" s="488"/>
      <c r="H219" s="572"/>
      <c r="I219" s="70"/>
      <c r="J219" s="236"/>
      <c r="K219" s="274"/>
      <c r="L219" s="70"/>
      <c r="M219" s="87"/>
      <c r="N219" s="582"/>
      <c r="O219" s="588"/>
      <c r="P219" s="582"/>
      <c r="Q219" s="87"/>
      <c r="R219" s="70"/>
      <c r="S219" s="274"/>
      <c r="T219" s="588"/>
      <c r="U219" s="70"/>
      <c r="V219" s="588"/>
      <c r="W219" s="70"/>
      <c r="X219" s="237"/>
      <c r="Y219" s="588"/>
      <c r="Z219" s="70"/>
      <c r="AA219" s="274"/>
      <c r="AB219" s="588"/>
      <c r="AC219" s="70"/>
      <c r="AD219" s="274"/>
      <c r="AE219" s="588"/>
      <c r="AF219" s="70"/>
      <c r="AG219" s="274"/>
      <c r="AH219" s="588"/>
      <c r="AI219" s="276">
        <v>167</v>
      </c>
      <c r="AJ219" s="277">
        <v>112</v>
      </c>
      <c r="AK219" s="278">
        <v>188</v>
      </c>
      <c r="AL219" s="70"/>
      <c r="AM219" s="588"/>
      <c r="AN219" s="19"/>
    </row>
    <row r="220" spans="1:40" s="12" customFormat="1" ht="13" x14ac:dyDescent="0.3">
      <c r="A220" s="10">
        <v>9109</v>
      </c>
      <c r="B220" s="11" t="s">
        <v>678</v>
      </c>
      <c r="C220" s="282">
        <v>976</v>
      </c>
      <c r="D220" s="54">
        <v>442</v>
      </c>
      <c r="E220" s="706">
        <f t="shared" si="5"/>
        <v>0.45286885245901637</v>
      </c>
      <c r="F220" s="273"/>
      <c r="G220" s="488"/>
      <c r="H220" s="572"/>
      <c r="I220" s="70"/>
      <c r="J220" s="236"/>
      <c r="K220" s="274"/>
      <c r="L220" s="70"/>
      <c r="M220" s="87"/>
      <c r="N220" s="582"/>
      <c r="O220" s="588"/>
      <c r="P220" s="582"/>
      <c r="Q220" s="87"/>
      <c r="R220" s="70"/>
      <c r="S220" s="274"/>
      <c r="T220" s="588"/>
      <c r="U220" s="70"/>
      <c r="V220" s="588"/>
      <c r="W220" s="70"/>
      <c r="X220" s="237"/>
      <c r="Y220" s="588"/>
      <c r="Z220" s="70"/>
      <c r="AA220" s="274"/>
      <c r="AB220" s="588"/>
      <c r="AC220" s="70"/>
      <c r="AD220" s="274"/>
      <c r="AE220" s="588"/>
      <c r="AF220" s="70"/>
      <c r="AG220" s="274"/>
      <c r="AH220" s="588"/>
      <c r="AI220" s="276">
        <v>215</v>
      </c>
      <c r="AJ220" s="277">
        <v>170</v>
      </c>
      <c r="AK220" s="278">
        <v>312</v>
      </c>
      <c r="AL220" s="70"/>
      <c r="AM220" s="588"/>
      <c r="AN220" s="19"/>
    </row>
    <row r="221" spans="1:40" s="12" customFormat="1" ht="13" x14ac:dyDescent="0.3">
      <c r="A221" s="10">
        <v>9110</v>
      </c>
      <c r="B221" s="11" t="s">
        <v>679</v>
      </c>
      <c r="C221" s="282">
        <v>1231</v>
      </c>
      <c r="D221" s="54">
        <v>656</v>
      </c>
      <c r="E221" s="706">
        <f t="shared" si="5"/>
        <v>0.53290008123476851</v>
      </c>
      <c r="F221" s="273"/>
      <c r="G221" s="488"/>
      <c r="H221" s="572"/>
      <c r="I221" s="70"/>
      <c r="J221" s="236"/>
      <c r="K221" s="274"/>
      <c r="L221" s="70"/>
      <c r="M221" s="87"/>
      <c r="N221" s="582"/>
      <c r="O221" s="588"/>
      <c r="P221" s="582"/>
      <c r="Q221" s="87"/>
      <c r="R221" s="70"/>
      <c r="S221" s="274"/>
      <c r="T221" s="588"/>
      <c r="U221" s="70"/>
      <c r="V221" s="588"/>
      <c r="W221" s="70"/>
      <c r="X221" s="237"/>
      <c r="Y221" s="588"/>
      <c r="Z221" s="70"/>
      <c r="AA221" s="274"/>
      <c r="AB221" s="588"/>
      <c r="AC221" s="70"/>
      <c r="AD221" s="274"/>
      <c r="AE221" s="588"/>
      <c r="AF221" s="70"/>
      <c r="AG221" s="274"/>
      <c r="AH221" s="588"/>
      <c r="AI221" s="276">
        <v>329</v>
      </c>
      <c r="AJ221" s="277">
        <v>214</v>
      </c>
      <c r="AK221" s="278">
        <v>401</v>
      </c>
      <c r="AL221" s="70"/>
      <c r="AM221" s="588"/>
      <c r="AN221" s="19"/>
    </row>
    <row r="222" spans="1:40" s="12" customFormat="1" ht="13" x14ac:dyDescent="0.3">
      <c r="A222" s="10">
        <v>9111</v>
      </c>
      <c r="B222" s="11" t="s">
        <v>680</v>
      </c>
      <c r="C222" s="282">
        <v>432</v>
      </c>
      <c r="D222" s="54">
        <v>253</v>
      </c>
      <c r="E222" s="706">
        <f t="shared" si="5"/>
        <v>0.58564814814814814</v>
      </c>
      <c r="F222" s="273"/>
      <c r="G222" s="488"/>
      <c r="H222" s="572"/>
      <c r="I222" s="70"/>
      <c r="J222" s="236"/>
      <c r="K222" s="274"/>
      <c r="L222" s="70"/>
      <c r="M222" s="87"/>
      <c r="N222" s="582"/>
      <c r="O222" s="588"/>
      <c r="P222" s="582"/>
      <c r="Q222" s="87"/>
      <c r="R222" s="70"/>
      <c r="S222" s="274"/>
      <c r="T222" s="588"/>
      <c r="U222" s="70"/>
      <c r="V222" s="588"/>
      <c r="W222" s="70"/>
      <c r="X222" s="237"/>
      <c r="Y222" s="588"/>
      <c r="Z222" s="70"/>
      <c r="AA222" s="274"/>
      <c r="AB222" s="588"/>
      <c r="AC222" s="70"/>
      <c r="AD222" s="274"/>
      <c r="AE222" s="588"/>
      <c r="AF222" s="70"/>
      <c r="AG222" s="274"/>
      <c r="AH222" s="588"/>
      <c r="AI222" s="276">
        <v>122</v>
      </c>
      <c r="AJ222" s="277">
        <v>96</v>
      </c>
      <c r="AK222" s="278">
        <v>151</v>
      </c>
      <c r="AL222" s="70"/>
      <c r="AM222" s="588"/>
      <c r="AN222" s="19"/>
    </row>
    <row r="223" spans="1:40" s="12" customFormat="1" ht="13" x14ac:dyDescent="0.3">
      <c r="A223" s="10">
        <v>9112</v>
      </c>
      <c r="B223" s="11" t="s">
        <v>681</v>
      </c>
      <c r="C223" s="282">
        <v>1132</v>
      </c>
      <c r="D223" s="54">
        <v>715</v>
      </c>
      <c r="E223" s="706">
        <f t="shared" si="5"/>
        <v>0.63162544169611312</v>
      </c>
      <c r="F223" s="273"/>
      <c r="G223" s="488"/>
      <c r="H223" s="572"/>
      <c r="I223" s="70"/>
      <c r="J223" s="236"/>
      <c r="K223" s="274"/>
      <c r="L223" s="70"/>
      <c r="M223" s="87"/>
      <c r="N223" s="582"/>
      <c r="O223" s="588"/>
      <c r="P223" s="582"/>
      <c r="Q223" s="87"/>
      <c r="R223" s="70"/>
      <c r="S223" s="274"/>
      <c r="T223" s="588"/>
      <c r="U223" s="70"/>
      <c r="V223" s="588"/>
      <c r="W223" s="70"/>
      <c r="X223" s="237"/>
      <c r="Y223" s="588"/>
      <c r="Z223" s="70"/>
      <c r="AA223" s="274"/>
      <c r="AB223" s="588"/>
      <c r="AC223" s="70"/>
      <c r="AD223" s="274"/>
      <c r="AE223" s="588"/>
      <c r="AF223" s="70"/>
      <c r="AG223" s="274"/>
      <c r="AH223" s="588"/>
      <c r="AI223" s="276">
        <v>437</v>
      </c>
      <c r="AJ223" s="277">
        <v>204</v>
      </c>
      <c r="AK223" s="278">
        <v>423</v>
      </c>
      <c r="AL223" s="70"/>
      <c r="AM223" s="588"/>
      <c r="AN223" s="19"/>
    </row>
    <row r="224" spans="1:40" s="12" customFormat="1" ht="13" x14ac:dyDescent="0.3">
      <c r="A224" s="10">
        <v>9501</v>
      </c>
      <c r="B224" s="11" t="s">
        <v>684</v>
      </c>
      <c r="C224" s="282">
        <v>1334</v>
      </c>
      <c r="D224" s="54">
        <v>504</v>
      </c>
      <c r="E224" s="706">
        <f t="shared" si="5"/>
        <v>0.37781109445277361</v>
      </c>
      <c r="F224" s="273"/>
      <c r="G224" s="488"/>
      <c r="H224" s="572"/>
      <c r="I224" s="70"/>
      <c r="J224" s="236"/>
      <c r="K224" s="274"/>
      <c r="L224" s="70"/>
      <c r="M224" s="87"/>
      <c r="N224" s="582"/>
      <c r="O224" s="588"/>
      <c r="P224" s="582"/>
      <c r="Q224" s="87"/>
      <c r="R224" s="70"/>
      <c r="S224" s="274"/>
      <c r="T224" s="588"/>
      <c r="U224" s="70"/>
      <c r="V224" s="588"/>
      <c r="W224" s="70"/>
      <c r="X224" s="237"/>
      <c r="Y224" s="588"/>
      <c r="Z224" s="70"/>
      <c r="AA224" s="274"/>
      <c r="AB224" s="588"/>
      <c r="AC224" s="70"/>
      <c r="AD224" s="274"/>
      <c r="AE224" s="588"/>
      <c r="AF224" s="70"/>
      <c r="AG224" s="274"/>
      <c r="AH224" s="588"/>
      <c r="AI224" s="70"/>
      <c r="AJ224" s="237"/>
      <c r="AK224" s="87"/>
      <c r="AL224" s="276">
        <v>317</v>
      </c>
      <c r="AM224" s="590">
        <v>320</v>
      </c>
      <c r="AN224" s="19"/>
    </row>
    <row r="225" spans="1:40" s="12" customFormat="1" ht="13" x14ac:dyDescent="0.3">
      <c r="A225" s="10">
        <v>9502</v>
      </c>
      <c r="B225" s="11" t="s">
        <v>685</v>
      </c>
      <c r="C225" s="282">
        <v>1491</v>
      </c>
      <c r="D225" s="54">
        <v>663</v>
      </c>
      <c r="E225" s="706">
        <f t="shared" si="5"/>
        <v>0.44466800804828976</v>
      </c>
      <c r="F225" s="273"/>
      <c r="G225" s="488"/>
      <c r="H225" s="572"/>
      <c r="I225" s="70"/>
      <c r="J225" s="236"/>
      <c r="K225" s="274"/>
      <c r="L225" s="70"/>
      <c r="M225" s="87"/>
      <c r="N225" s="582"/>
      <c r="O225" s="588"/>
      <c r="P225" s="582"/>
      <c r="Q225" s="87"/>
      <c r="R225" s="70"/>
      <c r="S225" s="274"/>
      <c r="T225" s="588"/>
      <c r="U225" s="70"/>
      <c r="V225" s="588"/>
      <c r="W225" s="70"/>
      <c r="X225" s="237"/>
      <c r="Y225" s="588"/>
      <c r="Z225" s="70"/>
      <c r="AA225" s="274"/>
      <c r="AB225" s="588"/>
      <c r="AC225" s="70"/>
      <c r="AD225" s="274"/>
      <c r="AE225" s="588"/>
      <c r="AF225" s="70"/>
      <c r="AG225" s="274"/>
      <c r="AH225" s="588"/>
      <c r="AI225" s="70"/>
      <c r="AJ225" s="237"/>
      <c r="AK225" s="87"/>
      <c r="AL225" s="276">
        <v>422</v>
      </c>
      <c r="AM225" s="590">
        <v>402</v>
      </c>
      <c r="AN225" s="19"/>
    </row>
    <row r="226" spans="1:40" s="12" customFormat="1" ht="13.5" thickBot="1" x14ac:dyDescent="0.35">
      <c r="A226" s="490">
        <v>9503</v>
      </c>
      <c r="B226" s="491" t="s">
        <v>686</v>
      </c>
      <c r="C226" s="492">
        <v>1226</v>
      </c>
      <c r="D226" s="388">
        <v>339</v>
      </c>
      <c r="E226" s="904">
        <f t="shared" si="5"/>
        <v>0.27650897226753668</v>
      </c>
      <c r="F226" s="493"/>
      <c r="G226" s="494"/>
      <c r="H226" s="574"/>
      <c r="I226" s="496"/>
      <c r="J226" s="343"/>
      <c r="K226" s="497"/>
      <c r="L226" s="496"/>
      <c r="M226" s="495"/>
      <c r="N226" s="585"/>
      <c r="O226" s="591"/>
      <c r="P226" s="585"/>
      <c r="Q226" s="495"/>
      <c r="R226" s="496"/>
      <c r="S226" s="497"/>
      <c r="T226" s="591"/>
      <c r="U226" s="496"/>
      <c r="V226" s="591"/>
      <c r="W226" s="496"/>
      <c r="X226" s="498"/>
      <c r="Y226" s="591"/>
      <c r="Z226" s="496"/>
      <c r="AA226" s="497"/>
      <c r="AB226" s="591"/>
      <c r="AC226" s="496"/>
      <c r="AD226" s="497"/>
      <c r="AE226" s="591"/>
      <c r="AF226" s="496"/>
      <c r="AG226" s="497"/>
      <c r="AH226" s="591"/>
      <c r="AI226" s="496"/>
      <c r="AJ226" s="498"/>
      <c r="AK226" s="495"/>
      <c r="AL226" s="499">
        <v>246</v>
      </c>
      <c r="AM226" s="598">
        <v>238</v>
      </c>
      <c r="AN226" s="19"/>
    </row>
    <row r="227" spans="1:40" s="13" customFormat="1" ht="13.5" thickTop="1" x14ac:dyDescent="0.3">
      <c r="A227" s="441"/>
      <c r="B227" s="442" t="s">
        <v>4</v>
      </c>
      <c r="C227" s="443">
        <f>SUM(C4:C226)</f>
        <v>227407</v>
      </c>
      <c r="D227" s="443">
        <f>SUM(D4:D226)</f>
        <v>123088</v>
      </c>
      <c r="E227" s="905">
        <f>SUM(D227/C227)</f>
        <v>0.54126741920873145</v>
      </c>
      <c r="F227" s="444">
        <f>SUM(F4:F226)</f>
        <v>11455</v>
      </c>
      <c r="G227" s="453">
        <f>SUM(G4:G226)</f>
        <v>7726</v>
      </c>
      <c r="H227" s="566">
        <f>SUM(H4:H226)</f>
        <v>14154</v>
      </c>
      <c r="I227" s="444">
        <f>SUM(I4:I226)</f>
        <v>5476</v>
      </c>
      <c r="J227" s="443">
        <f>SUM(J4:J226)</f>
        <v>4667</v>
      </c>
      <c r="K227" s="453">
        <f t="shared" ref="K227:T227" si="6">SUM(K4:K226)</f>
        <v>6024</v>
      </c>
      <c r="L227" s="444">
        <f t="shared" si="6"/>
        <v>8566</v>
      </c>
      <c r="M227" s="452">
        <f t="shared" si="6"/>
        <v>6754</v>
      </c>
      <c r="N227" s="510">
        <f t="shared" si="6"/>
        <v>1266</v>
      </c>
      <c r="O227" s="566">
        <f t="shared" si="6"/>
        <v>1240</v>
      </c>
      <c r="P227" s="510">
        <f t="shared" si="6"/>
        <v>1782</v>
      </c>
      <c r="Q227" s="452">
        <f t="shared" si="6"/>
        <v>1658</v>
      </c>
      <c r="R227" s="444">
        <f t="shared" si="6"/>
        <v>3364</v>
      </c>
      <c r="S227" s="453">
        <f t="shared" si="6"/>
        <v>5892</v>
      </c>
      <c r="T227" s="566">
        <f t="shared" si="6"/>
        <v>7833</v>
      </c>
      <c r="U227" s="444">
        <f t="shared" ref="U227:Z227" si="7">SUM(U4:U226)</f>
        <v>17632</v>
      </c>
      <c r="V227" s="566">
        <f t="shared" si="7"/>
        <v>17269</v>
      </c>
      <c r="W227" s="444">
        <f t="shared" si="7"/>
        <v>2301</v>
      </c>
      <c r="X227" s="445">
        <f t="shared" si="7"/>
        <v>1255</v>
      </c>
      <c r="Y227" s="566">
        <f t="shared" si="7"/>
        <v>3049</v>
      </c>
      <c r="Z227" s="444">
        <f t="shared" si="7"/>
        <v>2918</v>
      </c>
      <c r="AA227" s="453">
        <f t="shared" ref="AA227:AB227" si="8">SUM(AA4:AA226)</f>
        <v>3070</v>
      </c>
      <c r="AB227" s="566">
        <f t="shared" si="8"/>
        <v>4949</v>
      </c>
      <c r="AC227" s="444">
        <f t="shared" ref="AC227:AM227" si="9">SUM(AC4:AC226)</f>
        <v>5847</v>
      </c>
      <c r="AD227" s="453">
        <f t="shared" si="9"/>
        <v>5539</v>
      </c>
      <c r="AE227" s="566">
        <f t="shared" si="9"/>
        <v>8604</v>
      </c>
      <c r="AF227" s="444">
        <f t="shared" si="9"/>
        <v>2869</v>
      </c>
      <c r="AG227" s="453">
        <f t="shared" si="9"/>
        <v>3966</v>
      </c>
      <c r="AH227" s="566">
        <f t="shared" si="9"/>
        <v>5216</v>
      </c>
      <c r="AI227" s="444">
        <f t="shared" si="9"/>
        <v>3425</v>
      </c>
      <c r="AJ227" s="445">
        <f t="shared" si="9"/>
        <v>2330</v>
      </c>
      <c r="AK227" s="452">
        <f t="shared" si="9"/>
        <v>4102</v>
      </c>
      <c r="AL227" s="444">
        <f t="shared" si="9"/>
        <v>985</v>
      </c>
      <c r="AM227" s="566">
        <f t="shared" si="9"/>
        <v>960</v>
      </c>
      <c r="AN227" s="22"/>
    </row>
    <row r="228" spans="1:40" s="13" customFormat="1" ht="13" x14ac:dyDescent="0.3">
      <c r="A228" s="454"/>
      <c r="B228" s="15" t="s">
        <v>5</v>
      </c>
      <c r="C228" s="226"/>
      <c r="D228" s="309"/>
      <c r="E228" s="709"/>
      <c r="F228" s="47">
        <f>SUM(F227-F229)</f>
        <v>8760</v>
      </c>
      <c r="G228" s="252">
        <f>SUM(G227-G229)</f>
        <v>6602</v>
      </c>
      <c r="H228" s="542">
        <f>SUM(H227-H229)</f>
        <v>11592</v>
      </c>
      <c r="I228" s="47">
        <f t="shared" ref="I228:AL228" si="10">SUM(I227-I229)</f>
        <v>4536</v>
      </c>
      <c r="J228" s="226">
        <f>SUM(J227-J229)</f>
        <v>3950</v>
      </c>
      <c r="K228" s="252">
        <f t="shared" ref="K228:L228" si="11">SUM(K227-K229)</f>
        <v>5257</v>
      </c>
      <c r="L228" s="47">
        <f t="shared" si="11"/>
        <v>7364</v>
      </c>
      <c r="M228" s="78">
        <f t="shared" si="10"/>
        <v>5748</v>
      </c>
      <c r="N228" s="225">
        <f t="shared" si="10"/>
        <v>904</v>
      </c>
      <c r="O228" s="542">
        <f t="shared" ref="O228" si="12">SUM(O227-O229)</f>
        <v>883</v>
      </c>
      <c r="P228" s="225">
        <f t="shared" si="10"/>
        <v>1584</v>
      </c>
      <c r="Q228" s="78">
        <f t="shared" ref="Q228" si="13">SUM(Q227-Q229)</f>
        <v>1484</v>
      </c>
      <c r="R228" s="47">
        <f t="shared" si="10"/>
        <v>2975</v>
      </c>
      <c r="S228" s="252">
        <f t="shared" si="10"/>
        <v>5209</v>
      </c>
      <c r="T228" s="542">
        <f t="shared" si="10"/>
        <v>6958</v>
      </c>
      <c r="U228" s="47">
        <f t="shared" si="10"/>
        <v>15050</v>
      </c>
      <c r="V228" s="542">
        <f>SUM(V227-V229)</f>
        <v>14734</v>
      </c>
      <c r="W228" s="47">
        <f t="shared" si="10"/>
        <v>2090</v>
      </c>
      <c r="X228" s="228">
        <f>SUM(X227-X229)</f>
        <v>1106</v>
      </c>
      <c r="Y228" s="542">
        <f>SUM(Y227-Y229)</f>
        <v>2732</v>
      </c>
      <c r="Z228" s="47">
        <f t="shared" si="10"/>
        <v>2499</v>
      </c>
      <c r="AA228" s="252">
        <f t="shared" si="10"/>
        <v>2727</v>
      </c>
      <c r="AB228" s="542">
        <f t="shared" si="10"/>
        <v>4329</v>
      </c>
      <c r="AC228" s="47">
        <f t="shared" si="10"/>
        <v>4745</v>
      </c>
      <c r="AD228" s="252">
        <f>SUM(AD227-AD229)</f>
        <v>4356</v>
      </c>
      <c r="AE228" s="542">
        <f t="shared" ref="AE228" si="14">SUM(AE227-AE229)</f>
        <v>6929</v>
      </c>
      <c r="AF228" s="47">
        <f t="shared" si="10"/>
        <v>2048</v>
      </c>
      <c r="AG228" s="252">
        <f>SUM(AG227-AG229)</f>
        <v>3258</v>
      </c>
      <c r="AH228" s="542">
        <f t="shared" ref="AH228" si="15">SUM(AH227-AH229)</f>
        <v>4120</v>
      </c>
      <c r="AI228" s="47">
        <f t="shared" si="10"/>
        <v>2829</v>
      </c>
      <c r="AJ228" s="228">
        <f t="shared" ref="AJ228:AK228" si="16">SUM(AJ227-AJ229)</f>
        <v>1701</v>
      </c>
      <c r="AK228" s="78">
        <f t="shared" si="16"/>
        <v>3267</v>
      </c>
      <c r="AL228" s="47">
        <f t="shared" si="10"/>
        <v>901</v>
      </c>
      <c r="AM228" s="542">
        <f>SUM(AM227-AM229)</f>
        <v>871</v>
      </c>
      <c r="AN228" s="22"/>
    </row>
    <row r="229" spans="1:40" s="13" customFormat="1" ht="13.5" thickBot="1" x14ac:dyDescent="0.35">
      <c r="A229" s="455"/>
      <c r="B229" s="425" t="s">
        <v>6</v>
      </c>
      <c r="C229" s="426"/>
      <c r="D229" s="456"/>
      <c r="E229" s="710"/>
      <c r="F229" s="428">
        <v>2695</v>
      </c>
      <c r="G229" s="464">
        <v>1124</v>
      </c>
      <c r="H229" s="569">
        <v>2562</v>
      </c>
      <c r="I229" s="428">
        <v>940</v>
      </c>
      <c r="J229" s="426">
        <v>717</v>
      </c>
      <c r="K229" s="464">
        <v>767</v>
      </c>
      <c r="L229" s="428">
        <v>1202</v>
      </c>
      <c r="M229" s="429">
        <v>1006</v>
      </c>
      <c r="N229" s="513">
        <v>362</v>
      </c>
      <c r="O229" s="569">
        <v>357</v>
      </c>
      <c r="P229" s="513">
        <v>198</v>
      </c>
      <c r="Q229" s="429">
        <v>174</v>
      </c>
      <c r="R229" s="428">
        <v>389</v>
      </c>
      <c r="S229" s="464">
        <v>683</v>
      </c>
      <c r="T229" s="569">
        <v>875</v>
      </c>
      <c r="U229" s="428">
        <v>2582</v>
      </c>
      <c r="V229" s="569">
        <v>2535</v>
      </c>
      <c r="W229" s="428">
        <v>211</v>
      </c>
      <c r="X229" s="457">
        <v>149</v>
      </c>
      <c r="Y229" s="569">
        <v>317</v>
      </c>
      <c r="Z229" s="428">
        <v>419</v>
      </c>
      <c r="AA229" s="464">
        <v>343</v>
      </c>
      <c r="AB229" s="569">
        <v>620</v>
      </c>
      <c r="AC229" s="428">
        <v>1102</v>
      </c>
      <c r="AD229" s="464">
        <v>1183</v>
      </c>
      <c r="AE229" s="569">
        <v>1675</v>
      </c>
      <c r="AF229" s="428">
        <v>821</v>
      </c>
      <c r="AG229" s="464">
        <v>708</v>
      </c>
      <c r="AH229" s="569">
        <v>1096</v>
      </c>
      <c r="AI229" s="428">
        <v>596</v>
      </c>
      <c r="AJ229" s="457">
        <v>629</v>
      </c>
      <c r="AK229" s="429">
        <v>835</v>
      </c>
      <c r="AL229" s="428">
        <v>84</v>
      </c>
      <c r="AM229" s="569">
        <v>89</v>
      </c>
      <c r="AN229" s="22"/>
    </row>
    <row r="230" spans="1:40" s="12" customFormat="1" ht="13.5" thickTop="1" x14ac:dyDescent="0.3">
      <c r="A230" s="26"/>
      <c r="B230" s="420"/>
      <c r="C230" s="421"/>
      <c r="D230" s="421"/>
      <c r="E230" s="705"/>
      <c r="F230" s="500"/>
      <c r="G230" s="501"/>
      <c r="H230" s="575"/>
      <c r="I230" s="500"/>
      <c r="J230" s="579"/>
      <c r="K230" s="501"/>
      <c r="L230" s="500"/>
      <c r="M230" s="502"/>
      <c r="N230" s="586"/>
      <c r="O230" s="575"/>
      <c r="P230" s="586"/>
      <c r="Q230" s="502"/>
      <c r="R230" s="500"/>
      <c r="S230" s="501"/>
      <c r="T230" s="575"/>
      <c r="U230" s="500"/>
      <c r="V230" s="575"/>
      <c r="W230" s="500"/>
      <c r="X230" s="503"/>
      <c r="Y230" s="575"/>
      <c r="Z230" s="500"/>
      <c r="AA230" s="501"/>
      <c r="AB230" s="575"/>
      <c r="AC230" s="416"/>
      <c r="AD230" s="504"/>
      <c r="AE230" s="597"/>
      <c r="AF230" s="416"/>
      <c r="AG230" s="504"/>
      <c r="AH230" s="597"/>
      <c r="AI230" s="416"/>
      <c r="AJ230" s="505"/>
      <c r="AK230" s="417"/>
      <c r="AL230" s="416"/>
      <c r="AM230" s="597"/>
      <c r="AN230" s="19"/>
    </row>
    <row r="231" spans="1:40" s="12" customFormat="1" ht="13" x14ac:dyDescent="0.3">
      <c r="B231" s="17" t="s">
        <v>710</v>
      </c>
      <c r="C231" s="235">
        <f>SUM(C12:C43)</f>
        <v>34264</v>
      </c>
      <c r="D231" s="235">
        <f>SUM(D12:D43)</f>
        <v>22026</v>
      </c>
      <c r="E231" s="706">
        <f t="shared" ref="E231:E242" si="17">SUM(D231/C231)</f>
        <v>0.64283212701377535</v>
      </c>
      <c r="F231" s="49">
        <f>SUM(F12:F43)</f>
        <v>11455</v>
      </c>
      <c r="G231" s="231">
        <f>SUM(G12:G43)</f>
        <v>7726</v>
      </c>
      <c r="H231" s="543">
        <f>SUM(H12:H43)</f>
        <v>14154</v>
      </c>
      <c r="I231" s="49">
        <f>SUM(I12:I43)</f>
        <v>0</v>
      </c>
      <c r="J231" s="235">
        <f>SUM(J12:J43)</f>
        <v>0</v>
      </c>
      <c r="K231" s="231">
        <f t="shared" ref="K231:T231" si="18">SUM(K12:K43)</f>
        <v>0</v>
      </c>
      <c r="L231" s="49">
        <f t="shared" si="18"/>
        <v>0</v>
      </c>
      <c r="M231" s="82">
        <f t="shared" si="18"/>
        <v>0</v>
      </c>
      <c r="N231" s="227">
        <f t="shared" si="18"/>
        <v>0</v>
      </c>
      <c r="O231" s="543">
        <f t="shared" si="18"/>
        <v>0</v>
      </c>
      <c r="P231" s="227">
        <f t="shared" si="18"/>
        <v>0</v>
      </c>
      <c r="Q231" s="82">
        <f t="shared" si="18"/>
        <v>0</v>
      </c>
      <c r="R231" s="49">
        <f t="shared" si="18"/>
        <v>0</v>
      </c>
      <c r="S231" s="231">
        <f t="shared" si="18"/>
        <v>0</v>
      </c>
      <c r="T231" s="543">
        <f t="shared" si="18"/>
        <v>0</v>
      </c>
      <c r="U231" s="49">
        <f t="shared" ref="U231:Z231" si="19">SUM(U12:U43)</f>
        <v>0</v>
      </c>
      <c r="V231" s="543">
        <f t="shared" si="19"/>
        <v>0</v>
      </c>
      <c r="W231" s="49">
        <f t="shared" si="19"/>
        <v>0</v>
      </c>
      <c r="X231" s="230">
        <f t="shared" si="19"/>
        <v>0</v>
      </c>
      <c r="Y231" s="543">
        <f t="shared" si="19"/>
        <v>0</v>
      </c>
      <c r="Z231" s="49">
        <f t="shared" si="19"/>
        <v>0</v>
      </c>
      <c r="AA231" s="231">
        <f t="shared" ref="AA231:AB231" si="20">SUM(AA12:AA43)</f>
        <v>0</v>
      </c>
      <c r="AB231" s="543">
        <f t="shared" si="20"/>
        <v>0</v>
      </c>
      <c r="AC231" s="49">
        <f t="shared" ref="AC231:AM231" si="21">SUM(AC12:AC43)</f>
        <v>0</v>
      </c>
      <c r="AD231" s="231">
        <f t="shared" si="21"/>
        <v>0</v>
      </c>
      <c r="AE231" s="543">
        <f t="shared" si="21"/>
        <v>0</v>
      </c>
      <c r="AF231" s="49">
        <f t="shared" si="21"/>
        <v>0</v>
      </c>
      <c r="AG231" s="231">
        <f t="shared" si="21"/>
        <v>0</v>
      </c>
      <c r="AH231" s="543">
        <f t="shared" si="21"/>
        <v>0</v>
      </c>
      <c r="AI231" s="49">
        <f t="shared" si="21"/>
        <v>0</v>
      </c>
      <c r="AJ231" s="230">
        <f t="shared" si="21"/>
        <v>0</v>
      </c>
      <c r="AK231" s="82">
        <f t="shared" si="21"/>
        <v>0</v>
      </c>
      <c r="AL231" s="49">
        <f t="shared" si="21"/>
        <v>0</v>
      </c>
      <c r="AM231" s="543">
        <f t="shared" si="21"/>
        <v>0</v>
      </c>
      <c r="AN231" s="19"/>
    </row>
    <row r="232" spans="1:40" s="12" customFormat="1" ht="13" x14ac:dyDescent="0.3">
      <c r="B232" s="17" t="s">
        <v>711</v>
      </c>
      <c r="C232" s="235">
        <f>SUM(C44:C81)</f>
        <v>40867</v>
      </c>
      <c r="D232" s="235">
        <f>SUM(D44:D81)</f>
        <v>19538</v>
      </c>
      <c r="E232" s="706">
        <f t="shared" si="17"/>
        <v>0.47808745442533096</v>
      </c>
      <c r="F232" s="49">
        <f>SUM(F44:F81)</f>
        <v>0</v>
      </c>
      <c r="G232" s="231">
        <f>SUM(G44:G81)</f>
        <v>0</v>
      </c>
      <c r="H232" s="543">
        <f>SUM(H44:H81)</f>
        <v>0</v>
      </c>
      <c r="I232" s="49">
        <f>SUM(I44:I81)</f>
        <v>5476</v>
      </c>
      <c r="J232" s="235">
        <f>SUM(J44:J81)</f>
        <v>4667</v>
      </c>
      <c r="K232" s="231">
        <f t="shared" ref="K232:T232" si="22">SUM(K44:K81)</f>
        <v>6024</v>
      </c>
      <c r="L232" s="49">
        <f t="shared" si="22"/>
        <v>8566</v>
      </c>
      <c r="M232" s="82">
        <f t="shared" si="22"/>
        <v>6754</v>
      </c>
      <c r="N232" s="227">
        <f t="shared" si="22"/>
        <v>0</v>
      </c>
      <c r="O232" s="543">
        <f t="shared" si="22"/>
        <v>0</v>
      </c>
      <c r="P232" s="227">
        <f t="shared" si="22"/>
        <v>0</v>
      </c>
      <c r="Q232" s="82">
        <f t="shared" si="22"/>
        <v>0</v>
      </c>
      <c r="R232" s="49">
        <f t="shared" si="22"/>
        <v>0</v>
      </c>
      <c r="S232" s="231">
        <f t="shared" si="22"/>
        <v>0</v>
      </c>
      <c r="T232" s="543">
        <f t="shared" si="22"/>
        <v>0</v>
      </c>
      <c r="U232" s="49">
        <f t="shared" ref="U232:Z232" si="23">SUM(U44:U81)</f>
        <v>0</v>
      </c>
      <c r="V232" s="543">
        <f t="shared" si="23"/>
        <v>0</v>
      </c>
      <c r="W232" s="49">
        <f t="shared" si="23"/>
        <v>0</v>
      </c>
      <c r="X232" s="230">
        <f t="shared" si="23"/>
        <v>0</v>
      </c>
      <c r="Y232" s="543">
        <f t="shared" si="23"/>
        <v>0</v>
      </c>
      <c r="Z232" s="49">
        <f t="shared" si="23"/>
        <v>0</v>
      </c>
      <c r="AA232" s="231">
        <f t="shared" ref="AA232:AB232" si="24">SUM(AA44:AA81)</f>
        <v>0</v>
      </c>
      <c r="AB232" s="543">
        <f t="shared" si="24"/>
        <v>0</v>
      </c>
      <c r="AC232" s="49">
        <f t="shared" ref="AC232:AM232" si="25">SUM(AC44:AC81)</f>
        <v>0</v>
      </c>
      <c r="AD232" s="231">
        <f t="shared" si="25"/>
        <v>0</v>
      </c>
      <c r="AE232" s="543">
        <f t="shared" si="25"/>
        <v>0</v>
      </c>
      <c r="AF232" s="49">
        <f t="shared" si="25"/>
        <v>0</v>
      </c>
      <c r="AG232" s="231">
        <f t="shared" si="25"/>
        <v>0</v>
      </c>
      <c r="AH232" s="543">
        <f t="shared" si="25"/>
        <v>0</v>
      </c>
      <c r="AI232" s="49">
        <f t="shared" si="25"/>
        <v>0</v>
      </c>
      <c r="AJ232" s="230">
        <f t="shared" si="25"/>
        <v>0</v>
      </c>
      <c r="AK232" s="82">
        <f t="shared" si="25"/>
        <v>0</v>
      </c>
      <c r="AL232" s="49">
        <f t="shared" si="25"/>
        <v>0</v>
      </c>
      <c r="AM232" s="543">
        <f t="shared" si="25"/>
        <v>0</v>
      </c>
      <c r="AN232" s="19"/>
    </row>
    <row r="233" spans="1:40" s="12" customFormat="1" ht="13" x14ac:dyDescent="0.3">
      <c r="B233" s="17" t="s">
        <v>712</v>
      </c>
      <c r="C233" s="235">
        <f>SUM(C82:C89)</f>
        <v>3335</v>
      </c>
      <c r="D233" s="235">
        <f>SUM(D82:D89)</f>
        <v>1785</v>
      </c>
      <c r="E233" s="706">
        <f t="shared" si="17"/>
        <v>0.5352323838080959</v>
      </c>
      <c r="F233" s="49">
        <f t="shared" ref="F233:M233" si="26">SUM(F82:F90)</f>
        <v>0</v>
      </c>
      <c r="G233" s="231">
        <f t="shared" si="26"/>
        <v>0</v>
      </c>
      <c r="H233" s="543">
        <f t="shared" si="26"/>
        <v>0</v>
      </c>
      <c r="I233" s="49">
        <f t="shared" si="26"/>
        <v>0</v>
      </c>
      <c r="J233" s="235">
        <f t="shared" si="26"/>
        <v>0</v>
      </c>
      <c r="K233" s="231">
        <f t="shared" si="26"/>
        <v>0</v>
      </c>
      <c r="L233" s="49">
        <f t="shared" si="26"/>
        <v>0</v>
      </c>
      <c r="M233" s="82">
        <f t="shared" si="26"/>
        <v>0</v>
      </c>
      <c r="N233" s="227">
        <f>SUM(N82:N90)</f>
        <v>1266</v>
      </c>
      <c r="O233" s="543">
        <f t="shared" ref="O233:AM233" si="27">SUM(O82:O90)</f>
        <v>1240</v>
      </c>
      <c r="P233" s="227">
        <f t="shared" si="27"/>
        <v>0</v>
      </c>
      <c r="Q233" s="82">
        <f t="shared" si="27"/>
        <v>0</v>
      </c>
      <c r="R233" s="49">
        <f t="shared" si="27"/>
        <v>0</v>
      </c>
      <c r="S233" s="231">
        <f t="shared" si="27"/>
        <v>0</v>
      </c>
      <c r="T233" s="543">
        <f t="shared" si="27"/>
        <v>0</v>
      </c>
      <c r="U233" s="49">
        <f t="shared" si="27"/>
        <v>0</v>
      </c>
      <c r="V233" s="543">
        <f t="shared" si="27"/>
        <v>0</v>
      </c>
      <c r="W233" s="49">
        <f t="shared" si="27"/>
        <v>0</v>
      </c>
      <c r="X233" s="230">
        <f t="shared" si="27"/>
        <v>0</v>
      </c>
      <c r="Y233" s="543">
        <f t="shared" si="27"/>
        <v>0</v>
      </c>
      <c r="Z233" s="49">
        <f t="shared" si="27"/>
        <v>0</v>
      </c>
      <c r="AA233" s="231">
        <f t="shared" si="27"/>
        <v>0</v>
      </c>
      <c r="AB233" s="543">
        <f t="shared" si="27"/>
        <v>0</v>
      </c>
      <c r="AC233" s="49">
        <f t="shared" si="27"/>
        <v>0</v>
      </c>
      <c r="AD233" s="231">
        <f t="shared" si="27"/>
        <v>0</v>
      </c>
      <c r="AE233" s="543">
        <f t="shared" si="27"/>
        <v>0</v>
      </c>
      <c r="AF233" s="49">
        <f t="shared" si="27"/>
        <v>0</v>
      </c>
      <c r="AG233" s="231">
        <f t="shared" si="27"/>
        <v>0</v>
      </c>
      <c r="AH233" s="543">
        <f t="shared" si="27"/>
        <v>0</v>
      </c>
      <c r="AI233" s="49">
        <f t="shared" si="27"/>
        <v>0</v>
      </c>
      <c r="AJ233" s="230">
        <f t="shared" si="27"/>
        <v>0</v>
      </c>
      <c r="AK233" s="82">
        <f t="shared" si="27"/>
        <v>0</v>
      </c>
      <c r="AL233" s="49">
        <f t="shared" si="27"/>
        <v>0</v>
      </c>
      <c r="AM233" s="543">
        <f t="shared" si="27"/>
        <v>0</v>
      </c>
      <c r="AN233" s="19"/>
    </row>
    <row r="234" spans="1:40" s="12" customFormat="1" ht="13" x14ac:dyDescent="0.3">
      <c r="B234" s="17" t="s">
        <v>735</v>
      </c>
      <c r="C234" s="235">
        <f>SUM(C9)+SUM(C91:C92)</f>
        <v>4253</v>
      </c>
      <c r="D234" s="235">
        <f>SUM(D9)+SUM(D91:D92)</f>
        <v>2235</v>
      </c>
      <c r="E234" s="706">
        <f t="shared" si="17"/>
        <v>0.52551140371502469</v>
      </c>
      <c r="F234" s="49">
        <f t="shared" ref="F234:O234" si="28">SUM(F9:F10)+SUM(F91:F92)</f>
        <v>0</v>
      </c>
      <c r="G234" s="231">
        <f t="shared" si="28"/>
        <v>0</v>
      </c>
      <c r="H234" s="543">
        <f t="shared" si="28"/>
        <v>0</v>
      </c>
      <c r="I234" s="49">
        <f t="shared" si="28"/>
        <v>0</v>
      </c>
      <c r="J234" s="235">
        <f t="shared" si="28"/>
        <v>0</v>
      </c>
      <c r="K234" s="231">
        <f t="shared" si="28"/>
        <v>0</v>
      </c>
      <c r="L234" s="49">
        <f t="shared" si="28"/>
        <v>0</v>
      </c>
      <c r="M234" s="82">
        <f t="shared" si="28"/>
        <v>0</v>
      </c>
      <c r="N234" s="227">
        <f t="shared" si="28"/>
        <v>0</v>
      </c>
      <c r="O234" s="543">
        <f t="shared" si="28"/>
        <v>0</v>
      </c>
      <c r="P234" s="227">
        <f>SUM(P9:P10)+SUM(P91:P92)</f>
        <v>1782</v>
      </c>
      <c r="Q234" s="82">
        <f t="shared" ref="Q234:AM234" si="29">SUM(Q9:Q10)+SUM(Q91:Q92)</f>
        <v>1658</v>
      </c>
      <c r="R234" s="49">
        <f t="shared" si="29"/>
        <v>0</v>
      </c>
      <c r="S234" s="231">
        <f t="shared" si="29"/>
        <v>0</v>
      </c>
      <c r="T234" s="543">
        <f t="shared" si="29"/>
        <v>0</v>
      </c>
      <c r="U234" s="49">
        <f t="shared" si="29"/>
        <v>0</v>
      </c>
      <c r="V234" s="543">
        <f t="shared" si="29"/>
        <v>0</v>
      </c>
      <c r="W234" s="49">
        <f t="shared" si="29"/>
        <v>0</v>
      </c>
      <c r="X234" s="230">
        <f t="shared" si="29"/>
        <v>0</v>
      </c>
      <c r="Y234" s="543">
        <f t="shared" si="29"/>
        <v>0</v>
      </c>
      <c r="Z234" s="49">
        <f t="shared" si="29"/>
        <v>0</v>
      </c>
      <c r="AA234" s="231">
        <f t="shared" si="29"/>
        <v>0</v>
      </c>
      <c r="AB234" s="543">
        <f t="shared" si="29"/>
        <v>0</v>
      </c>
      <c r="AC234" s="49">
        <f t="shared" si="29"/>
        <v>0</v>
      </c>
      <c r="AD234" s="231">
        <f t="shared" si="29"/>
        <v>0</v>
      </c>
      <c r="AE234" s="543">
        <f t="shared" si="29"/>
        <v>0</v>
      </c>
      <c r="AF234" s="49">
        <f t="shared" si="29"/>
        <v>0</v>
      </c>
      <c r="AG234" s="231">
        <f t="shared" si="29"/>
        <v>0</v>
      </c>
      <c r="AH234" s="543">
        <f t="shared" si="29"/>
        <v>0</v>
      </c>
      <c r="AI234" s="49">
        <f t="shared" si="29"/>
        <v>0</v>
      </c>
      <c r="AJ234" s="230">
        <f t="shared" si="29"/>
        <v>0</v>
      </c>
      <c r="AK234" s="82">
        <f t="shared" si="29"/>
        <v>0</v>
      </c>
      <c r="AL234" s="49">
        <f t="shared" si="29"/>
        <v>0</v>
      </c>
      <c r="AM234" s="543">
        <f t="shared" si="29"/>
        <v>0</v>
      </c>
      <c r="AN234" s="19"/>
    </row>
    <row r="235" spans="1:40" s="12" customFormat="1" ht="13" x14ac:dyDescent="0.3">
      <c r="B235" s="17" t="s">
        <v>21</v>
      </c>
      <c r="C235" s="235">
        <f>SUM(C93:C111)</f>
        <v>20186</v>
      </c>
      <c r="D235" s="235">
        <f>SUM(D93:D111)</f>
        <v>10861</v>
      </c>
      <c r="E235" s="706">
        <f t="shared" si="17"/>
        <v>0.53804617061329629</v>
      </c>
      <c r="F235" s="49">
        <f>SUM(F93:F111)</f>
        <v>0</v>
      </c>
      <c r="G235" s="231">
        <f>SUM(G93:G111)</f>
        <v>0</v>
      </c>
      <c r="H235" s="543">
        <f>SUM(H93:H111)</f>
        <v>0</v>
      </c>
      <c r="I235" s="49">
        <f t="shared" ref="I235:AB235" si="30">SUM(I93:I111)</f>
        <v>0</v>
      </c>
      <c r="J235" s="235">
        <f>SUM(J93:J111)</f>
        <v>0</v>
      </c>
      <c r="K235" s="231">
        <f t="shared" ref="K235:L235" si="31">SUM(K93:K111)</f>
        <v>0</v>
      </c>
      <c r="L235" s="49">
        <f t="shared" si="31"/>
        <v>0</v>
      </c>
      <c r="M235" s="82">
        <f t="shared" si="30"/>
        <v>0</v>
      </c>
      <c r="N235" s="227">
        <f t="shared" si="30"/>
        <v>0</v>
      </c>
      <c r="O235" s="543">
        <f t="shared" ref="O235" si="32">SUM(O93:O111)</f>
        <v>0</v>
      </c>
      <c r="P235" s="227">
        <f>SUM(P93:P111)</f>
        <v>0</v>
      </c>
      <c r="Q235" s="82">
        <f t="shared" ref="Q235" si="33">SUM(Q93:Q111)</f>
        <v>0</v>
      </c>
      <c r="R235" s="49">
        <f t="shared" si="30"/>
        <v>3364</v>
      </c>
      <c r="S235" s="231">
        <f t="shared" si="30"/>
        <v>5892</v>
      </c>
      <c r="T235" s="543">
        <f t="shared" si="30"/>
        <v>7833</v>
      </c>
      <c r="U235" s="49">
        <f t="shared" si="30"/>
        <v>0</v>
      </c>
      <c r="V235" s="543">
        <f>SUM(V93:V111)</f>
        <v>0</v>
      </c>
      <c r="W235" s="49">
        <f t="shared" si="30"/>
        <v>0</v>
      </c>
      <c r="X235" s="230">
        <f>SUM(X93:X111)</f>
        <v>0</v>
      </c>
      <c r="Y235" s="543">
        <f>SUM(Y93:Y111)</f>
        <v>0</v>
      </c>
      <c r="Z235" s="49">
        <f t="shared" si="30"/>
        <v>0</v>
      </c>
      <c r="AA235" s="231">
        <f t="shared" si="30"/>
        <v>0</v>
      </c>
      <c r="AB235" s="543">
        <f t="shared" si="30"/>
        <v>0</v>
      </c>
      <c r="AC235" s="49">
        <f t="shared" ref="AC235:AL235" si="34">SUM(AC93:AC111)</f>
        <v>0</v>
      </c>
      <c r="AD235" s="231">
        <f>SUM(AD93:AD111)</f>
        <v>0</v>
      </c>
      <c r="AE235" s="543">
        <f t="shared" si="34"/>
        <v>0</v>
      </c>
      <c r="AF235" s="49">
        <f t="shared" si="34"/>
        <v>0</v>
      </c>
      <c r="AG235" s="231">
        <f>SUM(AG93:AG111)</f>
        <v>0</v>
      </c>
      <c r="AH235" s="543">
        <f t="shared" si="34"/>
        <v>0</v>
      </c>
      <c r="AI235" s="49">
        <f t="shared" si="34"/>
        <v>0</v>
      </c>
      <c r="AJ235" s="230">
        <f t="shared" ref="AJ235:AK235" si="35">SUM(AJ93:AJ111)</f>
        <v>0</v>
      </c>
      <c r="AK235" s="82">
        <f t="shared" si="35"/>
        <v>0</v>
      </c>
      <c r="AL235" s="49">
        <f t="shared" si="34"/>
        <v>0</v>
      </c>
      <c r="AM235" s="543">
        <f>SUM(AM93:AM111)</f>
        <v>0</v>
      </c>
      <c r="AN235" s="19"/>
    </row>
    <row r="236" spans="1:40" s="12" customFormat="1" ht="13" x14ac:dyDescent="0.3">
      <c r="B236" s="17" t="s">
        <v>22</v>
      </c>
      <c r="C236" s="235">
        <f>SUM(C112:C154)</f>
        <v>44958</v>
      </c>
      <c r="D236" s="235">
        <f>SUM(D112:D154)</f>
        <v>25250</v>
      </c>
      <c r="E236" s="706">
        <f t="shared" si="17"/>
        <v>0.56163530406156859</v>
      </c>
      <c r="F236" s="49">
        <f>SUM(F112:F154)</f>
        <v>0</v>
      </c>
      <c r="G236" s="231">
        <f>SUM(G112:G154)</f>
        <v>0</v>
      </c>
      <c r="H236" s="543">
        <f>SUM(H112:H154)</f>
        <v>0</v>
      </c>
      <c r="I236" s="49">
        <f t="shared" ref="I236:AB236" si="36">SUM(I112:I154)</f>
        <v>0</v>
      </c>
      <c r="J236" s="235">
        <f>SUM(J112:J154)</f>
        <v>0</v>
      </c>
      <c r="K236" s="231">
        <f t="shared" ref="K236:L236" si="37">SUM(K112:K154)</f>
        <v>0</v>
      </c>
      <c r="L236" s="49">
        <f t="shared" si="37"/>
        <v>0</v>
      </c>
      <c r="M236" s="82">
        <f t="shared" si="36"/>
        <v>0</v>
      </c>
      <c r="N236" s="227">
        <f t="shared" si="36"/>
        <v>0</v>
      </c>
      <c r="O236" s="543">
        <f t="shared" ref="O236" si="38">SUM(O112:O154)</f>
        <v>0</v>
      </c>
      <c r="P236" s="227">
        <f>SUM(P112:P154)</f>
        <v>0</v>
      </c>
      <c r="Q236" s="82">
        <f t="shared" ref="Q236" si="39">SUM(Q112:Q154)</f>
        <v>0</v>
      </c>
      <c r="R236" s="49">
        <f t="shared" si="36"/>
        <v>0</v>
      </c>
      <c r="S236" s="231">
        <f t="shared" si="36"/>
        <v>0</v>
      </c>
      <c r="T236" s="543">
        <f t="shared" si="36"/>
        <v>0</v>
      </c>
      <c r="U236" s="49">
        <f t="shared" si="36"/>
        <v>17632</v>
      </c>
      <c r="V236" s="543">
        <f>SUM(V112:V154)</f>
        <v>17269</v>
      </c>
      <c r="W236" s="49">
        <f t="shared" si="36"/>
        <v>0</v>
      </c>
      <c r="X236" s="230">
        <f>SUM(X112:X154)</f>
        <v>0</v>
      </c>
      <c r="Y236" s="543">
        <f>SUM(Y112:Y154)</f>
        <v>0</v>
      </c>
      <c r="Z236" s="49">
        <f t="shared" si="36"/>
        <v>0</v>
      </c>
      <c r="AA236" s="231">
        <f t="shared" si="36"/>
        <v>0</v>
      </c>
      <c r="AB236" s="543">
        <f t="shared" si="36"/>
        <v>0</v>
      </c>
      <c r="AC236" s="49">
        <f t="shared" ref="AC236:AL236" si="40">SUM(AC112:AC154)</f>
        <v>0</v>
      </c>
      <c r="AD236" s="231">
        <f>SUM(AD112:AD154)</f>
        <v>0</v>
      </c>
      <c r="AE236" s="543">
        <f t="shared" si="40"/>
        <v>0</v>
      </c>
      <c r="AF236" s="49">
        <f t="shared" si="40"/>
        <v>0</v>
      </c>
      <c r="AG236" s="231">
        <f>SUM(AG112:AG154)</f>
        <v>0</v>
      </c>
      <c r="AH236" s="543">
        <f t="shared" si="40"/>
        <v>0</v>
      </c>
      <c r="AI236" s="49">
        <f t="shared" si="40"/>
        <v>0</v>
      </c>
      <c r="AJ236" s="230">
        <f t="shared" ref="AJ236:AK236" si="41">SUM(AJ112:AJ154)</f>
        <v>0</v>
      </c>
      <c r="AK236" s="82">
        <f t="shared" si="41"/>
        <v>0</v>
      </c>
      <c r="AL236" s="49">
        <f t="shared" si="40"/>
        <v>0</v>
      </c>
      <c r="AM236" s="543">
        <f>SUM(AM112:AM154)</f>
        <v>0</v>
      </c>
      <c r="AN236" s="19"/>
    </row>
    <row r="237" spans="1:40" s="12" customFormat="1" ht="13" x14ac:dyDescent="0.3">
      <c r="B237" s="17" t="s">
        <v>23</v>
      </c>
      <c r="C237" s="235">
        <f>SUM(C4:C8)+SUM(C155:C157)</f>
        <v>10312</v>
      </c>
      <c r="D237" s="235">
        <f>SUM(D4:D8)+SUM(D155:D157)</f>
        <v>4756</v>
      </c>
      <c r="E237" s="706">
        <f t="shared" si="17"/>
        <v>0.46121024049650894</v>
      </c>
      <c r="F237" s="49">
        <f>SUM(F4:F8)+SUM(F155:F157)</f>
        <v>0</v>
      </c>
      <c r="G237" s="231">
        <f>SUM(G4:G8)+SUM(G155:G157)</f>
        <v>0</v>
      </c>
      <c r="H237" s="543">
        <f>SUM(H4:H8)+SUM(H155:H157)</f>
        <v>0</v>
      </c>
      <c r="I237" s="49">
        <f>SUM(I4:I8)+SUM(I155:I157)</f>
        <v>0</v>
      </c>
      <c r="J237" s="235">
        <f>SUM(J4:J8)+SUM(J155:J157)</f>
        <v>0</v>
      </c>
      <c r="K237" s="231">
        <f t="shared" ref="K237:T237" si="42">SUM(K4:K8)+SUM(K155:K157)</f>
        <v>0</v>
      </c>
      <c r="L237" s="49">
        <f t="shared" si="42"/>
        <v>0</v>
      </c>
      <c r="M237" s="82">
        <f t="shared" si="42"/>
        <v>0</v>
      </c>
      <c r="N237" s="227">
        <f t="shared" si="42"/>
        <v>0</v>
      </c>
      <c r="O237" s="543">
        <f t="shared" si="42"/>
        <v>0</v>
      </c>
      <c r="P237" s="227">
        <f t="shared" si="42"/>
        <v>0</v>
      </c>
      <c r="Q237" s="82">
        <f t="shared" si="42"/>
        <v>0</v>
      </c>
      <c r="R237" s="49">
        <f t="shared" si="42"/>
        <v>0</v>
      </c>
      <c r="S237" s="231">
        <f t="shared" si="42"/>
        <v>0</v>
      </c>
      <c r="T237" s="543">
        <f t="shared" si="42"/>
        <v>0</v>
      </c>
      <c r="U237" s="49">
        <f t="shared" ref="U237:Z237" si="43">SUM(U4:U8)+SUM(U155:U157)</f>
        <v>0</v>
      </c>
      <c r="V237" s="543">
        <f t="shared" si="43"/>
        <v>0</v>
      </c>
      <c r="W237" s="49">
        <f t="shared" si="43"/>
        <v>2301</v>
      </c>
      <c r="X237" s="230">
        <f t="shared" si="43"/>
        <v>1255</v>
      </c>
      <c r="Y237" s="543">
        <f t="shared" si="43"/>
        <v>3049</v>
      </c>
      <c r="Z237" s="49">
        <f t="shared" si="43"/>
        <v>0</v>
      </c>
      <c r="AA237" s="231">
        <f t="shared" ref="AA237:AB237" si="44">SUM(AA4:AA8)+SUM(AA155:AA157)</f>
        <v>0</v>
      </c>
      <c r="AB237" s="543">
        <f t="shared" si="44"/>
        <v>0</v>
      </c>
      <c r="AC237" s="49">
        <f t="shared" ref="AC237:AM237" si="45">SUM(AC4:AC8)+SUM(AC155:AC157)</f>
        <v>0</v>
      </c>
      <c r="AD237" s="231">
        <f t="shared" si="45"/>
        <v>0</v>
      </c>
      <c r="AE237" s="543">
        <f t="shared" si="45"/>
        <v>0</v>
      </c>
      <c r="AF237" s="49">
        <f t="shared" si="45"/>
        <v>0</v>
      </c>
      <c r="AG237" s="231">
        <f t="shared" si="45"/>
        <v>0</v>
      </c>
      <c r="AH237" s="543">
        <f t="shared" si="45"/>
        <v>0</v>
      </c>
      <c r="AI237" s="49">
        <f t="shared" si="45"/>
        <v>0</v>
      </c>
      <c r="AJ237" s="230">
        <f t="shared" si="45"/>
        <v>0</v>
      </c>
      <c r="AK237" s="82">
        <f t="shared" si="45"/>
        <v>0</v>
      </c>
      <c r="AL237" s="49">
        <f t="shared" si="45"/>
        <v>0</v>
      </c>
      <c r="AM237" s="543">
        <f t="shared" si="45"/>
        <v>0</v>
      </c>
      <c r="AN237" s="19"/>
    </row>
    <row r="238" spans="1:40" s="12" customFormat="1" ht="13" x14ac:dyDescent="0.3">
      <c r="B238" s="17" t="s">
        <v>24</v>
      </c>
      <c r="C238" s="235">
        <f>SUM(C158:C169)</f>
        <v>12299</v>
      </c>
      <c r="D238" s="235">
        <f>SUM(D158:D169)</f>
        <v>6988</v>
      </c>
      <c r="E238" s="706">
        <f t="shared" si="17"/>
        <v>0.56817627449386132</v>
      </c>
      <c r="F238" s="49">
        <f>SUM(F158:F169)</f>
        <v>0</v>
      </c>
      <c r="G238" s="231">
        <f>SUM(G158:G169)</f>
        <v>0</v>
      </c>
      <c r="H238" s="543">
        <f>SUM(H158:H169)</f>
        <v>0</v>
      </c>
      <c r="I238" s="49">
        <f t="shared" ref="I238:AB238" si="46">SUM(I158:I169)</f>
        <v>0</v>
      </c>
      <c r="J238" s="235">
        <f>SUM(J158:J169)</f>
        <v>0</v>
      </c>
      <c r="K238" s="231">
        <f t="shared" ref="K238:L238" si="47">SUM(K158:K169)</f>
        <v>0</v>
      </c>
      <c r="L238" s="49">
        <f t="shared" si="47"/>
        <v>0</v>
      </c>
      <c r="M238" s="82">
        <f t="shared" si="46"/>
        <v>0</v>
      </c>
      <c r="N238" s="227">
        <f t="shared" si="46"/>
        <v>0</v>
      </c>
      <c r="O238" s="543">
        <f t="shared" ref="O238" si="48">SUM(O158:O169)</f>
        <v>0</v>
      </c>
      <c r="P238" s="227">
        <f>SUM(P158:P169)</f>
        <v>0</v>
      </c>
      <c r="Q238" s="82">
        <f t="shared" ref="Q238" si="49">SUM(Q158:Q169)</f>
        <v>0</v>
      </c>
      <c r="R238" s="49">
        <f t="shared" si="46"/>
        <v>0</v>
      </c>
      <c r="S238" s="231">
        <f t="shared" si="46"/>
        <v>0</v>
      </c>
      <c r="T238" s="543">
        <f t="shared" si="46"/>
        <v>0</v>
      </c>
      <c r="U238" s="49">
        <f t="shared" si="46"/>
        <v>0</v>
      </c>
      <c r="V238" s="543">
        <f>SUM(V158:V169)</f>
        <v>0</v>
      </c>
      <c r="W238" s="49">
        <f t="shared" si="46"/>
        <v>0</v>
      </c>
      <c r="X238" s="230">
        <f>SUM(X158:X169)</f>
        <v>0</v>
      </c>
      <c r="Y238" s="543">
        <f>SUM(Y158:Y169)</f>
        <v>0</v>
      </c>
      <c r="Z238" s="49">
        <f t="shared" si="46"/>
        <v>2918</v>
      </c>
      <c r="AA238" s="231">
        <f t="shared" si="46"/>
        <v>3070</v>
      </c>
      <c r="AB238" s="543">
        <f t="shared" si="46"/>
        <v>4949</v>
      </c>
      <c r="AC238" s="49">
        <f t="shared" ref="AC238:AL238" si="50">SUM(AC158:AC169)</f>
        <v>0</v>
      </c>
      <c r="AD238" s="231">
        <f>SUM(AD158:AD169)</f>
        <v>0</v>
      </c>
      <c r="AE238" s="543">
        <f t="shared" si="50"/>
        <v>0</v>
      </c>
      <c r="AF238" s="49">
        <f t="shared" si="50"/>
        <v>0</v>
      </c>
      <c r="AG238" s="231">
        <f>SUM(AG158:AG169)</f>
        <v>0</v>
      </c>
      <c r="AH238" s="543">
        <f t="shared" si="50"/>
        <v>0</v>
      </c>
      <c r="AI238" s="49">
        <f t="shared" si="50"/>
        <v>0</v>
      </c>
      <c r="AJ238" s="230">
        <f t="shared" ref="AJ238:AK238" si="51">SUM(AJ158:AJ169)</f>
        <v>0</v>
      </c>
      <c r="AK238" s="82">
        <f t="shared" si="51"/>
        <v>0</v>
      </c>
      <c r="AL238" s="49">
        <f t="shared" si="50"/>
        <v>0</v>
      </c>
      <c r="AM238" s="543">
        <f>SUM(AM158:AM169)</f>
        <v>0</v>
      </c>
      <c r="AN238" s="19"/>
    </row>
    <row r="239" spans="1:40" s="12" customFormat="1" ht="13" x14ac:dyDescent="0.3">
      <c r="B239" s="17" t="s">
        <v>829</v>
      </c>
      <c r="C239" s="235">
        <f>SUM(C170:C197)+C11</f>
        <v>26645</v>
      </c>
      <c r="D239" s="235">
        <f>SUM(D170:D197)</f>
        <v>13281</v>
      </c>
      <c r="E239" s="706">
        <f t="shared" si="17"/>
        <v>0.4984424845186714</v>
      </c>
      <c r="F239" s="49">
        <f t="shared" ref="F239:AC239" si="52">SUM(F170:F197)+SUM(F11)</f>
        <v>0</v>
      </c>
      <c r="G239" s="231">
        <f t="shared" si="52"/>
        <v>0</v>
      </c>
      <c r="H239" s="543">
        <f t="shared" si="52"/>
        <v>0</v>
      </c>
      <c r="I239" s="49">
        <f t="shared" si="52"/>
        <v>0</v>
      </c>
      <c r="J239" s="235">
        <f t="shared" si="52"/>
        <v>0</v>
      </c>
      <c r="K239" s="231">
        <f t="shared" si="52"/>
        <v>0</v>
      </c>
      <c r="L239" s="49">
        <f t="shared" si="52"/>
        <v>0</v>
      </c>
      <c r="M239" s="82">
        <f t="shared" si="52"/>
        <v>0</v>
      </c>
      <c r="N239" s="227">
        <f t="shared" si="52"/>
        <v>0</v>
      </c>
      <c r="O239" s="543">
        <f t="shared" si="52"/>
        <v>0</v>
      </c>
      <c r="P239" s="227">
        <f t="shared" si="52"/>
        <v>0</v>
      </c>
      <c r="Q239" s="82">
        <f t="shared" si="52"/>
        <v>0</v>
      </c>
      <c r="R239" s="49">
        <f t="shared" si="52"/>
        <v>0</v>
      </c>
      <c r="S239" s="231">
        <f t="shared" si="52"/>
        <v>0</v>
      </c>
      <c r="T239" s="543">
        <f t="shared" si="52"/>
        <v>0</v>
      </c>
      <c r="U239" s="49">
        <f t="shared" si="52"/>
        <v>0</v>
      </c>
      <c r="V239" s="543">
        <f t="shared" si="52"/>
        <v>0</v>
      </c>
      <c r="W239" s="49">
        <f t="shared" si="52"/>
        <v>0</v>
      </c>
      <c r="X239" s="230">
        <f t="shared" si="52"/>
        <v>0</v>
      </c>
      <c r="Y239" s="543">
        <f t="shared" si="52"/>
        <v>0</v>
      </c>
      <c r="Z239" s="49">
        <f t="shared" si="52"/>
        <v>0</v>
      </c>
      <c r="AA239" s="231">
        <f t="shared" si="52"/>
        <v>0</v>
      </c>
      <c r="AB239" s="543">
        <f t="shared" si="52"/>
        <v>0</v>
      </c>
      <c r="AC239" s="49">
        <f t="shared" si="52"/>
        <v>5847</v>
      </c>
      <c r="AD239" s="231">
        <f>SUM(AD170:AD197)+SUM(AD11)</f>
        <v>5539</v>
      </c>
      <c r="AE239" s="543">
        <f t="shared" ref="AE239:AM239" si="53">SUM(AE170:AE197)+SUM(AE11)</f>
        <v>8604</v>
      </c>
      <c r="AF239" s="49">
        <f t="shared" si="53"/>
        <v>0</v>
      </c>
      <c r="AG239" s="231">
        <f t="shared" si="53"/>
        <v>0</v>
      </c>
      <c r="AH239" s="543">
        <f t="shared" si="53"/>
        <v>0</v>
      </c>
      <c r="AI239" s="49">
        <f t="shared" si="53"/>
        <v>0</v>
      </c>
      <c r="AJ239" s="230">
        <f t="shared" si="53"/>
        <v>0</v>
      </c>
      <c r="AK239" s="82">
        <f t="shared" si="53"/>
        <v>0</v>
      </c>
      <c r="AL239" s="49">
        <f t="shared" si="53"/>
        <v>0</v>
      </c>
      <c r="AM239" s="543">
        <f t="shared" si="53"/>
        <v>0</v>
      </c>
      <c r="AN239" s="19"/>
    </row>
    <row r="240" spans="1:40" s="12" customFormat="1" ht="13" x14ac:dyDescent="0.3">
      <c r="B240" s="17" t="s">
        <v>713</v>
      </c>
      <c r="C240" s="235">
        <f>SUM(C198:C211)</f>
        <v>14300</v>
      </c>
      <c r="D240" s="235">
        <f>SUM(D198:D211)</f>
        <v>7914</v>
      </c>
      <c r="E240" s="706">
        <f t="shared" si="17"/>
        <v>0.55342657342657342</v>
      </c>
      <c r="F240" s="49">
        <f>SUM(F198:F211)</f>
        <v>0</v>
      </c>
      <c r="G240" s="231">
        <f>SUM(G198:G211)</f>
        <v>0</v>
      </c>
      <c r="H240" s="543">
        <f>SUM(H198:H211)</f>
        <v>0</v>
      </c>
      <c r="I240" s="49">
        <f t="shared" ref="I240:AB240" si="54">SUM(I198:I211)</f>
        <v>0</v>
      </c>
      <c r="J240" s="235">
        <f>SUM(J198:J211)</f>
        <v>0</v>
      </c>
      <c r="K240" s="231">
        <f t="shared" ref="K240:L240" si="55">SUM(K198:K211)</f>
        <v>0</v>
      </c>
      <c r="L240" s="49">
        <f t="shared" si="55"/>
        <v>0</v>
      </c>
      <c r="M240" s="82">
        <f t="shared" si="54"/>
        <v>0</v>
      </c>
      <c r="N240" s="227">
        <f t="shared" si="54"/>
        <v>0</v>
      </c>
      <c r="O240" s="543">
        <f t="shared" ref="O240" si="56">SUM(O198:O211)</f>
        <v>0</v>
      </c>
      <c r="P240" s="227">
        <f>SUM(P198:P211)</f>
        <v>0</v>
      </c>
      <c r="Q240" s="82">
        <f t="shared" ref="Q240" si="57">SUM(Q198:Q211)</f>
        <v>0</v>
      </c>
      <c r="R240" s="49">
        <f t="shared" si="54"/>
        <v>0</v>
      </c>
      <c r="S240" s="231">
        <f t="shared" si="54"/>
        <v>0</v>
      </c>
      <c r="T240" s="543">
        <f t="shared" si="54"/>
        <v>0</v>
      </c>
      <c r="U240" s="49">
        <f t="shared" si="54"/>
        <v>0</v>
      </c>
      <c r="V240" s="543">
        <f>SUM(V198:V211)</f>
        <v>0</v>
      </c>
      <c r="W240" s="49">
        <f t="shared" si="54"/>
        <v>0</v>
      </c>
      <c r="X240" s="230">
        <f>SUM(X198:X211)</f>
        <v>0</v>
      </c>
      <c r="Y240" s="543">
        <f>SUM(Y198:Y211)</f>
        <v>0</v>
      </c>
      <c r="Z240" s="49">
        <f t="shared" si="54"/>
        <v>0</v>
      </c>
      <c r="AA240" s="231">
        <f t="shared" si="54"/>
        <v>0</v>
      </c>
      <c r="AB240" s="543">
        <f t="shared" si="54"/>
        <v>0</v>
      </c>
      <c r="AC240" s="49">
        <f t="shared" ref="AC240:AL240" si="58">SUM(AC198:AC211)</f>
        <v>0</v>
      </c>
      <c r="AD240" s="231">
        <f>SUM(AD198:AD211)</f>
        <v>0</v>
      </c>
      <c r="AE240" s="543">
        <f t="shared" si="58"/>
        <v>0</v>
      </c>
      <c r="AF240" s="49">
        <f t="shared" si="58"/>
        <v>2869</v>
      </c>
      <c r="AG240" s="231">
        <f>SUM(AG198:AG211)</f>
        <v>3966</v>
      </c>
      <c r="AH240" s="543">
        <f t="shared" si="58"/>
        <v>5216</v>
      </c>
      <c r="AI240" s="49">
        <f t="shared" si="58"/>
        <v>0</v>
      </c>
      <c r="AJ240" s="230">
        <f t="shared" ref="AJ240:AK240" si="59">SUM(AJ198:AJ211)</f>
        <v>0</v>
      </c>
      <c r="AK240" s="82">
        <f t="shared" si="59"/>
        <v>0</v>
      </c>
      <c r="AL240" s="49">
        <f t="shared" si="58"/>
        <v>0</v>
      </c>
      <c r="AM240" s="543">
        <f>SUM(AM198:AM211)</f>
        <v>0</v>
      </c>
      <c r="AN240" s="19"/>
    </row>
    <row r="241" spans="1:40" s="12" customFormat="1" ht="13" x14ac:dyDescent="0.3">
      <c r="B241" s="17" t="s">
        <v>714</v>
      </c>
      <c r="C241" s="235">
        <f>SUM(C212:C223)</f>
        <v>11251</v>
      </c>
      <c r="D241" s="235">
        <f>SUM(D212:D223)</f>
        <v>6598</v>
      </c>
      <c r="E241" s="706">
        <f t="shared" si="17"/>
        <v>0.58643676117678434</v>
      </c>
      <c r="F241" s="49">
        <f>SUM(F212:F223)</f>
        <v>0</v>
      </c>
      <c r="G241" s="231">
        <f>SUM(G212:G223)</f>
        <v>0</v>
      </c>
      <c r="H241" s="543">
        <f>SUM(H212:H223)</f>
        <v>0</v>
      </c>
      <c r="I241" s="49">
        <f t="shared" ref="I241:AB241" si="60">SUM(I212:I223)</f>
        <v>0</v>
      </c>
      <c r="J241" s="235">
        <f>SUM(J212:J223)</f>
        <v>0</v>
      </c>
      <c r="K241" s="231">
        <f t="shared" ref="K241:L241" si="61">SUM(K212:K223)</f>
        <v>0</v>
      </c>
      <c r="L241" s="49">
        <f t="shared" si="61"/>
        <v>0</v>
      </c>
      <c r="M241" s="82">
        <f t="shared" si="60"/>
        <v>0</v>
      </c>
      <c r="N241" s="227">
        <f t="shared" si="60"/>
        <v>0</v>
      </c>
      <c r="O241" s="543">
        <f t="shared" ref="O241" si="62">SUM(O212:O223)</f>
        <v>0</v>
      </c>
      <c r="P241" s="227">
        <f>SUM(P212:P223)</f>
        <v>0</v>
      </c>
      <c r="Q241" s="82">
        <f t="shared" ref="Q241" si="63">SUM(Q212:Q223)</f>
        <v>0</v>
      </c>
      <c r="R241" s="49">
        <f t="shared" si="60"/>
        <v>0</v>
      </c>
      <c r="S241" s="231">
        <f t="shared" si="60"/>
        <v>0</v>
      </c>
      <c r="T241" s="543">
        <f t="shared" si="60"/>
        <v>0</v>
      </c>
      <c r="U241" s="49">
        <f t="shared" si="60"/>
        <v>0</v>
      </c>
      <c r="V241" s="543">
        <f>SUM(V212:V223)</f>
        <v>0</v>
      </c>
      <c r="W241" s="49">
        <f t="shared" si="60"/>
        <v>0</v>
      </c>
      <c r="X241" s="230">
        <f>SUM(X212:X223)</f>
        <v>0</v>
      </c>
      <c r="Y241" s="543">
        <f>SUM(Y212:Y223)</f>
        <v>0</v>
      </c>
      <c r="Z241" s="49">
        <f t="shared" si="60"/>
        <v>0</v>
      </c>
      <c r="AA241" s="231">
        <f t="shared" si="60"/>
        <v>0</v>
      </c>
      <c r="AB241" s="543">
        <f t="shared" si="60"/>
        <v>0</v>
      </c>
      <c r="AC241" s="49">
        <f t="shared" ref="AC241:AL241" si="64">SUM(AC212:AC223)</f>
        <v>0</v>
      </c>
      <c r="AD241" s="231">
        <f>SUM(AD212:AD223)</f>
        <v>0</v>
      </c>
      <c r="AE241" s="543">
        <f t="shared" si="64"/>
        <v>0</v>
      </c>
      <c r="AF241" s="49">
        <f t="shared" si="64"/>
        <v>0</v>
      </c>
      <c r="AG241" s="231">
        <f>SUM(AG212:AG223)</f>
        <v>0</v>
      </c>
      <c r="AH241" s="543">
        <f t="shared" si="64"/>
        <v>0</v>
      </c>
      <c r="AI241" s="49">
        <f t="shared" si="64"/>
        <v>3425</v>
      </c>
      <c r="AJ241" s="230">
        <f t="shared" ref="AJ241:AK241" si="65">SUM(AJ212:AJ223)</f>
        <v>2330</v>
      </c>
      <c r="AK241" s="82">
        <f t="shared" si="65"/>
        <v>4102</v>
      </c>
      <c r="AL241" s="49">
        <f t="shared" si="64"/>
        <v>0</v>
      </c>
      <c r="AM241" s="543">
        <f>SUM(AM212:AM223)</f>
        <v>0</v>
      </c>
      <c r="AN241" s="19"/>
    </row>
    <row r="242" spans="1:40" s="12" customFormat="1" ht="13.5" thickBot="1" x14ac:dyDescent="0.35">
      <c r="A242" s="32"/>
      <c r="B242" s="33" t="s">
        <v>715</v>
      </c>
      <c r="C242" s="286">
        <f>SUM(C224:C226)</f>
        <v>4051</v>
      </c>
      <c r="D242" s="286">
        <f>SUM(D224:D226)</f>
        <v>1506</v>
      </c>
      <c r="E242" s="707">
        <f t="shared" si="17"/>
        <v>0.37176005924463096</v>
      </c>
      <c r="F242" s="245">
        <f>SUM(F224:F226)</f>
        <v>0</v>
      </c>
      <c r="G242" s="246">
        <f>SUM(G224:G226)</f>
        <v>0</v>
      </c>
      <c r="H242" s="576">
        <f>SUM(H224:H226)</f>
        <v>0</v>
      </c>
      <c r="I242" s="245">
        <f t="shared" ref="I242:AB242" si="66">SUM(I224:I226)</f>
        <v>0</v>
      </c>
      <c r="J242" s="286">
        <f>SUM(J224:J226)</f>
        <v>0</v>
      </c>
      <c r="K242" s="285">
        <f t="shared" ref="K242:L242" si="67">SUM(K224:K226)</f>
        <v>0</v>
      </c>
      <c r="L242" s="245">
        <f t="shared" si="67"/>
        <v>0</v>
      </c>
      <c r="M242" s="247">
        <f t="shared" si="66"/>
        <v>0</v>
      </c>
      <c r="N242" s="514">
        <f t="shared" si="66"/>
        <v>0</v>
      </c>
      <c r="O242" s="576">
        <f t="shared" ref="O242" si="68">SUM(O224:O226)</f>
        <v>0</v>
      </c>
      <c r="P242" s="514">
        <f>SUM(P224:P226)</f>
        <v>0</v>
      </c>
      <c r="Q242" s="247">
        <f t="shared" ref="Q242" si="69">SUM(Q224:Q226)</f>
        <v>0</v>
      </c>
      <c r="R242" s="245">
        <f t="shared" si="66"/>
        <v>0</v>
      </c>
      <c r="S242" s="285">
        <f t="shared" si="66"/>
        <v>0</v>
      </c>
      <c r="T242" s="576">
        <f t="shared" si="66"/>
        <v>0</v>
      </c>
      <c r="U242" s="245">
        <f t="shared" si="66"/>
        <v>0</v>
      </c>
      <c r="V242" s="576">
        <f>SUM(V224:V226)</f>
        <v>0</v>
      </c>
      <c r="W242" s="245">
        <f t="shared" si="66"/>
        <v>0</v>
      </c>
      <c r="X242" s="246">
        <f>SUM(X224:X226)</f>
        <v>0</v>
      </c>
      <c r="Y242" s="576">
        <f>SUM(Y224:Y226)</f>
        <v>0</v>
      </c>
      <c r="Z242" s="245">
        <f t="shared" si="66"/>
        <v>0</v>
      </c>
      <c r="AA242" s="285">
        <f t="shared" si="66"/>
        <v>0</v>
      </c>
      <c r="AB242" s="576">
        <f t="shared" si="66"/>
        <v>0</v>
      </c>
      <c r="AC242" s="245">
        <f t="shared" ref="AC242:AL242" si="70">SUM(AC224:AC226)</f>
        <v>0</v>
      </c>
      <c r="AD242" s="285">
        <f>SUM(AD224:AD226)</f>
        <v>0</v>
      </c>
      <c r="AE242" s="576">
        <f t="shared" si="70"/>
        <v>0</v>
      </c>
      <c r="AF242" s="245">
        <f t="shared" si="70"/>
        <v>0</v>
      </c>
      <c r="AG242" s="285">
        <f>SUM(AG224:AG226)</f>
        <v>0</v>
      </c>
      <c r="AH242" s="576">
        <f t="shared" si="70"/>
        <v>0</v>
      </c>
      <c r="AI242" s="245">
        <f t="shared" si="70"/>
        <v>0</v>
      </c>
      <c r="AJ242" s="246">
        <f t="shared" ref="AJ242:AK242" si="71">SUM(AJ224:AJ226)</f>
        <v>0</v>
      </c>
      <c r="AK242" s="247">
        <f t="shared" si="71"/>
        <v>0</v>
      </c>
      <c r="AL242" s="245">
        <f t="shared" si="70"/>
        <v>985</v>
      </c>
      <c r="AM242" s="576">
        <f>SUM(AM224:AM226)</f>
        <v>960</v>
      </c>
      <c r="AN242" s="19"/>
    </row>
    <row r="243" spans="1:40" ht="13" thickTop="1" x14ac:dyDescent="0.25">
      <c r="A243" s="20"/>
      <c r="B243" s="20"/>
      <c r="C243" s="310"/>
      <c r="D243" s="310"/>
      <c r="E243" s="902"/>
      <c r="F243" s="20"/>
      <c r="G243" s="20"/>
      <c r="H243" s="313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</row>
    <row r="443" spans="17:17" x14ac:dyDescent="0.25">
      <c r="Q443" s="24"/>
    </row>
    <row r="444" spans="17:17" x14ac:dyDescent="0.25">
      <c r="Q444" s="24"/>
    </row>
    <row r="445" spans="17:17" x14ac:dyDescent="0.25">
      <c r="Q445" s="24"/>
    </row>
    <row r="446" spans="17:17" x14ac:dyDescent="0.25">
      <c r="Q446" s="24"/>
    </row>
  </sheetData>
  <mergeCells count="22">
    <mergeCell ref="A1:E2"/>
    <mergeCell ref="AC1:AE1"/>
    <mergeCell ref="AF1:AH1"/>
    <mergeCell ref="I1:M1"/>
    <mergeCell ref="P1:Q1"/>
    <mergeCell ref="R1:T1"/>
    <mergeCell ref="U1:V1"/>
    <mergeCell ref="W1:Y1"/>
    <mergeCell ref="Z1:AB1"/>
    <mergeCell ref="R2:S2"/>
    <mergeCell ref="F1:H1"/>
    <mergeCell ref="N1:O1"/>
    <mergeCell ref="W2:X2"/>
    <mergeCell ref="Z2:AA2"/>
    <mergeCell ref="I2:K2"/>
    <mergeCell ref="F2:G2"/>
    <mergeCell ref="L2:M2"/>
    <mergeCell ref="AL1:AM1"/>
    <mergeCell ref="AI1:AK1"/>
    <mergeCell ref="AI2:AJ2"/>
    <mergeCell ref="AF2:AG2"/>
    <mergeCell ref="AC2:AD2"/>
  </mergeCells>
  <phoneticPr fontId="10" type="noConversion"/>
  <pageMargins left="0.75" right="0.75" top="1" bottom="1" header="0.5" footer="0.5"/>
  <pageSetup orientation="landscape" r:id="rId1"/>
  <headerFooter alignWithMargins="0">
    <oddFooter>&amp;C&amp;"Californian FB,Italic"(Pg. &amp;P of &amp;N)</oddFooter>
  </headerFooter>
  <colBreaks count="1" manualBreakCount="1">
    <brk id="34" max="1048575" man="1"/>
  </colBreaks>
  <ignoredErrors>
    <ignoredError sqref="E227" formula="1"/>
    <ignoredError sqref="C231:D238 X241 X240 X242 AJ242:AK242 C241:D242 D239:D240 C240 AJ240:AK241 AE238 AE231 AD232:AE232 AD231 AG231:AH231 AD241:AE241 AD238 AG238:AH238 AM241 AG240:AH240 AM240 AG241:AH241 AD236:AE237 AG236:AH237 AJ238:AK238 AJ236:AK237 AJ232:AK232 AJ231:AK231 AG232:AH232 AM238 AM236:AM237 AM232 AM231 X236:X238 F232 F231:H231 G232:H232 F238:H238 Y236:Y238 Q231 Q235 Q232 F236:H237 Q236:Q237 F235:H235 O235 O238 O236:O237 V231 V232 S231:T231 S235:V235 S232:T232 J238:L238 J236:L237 J235:L235 AA231:AB231 AA232:AB232 AA235:AB235 X231:Y231 X232:Y232 X235:Y235 J231:L231 J232:L232 O231 O232 V238 AA236:AB238 S236:V237 S238:T238 Q238 AD235:AE235 AJ235:AK235 AG235:AH235 AM235 F233:M233 P233:Q233 F234:O234 R234:AL234 AD240 AE240 AF239:AH239 Z239:AB239" formulaRange="1"/>
    <ignoredError sqref="E231:E242" formula="1" formulaRange="1"/>
    <ignoredError sqref="M240:N242 I240:I242 U240:U242 W240:W242 Z240:Z242 AC238 R240:R242 AI242 AF242 AC236:AC237 AC241:AC242 AC231 AI236:AI238 AF238 AF236:AF237 AI241 AI240 AF240:AF241 AL241 AF231 AL231:AL232 AL240 AF232 AI231:AI232 R236:R238 Z236:Z238 W236:W238 U238 M231:M232 N231:N232 I231:I232 W231:W232 Z231:Z232 I235:I238 R231:R232 U231:U232 M235:N238 P231:P232 P238 AL235:AL238 AF235 AI235 W235 Z235 R235 P235:P237 AC240" formulaRange="1" emptyCellReference="1"/>
    <ignoredError sqref="P240:P242 AI227 U227 U230 R230 R227 AC227 AC232 I227 I230 P227 P230 Z227 Z230 AF227 M230:N230 M227:N227 W230 W227 AL227 AL242 AC235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I1293"/>
  <sheetViews>
    <sheetView zoomScaleNormal="100" workbookViewId="0">
      <pane xSplit="7070" ySplit="3230" topLeftCell="F4"/>
      <selection sqref="A1:E2"/>
      <selection pane="topRight" activeCell="D1" sqref="D1"/>
      <selection pane="bottomLeft" activeCell="D647" sqref="D647:D656"/>
      <selection pane="bottomRight" activeCell="W617" sqref="W617:CI630"/>
    </sheetView>
  </sheetViews>
  <sheetFormatPr defaultColWidth="9.1796875" defaultRowHeight="13" x14ac:dyDescent="0.3"/>
  <cols>
    <col min="1" max="1" width="5.54296875" style="12" bestFit="1" customWidth="1"/>
    <col min="2" max="2" width="24.26953125" style="12" bestFit="1" customWidth="1"/>
    <col min="3" max="3" width="10.81640625" style="479" customWidth="1"/>
    <col min="4" max="4" width="10.81640625" style="154" customWidth="1"/>
    <col min="5" max="5" width="9.1796875" style="154"/>
    <col min="6" max="86" width="11.54296875" style="12" customWidth="1"/>
    <col min="87" max="87" width="11.54296875" style="18" customWidth="1"/>
    <col min="88" max="16384" width="9.1796875" style="8"/>
  </cols>
  <sheetData>
    <row r="1" spans="1:87" ht="59.25" customHeight="1" thickTop="1" thickBot="1" x14ac:dyDescent="0.4">
      <c r="A1" s="835" t="s">
        <v>850</v>
      </c>
      <c r="B1" s="874"/>
      <c r="C1" s="874"/>
      <c r="D1" s="874"/>
      <c r="E1" s="875"/>
      <c r="F1" s="880" t="s">
        <v>83</v>
      </c>
      <c r="G1" s="868"/>
      <c r="H1" s="868"/>
      <c r="I1" s="868"/>
      <c r="J1" s="881"/>
      <c r="K1" s="880" t="s">
        <v>84</v>
      </c>
      <c r="L1" s="868"/>
      <c r="M1" s="881"/>
      <c r="N1" s="870" t="s">
        <v>85</v>
      </c>
      <c r="O1" s="868"/>
      <c r="P1" s="868"/>
      <c r="Q1" s="868"/>
      <c r="R1" s="879"/>
      <c r="S1" s="867" t="s">
        <v>86</v>
      </c>
      <c r="T1" s="868"/>
      <c r="U1" s="868"/>
      <c r="V1" s="869"/>
      <c r="W1" s="867" t="s">
        <v>87</v>
      </c>
      <c r="X1" s="868"/>
      <c r="Y1" s="868"/>
      <c r="Z1" s="869"/>
      <c r="AA1" s="870" t="s">
        <v>88</v>
      </c>
      <c r="AB1" s="869"/>
      <c r="AC1" s="867" t="s">
        <v>89</v>
      </c>
      <c r="AD1" s="868"/>
      <c r="AE1" s="868"/>
      <c r="AF1" s="869"/>
      <c r="AG1" s="605" t="s">
        <v>90</v>
      </c>
      <c r="AH1" s="868" t="s">
        <v>91</v>
      </c>
      <c r="AI1" s="881"/>
      <c r="AJ1" s="870" t="s">
        <v>92</v>
      </c>
      <c r="AK1" s="868"/>
      <c r="AL1" s="872"/>
      <c r="AM1" s="870" t="s">
        <v>93</v>
      </c>
      <c r="AN1" s="868"/>
      <c r="AO1" s="868"/>
      <c r="AP1" s="869"/>
      <c r="AQ1" s="880" t="s">
        <v>94</v>
      </c>
      <c r="AR1" s="881"/>
      <c r="AS1" s="870" t="s">
        <v>95</v>
      </c>
      <c r="AT1" s="868"/>
      <c r="AU1" s="871"/>
      <c r="AV1" s="870" t="s">
        <v>96</v>
      </c>
      <c r="AW1" s="868"/>
      <c r="AX1" s="868"/>
      <c r="AY1" s="868"/>
      <c r="AZ1" s="872"/>
      <c r="BA1" s="870" t="s">
        <v>97</v>
      </c>
      <c r="BB1" s="868"/>
      <c r="BC1" s="869"/>
      <c r="BD1" s="870" t="s">
        <v>98</v>
      </c>
      <c r="BE1" s="868"/>
      <c r="BF1" s="868"/>
      <c r="BG1" s="868"/>
      <c r="BH1" s="868"/>
      <c r="BI1" s="880" t="s">
        <v>99</v>
      </c>
      <c r="BJ1" s="881"/>
      <c r="BK1" s="870" t="s">
        <v>100</v>
      </c>
      <c r="BL1" s="868"/>
      <c r="BM1" s="869"/>
      <c r="BN1" s="880" t="s">
        <v>101</v>
      </c>
      <c r="BO1" s="868"/>
      <c r="BP1" s="868"/>
      <c r="BQ1" s="868"/>
      <c r="BR1" s="881"/>
      <c r="BS1" s="870" t="s">
        <v>144</v>
      </c>
      <c r="BT1" s="872"/>
      <c r="BU1" s="870" t="s">
        <v>102</v>
      </c>
      <c r="BV1" s="868"/>
      <c r="BW1" s="868"/>
      <c r="BX1" s="868"/>
      <c r="BY1" s="871"/>
      <c r="BZ1" s="870" t="s">
        <v>103</v>
      </c>
      <c r="CA1" s="868"/>
      <c r="CB1" s="868"/>
      <c r="CC1" s="869"/>
      <c r="CD1" s="880" t="s">
        <v>104</v>
      </c>
      <c r="CE1" s="868"/>
      <c r="CF1" s="868"/>
      <c r="CG1" s="881"/>
      <c r="CH1" s="870" t="s">
        <v>105</v>
      </c>
      <c r="CI1" s="871"/>
    </row>
    <row r="2" spans="1:87" ht="57.75" customHeight="1" thickTop="1" thickBot="1" x14ac:dyDescent="0.35">
      <c r="A2" s="876"/>
      <c r="B2" s="877"/>
      <c r="C2" s="877"/>
      <c r="D2" s="877"/>
      <c r="E2" s="878"/>
      <c r="F2" s="855" t="s">
        <v>1041</v>
      </c>
      <c r="G2" s="856"/>
      <c r="H2" s="856"/>
      <c r="I2" s="856"/>
      <c r="J2" s="857"/>
      <c r="K2" s="855" t="s">
        <v>1042</v>
      </c>
      <c r="L2" s="856"/>
      <c r="M2" s="599" t="s">
        <v>1228</v>
      </c>
      <c r="N2" s="858" t="s">
        <v>1045</v>
      </c>
      <c r="O2" s="859"/>
      <c r="P2" s="859"/>
      <c r="Q2" s="859"/>
      <c r="R2" s="882"/>
      <c r="S2" s="855" t="s">
        <v>1047</v>
      </c>
      <c r="T2" s="856"/>
      <c r="U2" s="856"/>
      <c r="V2" s="857"/>
      <c r="W2" s="864" t="s">
        <v>1237</v>
      </c>
      <c r="X2" s="865"/>
      <c r="Y2" s="865"/>
      <c r="Z2" s="866"/>
      <c r="AA2" s="858" t="s">
        <v>1052</v>
      </c>
      <c r="AB2" s="882"/>
      <c r="AC2" s="862" t="s">
        <v>816</v>
      </c>
      <c r="AD2" s="856"/>
      <c r="AE2" s="856"/>
      <c r="AF2" s="863"/>
      <c r="AG2" s="549" t="s">
        <v>1053</v>
      </c>
      <c r="AH2" s="858" t="s">
        <v>1054</v>
      </c>
      <c r="AI2" s="861"/>
      <c r="AJ2" s="855" t="s">
        <v>1055</v>
      </c>
      <c r="AK2" s="856"/>
      <c r="AL2" s="857"/>
      <c r="AM2" s="858" t="s">
        <v>1057</v>
      </c>
      <c r="AN2" s="859"/>
      <c r="AO2" s="859"/>
      <c r="AP2" s="860"/>
      <c r="AQ2" s="855" t="s">
        <v>1061</v>
      </c>
      <c r="AR2" s="857"/>
      <c r="AS2" s="855" t="s">
        <v>1049</v>
      </c>
      <c r="AT2" s="856"/>
      <c r="AU2" s="857"/>
      <c r="AV2" s="858" t="s">
        <v>1062</v>
      </c>
      <c r="AW2" s="859"/>
      <c r="AX2" s="859"/>
      <c r="AY2" s="859"/>
      <c r="AZ2" s="861"/>
      <c r="BA2" s="855" t="s">
        <v>1066</v>
      </c>
      <c r="BB2" s="856"/>
      <c r="BC2" s="857"/>
      <c r="BD2" s="855" t="s">
        <v>1067</v>
      </c>
      <c r="BE2" s="856"/>
      <c r="BF2" s="856"/>
      <c r="BG2" s="873"/>
      <c r="BH2" s="599" t="s">
        <v>1266</v>
      </c>
      <c r="BI2" s="883" t="s">
        <v>1068</v>
      </c>
      <c r="BJ2" s="866"/>
      <c r="BK2" s="858" t="s">
        <v>1070</v>
      </c>
      <c r="BL2" s="859"/>
      <c r="BM2" s="861"/>
      <c r="BN2" s="855" t="s">
        <v>1072</v>
      </c>
      <c r="BO2" s="856"/>
      <c r="BP2" s="856"/>
      <c r="BQ2" s="856"/>
      <c r="BR2" s="857"/>
      <c r="BS2" s="858" t="s">
        <v>814</v>
      </c>
      <c r="BT2" s="861"/>
      <c r="BU2" s="883" t="s">
        <v>1275</v>
      </c>
      <c r="BV2" s="865"/>
      <c r="BW2" s="865"/>
      <c r="BX2" s="865"/>
      <c r="BY2" s="866"/>
      <c r="BZ2" s="858" t="s">
        <v>1281</v>
      </c>
      <c r="CA2" s="859"/>
      <c r="CB2" s="859"/>
      <c r="CC2" s="861"/>
      <c r="CD2" s="855" t="s">
        <v>1286</v>
      </c>
      <c r="CE2" s="856"/>
      <c r="CF2" s="856"/>
      <c r="CG2" s="857"/>
      <c r="CH2" s="858" t="s">
        <v>830</v>
      </c>
      <c r="CI2" s="861"/>
    </row>
    <row r="3" spans="1:87" s="9" customFormat="1" ht="32.5" customHeight="1" thickTop="1" thickBot="1" x14ac:dyDescent="0.3">
      <c r="A3" s="38" t="s">
        <v>106</v>
      </c>
      <c r="B3" s="93" t="s">
        <v>107</v>
      </c>
      <c r="C3" s="38" t="s">
        <v>108</v>
      </c>
      <c r="D3" s="93" t="s">
        <v>109</v>
      </c>
      <c r="E3" s="34" t="s">
        <v>110</v>
      </c>
      <c r="F3" s="112" t="s">
        <v>1227</v>
      </c>
      <c r="G3" s="113" t="s">
        <v>1037</v>
      </c>
      <c r="H3" s="113" t="s">
        <v>1040</v>
      </c>
      <c r="I3" s="113" t="s">
        <v>1039</v>
      </c>
      <c r="J3" s="115" t="s">
        <v>1038</v>
      </c>
      <c r="K3" s="116" t="s">
        <v>1044</v>
      </c>
      <c r="L3" s="116" t="s">
        <v>1043</v>
      </c>
      <c r="M3" s="115" t="s">
        <v>1229</v>
      </c>
      <c r="N3" s="116" t="s">
        <v>1230</v>
      </c>
      <c r="O3" s="113" t="s">
        <v>1231</v>
      </c>
      <c r="P3" s="112" t="s">
        <v>1232</v>
      </c>
      <c r="Q3" s="114" t="s">
        <v>1046</v>
      </c>
      <c r="R3" s="114" t="s">
        <v>1233</v>
      </c>
      <c r="S3" s="118" t="s">
        <v>1236</v>
      </c>
      <c r="T3" s="485" t="s">
        <v>1048</v>
      </c>
      <c r="U3" s="348" t="s">
        <v>1234</v>
      </c>
      <c r="V3" s="115" t="s">
        <v>1235</v>
      </c>
      <c r="W3" s="119" t="s">
        <v>1238</v>
      </c>
      <c r="X3" s="113" t="s">
        <v>1239</v>
      </c>
      <c r="Y3" s="112" t="s">
        <v>1240</v>
      </c>
      <c r="Z3" s="115" t="s">
        <v>1241</v>
      </c>
      <c r="AA3" s="119" t="s">
        <v>1050</v>
      </c>
      <c r="AB3" s="114" t="s">
        <v>1051</v>
      </c>
      <c r="AC3" s="119" t="s">
        <v>1243</v>
      </c>
      <c r="AD3" s="116" t="s">
        <v>1242</v>
      </c>
      <c r="AE3" s="116" t="s">
        <v>1244</v>
      </c>
      <c r="AF3" s="115" t="s">
        <v>1245</v>
      </c>
      <c r="AG3" s="117" t="s">
        <v>1246</v>
      </c>
      <c r="AH3" s="112" t="s">
        <v>1247</v>
      </c>
      <c r="AI3" s="115" t="s">
        <v>1248</v>
      </c>
      <c r="AJ3" s="116" t="s">
        <v>1249</v>
      </c>
      <c r="AK3" s="112" t="s">
        <v>1250</v>
      </c>
      <c r="AL3" s="115" t="s">
        <v>1056</v>
      </c>
      <c r="AM3" s="116" t="s">
        <v>1058</v>
      </c>
      <c r="AN3" s="113" t="s">
        <v>1251</v>
      </c>
      <c r="AO3" s="113" t="s">
        <v>1059</v>
      </c>
      <c r="AP3" s="115" t="s">
        <v>1060</v>
      </c>
      <c r="AQ3" s="116" t="s">
        <v>1252</v>
      </c>
      <c r="AR3" s="115" t="s">
        <v>1253</v>
      </c>
      <c r="AS3" s="112" t="s">
        <v>1254</v>
      </c>
      <c r="AT3" s="113" t="s">
        <v>1255</v>
      </c>
      <c r="AU3" s="115" t="s">
        <v>1256</v>
      </c>
      <c r="AV3" s="119" t="s">
        <v>1063</v>
      </c>
      <c r="AW3" s="113" t="s">
        <v>1257</v>
      </c>
      <c r="AX3" s="112" t="s">
        <v>1258</v>
      </c>
      <c r="AY3" s="113" t="s">
        <v>1064</v>
      </c>
      <c r="AZ3" s="115" t="s">
        <v>1065</v>
      </c>
      <c r="BA3" s="119" t="s">
        <v>1260</v>
      </c>
      <c r="BB3" s="352" t="s">
        <v>1261</v>
      </c>
      <c r="BC3" s="115" t="s">
        <v>1259</v>
      </c>
      <c r="BD3" s="119" t="s">
        <v>1262</v>
      </c>
      <c r="BE3" s="116" t="s">
        <v>1263</v>
      </c>
      <c r="BF3" s="113" t="s">
        <v>1264</v>
      </c>
      <c r="BG3" s="116" t="s">
        <v>1265</v>
      </c>
      <c r="BH3" s="115" t="s">
        <v>1267</v>
      </c>
      <c r="BI3" s="112" t="s">
        <v>1268</v>
      </c>
      <c r="BJ3" s="115" t="s">
        <v>1069</v>
      </c>
      <c r="BK3" s="119" t="s">
        <v>1269</v>
      </c>
      <c r="BL3" s="113" t="s">
        <v>1270</v>
      </c>
      <c r="BM3" s="115" t="s">
        <v>1071</v>
      </c>
      <c r="BN3" s="112" t="s">
        <v>1073</v>
      </c>
      <c r="BO3" s="114" t="s">
        <v>1271</v>
      </c>
      <c r="BP3" s="113" t="s">
        <v>1074</v>
      </c>
      <c r="BQ3" s="342" t="s">
        <v>1075</v>
      </c>
      <c r="BR3" s="117" t="s">
        <v>1272</v>
      </c>
      <c r="BS3" s="112" t="s">
        <v>1273</v>
      </c>
      <c r="BT3" s="115" t="s">
        <v>1274</v>
      </c>
      <c r="BU3" s="119" t="s">
        <v>1276</v>
      </c>
      <c r="BV3" s="113" t="s">
        <v>1278</v>
      </c>
      <c r="BW3" s="114" t="s">
        <v>1279</v>
      </c>
      <c r="BX3" s="113" t="s">
        <v>1280</v>
      </c>
      <c r="BY3" s="115" t="s">
        <v>1277</v>
      </c>
      <c r="BZ3" s="119" t="s">
        <v>1283</v>
      </c>
      <c r="CA3" s="112" t="s">
        <v>1284</v>
      </c>
      <c r="CB3" s="113" t="s">
        <v>1282</v>
      </c>
      <c r="CC3" s="115" t="s">
        <v>1285</v>
      </c>
      <c r="CD3" s="116" t="s">
        <v>1287</v>
      </c>
      <c r="CE3" s="116" t="s">
        <v>1289</v>
      </c>
      <c r="CF3" s="116" t="s">
        <v>1290</v>
      </c>
      <c r="CG3" s="115" t="s">
        <v>1288</v>
      </c>
      <c r="CH3" s="116" t="s">
        <v>1291</v>
      </c>
      <c r="CI3" s="115" t="s">
        <v>1292</v>
      </c>
    </row>
    <row r="4" spans="1:87" ht="13.5" thickTop="1" x14ac:dyDescent="0.3">
      <c r="A4" s="28">
        <v>101</v>
      </c>
      <c r="B4" s="29" t="s">
        <v>145</v>
      </c>
      <c r="C4" s="470">
        <v>330</v>
      </c>
      <c r="D4" s="56">
        <v>169</v>
      </c>
      <c r="E4" s="366">
        <f>SUM(D4/C4)</f>
        <v>0.51212121212121209</v>
      </c>
      <c r="F4" s="51">
        <v>69</v>
      </c>
      <c r="G4" s="51">
        <v>23</v>
      </c>
      <c r="H4" s="51">
        <v>63</v>
      </c>
      <c r="I4" s="51">
        <v>50</v>
      </c>
      <c r="J4" s="52">
        <v>40</v>
      </c>
      <c r="K4" s="191"/>
      <c r="L4" s="320"/>
      <c r="M4" s="600"/>
      <c r="N4" s="191"/>
      <c r="O4" s="191"/>
      <c r="P4" s="194"/>
      <c r="Q4" s="195"/>
      <c r="R4" s="195"/>
      <c r="S4" s="196"/>
      <c r="T4" s="191"/>
      <c r="U4" s="191"/>
      <c r="V4" s="198"/>
      <c r="W4" s="196"/>
      <c r="X4" s="319"/>
      <c r="Y4" s="194"/>
      <c r="Z4" s="192"/>
      <c r="AA4" s="191"/>
      <c r="AB4" s="195"/>
      <c r="AC4" s="196"/>
      <c r="AD4" s="191"/>
      <c r="AE4" s="191"/>
      <c r="AF4" s="192"/>
      <c r="AG4" s="198"/>
      <c r="AH4" s="191"/>
      <c r="AI4" s="192"/>
      <c r="AJ4" s="191"/>
      <c r="AK4" s="193"/>
      <c r="AL4" s="192"/>
      <c r="AM4" s="191"/>
      <c r="AN4" s="319"/>
      <c r="AO4" s="319"/>
      <c r="AP4" s="198"/>
      <c r="AQ4" s="191"/>
      <c r="AR4" s="198"/>
      <c r="AS4" s="191"/>
      <c r="AT4" s="194"/>
      <c r="AU4" s="192"/>
      <c r="AV4" s="191"/>
      <c r="AW4" s="319"/>
      <c r="AX4" s="319"/>
      <c r="AY4" s="194"/>
      <c r="AZ4" s="192"/>
      <c r="BA4" s="191"/>
      <c r="BB4" s="319"/>
      <c r="BC4" s="198"/>
      <c r="BD4" s="191"/>
      <c r="BE4" s="191"/>
      <c r="BF4" s="319"/>
      <c r="BG4" s="320"/>
      <c r="BH4" s="606"/>
      <c r="BI4" s="191"/>
      <c r="BJ4" s="192"/>
      <c r="BK4" s="191"/>
      <c r="BL4" s="194"/>
      <c r="BM4" s="192"/>
      <c r="BN4" s="191"/>
      <c r="BO4" s="319"/>
      <c r="BP4" s="194"/>
      <c r="BQ4" s="319"/>
      <c r="BR4" s="198"/>
      <c r="BS4" s="191"/>
      <c r="BT4" s="192"/>
      <c r="BU4" s="191"/>
      <c r="BV4" s="194"/>
      <c r="BW4" s="193"/>
      <c r="BX4" s="193"/>
      <c r="BY4" s="192"/>
      <c r="BZ4" s="191"/>
      <c r="CA4" s="319"/>
      <c r="CB4" s="194"/>
      <c r="CC4" s="192"/>
      <c r="CD4" s="191"/>
      <c r="CE4" s="319"/>
      <c r="CF4" s="319"/>
      <c r="CG4" s="198"/>
      <c r="CH4" s="191"/>
      <c r="CI4" s="192"/>
    </row>
    <row r="5" spans="1:87" x14ac:dyDescent="0.3">
      <c r="A5" s="10">
        <v>102</v>
      </c>
      <c r="B5" s="11" t="s">
        <v>146</v>
      </c>
      <c r="C5" s="471">
        <v>1320</v>
      </c>
      <c r="D5" s="54">
        <v>826</v>
      </c>
      <c r="E5" s="367">
        <f t="shared" ref="E5:E70" si="0">SUM(D5/C5)</f>
        <v>0.62575757575757573</v>
      </c>
      <c r="F5" s="45">
        <v>486</v>
      </c>
      <c r="G5" s="45">
        <v>153</v>
      </c>
      <c r="H5" s="45">
        <v>436</v>
      </c>
      <c r="I5" s="45">
        <v>425</v>
      </c>
      <c r="J5" s="46">
        <v>109</v>
      </c>
      <c r="K5" s="165"/>
      <c r="L5" s="304"/>
      <c r="M5" s="601"/>
      <c r="N5" s="165"/>
      <c r="O5" s="165"/>
      <c r="P5" s="190"/>
      <c r="Q5" s="166"/>
      <c r="R5" s="166"/>
      <c r="S5" s="169"/>
      <c r="T5" s="165"/>
      <c r="U5" s="165"/>
      <c r="V5" s="168"/>
      <c r="W5" s="169"/>
      <c r="X5" s="173"/>
      <c r="Y5" s="190"/>
      <c r="Z5" s="167"/>
      <c r="AA5" s="165"/>
      <c r="AB5" s="166"/>
      <c r="AC5" s="169"/>
      <c r="AD5" s="165"/>
      <c r="AE5" s="165"/>
      <c r="AF5" s="167"/>
      <c r="AG5" s="168"/>
      <c r="AH5" s="165"/>
      <c r="AI5" s="167"/>
      <c r="AJ5" s="165"/>
      <c r="AK5" s="173"/>
      <c r="AL5" s="167"/>
      <c r="AM5" s="165"/>
      <c r="AN5" s="173"/>
      <c r="AO5" s="173"/>
      <c r="AP5" s="168"/>
      <c r="AQ5" s="165"/>
      <c r="AR5" s="168"/>
      <c r="AS5" s="165"/>
      <c r="AT5" s="190"/>
      <c r="AU5" s="167"/>
      <c r="AV5" s="165"/>
      <c r="AW5" s="173"/>
      <c r="AX5" s="173"/>
      <c r="AY5" s="190"/>
      <c r="AZ5" s="167"/>
      <c r="BA5" s="165"/>
      <c r="BB5" s="165"/>
      <c r="BC5" s="168"/>
      <c r="BD5" s="165"/>
      <c r="BE5" s="165"/>
      <c r="BF5" s="173"/>
      <c r="BG5" s="304"/>
      <c r="BH5" s="601"/>
      <c r="BI5" s="165"/>
      <c r="BJ5" s="167"/>
      <c r="BK5" s="165"/>
      <c r="BL5" s="190"/>
      <c r="BM5" s="167"/>
      <c r="BN5" s="165"/>
      <c r="BO5" s="173"/>
      <c r="BP5" s="190"/>
      <c r="BQ5" s="173"/>
      <c r="BR5" s="168"/>
      <c r="BS5" s="165"/>
      <c r="BT5" s="167"/>
      <c r="BU5" s="165"/>
      <c r="BV5" s="190"/>
      <c r="BW5" s="173"/>
      <c r="BX5" s="173"/>
      <c r="BY5" s="167"/>
      <c r="BZ5" s="165"/>
      <c r="CA5" s="173"/>
      <c r="CB5" s="190"/>
      <c r="CC5" s="167"/>
      <c r="CD5" s="165"/>
      <c r="CE5" s="173"/>
      <c r="CF5" s="173"/>
      <c r="CG5" s="168"/>
      <c r="CH5" s="165"/>
      <c r="CI5" s="167"/>
    </row>
    <row r="6" spans="1:87" x14ac:dyDescent="0.3">
      <c r="A6" s="10">
        <v>103</v>
      </c>
      <c r="B6" s="11" t="s">
        <v>147</v>
      </c>
      <c r="C6" s="471">
        <v>1201</v>
      </c>
      <c r="D6" s="54">
        <v>586</v>
      </c>
      <c r="E6" s="367">
        <f t="shared" si="0"/>
        <v>0.48792672772689427</v>
      </c>
      <c r="F6" s="45">
        <v>321</v>
      </c>
      <c r="G6" s="45">
        <v>103</v>
      </c>
      <c r="H6" s="45">
        <v>298</v>
      </c>
      <c r="I6" s="45">
        <v>316</v>
      </c>
      <c r="J6" s="46">
        <v>87</v>
      </c>
      <c r="K6" s="165"/>
      <c r="L6" s="304"/>
      <c r="M6" s="601"/>
      <c r="N6" s="165"/>
      <c r="O6" s="165"/>
      <c r="P6" s="190"/>
      <c r="Q6" s="166"/>
      <c r="R6" s="166"/>
      <c r="S6" s="169"/>
      <c r="T6" s="165"/>
      <c r="U6" s="165"/>
      <c r="V6" s="168"/>
      <c r="W6" s="169"/>
      <c r="X6" s="173"/>
      <c r="Y6" s="190"/>
      <c r="Z6" s="167"/>
      <c r="AA6" s="165"/>
      <c r="AB6" s="166"/>
      <c r="AC6" s="169"/>
      <c r="AD6" s="165"/>
      <c r="AE6" s="165"/>
      <c r="AF6" s="167"/>
      <c r="AG6" s="168"/>
      <c r="AH6" s="165"/>
      <c r="AI6" s="167"/>
      <c r="AJ6" s="165"/>
      <c r="AK6" s="173"/>
      <c r="AL6" s="167"/>
      <c r="AM6" s="165"/>
      <c r="AN6" s="173"/>
      <c r="AO6" s="173"/>
      <c r="AP6" s="168"/>
      <c r="AQ6" s="165"/>
      <c r="AR6" s="168"/>
      <c r="AS6" s="165"/>
      <c r="AT6" s="190"/>
      <c r="AU6" s="167"/>
      <c r="AV6" s="165"/>
      <c r="AW6" s="173"/>
      <c r="AX6" s="173"/>
      <c r="AY6" s="190"/>
      <c r="AZ6" s="167"/>
      <c r="BA6" s="165"/>
      <c r="BB6" s="165"/>
      <c r="BC6" s="168"/>
      <c r="BD6" s="165"/>
      <c r="BE6" s="165"/>
      <c r="BF6" s="173"/>
      <c r="BG6" s="304"/>
      <c r="BH6" s="601"/>
      <c r="BI6" s="165"/>
      <c r="BJ6" s="167"/>
      <c r="BK6" s="165"/>
      <c r="BL6" s="190"/>
      <c r="BM6" s="167"/>
      <c r="BN6" s="165"/>
      <c r="BO6" s="173"/>
      <c r="BP6" s="190"/>
      <c r="BQ6" s="173"/>
      <c r="BR6" s="168"/>
      <c r="BS6" s="165"/>
      <c r="BT6" s="167"/>
      <c r="BU6" s="165"/>
      <c r="BV6" s="190"/>
      <c r="BW6" s="173"/>
      <c r="BX6" s="173"/>
      <c r="BY6" s="167"/>
      <c r="BZ6" s="165"/>
      <c r="CA6" s="173"/>
      <c r="CB6" s="190"/>
      <c r="CC6" s="167"/>
      <c r="CD6" s="165"/>
      <c r="CE6" s="173"/>
      <c r="CF6" s="173"/>
      <c r="CG6" s="168"/>
      <c r="CH6" s="165"/>
      <c r="CI6" s="167"/>
    </row>
    <row r="7" spans="1:87" x14ac:dyDescent="0.3">
      <c r="A7" s="10">
        <v>104</v>
      </c>
      <c r="B7" s="11" t="s">
        <v>148</v>
      </c>
      <c r="C7" s="471">
        <v>822</v>
      </c>
      <c r="D7" s="54">
        <v>423</v>
      </c>
      <c r="E7" s="367">
        <f t="shared" si="0"/>
        <v>0.51459854014598538</v>
      </c>
      <c r="F7" s="45">
        <v>219</v>
      </c>
      <c r="G7" s="45">
        <v>80</v>
      </c>
      <c r="H7" s="45">
        <v>219</v>
      </c>
      <c r="I7" s="45">
        <v>231</v>
      </c>
      <c r="J7" s="46">
        <v>54</v>
      </c>
      <c r="K7" s="165"/>
      <c r="L7" s="304"/>
      <c r="M7" s="601"/>
      <c r="N7" s="165"/>
      <c r="O7" s="165"/>
      <c r="P7" s="190"/>
      <c r="Q7" s="166"/>
      <c r="R7" s="166"/>
      <c r="S7" s="169"/>
      <c r="T7" s="165"/>
      <c r="U7" s="165"/>
      <c r="V7" s="168"/>
      <c r="W7" s="169"/>
      <c r="X7" s="173"/>
      <c r="Y7" s="190"/>
      <c r="Z7" s="167"/>
      <c r="AA7" s="165"/>
      <c r="AB7" s="166"/>
      <c r="AC7" s="169"/>
      <c r="AD7" s="165"/>
      <c r="AE7" s="165"/>
      <c r="AF7" s="167"/>
      <c r="AG7" s="168"/>
      <c r="AH7" s="165"/>
      <c r="AI7" s="167"/>
      <c r="AJ7" s="165"/>
      <c r="AK7" s="173"/>
      <c r="AL7" s="167"/>
      <c r="AM7" s="165"/>
      <c r="AN7" s="173"/>
      <c r="AO7" s="173"/>
      <c r="AP7" s="168"/>
      <c r="AQ7" s="165"/>
      <c r="AR7" s="168"/>
      <c r="AS7" s="165"/>
      <c r="AT7" s="190"/>
      <c r="AU7" s="167"/>
      <c r="AV7" s="165"/>
      <c r="AW7" s="173"/>
      <c r="AX7" s="173"/>
      <c r="AY7" s="190"/>
      <c r="AZ7" s="167"/>
      <c r="BA7" s="165"/>
      <c r="BB7" s="165"/>
      <c r="BC7" s="168"/>
      <c r="BD7" s="165"/>
      <c r="BE7" s="165"/>
      <c r="BF7" s="173"/>
      <c r="BG7" s="304"/>
      <c r="BH7" s="601"/>
      <c r="BI7" s="165"/>
      <c r="BJ7" s="167"/>
      <c r="BK7" s="165"/>
      <c r="BL7" s="190"/>
      <c r="BM7" s="167"/>
      <c r="BN7" s="165"/>
      <c r="BO7" s="173"/>
      <c r="BP7" s="190"/>
      <c r="BQ7" s="173"/>
      <c r="BR7" s="168"/>
      <c r="BS7" s="165"/>
      <c r="BT7" s="167"/>
      <c r="BU7" s="165"/>
      <c r="BV7" s="190"/>
      <c r="BW7" s="173"/>
      <c r="BX7" s="173"/>
      <c r="BY7" s="167"/>
      <c r="BZ7" s="165"/>
      <c r="CA7" s="173"/>
      <c r="CB7" s="190"/>
      <c r="CC7" s="167"/>
      <c r="CD7" s="165"/>
      <c r="CE7" s="173"/>
      <c r="CF7" s="173"/>
      <c r="CG7" s="168"/>
      <c r="CH7" s="165"/>
      <c r="CI7" s="167"/>
    </row>
    <row r="8" spans="1:87" x14ac:dyDescent="0.3">
      <c r="A8" s="10">
        <v>105</v>
      </c>
      <c r="B8" s="11" t="s">
        <v>149</v>
      </c>
      <c r="C8" s="471">
        <v>1311</v>
      </c>
      <c r="D8" s="54">
        <v>610</v>
      </c>
      <c r="E8" s="367">
        <f t="shared" si="0"/>
        <v>0.46529366895499619</v>
      </c>
      <c r="F8" s="45">
        <v>326</v>
      </c>
      <c r="G8" s="45">
        <v>125</v>
      </c>
      <c r="H8" s="45">
        <v>253</v>
      </c>
      <c r="I8" s="45">
        <v>321</v>
      </c>
      <c r="J8" s="46">
        <v>92</v>
      </c>
      <c r="K8" s="165"/>
      <c r="L8" s="304"/>
      <c r="M8" s="601"/>
      <c r="N8" s="165"/>
      <c r="O8" s="165"/>
      <c r="P8" s="190"/>
      <c r="Q8" s="166"/>
      <c r="R8" s="166"/>
      <c r="S8" s="169"/>
      <c r="T8" s="165"/>
      <c r="U8" s="165"/>
      <c r="V8" s="168"/>
      <c r="W8" s="169"/>
      <c r="X8" s="173"/>
      <c r="Y8" s="190"/>
      <c r="Z8" s="167"/>
      <c r="AA8" s="165"/>
      <c r="AB8" s="166"/>
      <c r="AC8" s="169"/>
      <c r="AD8" s="165"/>
      <c r="AE8" s="165"/>
      <c r="AF8" s="167"/>
      <c r="AG8" s="168"/>
      <c r="AH8" s="165"/>
      <c r="AI8" s="167"/>
      <c r="AJ8" s="165"/>
      <c r="AK8" s="173"/>
      <c r="AL8" s="167"/>
      <c r="AM8" s="165"/>
      <c r="AN8" s="173"/>
      <c r="AO8" s="173"/>
      <c r="AP8" s="168"/>
      <c r="AQ8" s="165"/>
      <c r="AR8" s="168"/>
      <c r="AS8" s="165"/>
      <c r="AT8" s="190"/>
      <c r="AU8" s="167"/>
      <c r="AV8" s="165"/>
      <c r="AW8" s="173"/>
      <c r="AX8" s="173"/>
      <c r="AY8" s="190"/>
      <c r="AZ8" s="167"/>
      <c r="BA8" s="165"/>
      <c r="BB8" s="165"/>
      <c r="BC8" s="168"/>
      <c r="BD8" s="165"/>
      <c r="BE8" s="165"/>
      <c r="BF8" s="173"/>
      <c r="BG8" s="304"/>
      <c r="BH8" s="601"/>
      <c r="BI8" s="165"/>
      <c r="BJ8" s="167"/>
      <c r="BK8" s="165"/>
      <c r="BL8" s="190"/>
      <c r="BM8" s="167"/>
      <c r="BN8" s="165"/>
      <c r="BO8" s="173"/>
      <c r="BP8" s="190"/>
      <c r="BQ8" s="173"/>
      <c r="BR8" s="168"/>
      <c r="BS8" s="165"/>
      <c r="BT8" s="167"/>
      <c r="BU8" s="165"/>
      <c r="BV8" s="190"/>
      <c r="BW8" s="173"/>
      <c r="BX8" s="173"/>
      <c r="BY8" s="167"/>
      <c r="BZ8" s="165"/>
      <c r="CA8" s="173"/>
      <c r="CB8" s="190"/>
      <c r="CC8" s="167"/>
      <c r="CD8" s="165"/>
      <c r="CE8" s="173"/>
      <c r="CF8" s="173"/>
      <c r="CG8" s="168"/>
      <c r="CH8" s="165"/>
      <c r="CI8" s="167"/>
    </row>
    <row r="9" spans="1:87" x14ac:dyDescent="0.3">
      <c r="A9" s="10">
        <v>106</v>
      </c>
      <c r="B9" s="11" t="s">
        <v>150</v>
      </c>
      <c r="C9" s="471">
        <v>1204</v>
      </c>
      <c r="D9" s="54">
        <v>749</v>
      </c>
      <c r="E9" s="367">
        <f t="shared" si="0"/>
        <v>0.62209302325581395</v>
      </c>
      <c r="F9" s="45">
        <v>376</v>
      </c>
      <c r="G9" s="45">
        <v>106</v>
      </c>
      <c r="H9" s="45">
        <v>339</v>
      </c>
      <c r="I9" s="45">
        <v>328</v>
      </c>
      <c r="J9" s="46">
        <v>90</v>
      </c>
      <c r="K9" s="165"/>
      <c r="L9" s="304"/>
      <c r="M9" s="601"/>
      <c r="N9" s="165"/>
      <c r="O9" s="165"/>
      <c r="P9" s="190"/>
      <c r="Q9" s="166"/>
      <c r="R9" s="166"/>
      <c r="S9" s="169"/>
      <c r="T9" s="165"/>
      <c r="U9" s="165"/>
      <c r="V9" s="168"/>
      <c r="W9" s="169"/>
      <c r="X9" s="173"/>
      <c r="Y9" s="190"/>
      <c r="Z9" s="167"/>
      <c r="AA9" s="165"/>
      <c r="AB9" s="166"/>
      <c r="AC9" s="169"/>
      <c r="AD9" s="165"/>
      <c r="AE9" s="165"/>
      <c r="AF9" s="167"/>
      <c r="AG9" s="168"/>
      <c r="AH9" s="165"/>
      <c r="AI9" s="167"/>
      <c r="AJ9" s="165"/>
      <c r="AK9" s="173"/>
      <c r="AL9" s="167"/>
      <c r="AM9" s="165"/>
      <c r="AN9" s="173"/>
      <c r="AO9" s="173"/>
      <c r="AP9" s="168"/>
      <c r="AQ9" s="165"/>
      <c r="AR9" s="168"/>
      <c r="AS9" s="165"/>
      <c r="AT9" s="190"/>
      <c r="AU9" s="167"/>
      <c r="AV9" s="165"/>
      <c r="AW9" s="173"/>
      <c r="AX9" s="173"/>
      <c r="AY9" s="190"/>
      <c r="AZ9" s="167"/>
      <c r="BA9" s="165"/>
      <c r="BB9" s="165"/>
      <c r="BC9" s="168"/>
      <c r="BD9" s="165"/>
      <c r="BE9" s="165"/>
      <c r="BF9" s="173"/>
      <c r="BG9" s="304"/>
      <c r="BH9" s="601"/>
      <c r="BI9" s="165"/>
      <c r="BJ9" s="167"/>
      <c r="BK9" s="165"/>
      <c r="BL9" s="190"/>
      <c r="BM9" s="167"/>
      <c r="BN9" s="165"/>
      <c r="BO9" s="173"/>
      <c r="BP9" s="190"/>
      <c r="BQ9" s="173"/>
      <c r="BR9" s="168"/>
      <c r="BS9" s="165"/>
      <c r="BT9" s="167"/>
      <c r="BU9" s="165"/>
      <c r="BV9" s="190"/>
      <c r="BW9" s="173"/>
      <c r="BX9" s="173"/>
      <c r="BY9" s="167"/>
      <c r="BZ9" s="165"/>
      <c r="CA9" s="173"/>
      <c r="CB9" s="190"/>
      <c r="CC9" s="167"/>
      <c r="CD9" s="165"/>
      <c r="CE9" s="173"/>
      <c r="CF9" s="173"/>
      <c r="CG9" s="168"/>
      <c r="CH9" s="165"/>
      <c r="CI9" s="167"/>
    </row>
    <row r="10" spans="1:87" x14ac:dyDescent="0.3">
      <c r="A10" s="10">
        <v>107</v>
      </c>
      <c r="B10" s="11" t="s">
        <v>151</v>
      </c>
      <c r="C10" s="471">
        <v>979</v>
      </c>
      <c r="D10" s="54">
        <v>540</v>
      </c>
      <c r="E10" s="367">
        <f t="shared" si="0"/>
        <v>0.55158324821246174</v>
      </c>
      <c r="F10" s="45">
        <v>254</v>
      </c>
      <c r="G10" s="45">
        <v>89</v>
      </c>
      <c r="H10" s="45">
        <v>225</v>
      </c>
      <c r="I10" s="45">
        <v>234</v>
      </c>
      <c r="J10" s="46">
        <v>83</v>
      </c>
      <c r="K10" s="165"/>
      <c r="L10" s="304"/>
      <c r="M10" s="601"/>
      <c r="N10" s="165"/>
      <c r="O10" s="165"/>
      <c r="P10" s="190"/>
      <c r="Q10" s="166"/>
      <c r="R10" s="166"/>
      <c r="S10" s="169"/>
      <c r="T10" s="165"/>
      <c r="U10" s="165"/>
      <c r="V10" s="168"/>
      <c r="W10" s="169"/>
      <c r="X10" s="173"/>
      <c r="Y10" s="190"/>
      <c r="Z10" s="167"/>
      <c r="AA10" s="165"/>
      <c r="AB10" s="166"/>
      <c r="AC10" s="169"/>
      <c r="AD10" s="165"/>
      <c r="AE10" s="165"/>
      <c r="AF10" s="167"/>
      <c r="AG10" s="168"/>
      <c r="AH10" s="165"/>
      <c r="AI10" s="167"/>
      <c r="AJ10" s="165"/>
      <c r="AK10" s="173"/>
      <c r="AL10" s="167"/>
      <c r="AM10" s="165"/>
      <c r="AN10" s="173"/>
      <c r="AO10" s="173"/>
      <c r="AP10" s="168"/>
      <c r="AQ10" s="165"/>
      <c r="AR10" s="168"/>
      <c r="AS10" s="165"/>
      <c r="AT10" s="190"/>
      <c r="AU10" s="167"/>
      <c r="AV10" s="165"/>
      <c r="AW10" s="173"/>
      <c r="AX10" s="173"/>
      <c r="AY10" s="190"/>
      <c r="AZ10" s="167"/>
      <c r="BA10" s="165"/>
      <c r="BB10" s="165"/>
      <c r="BC10" s="168"/>
      <c r="BD10" s="165"/>
      <c r="BE10" s="165"/>
      <c r="BF10" s="173"/>
      <c r="BG10" s="304"/>
      <c r="BH10" s="601"/>
      <c r="BI10" s="165"/>
      <c r="BJ10" s="167"/>
      <c r="BK10" s="165"/>
      <c r="BL10" s="190"/>
      <c r="BM10" s="167"/>
      <c r="BN10" s="165"/>
      <c r="BO10" s="173"/>
      <c r="BP10" s="190"/>
      <c r="BQ10" s="173"/>
      <c r="BR10" s="168"/>
      <c r="BS10" s="165"/>
      <c r="BT10" s="167"/>
      <c r="BU10" s="165"/>
      <c r="BV10" s="190"/>
      <c r="BW10" s="173"/>
      <c r="BX10" s="173"/>
      <c r="BY10" s="167"/>
      <c r="BZ10" s="165"/>
      <c r="CA10" s="173"/>
      <c r="CB10" s="190"/>
      <c r="CC10" s="167"/>
      <c r="CD10" s="165"/>
      <c r="CE10" s="173"/>
      <c r="CF10" s="173"/>
      <c r="CG10" s="168"/>
      <c r="CH10" s="165"/>
      <c r="CI10" s="167"/>
    </row>
    <row r="11" spans="1:87" x14ac:dyDescent="0.3">
      <c r="A11" s="10">
        <v>108</v>
      </c>
      <c r="B11" s="11" t="s">
        <v>152</v>
      </c>
      <c r="C11" s="471">
        <v>706</v>
      </c>
      <c r="D11" s="54">
        <v>398</v>
      </c>
      <c r="E11" s="367">
        <f t="shared" si="0"/>
        <v>0.5637393767705382</v>
      </c>
      <c r="F11" s="45">
        <v>197</v>
      </c>
      <c r="G11" s="45">
        <v>64</v>
      </c>
      <c r="H11" s="45">
        <v>179</v>
      </c>
      <c r="I11" s="45">
        <v>166</v>
      </c>
      <c r="J11" s="46">
        <v>76</v>
      </c>
      <c r="K11" s="165"/>
      <c r="L11" s="304"/>
      <c r="M11" s="601"/>
      <c r="N11" s="165"/>
      <c r="O11" s="165"/>
      <c r="P11" s="190"/>
      <c r="Q11" s="166"/>
      <c r="R11" s="166"/>
      <c r="S11" s="169"/>
      <c r="T11" s="165"/>
      <c r="U11" s="165"/>
      <c r="V11" s="168"/>
      <c r="W11" s="169"/>
      <c r="X11" s="173"/>
      <c r="Y11" s="190"/>
      <c r="Z11" s="167"/>
      <c r="AA11" s="165"/>
      <c r="AB11" s="166"/>
      <c r="AC11" s="169"/>
      <c r="AD11" s="165"/>
      <c r="AE11" s="165"/>
      <c r="AF11" s="167"/>
      <c r="AG11" s="168"/>
      <c r="AH11" s="165"/>
      <c r="AI11" s="167"/>
      <c r="AJ11" s="165"/>
      <c r="AK11" s="173"/>
      <c r="AL11" s="167"/>
      <c r="AM11" s="165"/>
      <c r="AN11" s="173"/>
      <c r="AO11" s="173"/>
      <c r="AP11" s="168"/>
      <c r="AQ11" s="165"/>
      <c r="AR11" s="168"/>
      <c r="AS11" s="165"/>
      <c r="AT11" s="190"/>
      <c r="AU11" s="167"/>
      <c r="AV11" s="165"/>
      <c r="AW11" s="173"/>
      <c r="AX11" s="173"/>
      <c r="AY11" s="190"/>
      <c r="AZ11" s="167"/>
      <c r="BA11" s="165"/>
      <c r="BB11" s="165"/>
      <c r="BC11" s="168"/>
      <c r="BD11" s="165"/>
      <c r="BE11" s="165"/>
      <c r="BF11" s="173"/>
      <c r="BG11" s="304"/>
      <c r="BH11" s="601"/>
      <c r="BI11" s="165"/>
      <c r="BJ11" s="167"/>
      <c r="BK11" s="165"/>
      <c r="BL11" s="190"/>
      <c r="BM11" s="167"/>
      <c r="BN11" s="165"/>
      <c r="BO11" s="173"/>
      <c r="BP11" s="190"/>
      <c r="BQ11" s="173"/>
      <c r="BR11" s="168"/>
      <c r="BS11" s="165"/>
      <c r="BT11" s="167"/>
      <c r="BU11" s="165"/>
      <c r="BV11" s="190"/>
      <c r="BW11" s="173"/>
      <c r="BX11" s="173"/>
      <c r="BY11" s="167"/>
      <c r="BZ11" s="165"/>
      <c r="CA11" s="173"/>
      <c r="CB11" s="190"/>
      <c r="CC11" s="167"/>
      <c r="CD11" s="165"/>
      <c r="CE11" s="173"/>
      <c r="CF11" s="173"/>
      <c r="CG11" s="168"/>
      <c r="CH11" s="165"/>
      <c r="CI11" s="167"/>
    </row>
    <row r="12" spans="1:87" x14ac:dyDescent="0.3">
      <c r="A12" s="10">
        <v>109</v>
      </c>
      <c r="B12" s="11" t="s">
        <v>153</v>
      </c>
      <c r="C12" s="471">
        <v>1162</v>
      </c>
      <c r="D12" s="54">
        <v>674</v>
      </c>
      <c r="E12" s="367">
        <f t="shared" si="0"/>
        <v>0.58003442340791733</v>
      </c>
      <c r="F12" s="45">
        <v>320</v>
      </c>
      <c r="G12" s="45">
        <v>99</v>
      </c>
      <c r="H12" s="45">
        <v>276</v>
      </c>
      <c r="I12" s="45">
        <v>307</v>
      </c>
      <c r="J12" s="46">
        <v>101</v>
      </c>
      <c r="K12" s="165"/>
      <c r="L12" s="304"/>
      <c r="M12" s="601"/>
      <c r="N12" s="165"/>
      <c r="O12" s="165"/>
      <c r="P12" s="190"/>
      <c r="Q12" s="166"/>
      <c r="R12" s="166"/>
      <c r="S12" s="169"/>
      <c r="T12" s="165"/>
      <c r="U12" s="165"/>
      <c r="V12" s="168"/>
      <c r="W12" s="169"/>
      <c r="X12" s="173"/>
      <c r="Y12" s="190"/>
      <c r="Z12" s="167"/>
      <c r="AA12" s="165"/>
      <c r="AB12" s="166"/>
      <c r="AC12" s="169"/>
      <c r="AD12" s="165"/>
      <c r="AE12" s="165"/>
      <c r="AF12" s="167"/>
      <c r="AG12" s="168"/>
      <c r="AH12" s="165"/>
      <c r="AI12" s="167"/>
      <c r="AJ12" s="165"/>
      <c r="AK12" s="173"/>
      <c r="AL12" s="167"/>
      <c r="AM12" s="165"/>
      <c r="AN12" s="173"/>
      <c r="AO12" s="173"/>
      <c r="AP12" s="168"/>
      <c r="AQ12" s="165"/>
      <c r="AR12" s="168"/>
      <c r="AS12" s="165"/>
      <c r="AT12" s="190"/>
      <c r="AU12" s="167"/>
      <c r="AV12" s="165"/>
      <c r="AW12" s="173"/>
      <c r="AX12" s="173"/>
      <c r="AY12" s="190"/>
      <c r="AZ12" s="167"/>
      <c r="BA12" s="165"/>
      <c r="BB12" s="165"/>
      <c r="BC12" s="168"/>
      <c r="BD12" s="165"/>
      <c r="BE12" s="165"/>
      <c r="BF12" s="173"/>
      <c r="BG12" s="304"/>
      <c r="BH12" s="601"/>
      <c r="BI12" s="165"/>
      <c r="BJ12" s="167"/>
      <c r="BK12" s="165"/>
      <c r="BL12" s="190"/>
      <c r="BM12" s="167"/>
      <c r="BN12" s="165"/>
      <c r="BO12" s="173"/>
      <c r="BP12" s="190"/>
      <c r="BQ12" s="173"/>
      <c r="BR12" s="168"/>
      <c r="BS12" s="165"/>
      <c r="BT12" s="167"/>
      <c r="BU12" s="165"/>
      <c r="BV12" s="190"/>
      <c r="BW12" s="173"/>
      <c r="BX12" s="173"/>
      <c r="BY12" s="167"/>
      <c r="BZ12" s="165"/>
      <c r="CA12" s="173"/>
      <c r="CB12" s="190"/>
      <c r="CC12" s="167"/>
      <c r="CD12" s="165"/>
      <c r="CE12" s="173"/>
      <c r="CF12" s="173"/>
      <c r="CG12" s="168"/>
      <c r="CH12" s="165"/>
      <c r="CI12" s="167"/>
    </row>
    <row r="13" spans="1:87" x14ac:dyDescent="0.3">
      <c r="A13" s="10">
        <v>110</v>
      </c>
      <c r="B13" s="11" t="s">
        <v>154</v>
      </c>
      <c r="C13" s="471">
        <v>1224</v>
      </c>
      <c r="D13" s="54">
        <v>656</v>
      </c>
      <c r="E13" s="367">
        <f t="shared" si="0"/>
        <v>0.53594771241830064</v>
      </c>
      <c r="F13" s="45">
        <v>328</v>
      </c>
      <c r="G13" s="45">
        <v>79</v>
      </c>
      <c r="H13" s="45">
        <v>273</v>
      </c>
      <c r="I13" s="45">
        <v>277</v>
      </c>
      <c r="J13" s="46">
        <v>115</v>
      </c>
      <c r="K13" s="165"/>
      <c r="L13" s="304"/>
      <c r="M13" s="601"/>
      <c r="N13" s="165"/>
      <c r="O13" s="165"/>
      <c r="P13" s="190"/>
      <c r="Q13" s="166"/>
      <c r="R13" s="166"/>
      <c r="S13" s="169"/>
      <c r="T13" s="165"/>
      <c r="U13" s="165"/>
      <c r="V13" s="168"/>
      <c r="W13" s="169"/>
      <c r="X13" s="173"/>
      <c r="Y13" s="190"/>
      <c r="Z13" s="167"/>
      <c r="AA13" s="165"/>
      <c r="AB13" s="166"/>
      <c r="AC13" s="169"/>
      <c r="AD13" s="165"/>
      <c r="AE13" s="165"/>
      <c r="AF13" s="167"/>
      <c r="AG13" s="168"/>
      <c r="AH13" s="165"/>
      <c r="AI13" s="167"/>
      <c r="AJ13" s="165"/>
      <c r="AK13" s="173"/>
      <c r="AL13" s="167"/>
      <c r="AM13" s="165"/>
      <c r="AN13" s="173"/>
      <c r="AO13" s="173"/>
      <c r="AP13" s="168"/>
      <c r="AQ13" s="165"/>
      <c r="AR13" s="168"/>
      <c r="AS13" s="165"/>
      <c r="AT13" s="190"/>
      <c r="AU13" s="167"/>
      <c r="AV13" s="165"/>
      <c r="AW13" s="173"/>
      <c r="AX13" s="173"/>
      <c r="AY13" s="190"/>
      <c r="AZ13" s="167"/>
      <c r="BA13" s="165"/>
      <c r="BB13" s="165"/>
      <c r="BC13" s="168"/>
      <c r="BD13" s="165"/>
      <c r="BE13" s="165"/>
      <c r="BF13" s="173"/>
      <c r="BG13" s="304"/>
      <c r="BH13" s="601"/>
      <c r="BI13" s="165"/>
      <c r="BJ13" s="167"/>
      <c r="BK13" s="165"/>
      <c r="BL13" s="190"/>
      <c r="BM13" s="167"/>
      <c r="BN13" s="165"/>
      <c r="BO13" s="173"/>
      <c r="BP13" s="190"/>
      <c r="BQ13" s="173"/>
      <c r="BR13" s="168"/>
      <c r="BS13" s="165"/>
      <c r="BT13" s="167"/>
      <c r="BU13" s="165"/>
      <c r="BV13" s="190"/>
      <c r="BW13" s="173"/>
      <c r="BX13" s="173"/>
      <c r="BY13" s="167"/>
      <c r="BZ13" s="165"/>
      <c r="CA13" s="173"/>
      <c r="CB13" s="190"/>
      <c r="CC13" s="167"/>
      <c r="CD13" s="165"/>
      <c r="CE13" s="173"/>
      <c r="CF13" s="173"/>
      <c r="CG13" s="168"/>
      <c r="CH13" s="165"/>
      <c r="CI13" s="167"/>
    </row>
    <row r="14" spans="1:87" x14ac:dyDescent="0.3">
      <c r="A14" s="10">
        <v>111</v>
      </c>
      <c r="B14" s="11" t="s">
        <v>155</v>
      </c>
      <c r="C14" s="471">
        <v>1212</v>
      </c>
      <c r="D14" s="54">
        <v>545</v>
      </c>
      <c r="E14" s="367">
        <f t="shared" si="0"/>
        <v>0.44966996699669964</v>
      </c>
      <c r="F14" s="45">
        <v>309</v>
      </c>
      <c r="G14" s="45">
        <v>96</v>
      </c>
      <c r="H14" s="45">
        <v>289</v>
      </c>
      <c r="I14" s="45">
        <v>285</v>
      </c>
      <c r="J14" s="46">
        <v>80</v>
      </c>
      <c r="K14" s="165"/>
      <c r="L14" s="304"/>
      <c r="M14" s="601"/>
      <c r="N14" s="165"/>
      <c r="O14" s="165"/>
      <c r="P14" s="190"/>
      <c r="Q14" s="166"/>
      <c r="R14" s="166"/>
      <c r="S14" s="169"/>
      <c r="T14" s="165"/>
      <c r="U14" s="165"/>
      <c r="V14" s="168"/>
      <c r="W14" s="169"/>
      <c r="X14" s="173"/>
      <c r="Y14" s="190"/>
      <c r="Z14" s="167"/>
      <c r="AA14" s="165"/>
      <c r="AB14" s="166"/>
      <c r="AC14" s="169"/>
      <c r="AD14" s="165"/>
      <c r="AE14" s="165"/>
      <c r="AF14" s="167"/>
      <c r="AG14" s="168"/>
      <c r="AH14" s="165"/>
      <c r="AI14" s="167"/>
      <c r="AJ14" s="165"/>
      <c r="AK14" s="173"/>
      <c r="AL14" s="167"/>
      <c r="AM14" s="165"/>
      <c r="AN14" s="173"/>
      <c r="AO14" s="173"/>
      <c r="AP14" s="168"/>
      <c r="AQ14" s="165"/>
      <c r="AR14" s="168"/>
      <c r="AS14" s="165"/>
      <c r="AT14" s="190"/>
      <c r="AU14" s="167"/>
      <c r="AV14" s="165"/>
      <c r="AW14" s="173"/>
      <c r="AX14" s="173"/>
      <c r="AY14" s="190"/>
      <c r="AZ14" s="167"/>
      <c r="BA14" s="165"/>
      <c r="BB14" s="165"/>
      <c r="BC14" s="168"/>
      <c r="BD14" s="165"/>
      <c r="BE14" s="165"/>
      <c r="BF14" s="173"/>
      <c r="BG14" s="304"/>
      <c r="BH14" s="601"/>
      <c r="BI14" s="165"/>
      <c r="BJ14" s="167"/>
      <c r="BK14" s="165"/>
      <c r="BL14" s="190"/>
      <c r="BM14" s="167"/>
      <c r="BN14" s="165"/>
      <c r="BO14" s="173"/>
      <c r="BP14" s="190"/>
      <c r="BQ14" s="173"/>
      <c r="BR14" s="168"/>
      <c r="BS14" s="165"/>
      <c r="BT14" s="167"/>
      <c r="BU14" s="165"/>
      <c r="BV14" s="190"/>
      <c r="BW14" s="173"/>
      <c r="BX14" s="173"/>
      <c r="BY14" s="167"/>
      <c r="BZ14" s="165"/>
      <c r="CA14" s="173"/>
      <c r="CB14" s="190"/>
      <c r="CC14" s="167"/>
      <c r="CD14" s="165"/>
      <c r="CE14" s="173"/>
      <c r="CF14" s="173"/>
      <c r="CG14" s="168"/>
      <c r="CH14" s="165"/>
      <c r="CI14" s="167"/>
    </row>
    <row r="15" spans="1:87" x14ac:dyDescent="0.3">
      <c r="A15" s="10">
        <v>112</v>
      </c>
      <c r="B15" s="11" t="s">
        <v>156</v>
      </c>
      <c r="C15" s="471">
        <v>685</v>
      </c>
      <c r="D15" s="54">
        <v>421</v>
      </c>
      <c r="E15" s="367">
        <f t="shared" si="0"/>
        <v>0.61459854014598536</v>
      </c>
      <c r="F15" s="45">
        <v>218</v>
      </c>
      <c r="G15" s="45">
        <v>99</v>
      </c>
      <c r="H15" s="45">
        <v>205</v>
      </c>
      <c r="I15" s="45">
        <v>181</v>
      </c>
      <c r="J15" s="46">
        <v>71</v>
      </c>
      <c r="K15" s="165"/>
      <c r="L15" s="304"/>
      <c r="M15" s="601"/>
      <c r="N15" s="165"/>
      <c r="O15" s="165"/>
      <c r="P15" s="190"/>
      <c r="Q15" s="166"/>
      <c r="R15" s="166"/>
      <c r="S15" s="169"/>
      <c r="T15" s="165"/>
      <c r="U15" s="165"/>
      <c r="V15" s="168"/>
      <c r="W15" s="169"/>
      <c r="X15" s="173"/>
      <c r="Y15" s="190"/>
      <c r="Z15" s="167"/>
      <c r="AA15" s="165"/>
      <c r="AB15" s="166"/>
      <c r="AC15" s="169"/>
      <c r="AD15" s="165"/>
      <c r="AE15" s="165"/>
      <c r="AF15" s="167"/>
      <c r="AG15" s="168"/>
      <c r="AH15" s="165"/>
      <c r="AI15" s="167"/>
      <c r="AJ15" s="165"/>
      <c r="AK15" s="173"/>
      <c r="AL15" s="167"/>
      <c r="AM15" s="165"/>
      <c r="AN15" s="173"/>
      <c r="AO15" s="173"/>
      <c r="AP15" s="168"/>
      <c r="AQ15" s="165"/>
      <c r="AR15" s="168"/>
      <c r="AS15" s="165"/>
      <c r="AT15" s="190"/>
      <c r="AU15" s="167"/>
      <c r="AV15" s="165"/>
      <c r="AW15" s="173"/>
      <c r="AX15" s="173"/>
      <c r="AY15" s="190"/>
      <c r="AZ15" s="167"/>
      <c r="BA15" s="165"/>
      <c r="BB15" s="165"/>
      <c r="BC15" s="168"/>
      <c r="BD15" s="165"/>
      <c r="BE15" s="165"/>
      <c r="BF15" s="173"/>
      <c r="BG15" s="304"/>
      <c r="BH15" s="601"/>
      <c r="BI15" s="165"/>
      <c r="BJ15" s="167"/>
      <c r="BK15" s="165"/>
      <c r="BL15" s="190"/>
      <c r="BM15" s="167"/>
      <c r="BN15" s="165"/>
      <c r="BO15" s="173"/>
      <c r="BP15" s="190"/>
      <c r="BQ15" s="173"/>
      <c r="BR15" s="168"/>
      <c r="BS15" s="165"/>
      <c r="BT15" s="167"/>
      <c r="BU15" s="165"/>
      <c r="BV15" s="190"/>
      <c r="BW15" s="173"/>
      <c r="BX15" s="173"/>
      <c r="BY15" s="167"/>
      <c r="BZ15" s="165"/>
      <c r="CA15" s="173"/>
      <c r="CB15" s="190"/>
      <c r="CC15" s="167"/>
      <c r="CD15" s="165"/>
      <c r="CE15" s="173"/>
      <c r="CF15" s="173"/>
      <c r="CG15" s="168"/>
      <c r="CH15" s="165"/>
      <c r="CI15" s="167"/>
    </row>
    <row r="16" spans="1:87" x14ac:dyDescent="0.3">
      <c r="A16" s="10">
        <v>113</v>
      </c>
      <c r="B16" s="11" t="s">
        <v>157</v>
      </c>
      <c r="C16" s="471">
        <v>998</v>
      </c>
      <c r="D16" s="54">
        <v>585</v>
      </c>
      <c r="E16" s="367">
        <f t="shared" si="0"/>
        <v>0.58617234468937873</v>
      </c>
      <c r="F16" s="45">
        <v>272</v>
      </c>
      <c r="G16" s="45">
        <v>69</v>
      </c>
      <c r="H16" s="45">
        <v>272</v>
      </c>
      <c r="I16" s="45">
        <v>234</v>
      </c>
      <c r="J16" s="46">
        <v>98</v>
      </c>
      <c r="K16" s="165"/>
      <c r="L16" s="304"/>
      <c r="M16" s="601"/>
      <c r="N16" s="165"/>
      <c r="O16" s="165"/>
      <c r="P16" s="190"/>
      <c r="Q16" s="166"/>
      <c r="R16" s="166"/>
      <c r="S16" s="169"/>
      <c r="T16" s="165"/>
      <c r="U16" s="165"/>
      <c r="V16" s="168"/>
      <c r="W16" s="169"/>
      <c r="X16" s="173"/>
      <c r="Y16" s="190"/>
      <c r="Z16" s="167"/>
      <c r="AA16" s="165"/>
      <c r="AB16" s="166"/>
      <c r="AC16" s="169"/>
      <c r="AD16" s="165"/>
      <c r="AE16" s="165"/>
      <c r="AF16" s="167"/>
      <c r="AG16" s="168"/>
      <c r="AH16" s="165"/>
      <c r="AI16" s="167"/>
      <c r="AJ16" s="165"/>
      <c r="AK16" s="173"/>
      <c r="AL16" s="167"/>
      <c r="AM16" s="165"/>
      <c r="AN16" s="173"/>
      <c r="AO16" s="173"/>
      <c r="AP16" s="168"/>
      <c r="AQ16" s="165"/>
      <c r="AR16" s="168"/>
      <c r="AS16" s="165"/>
      <c r="AT16" s="190"/>
      <c r="AU16" s="167"/>
      <c r="AV16" s="165"/>
      <c r="AW16" s="173"/>
      <c r="AX16" s="173"/>
      <c r="AY16" s="190"/>
      <c r="AZ16" s="167"/>
      <c r="BA16" s="165"/>
      <c r="BB16" s="165"/>
      <c r="BC16" s="168"/>
      <c r="BD16" s="165"/>
      <c r="BE16" s="165"/>
      <c r="BF16" s="173"/>
      <c r="BG16" s="304"/>
      <c r="BH16" s="601"/>
      <c r="BI16" s="165"/>
      <c r="BJ16" s="167"/>
      <c r="BK16" s="165"/>
      <c r="BL16" s="190"/>
      <c r="BM16" s="167"/>
      <c r="BN16" s="165"/>
      <c r="BO16" s="173"/>
      <c r="BP16" s="190"/>
      <c r="BQ16" s="173"/>
      <c r="BR16" s="168"/>
      <c r="BS16" s="165"/>
      <c r="BT16" s="167"/>
      <c r="BU16" s="165"/>
      <c r="BV16" s="190"/>
      <c r="BW16" s="173"/>
      <c r="BX16" s="173"/>
      <c r="BY16" s="167"/>
      <c r="BZ16" s="165"/>
      <c r="CA16" s="173"/>
      <c r="CB16" s="190"/>
      <c r="CC16" s="167"/>
      <c r="CD16" s="165"/>
      <c r="CE16" s="173"/>
      <c r="CF16" s="173"/>
      <c r="CG16" s="168"/>
      <c r="CH16" s="165"/>
      <c r="CI16" s="167"/>
    </row>
    <row r="17" spans="1:87" x14ac:dyDescent="0.3">
      <c r="A17" s="10">
        <v>201</v>
      </c>
      <c r="B17" s="11" t="s">
        <v>158</v>
      </c>
      <c r="C17" s="471">
        <v>1437</v>
      </c>
      <c r="D17" s="54">
        <v>606</v>
      </c>
      <c r="E17" s="367">
        <f t="shared" si="0"/>
        <v>0.42171189979123175</v>
      </c>
      <c r="F17" s="45">
        <v>348</v>
      </c>
      <c r="G17" s="45">
        <v>113</v>
      </c>
      <c r="H17" s="45">
        <v>266</v>
      </c>
      <c r="I17" s="45">
        <v>346</v>
      </c>
      <c r="J17" s="46">
        <v>50</v>
      </c>
      <c r="K17" s="165"/>
      <c r="L17" s="304"/>
      <c r="M17" s="601"/>
      <c r="N17" s="165"/>
      <c r="O17" s="165"/>
      <c r="P17" s="190"/>
      <c r="Q17" s="166"/>
      <c r="R17" s="166"/>
      <c r="S17" s="169"/>
      <c r="T17" s="165"/>
      <c r="U17" s="165"/>
      <c r="V17" s="168"/>
      <c r="W17" s="169"/>
      <c r="X17" s="173"/>
      <c r="Y17" s="190"/>
      <c r="Z17" s="167"/>
      <c r="AA17" s="165"/>
      <c r="AB17" s="166"/>
      <c r="AC17" s="169"/>
      <c r="AD17" s="165"/>
      <c r="AE17" s="165"/>
      <c r="AF17" s="167"/>
      <c r="AG17" s="168"/>
      <c r="AH17" s="165"/>
      <c r="AI17" s="167"/>
      <c r="AJ17" s="165"/>
      <c r="AK17" s="173"/>
      <c r="AL17" s="167"/>
      <c r="AM17" s="165"/>
      <c r="AN17" s="173"/>
      <c r="AO17" s="173"/>
      <c r="AP17" s="168"/>
      <c r="AQ17" s="165"/>
      <c r="AR17" s="168"/>
      <c r="AS17" s="165"/>
      <c r="AT17" s="190"/>
      <c r="AU17" s="167"/>
      <c r="AV17" s="165"/>
      <c r="AW17" s="173"/>
      <c r="AX17" s="173"/>
      <c r="AY17" s="190"/>
      <c r="AZ17" s="167"/>
      <c r="BA17" s="165"/>
      <c r="BB17" s="165"/>
      <c r="BC17" s="168"/>
      <c r="BD17" s="165"/>
      <c r="BE17" s="165"/>
      <c r="BF17" s="173"/>
      <c r="BG17" s="304"/>
      <c r="BH17" s="601"/>
      <c r="BI17" s="165"/>
      <c r="BJ17" s="167"/>
      <c r="BK17" s="165"/>
      <c r="BL17" s="190"/>
      <c r="BM17" s="167"/>
      <c r="BN17" s="165"/>
      <c r="BO17" s="173"/>
      <c r="BP17" s="190"/>
      <c r="BQ17" s="173"/>
      <c r="BR17" s="168"/>
      <c r="BS17" s="165"/>
      <c r="BT17" s="167"/>
      <c r="BU17" s="165"/>
      <c r="BV17" s="190"/>
      <c r="BW17" s="173"/>
      <c r="BX17" s="173"/>
      <c r="BY17" s="167"/>
      <c r="BZ17" s="165"/>
      <c r="CA17" s="173"/>
      <c r="CB17" s="190"/>
      <c r="CC17" s="167"/>
      <c r="CD17" s="165"/>
      <c r="CE17" s="173"/>
      <c r="CF17" s="173"/>
      <c r="CG17" s="168"/>
      <c r="CH17" s="165"/>
      <c r="CI17" s="167"/>
    </row>
    <row r="18" spans="1:87" x14ac:dyDescent="0.3">
      <c r="A18" s="10">
        <v>202</v>
      </c>
      <c r="B18" s="11" t="s">
        <v>159</v>
      </c>
      <c r="C18" s="471">
        <v>1689</v>
      </c>
      <c r="D18" s="54">
        <v>720</v>
      </c>
      <c r="E18" s="367">
        <f t="shared" si="0"/>
        <v>0.42628774422735344</v>
      </c>
      <c r="F18" s="45">
        <v>408</v>
      </c>
      <c r="G18" s="45">
        <v>157</v>
      </c>
      <c r="H18" s="45">
        <v>297</v>
      </c>
      <c r="I18" s="45">
        <v>424</v>
      </c>
      <c r="J18" s="46">
        <v>74</v>
      </c>
      <c r="K18" s="165"/>
      <c r="L18" s="304"/>
      <c r="M18" s="601"/>
      <c r="N18" s="165"/>
      <c r="O18" s="165"/>
      <c r="P18" s="190"/>
      <c r="Q18" s="166"/>
      <c r="R18" s="166"/>
      <c r="S18" s="169"/>
      <c r="T18" s="165"/>
      <c r="U18" s="165"/>
      <c r="V18" s="168"/>
      <c r="W18" s="169"/>
      <c r="X18" s="173"/>
      <c r="Y18" s="190"/>
      <c r="Z18" s="167"/>
      <c r="AA18" s="165"/>
      <c r="AB18" s="166"/>
      <c r="AC18" s="169"/>
      <c r="AD18" s="165"/>
      <c r="AE18" s="165"/>
      <c r="AF18" s="167"/>
      <c r="AG18" s="168"/>
      <c r="AH18" s="165"/>
      <c r="AI18" s="167"/>
      <c r="AJ18" s="165"/>
      <c r="AK18" s="173"/>
      <c r="AL18" s="167"/>
      <c r="AM18" s="165"/>
      <c r="AN18" s="173"/>
      <c r="AO18" s="173"/>
      <c r="AP18" s="168"/>
      <c r="AQ18" s="165"/>
      <c r="AR18" s="168"/>
      <c r="AS18" s="165"/>
      <c r="AT18" s="190"/>
      <c r="AU18" s="167"/>
      <c r="AV18" s="165"/>
      <c r="AW18" s="173"/>
      <c r="AX18" s="173"/>
      <c r="AY18" s="190"/>
      <c r="AZ18" s="167"/>
      <c r="BA18" s="165"/>
      <c r="BB18" s="165"/>
      <c r="BC18" s="168"/>
      <c r="BD18" s="165"/>
      <c r="BE18" s="165"/>
      <c r="BF18" s="173"/>
      <c r="BG18" s="304"/>
      <c r="BH18" s="601"/>
      <c r="BI18" s="165"/>
      <c r="BJ18" s="167"/>
      <c r="BK18" s="165"/>
      <c r="BL18" s="190"/>
      <c r="BM18" s="167"/>
      <c r="BN18" s="165"/>
      <c r="BO18" s="173"/>
      <c r="BP18" s="190"/>
      <c r="BQ18" s="173"/>
      <c r="BR18" s="168"/>
      <c r="BS18" s="165"/>
      <c r="BT18" s="167"/>
      <c r="BU18" s="165"/>
      <c r="BV18" s="190"/>
      <c r="BW18" s="173"/>
      <c r="BX18" s="173"/>
      <c r="BY18" s="167"/>
      <c r="BZ18" s="165"/>
      <c r="CA18" s="173"/>
      <c r="CB18" s="190"/>
      <c r="CC18" s="167"/>
      <c r="CD18" s="165"/>
      <c r="CE18" s="173"/>
      <c r="CF18" s="173"/>
      <c r="CG18" s="168"/>
      <c r="CH18" s="165"/>
      <c r="CI18" s="167"/>
    </row>
    <row r="19" spans="1:87" x14ac:dyDescent="0.3">
      <c r="A19" s="10">
        <v>203</v>
      </c>
      <c r="B19" s="11" t="s">
        <v>160</v>
      </c>
      <c r="C19" s="471">
        <v>1255</v>
      </c>
      <c r="D19" s="54">
        <v>450</v>
      </c>
      <c r="E19" s="367">
        <f t="shared" si="0"/>
        <v>0.35856573705179284</v>
      </c>
      <c r="F19" s="45">
        <v>237</v>
      </c>
      <c r="G19" s="45">
        <v>74</v>
      </c>
      <c r="H19" s="45">
        <v>194</v>
      </c>
      <c r="I19" s="45">
        <v>226</v>
      </c>
      <c r="J19" s="46">
        <v>44</v>
      </c>
      <c r="K19" s="165"/>
      <c r="L19" s="304"/>
      <c r="M19" s="601"/>
      <c r="N19" s="165"/>
      <c r="O19" s="165"/>
      <c r="P19" s="190"/>
      <c r="Q19" s="166"/>
      <c r="R19" s="166"/>
      <c r="S19" s="169"/>
      <c r="T19" s="165"/>
      <c r="U19" s="165"/>
      <c r="V19" s="168"/>
      <c r="W19" s="169"/>
      <c r="X19" s="173"/>
      <c r="Y19" s="190"/>
      <c r="Z19" s="167"/>
      <c r="AA19" s="165"/>
      <c r="AB19" s="166"/>
      <c r="AC19" s="169"/>
      <c r="AD19" s="165"/>
      <c r="AE19" s="165"/>
      <c r="AF19" s="167"/>
      <c r="AG19" s="168"/>
      <c r="AH19" s="165"/>
      <c r="AI19" s="167"/>
      <c r="AJ19" s="165"/>
      <c r="AK19" s="173"/>
      <c r="AL19" s="167"/>
      <c r="AM19" s="165"/>
      <c r="AN19" s="173"/>
      <c r="AO19" s="173"/>
      <c r="AP19" s="168"/>
      <c r="AQ19" s="165"/>
      <c r="AR19" s="168"/>
      <c r="AS19" s="165"/>
      <c r="AT19" s="190"/>
      <c r="AU19" s="167"/>
      <c r="AV19" s="165"/>
      <c r="AW19" s="173"/>
      <c r="AX19" s="173"/>
      <c r="AY19" s="190"/>
      <c r="AZ19" s="167"/>
      <c r="BA19" s="165"/>
      <c r="BB19" s="165"/>
      <c r="BC19" s="168"/>
      <c r="BD19" s="165"/>
      <c r="BE19" s="165"/>
      <c r="BF19" s="173"/>
      <c r="BG19" s="304"/>
      <c r="BH19" s="601"/>
      <c r="BI19" s="165"/>
      <c r="BJ19" s="167"/>
      <c r="BK19" s="165"/>
      <c r="BL19" s="190"/>
      <c r="BM19" s="167"/>
      <c r="BN19" s="165"/>
      <c r="BO19" s="173"/>
      <c r="BP19" s="190"/>
      <c r="BQ19" s="173"/>
      <c r="BR19" s="168"/>
      <c r="BS19" s="165"/>
      <c r="BT19" s="167"/>
      <c r="BU19" s="165"/>
      <c r="BV19" s="190"/>
      <c r="BW19" s="173"/>
      <c r="BX19" s="173"/>
      <c r="BY19" s="167"/>
      <c r="BZ19" s="165"/>
      <c r="CA19" s="173"/>
      <c r="CB19" s="190"/>
      <c r="CC19" s="167"/>
      <c r="CD19" s="165"/>
      <c r="CE19" s="173"/>
      <c r="CF19" s="173"/>
      <c r="CG19" s="168"/>
      <c r="CH19" s="165"/>
      <c r="CI19" s="167"/>
    </row>
    <row r="20" spans="1:87" x14ac:dyDescent="0.3">
      <c r="A20" s="10">
        <v>204</v>
      </c>
      <c r="B20" s="11" t="s">
        <v>161</v>
      </c>
      <c r="C20" s="471">
        <v>1355</v>
      </c>
      <c r="D20" s="54">
        <v>692</v>
      </c>
      <c r="E20" s="367">
        <f t="shared" si="0"/>
        <v>0.51070110701107008</v>
      </c>
      <c r="F20" s="45">
        <v>382</v>
      </c>
      <c r="G20" s="45">
        <v>141</v>
      </c>
      <c r="H20" s="45">
        <v>323</v>
      </c>
      <c r="I20" s="45">
        <v>384</v>
      </c>
      <c r="J20" s="46">
        <v>67</v>
      </c>
      <c r="K20" s="165"/>
      <c r="L20" s="304"/>
      <c r="M20" s="601"/>
      <c r="N20" s="165"/>
      <c r="O20" s="165"/>
      <c r="P20" s="190"/>
      <c r="Q20" s="166"/>
      <c r="R20" s="166"/>
      <c r="S20" s="169"/>
      <c r="T20" s="165"/>
      <c r="U20" s="165"/>
      <c r="V20" s="168"/>
      <c r="W20" s="169"/>
      <c r="X20" s="173"/>
      <c r="Y20" s="190"/>
      <c r="Z20" s="167"/>
      <c r="AA20" s="165"/>
      <c r="AB20" s="166"/>
      <c r="AC20" s="169"/>
      <c r="AD20" s="165"/>
      <c r="AE20" s="165"/>
      <c r="AF20" s="167"/>
      <c r="AG20" s="168"/>
      <c r="AH20" s="165"/>
      <c r="AI20" s="167"/>
      <c r="AJ20" s="165"/>
      <c r="AK20" s="173"/>
      <c r="AL20" s="167"/>
      <c r="AM20" s="165"/>
      <c r="AN20" s="173"/>
      <c r="AO20" s="173"/>
      <c r="AP20" s="168"/>
      <c r="AQ20" s="165"/>
      <c r="AR20" s="168"/>
      <c r="AS20" s="165"/>
      <c r="AT20" s="190"/>
      <c r="AU20" s="167"/>
      <c r="AV20" s="165"/>
      <c r="AW20" s="173"/>
      <c r="AX20" s="173"/>
      <c r="AY20" s="190"/>
      <c r="AZ20" s="167"/>
      <c r="BA20" s="165"/>
      <c r="BB20" s="165"/>
      <c r="BC20" s="168"/>
      <c r="BD20" s="165"/>
      <c r="BE20" s="165"/>
      <c r="BF20" s="173"/>
      <c r="BG20" s="304"/>
      <c r="BH20" s="601"/>
      <c r="BI20" s="165"/>
      <c r="BJ20" s="167"/>
      <c r="BK20" s="165"/>
      <c r="BL20" s="190"/>
      <c r="BM20" s="167"/>
      <c r="BN20" s="165"/>
      <c r="BO20" s="173"/>
      <c r="BP20" s="190"/>
      <c r="BQ20" s="173"/>
      <c r="BR20" s="168"/>
      <c r="BS20" s="165"/>
      <c r="BT20" s="167"/>
      <c r="BU20" s="165"/>
      <c r="BV20" s="190"/>
      <c r="BW20" s="173"/>
      <c r="BX20" s="173"/>
      <c r="BY20" s="167"/>
      <c r="BZ20" s="165"/>
      <c r="CA20" s="173"/>
      <c r="CB20" s="190"/>
      <c r="CC20" s="167"/>
      <c r="CD20" s="165"/>
      <c r="CE20" s="173"/>
      <c r="CF20" s="173"/>
      <c r="CG20" s="168"/>
      <c r="CH20" s="165"/>
      <c r="CI20" s="167"/>
    </row>
    <row r="21" spans="1:87" x14ac:dyDescent="0.3">
      <c r="A21" s="10">
        <v>205</v>
      </c>
      <c r="B21" s="11" t="s">
        <v>162</v>
      </c>
      <c r="C21" s="471">
        <v>1293</v>
      </c>
      <c r="D21" s="54">
        <v>725</v>
      </c>
      <c r="E21" s="367">
        <f t="shared" si="0"/>
        <v>0.56071152358855381</v>
      </c>
      <c r="F21" s="45">
        <v>379</v>
      </c>
      <c r="G21" s="45">
        <v>128</v>
      </c>
      <c r="H21" s="45">
        <v>338</v>
      </c>
      <c r="I21" s="45">
        <v>337</v>
      </c>
      <c r="J21" s="46">
        <v>111</v>
      </c>
      <c r="K21" s="165"/>
      <c r="L21" s="304"/>
      <c r="M21" s="601"/>
      <c r="N21" s="165"/>
      <c r="O21" s="165"/>
      <c r="P21" s="190"/>
      <c r="Q21" s="166"/>
      <c r="R21" s="166"/>
      <c r="S21" s="169"/>
      <c r="T21" s="165"/>
      <c r="U21" s="165"/>
      <c r="V21" s="168"/>
      <c r="W21" s="169"/>
      <c r="X21" s="173"/>
      <c r="Y21" s="190"/>
      <c r="Z21" s="167"/>
      <c r="AA21" s="165"/>
      <c r="AB21" s="166"/>
      <c r="AC21" s="169"/>
      <c r="AD21" s="165"/>
      <c r="AE21" s="165"/>
      <c r="AF21" s="167"/>
      <c r="AG21" s="168"/>
      <c r="AH21" s="165"/>
      <c r="AI21" s="167"/>
      <c r="AJ21" s="165"/>
      <c r="AK21" s="173"/>
      <c r="AL21" s="167"/>
      <c r="AM21" s="165"/>
      <c r="AN21" s="173"/>
      <c r="AO21" s="173"/>
      <c r="AP21" s="168"/>
      <c r="AQ21" s="165"/>
      <c r="AR21" s="168"/>
      <c r="AS21" s="165"/>
      <c r="AT21" s="190"/>
      <c r="AU21" s="167"/>
      <c r="AV21" s="165"/>
      <c r="AW21" s="173"/>
      <c r="AX21" s="173"/>
      <c r="AY21" s="190"/>
      <c r="AZ21" s="167"/>
      <c r="BA21" s="165"/>
      <c r="BB21" s="165"/>
      <c r="BC21" s="168"/>
      <c r="BD21" s="165"/>
      <c r="BE21" s="165"/>
      <c r="BF21" s="173"/>
      <c r="BG21" s="304"/>
      <c r="BH21" s="601"/>
      <c r="BI21" s="165"/>
      <c r="BJ21" s="167"/>
      <c r="BK21" s="165"/>
      <c r="BL21" s="190"/>
      <c r="BM21" s="167"/>
      <c r="BN21" s="165"/>
      <c r="BO21" s="173"/>
      <c r="BP21" s="190"/>
      <c r="BQ21" s="173"/>
      <c r="BR21" s="168"/>
      <c r="BS21" s="165"/>
      <c r="BT21" s="167"/>
      <c r="BU21" s="165"/>
      <c r="BV21" s="190"/>
      <c r="BW21" s="173"/>
      <c r="BX21" s="173"/>
      <c r="BY21" s="167"/>
      <c r="BZ21" s="165"/>
      <c r="CA21" s="173"/>
      <c r="CB21" s="190"/>
      <c r="CC21" s="167"/>
      <c r="CD21" s="165"/>
      <c r="CE21" s="173"/>
      <c r="CF21" s="173"/>
      <c r="CG21" s="168"/>
      <c r="CH21" s="165"/>
      <c r="CI21" s="167"/>
    </row>
    <row r="22" spans="1:87" x14ac:dyDescent="0.3">
      <c r="A22" s="10">
        <v>206</v>
      </c>
      <c r="B22" s="11" t="s">
        <v>163</v>
      </c>
      <c r="C22" s="471">
        <v>1407</v>
      </c>
      <c r="D22" s="54">
        <v>673</v>
      </c>
      <c r="E22" s="367">
        <f t="shared" si="0"/>
        <v>0.47832267235252313</v>
      </c>
      <c r="F22" s="45">
        <v>408</v>
      </c>
      <c r="G22" s="45">
        <v>128</v>
      </c>
      <c r="H22" s="45">
        <v>327</v>
      </c>
      <c r="I22" s="45">
        <v>421</v>
      </c>
      <c r="J22" s="46">
        <v>55</v>
      </c>
      <c r="K22" s="165"/>
      <c r="L22" s="304"/>
      <c r="M22" s="601"/>
      <c r="N22" s="165"/>
      <c r="O22" s="165"/>
      <c r="P22" s="190"/>
      <c r="Q22" s="166"/>
      <c r="R22" s="166"/>
      <c r="S22" s="169"/>
      <c r="T22" s="165"/>
      <c r="U22" s="165"/>
      <c r="V22" s="168"/>
      <c r="W22" s="169"/>
      <c r="X22" s="173"/>
      <c r="Y22" s="190"/>
      <c r="Z22" s="167"/>
      <c r="AA22" s="165"/>
      <c r="AB22" s="166"/>
      <c r="AC22" s="169"/>
      <c r="AD22" s="165"/>
      <c r="AE22" s="165"/>
      <c r="AF22" s="167"/>
      <c r="AG22" s="168"/>
      <c r="AH22" s="165"/>
      <c r="AI22" s="167"/>
      <c r="AJ22" s="165"/>
      <c r="AK22" s="173"/>
      <c r="AL22" s="167"/>
      <c r="AM22" s="165"/>
      <c r="AN22" s="173"/>
      <c r="AO22" s="173"/>
      <c r="AP22" s="168"/>
      <c r="AQ22" s="165"/>
      <c r="AR22" s="168"/>
      <c r="AS22" s="165"/>
      <c r="AT22" s="190"/>
      <c r="AU22" s="167"/>
      <c r="AV22" s="165"/>
      <c r="AW22" s="173"/>
      <c r="AX22" s="173"/>
      <c r="AY22" s="190"/>
      <c r="AZ22" s="167"/>
      <c r="BA22" s="165"/>
      <c r="BB22" s="165"/>
      <c r="BC22" s="168"/>
      <c r="BD22" s="165"/>
      <c r="BE22" s="165"/>
      <c r="BF22" s="173"/>
      <c r="BG22" s="304"/>
      <c r="BH22" s="601"/>
      <c r="BI22" s="165"/>
      <c r="BJ22" s="167"/>
      <c r="BK22" s="165"/>
      <c r="BL22" s="190"/>
      <c r="BM22" s="167"/>
      <c r="BN22" s="165"/>
      <c r="BO22" s="173"/>
      <c r="BP22" s="190"/>
      <c r="BQ22" s="173"/>
      <c r="BR22" s="168"/>
      <c r="BS22" s="165"/>
      <c r="BT22" s="167"/>
      <c r="BU22" s="165"/>
      <c r="BV22" s="190"/>
      <c r="BW22" s="173"/>
      <c r="BX22" s="173"/>
      <c r="BY22" s="167"/>
      <c r="BZ22" s="165"/>
      <c r="CA22" s="173"/>
      <c r="CB22" s="190"/>
      <c r="CC22" s="167"/>
      <c r="CD22" s="165"/>
      <c r="CE22" s="173"/>
      <c r="CF22" s="173"/>
      <c r="CG22" s="168"/>
      <c r="CH22" s="165"/>
      <c r="CI22" s="167"/>
    </row>
    <row r="23" spans="1:87" x14ac:dyDescent="0.3">
      <c r="A23" s="10">
        <v>207</v>
      </c>
      <c r="B23" s="11" t="s">
        <v>164</v>
      </c>
      <c r="C23" s="471">
        <v>1309</v>
      </c>
      <c r="D23" s="54">
        <v>709</v>
      </c>
      <c r="E23" s="367">
        <f t="shared" si="0"/>
        <v>0.54163483575248283</v>
      </c>
      <c r="F23" s="45">
        <v>384</v>
      </c>
      <c r="G23" s="45">
        <v>134</v>
      </c>
      <c r="H23" s="45">
        <v>340</v>
      </c>
      <c r="I23" s="45">
        <v>316</v>
      </c>
      <c r="J23" s="46">
        <v>107</v>
      </c>
      <c r="K23" s="165"/>
      <c r="L23" s="304"/>
      <c r="M23" s="601"/>
      <c r="N23" s="165"/>
      <c r="O23" s="165"/>
      <c r="P23" s="190"/>
      <c r="Q23" s="166"/>
      <c r="R23" s="166"/>
      <c r="S23" s="169"/>
      <c r="T23" s="165"/>
      <c r="U23" s="165"/>
      <c r="V23" s="168"/>
      <c r="W23" s="169"/>
      <c r="X23" s="173"/>
      <c r="Y23" s="190"/>
      <c r="Z23" s="167"/>
      <c r="AA23" s="165"/>
      <c r="AB23" s="166"/>
      <c r="AC23" s="169"/>
      <c r="AD23" s="165"/>
      <c r="AE23" s="165"/>
      <c r="AF23" s="167"/>
      <c r="AG23" s="168"/>
      <c r="AH23" s="165"/>
      <c r="AI23" s="167"/>
      <c r="AJ23" s="165"/>
      <c r="AK23" s="173"/>
      <c r="AL23" s="167"/>
      <c r="AM23" s="165"/>
      <c r="AN23" s="173"/>
      <c r="AO23" s="173"/>
      <c r="AP23" s="168"/>
      <c r="AQ23" s="165"/>
      <c r="AR23" s="168"/>
      <c r="AS23" s="165"/>
      <c r="AT23" s="190"/>
      <c r="AU23" s="167"/>
      <c r="AV23" s="165"/>
      <c r="AW23" s="173"/>
      <c r="AX23" s="173"/>
      <c r="AY23" s="190"/>
      <c r="AZ23" s="167"/>
      <c r="BA23" s="165"/>
      <c r="BB23" s="165"/>
      <c r="BC23" s="168"/>
      <c r="BD23" s="165"/>
      <c r="BE23" s="165"/>
      <c r="BF23" s="173"/>
      <c r="BG23" s="304"/>
      <c r="BH23" s="601"/>
      <c r="BI23" s="165"/>
      <c r="BJ23" s="167"/>
      <c r="BK23" s="165"/>
      <c r="BL23" s="190"/>
      <c r="BM23" s="167"/>
      <c r="BN23" s="165"/>
      <c r="BO23" s="173"/>
      <c r="BP23" s="190"/>
      <c r="BQ23" s="173"/>
      <c r="BR23" s="168"/>
      <c r="BS23" s="165"/>
      <c r="BT23" s="167"/>
      <c r="BU23" s="165"/>
      <c r="BV23" s="190"/>
      <c r="BW23" s="173"/>
      <c r="BX23" s="173"/>
      <c r="BY23" s="167"/>
      <c r="BZ23" s="165"/>
      <c r="CA23" s="173"/>
      <c r="CB23" s="190"/>
      <c r="CC23" s="167"/>
      <c r="CD23" s="165"/>
      <c r="CE23" s="173"/>
      <c r="CF23" s="173"/>
      <c r="CG23" s="168"/>
      <c r="CH23" s="165"/>
      <c r="CI23" s="167"/>
    </row>
    <row r="24" spans="1:87" x14ac:dyDescent="0.3">
      <c r="A24" s="10">
        <v>208</v>
      </c>
      <c r="B24" s="11" t="s">
        <v>165</v>
      </c>
      <c r="C24" s="471">
        <v>958</v>
      </c>
      <c r="D24" s="54">
        <v>422</v>
      </c>
      <c r="E24" s="367">
        <f t="shared" si="0"/>
        <v>0.44050104384133609</v>
      </c>
      <c r="F24" s="45">
        <v>228</v>
      </c>
      <c r="G24" s="45">
        <v>87</v>
      </c>
      <c r="H24" s="45">
        <v>189</v>
      </c>
      <c r="I24" s="45">
        <v>225</v>
      </c>
      <c r="J24" s="46">
        <v>27</v>
      </c>
      <c r="K24" s="165"/>
      <c r="L24" s="304"/>
      <c r="M24" s="601"/>
      <c r="N24" s="165"/>
      <c r="O24" s="165"/>
      <c r="P24" s="190"/>
      <c r="Q24" s="166"/>
      <c r="R24" s="166"/>
      <c r="S24" s="169"/>
      <c r="T24" s="165"/>
      <c r="U24" s="165"/>
      <c r="V24" s="168"/>
      <c r="W24" s="169"/>
      <c r="X24" s="173"/>
      <c r="Y24" s="190"/>
      <c r="Z24" s="167"/>
      <c r="AA24" s="165"/>
      <c r="AB24" s="166"/>
      <c r="AC24" s="169"/>
      <c r="AD24" s="165"/>
      <c r="AE24" s="165"/>
      <c r="AF24" s="167"/>
      <c r="AG24" s="168"/>
      <c r="AH24" s="165"/>
      <c r="AI24" s="167"/>
      <c r="AJ24" s="165"/>
      <c r="AK24" s="173"/>
      <c r="AL24" s="167"/>
      <c r="AM24" s="165"/>
      <c r="AN24" s="173"/>
      <c r="AO24" s="173"/>
      <c r="AP24" s="168"/>
      <c r="AQ24" s="165"/>
      <c r="AR24" s="168"/>
      <c r="AS24" s="165"/>
      <c r="AT24" s="190"/>
      <c r="AU24" s="167"/>
      <c r="AV24" s="165"/>
      <c r="AW24" s="173"/>
      <c r="AX24" s="173"/>
      <c r="AY24" s="190"/>
      <c r="AZ24" s="167"/>
      <c r="BA24" s="165"/>
      <c r="BB24" s="165"/>
      <c r="BC24" s="168"/>
      <c r="BD24" s="165"/>
      <c r="BE24" s="165"/>
      <c r="BF24" s="173"/>
      <c r="BG24" s="304"/>
      <c r="BH24" s="601"/>
      <c r="BI24" s="165"/>
      <c r="BJ24" s="167"/>
      <c r="BK24" s="165"/>
      <c r="BL24" s="190"/>
      <c r="BM24" s="167"/>
      <c r="BN24" s="165"/>
      <c r="BO24" s="173"/>
      <c r="BP24" s="190"/>
      <c r="BQ24" s="173"/>
      <c r="BR24" s="168"/>
      <c r="BS24" s="165"/>
      <c r="BT24" s="167"/>
      <c r="BU24" s="165"/>
      <c r="BV24" s="190"/>
      <c r="BW24" s="173"/>
      <c r="BX24" s="173"/>
      <c r="BY24" s="167"/>
      <c r="BZ24" s="165"/>
      <c r="CA24" s="173"/>
      <c r="CB24" s="190"/>
      <c r="CC24" s="167"/>
      <c r="CD24" s="165"/>
      <c r="CE24" s="173"/>
      <c r="CF24" s="173"/>
      <c r="CG24" s="168"/>
      <c r="CH24" s="165"/>
      <c r="CI24" s="167"/>
    </row>
    <row r="25" spans="1:87" x14ac:dyDescent="0.3">
      <c r="A25" s="10">
        <v>209</v>
      </c>
      <c r="B25" s="11" t="s">
        <v>166</v>
      </c>
      <c r="C25" s="471">
        <v>1172</v>
      </c>
      <c r="D25" s="54">
        <v>634</v>
      </c>
      <c r="E25" s="367">
        <f t="shared" si="0"/>
        <v>0.54095563139931746</v>
      </c>
      <c r="F25" s="45">
        <v>362</v>
      </c>
      <c r="G25" s="45">
        <v>115</v>
      </c>
      <c r="H25" s="45">
        <v>289</v>
      </c>
      <c r="I25" s="45">
        <v>349</v>
      </c>
      <c r="J25" s="46">
        <v>64</v>
      </c>
      <c r="K25" s="165"/>
      <c r="L25" s="304"/>
      <c r="M25" s="601"/>
      <c r="N25" s="165"/>
      <c r="O25" s="165"/>
      <c r="P25" s="190"/>
      <c r="Q25" s="166"/>
      <c r="R25" s="166"/>
      <c r="S25" s="169"/>
      <c r="T25" s="165"/>
      <c r="U25" s="165"/>
      <c r="V25" s="168"/>
      <c r="W25" s="169"/>
      <c r="X25" s="173"/>
      <c r="Y25" s="190"/>
      <c r="Z25" s="167"/>
      <c r="AA25" s="165"/>
      <c r="AB25" s="166"/>
      <c r="AC25" s="169"/>
      <c r="AD25" s="165"/>
      <c r="AE25" s="165"/>
      <c r="AF25" s="167"/>
      <c r="AG25" s="168"/>
      <c r="AH25" s="165"/>
      <c r="AI25" s="167"/>
      <c r="AJ25" s="165"/>
      <c r="AK25" s="173"/>
      <c r="AL25" s="167"/>
      <c r="AM25" s="165"/>
      <c r="AN25" s="173"/>
      <c r="AO25" s="173"/>
      <c r="AP25" s="168"/>
      <c r="AQ25" s="165"/>
      <c r="AR25" s="168"/>
      <c r="AS25" s="165"/>
      <c r="AT25" s="190"/>
      <c r="AU25" s="167"/>
      <c r="AV25" s="165"/>
      <c r="AW25" s="173"/>
      <c r="AX25" s="173"/>
      <c r="AY25" s="190"/>
      <c r="AZ25" s="167"/>
      <c r="BA25" s="165"/>
      <c r="BB25" s="165"/>
      <c r="BC25" s="168"/>
      <c r="BD25" s="165"/>
      <c r="BE25" s="165"/>
      <c r="BF25" s="173"/>
      <c r="BG25" s="304"/>
      <c r="BH25" s="601"/>
      <c r="BI25" s="165"/>
      <c r="BJ25" s="167"/>
      <c r="BK25" s="165"/>
      <c r="BL25" s="190"/>
      <c r="BM25" s="167"/>
      <c r="BN25" s="165"/>
      <c r="BO25" s="173"/>
      <c r="BP25" s="190"/>
      <c r="BQ25" s="173"/>
      <c r="BR25" s="168"/>
      <c r="BS25" s="165"/>
      <c r="BT25" s="167"/>
      <c r="BU25" s="165"/>
      <c r="BV25" s="190"/>
      <c r="BW25" s="173"/>
      <c r="BX25" s="173"/>
      <c r="BY25" s="167"/>
      <c r="BZ25" s="165"/>
      <c r="CA25" s="173"/>
      <c r="CB25" s="190"/>
      <c r="CC25" s="167"/>
      <c r="CD25" s="165"/>
      <c r="CE25" s="173"/>
      <c r="CF25" s="173"/>
      <c r="CG25" s="168"/>
      <c r="CH25" s="165"/>
      <c r="CI25" s="167"/>
    </row>
    <row r="26" spans="1:87" x14ac:dyDescent="0.3">
      <c r="A26" s="10">
        <v>210</v>
      </c>
      <c r="B26" s="11" t="s">
        <v>167</v>
      </c>
      <c r="C26" s="471">
        <v>1392</v>
      </c>
      <c r="D26" s="54">
        <v>726</v>
      </c>
      <c r="E26" s="367">
        <f t="shared" si="0"/>
        <v>0.52155172413793105</v>
      </c>
      <c r="F26" s="45">
        <v>373</v>
      </c>
      <c r="G26" s="45">
        <v>124</v>
      </c>
      <c r="H26" s="45">
        <v>342</v>
      </c>
      <c r="I26" s="45">
        <v>359</v>
      </c>
      <c r="J26" s="46">
        <v>83</v>
      </c>
      <c r="K26" s="165"/>
      <c r="L26" s="304"/>
      <c r="M26" s="601"/>
      <c r="N26" s="165"/>
      <c r="O26" s="165"/>
      <c r="P26" s="190"/>
      <c r="Q26" s="166"/>
      <c r="R26" s="166"/>
      <c r="S26" s="169"/>
      <c r="T26" s="165"/>
      <c r="U26" s="165"/>
      <c r="V26" s="168"/>
      <c r="W26" s="169"/>
      <c r="X26" s="173"/>
      <c r="Y26" s="190"/>
      <c r="Z26" s="167"/>
      <c r="AA26" s="165"/>
      <c r="AB26" s="166"/>
      <c r="AC26" s="169"/>
      <c r="AD26" s="165"/>
      <c r="AE26" s="165"/>
      <c r="AF26" s="167"/>
      <c r="AG26" s="168"/>
      <c r="AH26" s="165"/>
      <c r="AI26" s="167"/>
      <c r="AJ26" s="165"/>
      <c r="AK26" s="173"/>
      <c r="AL26" s="167"/>
      <c r="AM26" s="165"/>
      <c r="AN26" s="173"/>
      <c r="AO26" s="173"/>
      <c r="AP26" s="168"/>
      <c r="AQ26" s="165"/>
      <c r="AR26" s="168"/>
      <c r="AS26" s="165"/>
      <c r="AT26" s="190"/>
      <c r="AU26" s="167"/>
      <c r="AV26" s="165"/>
      <c r="AW26" s="173"/>
      <c r="AX26" s="173"/>
      <c r="AY26" s="190"/>
      <c r="AZ26" s="167"/>
      <c r="BA26" s="165"/>
      <c r="BB26" s="165"/>
      <c r="BC26" s="168"/>
      <c r="BD26" s="165"/>
      <c r="BE26" s="165"/>
      <c r="BF26" s="173"/>
      <c r="BG26" s="304"/>
      <c r="BH26" s="601"/>
      <c r="BI26" s="165"/>
      <c r="BJ26" s="167"/>
      <c r="BK26" s="165"/>
      <c r="BL26" s="190"/>
      <c r="BM26" s="167"/>
      <c r="BN26" s="165"/>
      <c r="BO26" s="173"/>
      <c r="BP26" s="190"/>
      <c r="BQ26" s="173"/>
      <c r="BR26" s="168"/>
      <c r="BS26" s="165"/>
      <c r="BT26" s="167"/>
      <c r="BU26" s="165"/>
      <c r="BV26" s="190"/>
      <c r="BW26" s="173"/>
      <c r="BX26" s="173"/>
      <c r="BY26" s="167"/>
      <c r="BZ26" s="165"/>
      <c r="CA26" s="173"/>
      <c r="CB26" s="190"/>
      <c r="CC26" s="167"/>
      <c r="CD26" s="165"/>
      <c r="CE26" s="173"/>
      <c r="CF26" s="173"/>
      <c r="CG26" s="168"/>
      <c r="CH26" s="165"/>
      <c r="CI26" s="167"/>
    </row>
    <row r="27" spans="1:87" x14ac:dyDescent="0.3">
      <c r="A27" s="10">
        <v>211</v>
      </c>
      <c r="B27" s="11" t="s">
        <v>168</v>
      </c>
      <c r="C27" s="471">
        <v>1479</v>
      </c>
      <c r="D27" s="54">
        <v>778</v>
      </c>
      <c r="E27" s="367">
        <f t="shared" si="0"/>
        <v>0.52603110209601078</v>
      </c>
      <c r="F27" s="45">
        <v>432</v>
      </c>
      <c r="G27" s="45">
        <v>115</v>
      </c>
      <c r="H27" s="45">
        <v>393</v>
      </c>
      <c r="I27" s="45">
        <v>426</v>
      </c>
      <c r="J27" s="46">
        <v>80</v>
      </c>
      <c r="K27" s="165"/>
      <c r="L27" s="304"/>
      <c r="M27" s="601"/>
      <c r="N27" s="165"/>
      <c r="O27" s="165"/>
      <c r="P27" s="190"/>
      <c r="Q27" s="166"/>
      <c r="R27" s="166"/>
      <c r="S27" s="169"/>
      <c r="T27" s="165"/>
      <c r="U27" s="165"/>
      <c r="V27" s="168"/>
      <c r="W27" s="169"/>
      <c r="X27" s="173"/>
      <c r="Y27" s="190"/>
      <c r="Z27" s="167"/>
      <c r="AA27" s="165"/>
      <c r="AB27" s="166"/>
      <c r="AC27" s="169"/>
      <c r="AD27" s="165"/>
      <c r="AE27" s="165"/>
      <c r="AF27" s="167"/>
      <c r="AG27" s="168"/>
      <c r="AH27" s="165"/>
      <c r="AI27" s="167"/>
      <c r="AJ27" s="165"/>
      <c r="AK27" s="173"/>
      <c r="AL27" s="167"/>
      <c r="AM27" s="165"/>
      <c r="AN27" s="173"/>
      <c r="AO27" s="173"/>
      <c r="AP27" s="168"/>
      <c r="AQ27" s="165"/>
      <c r="AR27" s="168"/>
      <c r="AS27" s="165"/>
      <c r="AT27" s="190"/>
      <c r="AU27" s="167"/>
      <c r="AV27" s="165"/>
      <c r="AW27" s="173"/>
      <c r="AX27" s="173"/>
      <c r="AY27" s="190"/>
      <c r="AZ27" s="167"/>
      <c r="BA27" s="165"/>
      <c r="BB27" s="165"/>
      <c r="BC27" s="168"/>
      <c r="BD27" s="165"/>
      <c r="BE27" s="165"/>
      <c r="BF27" s="173"/>
      <c r="BG27" s="304"/>
      <c r="BH27" s="601"/>
      <c r="BI27" s="165"/>
      <c r="BJ27" s="167"/>
      <c r="BK27" s="165"/>
      <c r="BL27" s="190"/>
      <c r="BM27" s="167"/>
      <c r="BN27" s="165"/>
      <c r="BO27" s="173"/>
      <c r="BP27" s="190"/>
      <c r="BQ27" s="173"/>
      <c r="BR27" s="168"/>
      <c r="BS27" s="165"/>
      <c r="BT27" s="167"/>
      <c r="BU27" s="165"/>
      <c r="BV27" s="190"/>
      <c r="BW27" s="173"/>
      <c r="BX27" s="173"/>
      <c r="BY27" s="167"/>
      <c r="BZ27" s="165"/>
      <c r="CA27" s="173"/>
      <c r="CB27" s="190"/>
      <c r="CC27" s="167"/>
      <c r="CD27" s="165"/>
      <c r="CE27" s="173"/>
      <c r="CF27" s="173"/>
      <c r="CG27" s="168"/>
      <c r="CH27" s="165"/>
      <c r="CI27" s="167"/>
    </row>
    <row r="28" spans="1:87" x14ac:dyDescent="0.3">
      <c r="A28" s="10">
        <v>301</v>
      </c>
      <c r="B28" s="11" t="s">
        <v>169</v>
      </c>
      <c r="C28" s="471">
        <v>1403</v>
      </c>
      <c r="D28" s="54">
        <v>479</v>
      </c>
      <c r="E28" s="367">
        <f t="shared" si="0"/>
        <v>0.3414112615823236</v>
      </c>
      <c r="F28" s="45">
        <v>309</v>
      </c>
      <c r="G28" s="45">
        <v>117</v>
      </c>
      <c r="H28" s="45">
        <v>182</v>
      </c>
      <c r="I28" s="45">
        <v>323</v>
      </c>
      <c r="J28" s="46">
        <v>24</v>
      </c>
      <c r="K28" s="165"/>
      <c r="L28" s="304"/>
      <c r="M28" s="601"/>
      <c r="N28" s="165"/>
      <c r="O28" s="165"/>
      <c r="P28" s="190"/>
      <c r="Q28" s="166"/>
      <c r="R28" s="166"/>
      <c r="S28" s="169"/>
      <c r="T28" s="165"/>
      <c r="U28" s="165"/>
      <c r="V28" s="168"/>
      <c r="W28" s="169"/>
      <c r="X28" s="173"/>
      <c r="Y28" s="190"/>
      <c r="Z28" s="167"/>
      <c r="AA28" s="165"/>
      <c r="AB28" s="166"/>
      <c r="AC28" s="169"/>
      <c r="AD28" s="165"/>
      <c r="AE28" s="165"/>
      <c r="AF28" s="167"/>
      <c r="AG28" s="168"/>
      <c r="AH28" s="165"/>
      <c r="AI28" s="167"/>
      <c r="AJ28" s="165"/>
      <c r="AK28" s="173"/>
      <c r="AL28" s="167"/>
      <c r="AM28" s="165"/>
      <c r="AN28" s="173"/>
      <c r="AO28" s="173"/>
      <c r="AP28" s="168"/>
      <c r="AQ28" s="165"/>
      <c r="AR28" s="168"/>
      <c r="AS28" s="165"/>
      <c r="AT28" s="190"/>
      <c r="AU28" s="167"/>
      <c r="AV28" s="165"/>
      <c r="AW28" s="173"/>
      <c r="AX28" s="173"/>
      <c r="AY28" s="190"/>
      <c r="AZ28" s="167"/>
      <c r="BA28" s="165"/>
      <c r="BB28" s="165"/>
      <c r="BC28" s="168"/>
      <c r="BD28" s="165"/>
      <c r="BE28" s="165"/>
      <c r="BF28" s="173"/>
      <c r="BG28" s="304"/>
      <c r="BH28" s="601"/>
      <c r="BI28" s="165"/>
      <c r="BJ28" s="167"/>
      <c r="BK28" s="165"/>
      <c r="BL28" s="190"/>
      <c r="BM28" s="167"/>
      <c r="BN28" s="165"/>
      <c r="BO28" s="173"/>
      <c r="BP28" s="190"/>
      <c r="BQ28" s="173"/>
      <c r="BR28" s="168"/>
      <c r="BS28" s="165"/>
      <c r="BT28" s="167"/>
      <c r="BU28" s="165"/>
      <c r="BV28" s="190"/>
      <c r="BW28" s="173"/>
      <c r="BX28" s="173"/>
      <c r="BY28" s="167"/>
      <c r="BZ28" s="165"/>
      <c r="CA28" s="173"/>
      <c r="CB28" s="190"/>
      <c r="CC28" s="167"/>
      <c r="CD28" s="165"/>
      <c r="CE28" s="173"/>
      <c r="CF28" s="173"/>
      <c r="CG28" s="168"/>
      <c r="CH28" s="165"/>
      <c r="CI28" s="167"/>
    </row>
    <row r="29" spans="1:87" x14ac:dyDescent="0.3">
      <c r="A29" s="10">
        <v>302</v>
      </c>
      <c r="B29" s="11" t="s">
        <v>170</v>
      </c>
      <c r="C29" s="471">
        <v>874</v>
      </c>
      <c r="D29" s="54">
        <v>465</v>
      </c>
      <c r="E29" s="367">
        <f t="shared" si="0"/>
        <v>0.53203661327231122</v>
      </c>
      <c r="F29" s="45">
        <v>248</v>
      </c>
      <c r="G29" s="45">
        <v>67</v>
      </c>
      <c r="H29" s="45">
        <v>214</v>
      </c>
      <c r="I29" s="45">
        <v>220</v>
      </c>
      <c r="J29" s="46">
        <v>60</v>
      </c>
      <c r="K29" s="165"/>
      <c r="L29" s="304"/>
      <c r="M29" s="601"/>
      <c r="N29" s="165"/>
      <c r="O29" s="165"/>
      <c r="P29" s="190"/>
      <c r="Q29" s="166"/>
      <c r="R29" s="166"/>
      <c r="S29" s="169"/>
      <c r="T29" s="165"/>
      <c r="U29" s="165"/>
      <c r="V29" s="168"/>
      <c r="W29" s="169"/>
      <c r="X29" s="173"/>
      <c r="Y29" s="190"/>
      <c r="Z29" s="167"/>
      <c r="AA29" s="165"/>
      <c r="AB29" s="166"/>
      <c r="AC29" s="169"/>
      <c r="AD29" s="165"/>
      <c r="AE29" s="165"/>
      <c r="AF29" s="167"/>
      <c r="AG29" s="168"/>
      <c r="AH29" s="165"/>
      <c r="AI29" s="167"/>
      <c r="AJ29" s="165"/>
      <c r="AK29" s="173"/>
      <c r="AL29" s="167"/>
      <c r="AM29" s="165"/>
      <c r="AN29" s="173"/>
      <c r="AO29" s="173"/>
      <c r="AP29" s="168"/>
      <c r="AQ29" s="165"/>
      <c r="AR29" s="168"/>
      <c r="AS29" s="165"/>
      <c r="AT29" s="190"/>
      <c r="AU29" s="167"/>
      <c r="AV29" s="165"/>
      <c r="AW29" s="173"/>
      <c r="AX29" s="173"/>
      <c r="AY29" s="190"/>
      <c r="AZ29" s="167"/>
      <c r="BA29" s="165"/>
      <c r="BB29" s="165"/>
      <c r="BC29" s="168"/>
      <c r="BD29" s="165"/>
      <c r="BE29" s="165"/>
      <c r="BF29" s="173"/>
      <c r="BG29" s="304"/>
      <c r="BH29" s="601"/>
      <c r="BI29" s="165"/>
      <c r="BJ29" s="167"/>
      <c r="BK29" s="165"/>
      <c r="BL29" s="190"/>
      <c r="BM29" s="167"/>
      <c r="BN29" s="165"/>
      <c r="BO29" s="173"/>
      <c r="BP29" s="190"/>
      <c r="BQ29" s="173"/>
      <c r="BR29" s="168"/>
      <c r="BS29" s="165"/>
      <c r="BT29" s="167"/>
      <c r="BU29" s="165"/>
      <c r="BV29" s="190"/>
      <c r="BW29" s="173"/>
      <c r="BX29" s="173"/>
      <c r="BY29" s="167"/>
      <c r="BZ29" s="165"/>
      <c r="CA29" s="173"/>
      <c r="CB29" s="190"/>
      <c r="CC29" s="167"/>
      <c r="CD29" s="165"/>
      <c r="CE29" s="173"/>
      <c r="CF29" s="173"/>
      <c r="CG29" s="168"/>
      <c r="CH29" s="165"/>
      <c r="CI29" s="167"/>
    </row>
    <row r="30" spans="1:87" x14ac:dyDescent="0.3">
      <c r="A30" s="10">
        <v>303</v>
      </c>
      <c r="B30" s="11" t="s">
        <v>171</v>
      </c>
      <c r="C30" s="471">
        <v>1140</v>
      </c>
      <c r="D30" s="54">
        <v>607</v>
      </c>
      <c r="E30" s="367">
        <f t="shared" si="0"/>
        <v>0.53245614035087718</v>
      </c>
      <c r="F30" s="45">
        <v>355</v>
      </c>
      <c r="G30" s="45">
        <v>120</v>
      </c>
      <c r="H30" s="45">
        <v>284</v>
      </c>
      <c r="I30" s="45">
        <v>335</v>
      </c>
      <c r="J30" s="46">
        <v>70</v>
      </c>
      <c r="K30" s="165"/>
      <c r="L30" s="304"/>
      <c r="M30" s="601"/>
      <c r="N30" s="165"/>
      <c r="O30" s="165"/>
      <c r="P30" s="190"/>
      <c r="Q30" s="166"/>
      <c r="R30" s="166"/>
      <c r="S30" s="169"/>
      <c r="T30" s="165"/>
      <c r="U30" s="165"/>
      <c r="V30" s="168"/>
      <c r="W30" s="169"/>
      <c r="X30" s="173"/>
      <c r="Y30" s="190"/>
      <c r="Z30" s="167"/>
      <c r="AA30" s="165"/>
      <c r="AB30" s="166"/>
      <c r="AC30" s="169"/>
      <c r="AD30" s="165"/>
      <c r="AE30" s="165"/>
      <c r="AF30" s="167"/>
      <c r="AG30" s="168"/>
      <c r="AH30" s="165"/>
      <c r="AI30" s="167"/>
      <c r="AJ30" s="165"/>
      <c r="AK30" s="173"/>
      <c r="AL30" s="167"/>
      <c r="AM30" s="165"/>
      <c r="AN30" s="173"/>
      <c r="AO30" s="173"/>
      <c r="AP30" s="168"/>
      <c r="AQ30" s="165"/>
      <c r="AR30" s="168"/>
      <c r="AS30" s="165"/>
      <c r="AT30" s="190"/>
      <c r="AU30" s="167"/>
      <c r="AV30" s="165"/>
      <c r="AW30" s="173"/>
      <c r="AX30" s="173"/>
      <c r="AY30" s="190"/>
      <c r="AZ30" s="167"/>
      <c r="BA30" s="165"/>
      <c r="BB30" s="165"/>
      <c r="BC30" s="168"/>
      <c r="BD30" s="165"/>
      <c r="BE30" s="165"/>
      <c r="BF30" s="173"/>
      <c r="BG30" s="304"/>
      <c r="BH30" s="601"/>
      <c r="BI30" s="165"/>
      <c r="BJ30" s="167"/>
      <c r="BK30" s="165"/>
      <c r="BL30" s="190"/>
      <c r="BM30" s="167"/>
      <c r="BN30" s="165"/>
      <c r="BO30" s="173"/>
      <c r="BP30" s="190"/>
      <c r="BQ30" s="173"/>
      <c r="BR30" s="168"/>
      <c r="BS30" s="165"/>
      <c r="BT30" s="167"/>
      <c r="BU30" s="165"/>
      <c r="BV30" s="190"/>
      <c r="BW30" s="173"/>
      <c r="BX30" s="173"/>
      <c r="BY30" s="167"/>
      <c r="BZ30" s="165"/>
      <c r="CA30" s="173"/>
      <c r="CB30" s="190"/>
      <c r="CC30" s="167"/>
      <c r="CD30" s="165"/>
      <c r="CE30" s="173"/>
      <c r="CF30" s="173"/>
      <c r="CG30" s="168"/>
      <c r="CH30" s="165"/>
      <c r="CI30" s="167"/>
    </row>
    <row r="31" spans="1:87" x14ac:dyDescent="0.3">
      <c r="A31" s="10">
        <v>304</v>
      </c>
      <c r="B31" s="11" t="s">
        <v>172</v>
      </c>
      <c r="C31" s="471">
        <v>1536</v>
      </c>
      <c r="D31" s="54">
        <v>520</v>
      </c>
      <c r="E31" s="367">
        <f t="shared" si="0"/>
        <v>0.33854166666666669</v>
      </c>
      <c r="F31" s="45">
        <v>310</v>
      </c>
      <c r="G31" s="45">
        <v>103</v>
      </c>
      <c r="H31" s="45">
        <v>244</v>
      </c>
      <c r="I31" s="45">
        <v>353</v>
      </c>
      <c r="J31" s="46">
        <v>37</v>
      </c>
      <c r="K31" s="165"/>
      <c r="L31" s="304"/>
      <c r="M31" s="601"/>
      <c r="N31" s="165"/>
      <c r="O31" s="165"/>
      <c r="P31" s="190"/>
      <c r="Q31" s="166"/>
      <c r="R31" s="166"/>
      <c r="S31" s="169"/>
      <c r="T31" s="165"/>
      <c r="U31" s="165"/>
      <c r="V31" s="168"/>
      <c r="W31" s="169"/>
      <c r="X31" s="173"/>
      <c r="Y31" s="190"/>
      <c r="Z31" s="167"/>
      <c r="AA31" s="165"/>
      <c r="AB31" s="166"/>
      <c r="AC31" s="169"/>
      <c r="AD31" s="165"/>
      <c r="AE31" s="165"/>
      <c r="AF31" s="167"/>
      <c r="AG31" s="168"/>
      <c r="AH31" s="165"/>
      <c r="AI31" s="167"/>
      <c r="AJ31" s="165"/>
      <c r="AK31" s="173"/>
      <c r="AL31" s="167"/>
      <c r="AM31" s="165"/>
      <c r="AN31" s="173"/>
      <c r="AO31" s="173"/>
      <c r="AP31" s="168"/>
      <c r="AQ31" s="165"/>
      <c r="AR31" s="168"/>
      <c r="AS31" s="165"/>
      <c r="AT31" s="190"/>
      <c r="AU31" s="167"/>
      <c r="AV31" s="165"/>
      <c r="AW31" s="173"/>
      <c r="AX31" s="173"/>
      <c r="AY31" s="190"/>
      <c r="AZ31" s="167"/>
      <c r="BA31" s="165"/>
      <c r="BB31" s="165"/>
      <c r="BC31" s="168"/>
      <c r="BD31" s="165"/>
      <c r="BE31" s="165"/>
      <c r="BF31" s="173"/>
      <c r="BG31" s="304"/>
      <c r="BH31" s="601"/>
      <c r="BI31" s="165"/>
      <c r="BJ31" s="167"/>
      <c r="BK31" s="165"/>
      <c r="BL31" s="190"/>
      <c r="BM31" s="167"/>
      <c r="BN31" s="165"/>
      <c r="BO31" s="173"/>
      <c r="BP31" s="190"/>
      <c r="BQ31" s="173"/>
      <c r="BR31" s="168"/>
      <c r="BS31" s="165"/>
      <c r="BT31" s="167"/>
      <c r="BU31" s="165"/>
      <c r="BV31" s="190"/>
      <c r="BW31" s="173"/>
      <c r="BX31" s="173"/>
      <c r="BY31" s="167"/>
      <c r="BZ31" s="165"/>
      <c r="CA31" s="173"/>
      <c r="CB31" s="190"/>
      <c r="CC31" s="167"/>
      <c r="CD31" s="165"/>
      <c r="CE31" s="173"/>
      <c r="CF31" s="173"/>
      <c r="CG31" s="168"/>
      <c r="CH31" s="165"/>
      <c r="CI31" s="167"/>
    </row>
    <row r="32" spans="1:87" x14ac:dyDescent="0.3">
      <c r="A32" s="10">
        <v>305</v>
      </c>
      <c r="B32" s="11" t="s">
        <v>173</v>
      </c>
      <c r="C32" s="471">
        <v>1414</v>
      </c>
      <c r="D32" s="54">
        <v>492</v>
      </c>
      <c r="E32" s="367">
        <f t="shared" si="0"/>
        <v>0.34794908062234797</v>
      </c>
      <c r="F32" s="45">
        <v>325</v>
      </c>
      <c r="G32" s="45">
        <v>86</v>
      </c>
      <c r="H32" s="45">
        <v>247</v>
      </c>
      <c r="I32" s="45">
        <v>358</v>
      </c>
      <c r="J32" s="46">
        <v>35</v>
      </c>
      <c r="K32" s="165"/>
      <c r="L32" s="304"/>
      <c r="M32" s="601"/>
      <c r="N32" s="165"/>
      <c r="O32" s="165"/>
      <c r="P32" s="190"/>
      <c r="Q32" s="166"/>
      <c r="R32" s="166"/>
      <c r="S32" s="169"/>
      <c r="T32" s="165"/>
      <c r="U32" s="165"/>
      <c r="V32" s="168"/>
      <c r="W32" s="169"/>
      <c r="X32" s="173"/>
      <c r="Y32" s="190"/>
      <c r="Z32" s="167"/>
      <c r="AA32" s="165"/>
      <c r="AB32" s="166"/>
      <c r="AC32" s="169"/>
      <c r="AD32" s="165"/>
      <c r="AE32" s="165"/>
      <c r="AF32" s="167"/>
      <c r="AG32" s="168"/>
      <c r="AH32" s="165"/>
      <c r="AI32" s="167"/>
      <c r="AJ32" s="165"/>
      <c r="AK32" s="173"/>
      <c r="AL32" s="167"/>
      <c r="AM32" s="165"/>
      <c r="AN32" s="173"/>
      <c r="AO32" s="173"/>
      <c r="AP32" s="168"/>
      <c r="AQ32" s="165"/>
      <c r="AR32" s="168"/>
      <c r="AS32" s="165"/>
      <c r="AT32" s="190"/>
      <c r="AU32" s="167"/>
      <c r="AV32" s="165"/>
      <c r="AW32" s="173"/>
      <c r="AX32" s="173"/>
      <c r="AY32" s="190"/>
      <c r="AZ32" s="167"/>
      <c r="BA32" s="165"/>
      <c r="BB32" s="165"/>
      <c r="BC32" s="168"/>
      <c r="BD32" s="165"/>
      <c r="BE32" s="165"/>
      <c r="BF32" s="173"/>
      <c r="BG32" s="304"/>
      <c r="BH32" s="601"/>
      <c r="BI32" s="165"/>
      <c r="BJ32" s="167"/>
      <c r="BK32" s="165"/>
      <c r="BL32" s="190"/>
      <c r="BM32" s="167"/>
      <c r="BN32" s="165"/>
      <c r="BO32" s="173"/>
      <c r="BP32" s="190"/>
      <c r="BQ32" s="173"/>
      <c r="BR32" s="168"/>
      <c r="BS32" s="165"/>
      <c r="BT32" s="167"/>
      <c r="BU32" s="165"/>
      <c r="BV32" s="190"/>
      <c r="BW32" s="173"/>
      <c r="BX32" s="173"/>
      <c r="BY32" s="167"/>
      <c r="BZ32" s="165"/>
      <c r="CA32" s="173"/>
      <c r="CB32" s="190"/>
      <c r="CC32" s="167"/>
      <c r="CD32" s="165"/>
      <c r="CE32" s="173"/>
      <c r="CF32" s="173"/>
      <c r="CG32" s="168"/>
      <c r="CH32" s="165"/>
      <c r="CI32" s="167"/>
    </row>
    <row r="33" spans="1:87" x14ac:dyDescent="0.3">
      <c r="A33" s="10">
        <v>401</v>
      </c>
      <c r="B33" s="11" t="s">
        <v>174</v>
      </c>
      <c r="C33" s="471">
        <v>957</v>
      </c>
      <c r="D33" s="54">
        <v>610</v>
      </c>
      <c r="E33" s="367">
        <f t="shared" si="0"/>
        <v>0.63740856844305116</v>
      </c>
      <c r="F33" s="45">
        <v>376</v>
      </c>
      <c r="G33" s="45">
        <v>75</v>
      </c>
      <c r="H33" s="45">
        <v>327</v>
      </c>
      <c r="I33" s="45">
        <v>318</v>
      </c>
      <c r="J33" s="46">
        <v>71</v>
      </c>
      <c r="K33" s="165"/>
      <c r="L33" s="304"/>
      <c r="M33" s="601"/>
      <c r="N33" s="165"/>
      <c r="O33" s="165"/>
      <c r="P33" s="190"/>
      <c r="Q33" s="166"/>
      <c r="R33" s="166"/>
      <c r="S33" s="169"/>
      <c r="T33" s="165"/>
      <c r="U33" s="165"/>
      <c r="V33" s="168"/>
      <c r="W33" s="169"/>
      <c r="X33" s="173"/>
      <c r="Y33" s="190"/>
      <c r="Z33" s="167"/>
      <c r="AA33" s="165"/>
      <c r="AB33" s="166"/>
      <c r="AC33" s="169"/>
      <c r="AD33" s="165"/>
      <c r="AE33" s="165"/>
      <c r="AF33" s="167"/>
      <c r="AG33" s="168"/>
      <c r="AH33" s="165"/>
      <c r="AI33" s="167"/>
      <c r="AJ33" s="165"/>
      <c r="AK33" s="173"/>
      <c r="AL33" s="167"/>
      <c r="AM33" s="165"/>
      <c r="AN33" s="173"/>
      <c r="AO33" s="173"/>
      <c r="AP33" s="168"/>
      <c r="AQ33" s="165"/>
      <c r="AR33" s="168"/>
      <c r="AS33" s="165"/>
      <c r="AT33" s="190"/>
      <c r="AU33" s="167"/>
      <c r="AV33" s="165"/>
      <c r="AW33" s="173"/>
      <c r="AX33" s="173"/>
      <c r="AY33" s="190"/>
      <c r="AZ33" s="167"/>
      <c r="BA33" s="165"/>
      <c r="BB33" s="165"/>
      <c r="BC33" s="168"/>
      <c r="BD33" s="165"/>
      <c r="BE33" s="165"/>
      <c r="BF33" s="173"/>
      <c r="BG33" s="304"/>
      <c r="BH33" s="601"/>
      <c r="BI33" s="165"/>
      <c r="BJ33" s="167"/>
      <c r="BK33" s="165"/>
      <c r="BL33" s="190"/>
      <c r="BM33" s="167"/>
      <c r="BN33" s="165"/>
      <c r="BO33" s="173"/>
      <c r="BP33" s="190"/>
      <c r="BQ33" s="173"/>
      <c r="BR33" s="168"/>
      <c r="BS33" s="165"/>
      <c r="BT33" s="167"/>
      <c r="BU33" s="165"/>
      <c r="BV33" s="190"/>
      <c r="BW33" s="173"/>
      <c r="BX33" s="173"/>
      <c r="BY33" s="167"/>
      <c r="BZ33" s="165"/>
      <c r="CA33" s="173"/>
      <c r="CB33" s="190"/>
      <c r="CC33" s="167"/>
      <c r="CD33" s="165"/>
      <c r="CE33" s="173"/>
      <c r="CF33" s="173"/>
      <c r="CG33" s="168"/>
      <c r="CH33" s="165"/>
      <c r="CI33" s="167"/>
    </row>
    <row r="34" spans="1:87" x14ac:dyDescent="0.3">
      <c r="A34" s="10">
        <v>402</v>
      </c>
      <c r="B34" s="11" t="s">
        <v>175</v>
      </c>
      <c r="C34" s="471">
        <v>1078</v>
      </c>
      <c r="D34" s="54">
        <v>673</v>
      </c>
      <c r="E34" s="367">
        <f t="shared" si="0"/>
        <v>0.62430426716140996</v>
      </c>
      <c r="F34" s="45">
        <v>362</v>
      </c>
      <c r="G34" s="45">
        <v>101</v>
      </c>
      <c r="H34" s="45">
        <v>355</v>
      </c>
      <c r="I34" s="45">
        <v>334</v>
      </c>
      <c r="J34" s="46">
        <v>80</v>
      </c>
      <c r="K34" s="165"/>
      <c r="L34" s="304"/>
      <c r="M34" s="601"/>
      <c r="N34" s="165"/>
      <c r="O34" s="165"/>
      <c r="P34" s="190"/>
      <c r="Q34" s="166"/>
      <c r="R34" s="166"/>
      <c r="S34" s="169"/>
      <c r="T34" s="165"/>
      <c r="U34" s="165"/>
      <c r="V34" s="168"/>
      <c r="W34" s="169"/>
      <c r="X34" s="173"/>
      <c r="Y34" s="190"/>
      <c r="Z34" s="167"/>
      <c r="AA34" s="165"/>
      <c r="AB34" s="166"/>
      <c r="AC34" s="169"/>
      <c r="AD34" s="165"/>
      <c r="AE34" s="165"/>
      <c r="AF34" s="167"/>
      <c r="AG34" s="168"/>
      <c r="AH34" s="165"/>
      <c r="AI34" s="167"/>
      <c r="AJ34" s="165"/>
      <c r="AK34" s="173"/>
      <c r="AL34" s="167"/>
      <c r="AM34" s="165"/>
      <c r="AN34" s="173"/>
      <c r="AO34" s="173"/>
      <c r="AP34" s="168"/>
      <c r="AQ34" s="165"/>
      <c r="AR34" s="168"/>
      <c r="AS34" s="165"/>
      <c r="AT34" s="190"/>
      <c r="AU34" s="167"/>
      <c r="AV34" s="165"/>
      <c r="AW34" s="173"/>
      <c r="AX34" s="173"/>
      <c r="AY34" s="190"/>
      <c r="AZ34" s="167"/>
      <c r="BA34" s="165"/>
      <c r="BB34" s="165"/>
      <c r="BC34" s="168"/>
      <c r="BD34" s="165"/>
      <c r="BE34" s="165"/>
      <c r="BF34" s="173"/>
      <c r="BG34" s="304"/>
      <c r="BH34" s="601"/>
      <c r="BI34" s="165"/>
      <c r="BJ34" s="167"/>
      <c r="BK34" s="165"/>
      <c r="BL34" s="190"/>
      <c r="BM34" s="167"/>
      <c r="BN34" s="165"/>
      <c r="BO34" s="173"/>
      <c r="BP34" s="190"/>
      <c r="BQ34" s="173"/>
      <c r="BR34" s="168"/>
      <c r="BS34" s="165"/>
      <c r="BT34" s="167"/>
      <c r="BU34" s="165"/>
      <c r="BV34" s="190"/>
      <c r="BW34" s="173"/>
      <c r="BX34" s="173"/>
      <c r="BY34" s="167"/>
      <c r="BZ34" s="165"/>
      <c r="CA34" s="173"/>
      <c r="CB34" s="190"/>
      <c r="CC34" s="167"/>
      <c r="CD34" s="165"/>
      <c r="CE34" s="173"/>
      <c r="CF34" s="173"/>
      <c r="CG34" s="168"/>
      <c r="CH34" s="165"/>
      <c r="CI34" s="167"/>
    </row>
    <row r="35" spans="1:87" x14ac:dyDescent="0.3">
      <c r="A35" s="10">
        <v>403</v>
      </c>
      <c r="B35" s="11" t="s">
        <v>176</v>
      </c>
      <c r="C35" s="471">
        <v>920</v>
      </c>
      <c r="D35" s="54">
        <v>507</v>
      </c>
      <c r="E35" s="367">
        <f t="shared" si="0"/>
        <v>0.55108695652173911</v>
      </c>
      <c r="F35" s="45">
        <v>307</v>
      </c>
      <c r="G35" s="45">
        <v>68</v>
      </c>
      <c r="H35" s="45">
        <v>291</v>
      </c>
      <c r="I35" s="45">
        <v>278</v>
      </c>
      <c r="J35" s="46">
        <v>42</v>
      </c>
      <c r="K35" s="165"/>
      <c r="L35" s="304"/>
      <c r="M35" s="601"/>
      <c r="N35" s="165"/>
      <c r="O35" s="165"/>
      <c r="P35" s="190"/>
      <c r="Q35" s="166"/>
      <c r="R35" s="166"/>
      <c r="S35" s="169"/>
      <c r="T35" s="165"/>
      <c r="U35" s="165"/>
      <c r="V35" s="168"/>
      <c r="W35" s="169"/>
      <c r="X35" s="173"/>
      <c r="Y35" s="190"/>
      <c r="Z35" s="167"/>
      <c r="AA35" s="165"/>
      <c r="AB35" s="166"/>
      <c r="AC35" s="169"/>
      <c r="AD35" s="165"/>
      <c r="AE35" s="165"/>
      <c r="AF35" s="167"/>
      <c r="AG35" s="168"/>
      <c r="AH35" s="165"/>
      <c r="AI35" s="167"/>
      <c r="AJ35" s="165"/>
      <c r="AK35" s="173"/>
      <c r="AL35" s="167"/>
      <c r="AM35" s="165"/>
      <c r="AN35" s="173"/>
      <c r="AO35" s="173"/>
      <c r="AP35" s="168"/>
      <c r="AQ35" s="165"/>
      <c r="AR35" s="168"/>
      <c r="AS35" s="165"/>
      <c r="AT35" s="190"/>
      <c r="AU35" s="167"/>
      <c r="AV35" s="165"/>
      <c r="AW35" s="173"/>
      <c r="AX35" s="173"/>
      <c r="AY35" s="190"/>
      <c r="AZ35" s="167"/>
      <c r="BA35" s="165"/>
      <c r="BB35" s="165"/>
      <c r="BC35" s="168"/>
      <c r="BD35" s="165"/>
      <c r="BE35" s="165"/>
      <c r="BF35" s="173"/>
      <c r="BG35" s="304"/>
      <c r="BH35" s="601"/>
      <c r="BI35" s="165"/>
      <c r="BJ35" s="167"/>
      <c r="BK35" s="165"/>
      <c r="BL35" s="190"/>
      <c r="BM35" s="167"/>
      <c r="BN35" s="165"/>
      <c r="BO35" s="173"/>
      <c r="BP35" s="190"/>
      <c r="BQ35" s="173"/>
      <c r="BR35" s="168"/>
      <c r="BS35" s="165"/>
      <c r="BT35" s="167"/>
      <c r="BU35" s="165"/>
      <c r="BV35" s="190"/>
      <c r="BW35" s="173"/>
      <c r="BX35" s="173"/>
      <c r="BY35" s="167"/>
      <c r="BZ35" s="165"/>
      <c r="CA35" s="173"/>
      <c r="CB35" s="190"/>
      <c r="CC35" s="167"/>
      <c r="CD35" s="165"/>
      <c r="CE35" s="173"/>
      <c r="CF35" s="173"/>
      <c r="CG35" s="168"/>
      <c r="CH35" s="165"/>
      <c r="CI35" s="167"/>
    </row>
    <row r="36" spans="1:87" x14ac:dyDescent="0.3">
      <c r="A36" s="10">
        <v>404</v>
      </c>
      <c r="B36" s="11" t="s">
        <v>177</v>
      </c>
      <c r="C36" s="471">
        <v>1225</v>
      </c>
      <c r="D36" s="54">
        <v>756</v>
      </c>
      <c r="E36" s="367">
        <f t="shared" si="0"/>
        <v>0.6171428571428571</v>
      </c>
      <c r="F36" s="45">
        <v>374</v>
      </c>
      <c r="G36" s="45">
        <v>111</v>
      </c>
      <c r="H36" s="45">
        <v>355</v>
      </c>
      <c r="I36" s="45">
        <v>354</v>
      </c>
      <c r="J36" s="46">
        <v>87</v>
      </c>
      <c r="K36" s="165"/>
      <c r="L36" s="304"/>
      <c r="M36" s="601"/>
      <c r="N36" s="165"/>
      <c r="O36" s="165"/>
      <c r="P36" s="190"/>
      <c r="Q36" s="166"/>
      <c r="R36" s="166"/>
      <c r="S36" s="169"/>
      <c r="T36" s="165"/>
      <c r="U36" s="165"/>
      <c r="V36" s="168"/>
      <c r="W36" s="169"/>
      <c r="X36" s="173"/>
      <c r="Y36" s="190"/>
      <c r="Z36" s="167"/>
      <c r="AA36" s="165"/>
      <c r="AB36" s="166"/>
      <c r="AC36" s="169"/>
      <c r="AD36" s="165"/>
      <c r="AE36" s="165"/>
      <c r="AF36" s="167"/>
      <c r="AG36" s="168"/>
      <c r="AH36" s="165"/>
      <c r="AI36" s="167"/>
      <c r="AJ36" s="165"/>
      <c r="AK36" s="173"/>
      <c r="AL36" s="167"/>
      <c r="AM36" s="165"/>
      <c r="AN36" s="173"/>
      <c r="AO36" s="173"/>
      <c r="AP36" s="168"/>
      <c r="AQ36" s="165"/>
      <c r="AR36" s="168"/>
      <c r="AS36" s="165"/>
      <c r="AT36" s="190"/>
      <c r="AU36" s="167"/>
      <c r="AV36" s="165"/>
      <c r="AW36" s="173"/>
      <c r="AX36" s="173"/>
      <c r="AY36" s="190"/>
      <c r="AZ36" s="167"/>
      <c r="BA36" s="165"/>
      <c r="BB36" s="165"/>
      <c r="BC36" s="168"/>
      <c r="BD36" s="165"/>
      <c r="BE36" s="165"/>
      <c r="BF36" s="173"/>
      <c r="BG36" s="304"/>
      <c r="BH36" s="601"/>
      <c r="BI36" s="165"/>
      <c r="BJ36" s="167"/>
      <c r="BK36" s="165"/>
      <c r="BL36" s="190"/>
      <c r="BM36" s="167"/>
      <c r="BN36" s="165"/>
      <c r="BO36" s="173"/>
      <c r="BP36" s="190"/>
      <c r="BQ36" s="173"/>
      <c r="BR36" s="168"/>
      <c r="BS36" s="165"/>
      <c r="BT36" s="167"/>
      <c r="BU36" s="165"/>
      <c r="BV36" s="190"/>
      <c r="BW36" s="173"/>
      <c r="BX36" s="173"/>
      <c r="BY36" s="167"/>
      <c r="BZ36" s="165"/>
      <c r="CA36" s="173"/>
      <c r="CB36" s="190"/>
      <c r="CC36" s="167"/>
      <c r="CD36" s="165"/>
      <c r="CE36" s="173"/>
      <c r="CF36" s="173"/>
      <c r="CG36" s="168"/>
      <c r="CH36" s="165"/>
      <c r="CI36" s="167"/>
    </row>
    <row r="37" spans="1:87" x14ac:dyDescent="0.3">
      <c r="A37" s="10">
        <v>405</v>
      </c>
      <c r="B37" s="11" t="s">
        <v>178</v>
      </c>
      <c r="C37" s="471">
        <v>1185</v>
      </c>
      <c r="D37" s="54">
        <v>679</v>
      </c>
      <c r="E37" s="367">
        <f t="shared" si="0"/>
        <v>0.57299578059071732</v>
      </c>
      <c r="F37" s="45">
        <v>347</v>
      </c>
      <c r="G37" s="45">
        <v>89</v>
      </c>
      <c r="H37" s="45">
        <v>330</v>
      </c>
      <c r="I37" s="45">
        <v>306</v>
      </c>
      <c r="J37" s="46">
        <v>86</v>
      </c>
      <c r="K37" s="165"/>
      <c r="L37" s="304"/>
      <c r="M37" s="601"/>
      <c r="N37" s="165"/>
      <c r="O37" s="165"/>
      <c r="P37" s="190"/>
      <c r="Q37" s="166"/>
      <c r="R37" s="166"/>
      <c r="S37" s="169"/>
      <c r="T37" s="165"/>
      <c r="U37" s="165"/>
      <c r="V37" s="168"/>
      <c r="W37" s="169"/>
      <c r="X37" s="173"/>
      <c r="Y37" s="190"/>
      <c r="Z37" s="167"/>
      <c r="AA37" s="165"/>
      <c r="AB37" s="166"/>
      <c r="AC37" s="169"/>
      <c r="AD37" s="165"/>
      <c r="AE37" s="165"/>
      <c r="AF37" s="167"/>
      <c r="AG37" s="168"/>
      <c r="AH37" s="165"/>
      <c r="AI37" s="167"/>
      <c r="AJ37" s="165"/>
      <c r="AK37" s="173"/>
      <c r="AL37" s="167"/>
      <c r="AM37" s="165"/>
      <c r="AN37" s="173"/>
      <c r="AO37" s="173"/>
      <c r="AP37" s="168"/>
      <c r="AQ37" s="165"/>
      <c r="AR37" s="168"/>
      <c r="AS37" s="165"/>
      <c r="AT37" s="190"/>
      <c r="AU37" s="167"/>
      <c r="AV37" s="165"/>
      <c r="AW37" s="173"/>
      <c r="AX37" s="173"/>
      <c r="AY37" s="190"/>
      <c r="AZ37" s="167"/>
      <c r="BA37" s="165"/>
      <c r="BB37" s="165"/>
      <c r="BC37" s="168"/>
      <c r="BD37" s="165"/>
      <c r="BE37" s="165"/>
      <c r="BF37" s="173"/>
      <c r="BG37" s="304"/>
      <c r="BH37" s="601"/>
      <c r="BI37" s="165"/>
      <c r="BJ37" s="167"/>
      <c r="BK37" s="165"/>
      <c r="BL37" s="190"/>
      <c r="BM37" s="167"/>
      <c r="BN37" s="165"/>
      <c r="BO37" s="173"/>
      <c r="BP37" s="190"/>
      <c r="BQ37" s="173"/>
      <c r="BR37" s="168"/>
      <c r="BS37" s="165"/>
      <c r="BT37" s="167"/>
      <c r="BU37" s="165"/>
      <c r="BV37" s="190"/>
      <c r="BW37" s="173"/>
      <c r="BX37" s="173"/>
      <c r="BY37" s="167"/>
      <c r="BZ37" s="165"/>
      <c r="CA37" s="173"/>
      <c r="CB37" s="190"/>
      <c r="CC37" s="167"/>
      <c r="CD37" s="165"/>
      <c r="CE37" s="173"/>
      <c r="CF37" s="173"/>
      <c r="CG37" s="168"/>
      <c r="CH37" s="165"/>
      <c r="CI37" s="167"/>
    </row>
    <row r="38" spans="1:87" x14ac:dyDescent="0.3">
      <c r="A38" s="10">
        <v>406</v>
      </c>
      <c r="B38" s="11" t="s">
        <v>179</v>
      </c>
      <c r="C38" s="471">
        <v>1070</v>
      </c>
      <c r="D38" s="54">
        <v>632</v>
      </c>
      <c r="E38" s="367">
        <f t="shared" si="0"/>
        <v>0.59065420560747661</v>
      </c>
      <c r="F38" s="45">
        <v>335</v>
      </c>
      <c r="G38" s="45">
        <v>86</v>
      </c>
      <c r="H38" s="45">
        <v>322</v>
      </c>
      <c r="I38" s="45">
        <v>317</v>
      </c>
      <c r="J38" s="46">
        <v>78</v>
      </c>
      <c r="K38" s="165"/>
      <c r="L38" s="304"/>
      <c r="M38" s="601"/>
      <c r="N38" s="165"/>
      <c r="O38" s="165"/>
      <c r="P38" s="190"/>
      <c r="Q38" s="166"/>
      <c r="R38" s="166"/>
      <c r="S38" s="169"/>
      <c r="T38" s="165"/>
      <c r="U38" s="165"/>
      <c r="V38" s="168"/>
      <c r="W38" s="169"/>
      <c r="X38" s="173"/>
      <c r="Y38" s="190"/>
      <c r="Z38" s="167"/>
      <c r="AA38" s="165"/>
      <c r="AB38" s="166"/>
      <c r="AC38" s="169"/>
      <c r="AD38" s="165"/>
      <c r="AE38" s="165"/>
      <c r="AF38" s="167"/>
      <c r="AG38" s="168"/>
      <c r="AH38" s="165"/>
      <c r="AI38" s="167"/>
      <c r="AJ38" s="165"/>
      <c r="AK38" s="173"/>
      <c r="AL38" s="167"/>
      <c r="AM38" s="165"/>
      <c r="AN38" s="173"/>
      <c r="AO38" s="173"/>
      <c r="AP38" s="168"/>
      <c r="AQ38" s="165"/>
      <c r="AR38" s="168"/>
      <c r="AS38" s="165"/>
      <c r="AT38" s="190"/>
      <c r="AU38" s="167"/>
      <c r="AV38" s="165"/>
      <c r="AW38" s="173"/>
      <c r="AX38" s="173"/>
      <c r="AY38" s="190"/>
      <c r="AZ38" s="167"/>
      <c r="BA38" s="165"/>
      <c r="BB38" s="165"/>
      <c r="BC38" s="168"/>
      <c r="BD38" s="165"/>
      <c r="BE38" s="165"/>
      <c r="BF38" s="173"/>
      <c r="BG38" s="304"/>
      <c r="BH38" s="601"/>
      <c r="BI38" s="165"/>
      <c r="BJ38" s="167"/>
      <c r="BK38" s="165"/>
      <c r="BL38" s="190"/>
      <c r="BM38" s="167"/>
      <c r="BN38" s="165"/>
      <c r="BO38" s="173"/>
      <c r="BP38" s="190"/>
      <c r="BQ38" s="173"/>
      <c r="BR38" s="168"/>
      <c r="BS38" s="165"/>
      <c r="BT38" s="167"/>
      <c r="BU38" s="165"/>
      <c r="BV38" s="190"/>
      <c r="BW38" s="173"/>
      <c r="BX38" s="173"/>
      <c r="BY38" s="167"/>
      <c r="BZ38" s="165"/>
      <c r="CA38" s="173"/>
      <c r="CB38" s="190"/>
      <c r="CC38" s="167"/>
      <c r="CD38" s="165"/>
      <c r="CE38" s="173"/>
      <c r="CF38" s="173"/>
      <c r="CG38" s="168"/>
      <c r="CH38" s="165"/>
      <c r="CI38" s="167"/>
    </row>
    <row r="39" spans="1:87" x14ac:dyDescent="0.3">
      <c r="A39" s="10">
        <v>407</v>
      </c>
      <c r="B39" s="11" t="s">
        <v>180</v>
      </c>
      <c r="C39" s="471">
        <v>1243</v>
      </c>
      <c r="D39" s="54">
        <v>815</v>
      </c>
      <c r="E39" s="367">
        <f t="shared" si="0"/>
        <v>0.65567176186645215</v>
      </c>
      <c r="F39" s="45">
        <v>377</v>
      </c>
      <c r="G39" s="45">
        <v>96</v>
      </c>
      <c r="H39" s="45">
        <v>360</v>
      </c>
      <c r="I39" s="45">
        <v>332</v>
      </c>
      <c r="J39" s="46">
        <v>163</v>
      </c>
      <c r="K39" s="165"/>
      <c r="L39" s="304"/>
      <c r="M39" s="601"/>
      <c r="N39" s="165"/>
      <c r="O39" s="165"/>
      <c r="P39" s="190"/>
      <c r="Q39" s="166"/>
      <c r="R39" s="166"/>
      <c r="S39" s="169"/>
      <c r="T39" s="165"/>
      <c r="U39" s="165"/>
      <c r="V39" s="168"/>
      <c r="W39" s="169"/>
      <c r="X39" s="173"/>
      <c r="Y39" s="190"/>
      <c r="Z39" s="167"/>
      <c r="AA39" s="165"/>
      <c r="AB39" s="166"/>
      <c r="AC39" s="169"/>
      <c r="AD39" s="165"/>
      <c r="AE39" s="165"/>
      <c r="AF39" s="167"/>
      <c r="AG39" s="168"/>
      <c r="AH39" s="165"/>
      <c r="AI39" s="167"/>
      <c r="AJ39" s="165"/>
      <c r="AK39" s="173"/>
      <c r="AL39" s="167"/>
      <c r="AM39" s="165"/>
      <c r="AN39" s="173"/>
      <c r="AO39" s="173"/>
      <c r="AP39" s="168"/>
      <c r="AQ39" s="165"/>
      <c r="AR39" s="168"/>
      <c r="AS39" s="165"/>
      <c r="AT39" s="190"/>
      <c r="AU39" s="167"/>
      <c r="AV39" s="165"/>
      <c r="AW39" s="173"/>
      <c r="AX39" s="173"/>
      <c r="AY39" s="190"/>
      <c r="AZ39" s="167"/>
      <c r="BA39" s="165"/>
      <c r="BB39" s="165"/>
      <c r="BC39" s="168"/>
      <c r="BD39" s="165"/>
      <c r="BE39" s="165"/>
      <c r="BF39" s="173"/>
      <c r="BG39" s="304"/>
      <c r="BH39" s="601"/>
      <c r="BI39" s="165"/>
      <c r="BJ39" s="167"/>
      <c r="BK39" s="165"/>
      <c r="BL39" s="190"/>
      <c r="BM39" s="167"/>
      <c r="BN39" s="165"/>
      <c r="BO39" s="173"/>
      <c r="BP39" s="190"/>
      <c r="BQ39" s="173"/>
      <c r="BR39" s="168"/>
      <c r="BS39" s="165"/>
      <c r="BT39" s="167"/>
      <c r="BU39" s="165"/>
      <c r="BV39" s="190"/>
      <c r="BW39" s="173"/>
      <c r="BX39" s="173"/>
      <c r="BY39" s="167"/>
      <c r="BZ39" s="165"/>
      <c r="CA39" s="173"/>
      <c r="CB39" s="190"/>
      <c r="CC39" s="167"/>
      <c r="CD39" s="165"/>
      <c r="CE39" s="173"/>
      <c r="CF39" s="173"/>
      <c r="CG39" s="168"/>
      <c r="CH39" s="165"/>
      <c r="CI39" s="167"/>
    </row>
    <row r="40" spans="1:87" x14ac:dyDescent="0.3">
      <c r="A40" s="10">
        <v>408</v>
      </c>
      <c r="B40" s="11" t="s">
        <v>181</v>
      </c>
      <c r="C40" s="471">
        <v>1450</v>
      </c>
      <c r="D40" s="54">
        <v>825</v>
      </c>
      <c r="E40" s="367">
        <f t="shared" si="0"/>
        <v>0.56896551724137934</v>
      </c>
      <c r="F40" s="45">
        <v>404</v>
      </c>
      <c r="G40" s="45">
        <v>148</v>
      </c>
      <c r="H40" s="45">
        <v>404</v>
      </c>
      <c r="I40" s="45">
        <v>381</v>
      </c>
      <c r="J40" s="46">
        <v>98</v>
      </c>
      <c r="K40" s="165"/>
      <c r="L40" s="304"/>
      <c r="M40" s="601"/>
      <c r="N40" s="165"/>
      <c r="O40" s="165"/>
      <c r="P40" s="190"/>
      <c r="Q40" s="166"/>
      <c r="R40" s="166"/>
      <c r="S40" s="169"/>
      <c r="T40" s="165"/>
      <c r="U40" s="165"/>
      <c r="V40" s="168"/>
      <c r="W40" s="169"/>
      <c r="X40" s="173"/>
      <c r="Y40" s="190"/>
      <c r="Z40" s="167"/>
      <c r="AA40" s="165"/>
      <c r="AB40" s="166"/>
      <c r="AC40" s="169"/>
      <c r="AD40" s="165"/>
      <c r="AE40" s="165"/>
      <c r="AF40" s="167"/>
      <c r="AG40" s="168"/>
      <c r="AH40" s="165"/>
      <c r="AI40" s="167"/>
      <c r="AJ40" s="165"/>
      <c r="AK40" s="173"/>
      <c r="AL40" s="167"/>
      <c r="AM40" s="165"/>
      <c r="AN40" s="173"/>
      <c r="AO40" s="173"/>
      <c r="AP40" s="168"/>
      <c r="AQ40" s="165"/>
      <c r="AR40" s="168"/>
      <c r="AS40" s="165"/>
      <c r="AT40" s="190"/>
      <c r="AU40" s="167"/>
      <c r="AV40" s="165"/>
      <c r="AW40" s="173"/>
      <c r="AX40" s="173"/>
      <c r="AY40" s="190"/>
      <c r="AZ40" s="167"/>
      <c r="BA40" s="165"/>
      <c r="BB40" s="165"/>
      <c r="BC40" s="168"/>
      <c r="BD40" s="165"/>
      <c r="BE40" s="165"/>
      <c r="BF40" s="173"/>
      <c r="BG40" s="304"/>
      <c r="BH40" s="601"/>
      <c r="BI40" s="165"/>
      <c r="BJ40" s="167"/>
      <c r="BK40" s="165"/>
      <c r="BL40" s="190"/>
      <c r="BM40" s="167"/>
      <c r="BN40" s="165"/>
      <c r="BO40" s="173"/>
      <c r="BP40" s="190"/>
      <c r="BQ40" s="173"/>
      <c r="BR40" s="168"/>
      <c r="BS40" s="165"/>
      <c r="BT40" s="167"/>
      <c r="BU40" s="165"/>
      <c r="BV40" s="190"/>
      <c r="BW40" s="173"/>
      <c r="BX40" s="173"/>
      <c r="BY40" s="167"/>
      <c r="BZ40" s="165"/>
      <c r="CA40" s="173"/>
      <c r="CB40" s="190"/>
      <c r="CC40" s="167"/>
      <c r="CD40" s="165"/>
      <c r="CE40" s="173"/>
      <c r="CF40" s="173"/>
      <c r="CG40" s="168"/>
      <c r="CH40" s="165"/>
      <c r="CI40" s="167"/>
    </row>
    <row r="41" spans="1:87" ht="12.75" customHeight="1" x14ac:dyDescent="0.3">
      <c r="A41" s="10">
        <v>501</v>
      </c>
      <c r="B41" s="11" t="s">
        <v>182</v>
      </c>
      <c r="C41" s="471">
        <v>1242</v>
      </c>
      <c r="D41" s="54">
        <v>718</v>
      </c>
      <c r="E41" s="367">
        <f t="shared" si="0"/>
        <v>0.5780998389694042</v>
      </c>
      <c r="F41" s="45">
        <v>357</v>
      </c>
      <c r="G41" s="45">
        <v>116</v>
      </c>
      <c r="H41" s="45">
        <v>359</v>
      </c>
      <c r="I41" s="45">
        <v>291</v>
      </c>
      <c r="J41" s="46">
        <v>128</v>
      </c>
      <c r="K41" s="165"/>
      <c r="L41" s="304"/>
      <c r="M41" s="601"/>
      <c r="N41" s="165"/>
      <c r="O41" s="165"/>
      <c r="P41" s="190"/>
      <c r="Q41" s="166"/>
      <c r="R41" s="166"/>
      <c r="S41" s="169"/>
      <c r="T41" s="165"/>
      <c r="U41" s="165"/>
      <c r="V41" s="168"/>
      <c r="W41" s="169"/>
      <c r="X41" s="173"/>
      <c r="Y41" s="190"/>
      <c r="Z41" s="167"/>
      <c r="AA41" s="165"/>
      <c r="AB41" s="166"/>
      <c r="AC41" s="169"/>
      <c r="AD41" s="165"/>
      <c r="AE41" s="165"/>
      <c r="AF41" s="167"/>
      <c r="AG41" s="168"/>
      <c r="AH41" s="165"/>
      <c r="AI41" s="167"/>
      <c r="AJ41" s="165"/>
      <c r="AK41" s="173"/>
      <c r="AL41" s="167"/>
      <c r="AM41" s="165"/>
      <c r="AN41" s="173"/>
      <c r="AO41" s="173"/>
      <c r="AP41" s="168"/>
      <c r="AQ41" s="165"/>
      <c r="AR41" s="168"/>
      <c r="AS41" s="165"/>
      <c r="AT41" s="190"/>
      <c r="AU41" s="167"/>
      <c r="AV41" s="165"/>
      <c r="AW41" s="173"/>
      <c r="AX41" s="173"/>
      <c r="AY41" s="190"/>
      <c r="AZ41" s="167"/>
      <c r="BA41" s="165"/>
      <c r="BB41" s="165"/>
      <c r="BC41" s="168"/>
      <c r="BD41" s="165"/>
      <c r="BE41" s="165"/>
      <c r="BF41" s="173"/>
      <c r="BG41" s="304"/>
      <c r="BH41" s="601"/>
      <c r="BI41" s="165"/>
      <c r="BJ41" s="167"/>
      <c r="BK41" s="165"/>
      <c r="BL41" s="190"/>
      <c r="BM41" s="167"/>
      <c r="BN41" s="165"/>
      <c r="BO41" s="173"/>
      <c r="BP41" s="190"/>
      <c r="BQ41" s="173"/>
      <c r="BR41" s="168"/>
      <c r="BS41" s="165"/>
      <c r="BT41" s="167"/>
      <c r="BU41" s="165"/>
      <c r="BV41" s="190"/>
      <c r="BW41" s="173"/>
      <c r="BX41" s="173"/>
      <c r="BY41" s="167"/>
      <c r="BZ41" s="165"/>
      <c r="CA41" s="173"/>
      <c r="CB41" s="190"/>
      <c r="CC41" s="167"/>
      <c r="CD41" s="165"/>
      <c r="CE41" s="173"/>
      <c r="CF41" s="173"/>
      <c r="CG41" s="168"/>
      <c r="CH41" s="165"/>
      <c r="CI41" s="167"/>
    </row>
    <row r="42" spans="1:87" ht="12.75" customHeight="1" x14ac:dyDescent="0.3">
      <c r="A42" s="10">
        <v>502</v>
      </c>
      <c r="B42" s="11" t="s">
        <v>183</v>
      </c>
      <c r="C42" s="471">
        <v>1130</v>
      </c>
      <c r="D42" s="54">
        <v>739</v>
      </c>
      <c r="E42" s="367">
        <f t="shared" si="0"/>
        <v>0.65398230088495579</v>
      </c>
      <c r="F42" s="45">
        <v>405</v>
      </c>
      <c r="G42" s="45">
        <v>91</v>
      </c>
      <c r="H42" s="45">
        <v>384</v>
      </c>
      <c r="I42" s="45">
        <v>370</v>
      </c>
      <c r="J42" s="46">
        <v>97</v>
      </c>
      <c r="K42" s="165"/>
      <c r="L42" s="304"/>
      <c r="M42" s="601"/>
      <c r="N42" s="165"/>
      <c r="O42" s="165"/>
      <c r="P42" s="190"/>
      <c r="Q42" s="166"/>
      <c r="R42" s="166"/>
      <c r="S42" s="169"/>
      <c r="T42" s="165"/>
      <c r="U42" s="165"/>
      <c r="V42" s="168"/>
      <c r="W42" s="169"/>
      <c r="X42" s="173"/>
      <c r="Y42" s="190"/>
      <c r="Z42" s="167"/>
      <c r="AA42" s="165"/>
      <c r="AB42" s="166"/>
      <c r="AC42" s="169"/>
      <c r="AD42" s="165"/>
      <c r="AE42" s="165"/>
      <c r="AF42" s="167"/>
      <c r="AG42" s="168"/>
      <c r="AH42" s="165"/>
      <c r="AI42" s="167"/>
      <c r="AJ42" s="165"/>
      <c r="AK42" s="173"/>
      <c r="AL42" s="167"/>
      <c r="AM42" s="165"/>
      <c r="AN42" s="173"/>
      <c r="AO42" s="173"/>
      <c r="AP42" s="168"/>
      <c r="AQ42" s="165"/>
      <c r="AR42" s="168"/>
      <c r="AS42" s="165"/>
      <c r="AT42" s="190"/>
      <c r="AU42" s="167"/>
      <c r="AV42" s="165"/>
      <c r="AW42" s="173"/>
      <c r="AX42" s="173"/>
      <c r="AY42" s="190"/>
      <c r="AZ42" s="167"/>
      <c r="BA42" s="165"/>
      <c r="BB42" s="165"/>
      <c r="BC42" s="168"/>
      <c r="BD42" s="165"/>
      <c r="BE42" s="165"/>
      <c r="BF42" s="173"/>
      <c r="BG42" s="304"/>
      <c r="BH42" s="601"/>
      <c r="BI42" s="165"/>
      <c r="BJ42" s="167"/>
      <c r="BK42" s="165"/>
      <c r="BL42" s="190"/>
      <c r="BM42" s="167"/>
      <c r="BN42" s="165"/>
      <c r="BO42" s="173"/>
      <c r="BP42" s="190"/>
      <c r="BQ42" s="173"/>
      <c r="BR42" s="168"/>
      <c r="BS42" s="165"/>
      <c r="BT42" s="167"/>
      <c r="BU42" s="165"/>
      <c r="BV42" s="190"/>
      <c r="BW42" s="173"/>
      <c r="BX42" s="173"/>
      <c r="BY42" s="167"/>
      <c r="BZ42" s="165"/>
      <c r="CA42" s="173"/>
      <c r="CB42" s="190"/>
      <c r="CC42" s="167"/>
      <c r="CD42" s="165"/>
      <c r="CE42" s="173"/>
      <c r="CF42" s="173"/>
      <c r="CG42" s="168"/>
      <c r="CH42" s="165"/>
      <c r="CI42" s="167"/>
    </row>
    <row r="43" spans="1:87" ht="12.75" customHeight="1" x14ac:dyDescent="0.3">
      <c r="A43" s="10">
        <v>503</v>
      </c>
      <c r="B43" s="11" t="s">
        <v>184</v>
      </c>
      <c r="C43" s="471">
        <v>843</v>
      </c>
      <c r="D43" s="54">
        <v>522</v>
      </c>
      <c r="E43" s="367">
        <f t="shared" si="0"/>
        <v>0.61921708185053381</v>
      </c>
      <c r="F43" s="45">
        <v>279</v>
      </c>
      <c r="G43" s="45">
        <v>74</v>
      </c>
      <c r="H43" s="45">
        <v>264</v>
      </c>
      <c r="I43" s="45">
        <v>238</v>
      </c>
      <c r="J43" s="46">
        <v>72</v>
      </c>
      <c r="K43" s="165"/>
      <c r="L43" s="304"/>
      <c r="M43" s="601"/>
      <c r="N43" s="165"/>
      <c r="O43" s="165"/>
      <c r="P43" s="190"/>
      <c r="Q43" s="166"/>
      <c r="R43" s="166"/>
      <c r="S43" s="169"/>
      <c r="T43" s="165"/>
      <c r="U43" s="165"/>
      <c r="V43" s="168"/>
      <c r="W43" s="169"/>
      <c r="X43" s="173"/>
      <c r="Y43" s="190"/>
      <c r="Z43" s="167"/>
      <c r="AA43" s="165"/>
      <c r="AB43" s="166"/>
      <c r="AC43" s="169"/>
      <c r="AD43" s="165"/>
      <c r="AE43" s="165"/>
      <c r="AF43" s="167"/>
      <c r="AG43" s="168"/>
      <c r="AH43" s="165"/>
      <c r="AI43" s="167"/>
      <c r="AJ43" s="165"/>
      <c r="AK43" s="173"/>
      <c r="AL43" s="167"/>
      <c r="AM43" s="165"/>
      <c r="AN43" s="173"/>
      <c r="AO43" s="173"/>
      <c r="AP43" s="168"/>
      <c r="AQ43" s="165"/>
      <c r="AR43" s="168"/>
      <c r="AS43" s="165"/>
      <c r="AT43" s="190"/>
      <c r="AU43" s="167"/>
      <c r="AV43" s="165"/>
      <c r="AW43" s="173"/>
      <c r="AX43" s="173"/>
      <c r="AY43" s="190"/>
      <c r="AZ43" s="167"/>
      <c r="BA43" s="165"/>
      <c r="BB43" s="165"/>
      <c r="BC43" s="168"/>
      <c r="BD43" s="165"/>
      <c r="BE43" s="165"/>
      <c r="BF43" s="173"/>
      <c r="BG43" s="304"/>
      <c r="BH43" s="601"/>
      <c r="BI43" s="165"/>
      <c r="BJ43" s="167"/>
      <c r="BK43" s="165"/>
      <c r="BL43" s="190"/>
      <c r="BM43" s="167"/>
      <c r="BN43" s="165"/>
      <c r="BO43" s="173"/>
      <c r="BP43" s="190"/>
      <c r="BQ43" s="173"/>
      <c r="BR43" s="168"/>
      <c r="BS43" s="165"/>
      <c r="BT43" s="167"/>
      <c r="BU43" s="165"/>
      <c r="BV43" s="190"/>
      <c r="BW43" s="173"/>
      <c r="BX43" s="173"/>
      <c r="BY43" s="167"/>
      <c r="BZ43" s="165"/>
      <c r="CA43" s="173"/>
      <c r="CB43" s="190"/>
      <c r="CC43" s="167"/>
      <c r="CD43" s="165"/>
      <c r="CE43" s="173"/>
      <c r="CF43" s="173"/>
      <c r="CG43" s="168"/>
      <c r="CH43" s="165"/>
      <c r="CI43" s="167"/>
    </row>
    <row r="44" spans="1:87" x14ac:dyDescent="0.3">
      <c r="A44" s="10">
        <v>504</v>
      </c>
      <c r="B44" s="11" t="s">
        <v>185</v>
      </c>
      <c r="C44" s="471">
        <v>1334</v>
      </c>
      <c r="D44" s="54">
        <v>920</v>
      </c>
      <c r="E44" s="367">
        <f t="shared" si="0"/>
        <v>0.68965517241379315</v>
      </c>
      <c r="F44" s="45">
        <v>515</v>
      </c>
      <c r="G44" s="45">
        <v>125</v>
      </c>
      <c r="H44" s="45">
        <v>505</v>
      </c>
      <c r="I44" s="45">
        <v>440</v>
      </c>
      <c r="J44" s="46">
        <v>119</v>
      </c>
      <c r="K44" s="165"/>
      <c r="L44" s="304"/>
      <c r="M44" s="601"/>
      <c r="N44" s="165"/>
      <c r="O44" s="165"/>
      <c r="P44" s="190"/>
      <c r="Q44" s="166"/>
      <c r="R44" s="166"/>
      <c r="S44" s="169"/>
      <c r="T44" s="165"/>
      <c r="U44" s="165"/>
      <c r="V44" s="168"/>
      <c r="W44" s="169"/>
      <c r="X44" s="173"/>
      <c r="Y44" s="190"/>
      <c r="Z44" s="167"/>
      <c r="AA44" s="165"/>
      <c r="AB44" s="166"/>
      <c r="AC44" s="169"/>
      <c r="AD44" s="165"/>
      <c r="AE44" s="165"/>
      <c r="AF44" s="167"/>
      <c r="AG44" s="168"/>
      <c r="AH44" s="165"/>
      <c r="AI44" s="167"/>
      <c r="AJ44" s="165"/>
      <c r="AK44" s="173"/>
      <c r="AL44" s="167"/>
      <c r="AM44" s="165"/>
      <c r="AN44" s="173"/>
      <c r="AO44" s="173"/>
      <c r="AP44" s="168"/>
      <c r="AQ44" s="165"/>
      <c r="AR44" s="168"/>
      <c r="AS44" s="165"/>
      <c r="AT44" s="190"/>
      <c r="AU44" s="167"/>
      <c r="AV44" s="165"/>
      <c r="AW44" s="173"/>
      <c r="AX44" s="173"/>
      <c r="AY44" s="190"/>
      <c r="AZ44" s="167"/>
      <c r="BA44" s="165"/>
      <c r="BB44" s="165"/>
      <c r="BC44" s="168"/>
      <c r="BD44" s="165"/>
      <c r="BE44" s="165"/>
      <c r="BF44" s="173"/>
      <c r="BG44" s="304"/>
      <c r="BH44" s="601"/>
      <c r="BI44" s="165"/>
      <c r="BJ44" s="167"/>
      <c r="BK44" s="165"/>
      <c r="BL44" s="190"/>
      <c r="BM44" s="167"/>
      <c r="BN44" s="165"/>
      <c r="BO44" s="173"/>
      <c r="BP44" s="190"/>
      <c r="BQ44" s="173"/>
      <c r="BR44" s="168"/>
      <c r="BS44" s="165"/>
      <c r="BT44" s="167"/>
      <c r="BU44" s="165"/>
      <c r="BV44" s="190"/>
      <c r="BW44" s="173"/>
      <c r="BX44" s="173"/>
      <c r="BY44" s="167"/>
      <c r="BZ44" s="165"/>
      <c r="CA44" s="173"/>
      <c r="CB44" s="190"/>
      <c r="CC44" s="167"/>
      <c r="CD44" s="165"/>
      <c r="CE44" s="173"/>
      <c r="CF44" s="173"/>
      <c r="CG44" s="168"/>
      <c r="CH44" s="165"/>
      <c r="CI44" s="167"/>
    </row>
    <row r="45" spans="1:87" x14ac:dyDescent="0.3">
      <c r="A45" s="10">
        <v>505</v>
      </c>
      <c r="B45" s="11" t="s">
        <v>186</v>
      </c>
      <c r="C45" s="471">
        <v>1427</v>
      </c>
      <c r="D45" s="54">
        <v>881</v>
      </c>
      <c r="E45" s="367">
        <f t="shared" si="0"/>
        <v>0.61737911702873161</v>
      </c>
      <c r="F45" s="45">
        <v>453</v>
      </c>
      <c r="G45" s="45">
        <v>150</v>
      </c>
      <c r="H45" s="45">
        <v>458</v>
      </c>
      <c r="I45" s="45">
        <v>411</v>
      </c>
      <c r="J45" s="46">
        <v>115</v>
      </c>
      <c r="K45" s="165"/>
      <c r="L45" s="304"/>
      <c r="M45" s="601"/>
      <c r="N45" s="165"/>
      <c r="O45" s="165"/>
      <c r="P45" s="190"/>
      <c r="Q45" s="166"/>
      <c r="R45" s="166"/>
      <c r="S45" s="169"/>
      <c r="T45" s="165"/>
      <c r="U45" s="165"/>
      <c r="V45" s="168"/>
      <c r="W45" s="169"/>
      <c r="X45" s="173"/>
      <c r="Y45" s="190"/>
      <c r="Z45" s="167"/>
      <c r="AA45" s="165"/>
      <c r="AB45" s="166"/>
      <c r="AC45" s="169"/>
      <c r="AD45" s="165"/>
      <c r="AE45" s="165"/>
      <c r="AF45" s="167"/>
      <c r="AG45" s="168"/>
      <c r="AH45" s="165"/>
      <c r="AI45" s="167"/>
      <c r="AJ45" s="165"/>
      <c r="AK45" s="173"/>
      <c r="AL45" s="167"/>
      <c r="AM45" s="165"/>
      <c r="AN45" s="173"/>
      <c r="AO45" s="173"/>
      <c r="AP45" s="168"/>
      <c r="AQ45" s="165"/>
      <c r="AR45" s="168"/>
      <c r="AS45" s="165"/>
      <c r="AT45" s="190"/>
      <c r="AU45" s="167"/>
      <c r="AV45" s="165"/>
      <c r="AW45" s="173"/>
      <c r="AX45" s="173"/>
      <c r="AY45" s="190"/>
      <c r="AZ45" s="167"/>
      <c r="BA45" s="165"/>
      <c r="BB45" s="165"/>
      <c r="BC45" s="168"/>
      <c r="BD45" s="165"/>
      <c r="BE45" s="165"/>
      <c r="BF45" s="173"/>
      <c r="BG45" s="304"/>
      <c r="BH45" s="601"/>
      <c r="BI45" s="165"/>
      <c r="BJ45" s="167"/>
      <c r="BK45" s="165"/>
      <c r="BL45" s="190"/>
      <c r="BM45" s="167"/>
      <c r="BN45" s="165"/>
      <c r="BO45" s="173"/>
      <c r="BP45" s="190"/>
      <c r="BQ45" s="173"/>
      <c r="BR45" s="168"/>
      <c r="BS45" s="165"/>
      <c r="BT45" s="167"/>
      <c r="BU45" s="165"/>
      <c r="BV45" s="190"/>
      <c r="BW45" s="173"/>
      <c r="BX45" s="173"/>
      <c r="BY45" s="167"/>
      <c r="BZ45" s="165"/>
      <c r="CA45" s="173"/>
      <c r="CB45" s="190"/>
      <c r="CC45" s="167"/>
      <c r="CD45" s="165"/>
      <c r="CE45" s="173"/>
      <c r="CF45" s="173"/>
      <c r="CG45" s="168"/>
      <c r="CH45" s="165"/>
      <c r="CI45" s="167"/>
    </row>
    <row r="46" spans="1:87" x14ac:dyDescent="0.3">
      <c r="A46" s="10">
        <v>506</v>
      </c>
      <c r="B46" s="11" t="s">
        <v>187</v>
      </c>
      <c r="C46" s="471">
        <v>919</v>
      </c>
      <c r="D46" s="54">
        <v>526</v>
      </c>
      <c r="E46" s="367">
        <f t="shared" si="0"/>
        <v>0.57236126224156691</v>
      </c>
      <c r="F46" s="45">
        <v>247</v>
      </c>
      <c r="G46" s="45">
        <v>65</v>
      </c>
      <c r="H46" s="45">
        <v>256</v>
      </c>
      <c r="I46" s="45">
        <v>228</v>
      </c>
      <c r="J46" s="46">
        <v>79</v>
      </c>
      <c r="K46" s="165"/>
      <c r="L46" s="304"/>
      <c r="M46" s="601"/>
      <c r="N46" s="165"/>
      <c r="O46" s="165"/>
      <c r="P46" s="190"/>
      <c r="Q46" s="166"/>
      <c r="R46" s="166"/>
      <c r="S46" s="169"/>
      <c r="T46" s="165"/>
      <c r="U46" s="165"/>
      <c r="V46" s="168"/>
      <c r="W46" s="169"/>
      <c r="X46" s="173"/>
      <c r="Y46" s="190"/>
      <c r="Z46" s="167"/>
      <c r="AA46" s="165"/>
      <c r="AB46" s="166"/>
      <c r="AC46" s="169"/>
      <c r="AD46" s="165"/>
      <c r="AE46" s="165"/>
      <c r="AF46" s="167"/>
      <c r="AG46" s="168"/>
      <c r="AH46" s="165"/>
      <c r="AI46" s="167"/>
      <c r="AJ46" s="165"/>
      <c r="AK46" s="173"/>
      <c r="AL46" s="167"/>
      <c r="AM46" s="165"/>
      <c r="AN46" s="173"/>
      <c r="AO46" s="173"/>
      <c r="AP46" s="168"/>
      <c r="AQ46" s="165"/>
      <c r="AR46" s="168"/>
      <c r="AS46" s="165"/>
      <c r="AT46" s="190"/>
      <c r="AU46" s="167"/>
      <c r="AV46" s="165"/>
      <c r="AW46" s="173"/>
      <c r="AX46" s="173"/>
      <c r="AY46" s="190"/>
      <c r="AZ46" s="167"/>
      <c r="BA46" s="165"/>
      <c r="BB46" s="165"/>
      <c r="BC46" s="168"/>
      <c r="BD46" s="165"/>
      <c r="BE46" s="165"/>
      <c r="BF46" s="173"/>
      <c r="BG46" s="304"/>
      <c r="BH46" s="601"/>
      <c r="BI46" s="165"/>
      <c r="BJ46" s="167"/>
      <c r="BK46" s="165"/>
      <c r="BL46" s="190"/>
      <c r="BM46" s="167"/>
      <c r="BN46" s="165"/>
      <c r="BO46" s="173"/>
      <c r="BP46" s="190"/>
      <c r="BQ46" s="173"/>
      <c r="BR46" s="168"/>
      <c r="BS46" s="165"/>
      <c r="BT46" s="167"/>
      <c r="BU46" s="165"/>
      <c r="BV46" s="190"/>
      <c r="BW46" s="173"/>
      <c r="BX46" s="173"/>
      <c r="BY46" s="167"/>
      <c r="BZ46" s="165"/>
      <c r="CA46" s="173"/>
      <c r="CB46" s="190"/>
      <c r="CC46" s="167"/>
      <c r="CD46" s="165"/>
      <c r="CE46" s="173"/>
      <c r="CF46" s="173"/>
      <c r="CG46" s="168"/>
      <c r="CH46" s="165"/>
      <c r="CI46" s="167"/>
    </row>
    <row r="47" spans="1:87" x14ac:dyDescent="0.3">
      <c r="A47" s="10">
        <v>507</v>
      </c>
      <c r="B47" s="11" t="s">
        <v>188</v>
      </c>
      <c r="C47" s="471">
        <v>1522</v>
      </c>
      <c r="D47" s="54">
        <v>826</v>
      </c>
      <c r="E47" s="367">
        <f t="shared" si="0"/>
        <v>0.54270696452036793</v>
      </c>
      <c r="F47" s="45">
        <v>425</v>
      </c>
      <c r="G47" s="45">
        <v>124</v>
      </c>
      <c r="H47" s="45">
        <v>374</v>
      </c>
      <c r="I47" s="45">
        <v>355</v>
      </c>
      <c r="J47" s="46">
        <v>115</v>
      </c>
      <c r="K47" s="165"/>
      <c r="L47" s="304"/>
      <c r="M47" s="601"/>
      <c r="N47" s="165"/>
      <c r="O47" s="165"/>
      <c r="P47" s="190"/>
      <c r="Q47" s="166"/>
      <c r="R47" s="166"/>
      <c r="S47" s="169"/>
      <c r="T47" s="165"/>
      <c r="U47" s="165"/>
      <c r="V47" s="168"/>
      <c r="W47" s="169"/>
      <c r="X47" s="173"/>
      <c r="Y47" s="190"/>
      <c r="Z47" s="167"/>
      <c r="AA47" s="165"/>
      <c r="AB47" s="166"/>
      <c r="AC47" s="169"/>
      <c r="AD47" s="165"/>
      <c r="AE47" s="165"/>
      <c r="AF47" s="167"/>
      <c r="AG47" s="168"/>
      <c r="AH47" s="165"/>
      <c r="AI47" s="167"/>
      <c r="AJ47" s="165"/>
      <c r="AK47" s="173"/>
      <c r="AL47" s="167"/>
      <c r="AM47" s="165"/>
      <c r="AN47" s="173"/>
      <c r="AO47" s="173"/>
      <c r="AP47" s="168"/>
      <c r="AQ47" s="165"/>
      <c r="AR47" s="168"/>
      <c r="AS47" s="165"/>
      <c r="AT47" s="190"/>
      <c r="AU47" s="167"/>
      <c r="AV47" s="165"/>
      <c r="AW47" s="173"/>
      <c r="AX47" s="173"/>
      <c r="AY47" s="190"/>
      <c r="AZ47" s="167"/>
      <c r="BA47" s="165"/>
      <c r="BB47" s="165"/>
      <c r="BC47" s="168"/>
      <c r="BD47" s="165"/>
      <c r="BE47" s="165"/>
      <c r="BF47" s="173"/>
      <c r="BG47" s="304"/>
      <c r="BH47" s="601"/>
      <c r="BI47" s="165"/>
      <c r="BJ47" s="167"/>
      <c r="BK47" s="165"/>
      <c r="BL47" s="190"/>
      <c r="BM47" s="167"/>
      <c r="BN47" s="165"/>
      <c r="BO47" s="173"/>
      <c r="BP47" s="190"/>
      <c r="BQ47" s="173"/>
      <c r="BR47" s="168"/>
      <c r="BS47" s="165"/>
      <c r="BT47" s="167"/>
      <c r="BU47" s="165"/>
      <c r="BV47" s="190"/>
      <c r="BW47" s="173"/>
      <c r="BX47" s="173"/>
      <c r="BY47" s="167"/>
      <c r="BZ47" s="165"/>
      <c r="CA47" s="173"/>
      <c r="CB47" s="190"/>
      <c r="CC47" s="167"/>
      <c r="CD47" s="165"/>
      <c r="CE47" s="173"/>
      <c r="CF47" s="173"/>
      <c r="CG47" s="168"/>
      <c r="CH47" s="165"/>
      <c r="CI47" s="167"/>
    </row>
    <row r="48" spans="1:87" x14ac:dyDescent="0.3">
      <c r="A48" s="10">
        <v>508</v>
      </c>
      <c r="B48" s="11" t="s">
        <v>189</v>
      </c>
      <c r="C48" s="471">
        <v>966</v>
      </c>
      <c r="D48" s="54">
        <v>454</v>
      </c>
      <c r="E48" s="367">
        <f t="shared" si="0"/>
        <v>0.46997929606625261</v>
      </c>
      <c r="F48" s="45">
        <v>266</v>
      </c>
      <c r="G48" s="45">
        <v>85</v>
      </c>
      <c r="H48" s="45">
        <v>202</v>
      </c>
      <c r="I48" s="45">
        <v>275</v>
      </c>
      <c r="J48" s="46">
        <v>37</v>
      </c>
      <c r="K48" s="165"/>
      <c r="L48" s="304"/>
      <c r="M48" s="601"/>
      <c r="N48" s="165"/>
      <c r="O48" s="165"/>
      <c r="P48" s="190"/>
      <c r="Q48" s="166"/>
      <c r="R48" s="166"/>
      <c r="S48" s="169"/>
      <c r="T48" s="165"/>
      <c r="U48" s="165"/>
      <c r="V48" s="168"/>
      <c r="W48" s="169"/>
      <c r="X48" s="173"/>
      <c r="Y48" s="190"/>
      <c r="Z48" s="167"/>
      <c r="AA48" s="165"/>
      <c r="AB48" s="166"/>
      <c r="AC48" s="169"/>
      <c r="AD48" s="165"/>
      <c r="AE48" s="165"/>
      <c r="AF48" s="167"/>
      <c r="AG48" s="168"/>
      <c r="AH48" s="165"/>
      <c r="AI48" s="167"/>
      <c r="AJ48" s="165"/>
      <c r="AK48" s="173"/>
      <c r="AL48" s="167"/>
      <c r="AM48" s="165"/>
      <c r="AN48" s="173"/>
      <c r="AO48" s="173"/>
      <c r="AP48" s="168"/>
      <c r="AQ48" s="165"/>
      <c r="AR48" s="168"/>
      <c r="AS48" s="165"/>
      <c r="AT48" s="190"/>
      <c r="AU48" s="167"/>
      <c r="AV48" s="165"/>
      <c r="AW48" s="173"/>
      <c r="AX48" s="173"/>
      <c r="AY48" s="190"/>
      <c r="AZ48" s="167"/>
      <c r="BA48" s="165"/>
      <c r="BB48" s="165"/>
      <c r="BC48" s="168"/>
      <c r="BD48" s="165"/>
      <c r="BE48" s="165"/>
      <c r="BF48" s="173"/>
      <c r="BG48" s="304"/>
      <c r="BH48" s="601"/>
      <c r="BI48" s="165"/>
      <c r="BJ48" s="167"/>
      <c r="BK48" s="165"/>
      <c r="BL48" s="190"/>
      <c r="BM48" s="167"/>
      <c r="BN48" s="165"/>
      <c r="BO48" s="173"/>
      <c r="BP48" s="190"/>
      <c r="BQ48" s="173"/>
      <c r="BR48" s="168"/>
      <c r="BS48" s="165"/>
      <c r="BT48" s="167"/>
      <c r="BU48" s="165"/>
      <c r="BV48" s="190"/>
      <c r="BW48" s="173"/>
      <c r="BX48" s="173"/>
      <c r="BY48" s="167"/>
      <c r="BZ48" s="165"/>
      <c r="CA48" s="173"/>
      <c r="CB48" s="190"/>
      <c r="CC48" s="167"/>
      <c r="CD48" s="165"/>
      <c r="CE48" s="173"/>
      <c r="CF48" s="173"/>
      <c r="CG48" s="168"/>
      <c r="CH48" s="165"/>
      <c r="CI48" s="167"/>
    </row>
    <row r="49" spans="1:87" x14ac:dyDescent="0.3">
      <c r="A49" s="10">
        <v>509</v>
      </c>
      <c r="B49" s="11" t="s">
        <v>190</v>
      </c>
      <c r="C49" s="471">
        <v>1319</v>
      </c>
      <c r="D49" s="54">
        <v>786</v>
      </c>
      <c r="E49" s="367">
        <f t="shared" si="0"/>
        <v>0.59590598938589845</v>
      </c>
      <c r="F49" s="45">
        <v>379</v>
      </c>
      <c r="G49" s="45">
        <v>94</v>
      </c>
      <c r="H49" s="45">
        <v>344</v>
      </c>
      <c r="I49" s="45">
        <v>308</v>
      </c>
      <c r="J49" s="46">
        <v>170</v>
      </c>
      <c r="K49" s="165"/>
      <c r="L49" s="304"/>
      <c r="M49" s="601"/>
      <c r="N49" s="165"/>
      <c r="O49" s="165"/>
      <c r="P49" s="190"/>
      <c r="Q49" s="166"/>
      <c r="R49" s="166"/>
      <c r="S49" s="169"/>
      <c r="T49" s="165"/>
      <c r="U49" s="165"/>
      <c r="V49" s="168"/>
      <c r="W49" s="169"/>
      <c r="X49" s="173"/>
      <c r="Y49" s="190"/>
      <c r="Z49" s="167"/>
      <c r="AA49" s="165"/>
      <c r="AB49" s="166"/>
      <c r="AC49" s="169"/>
      <c r="AD49" s="165"/>
      <c r="AE49" s="165"/>
      <c r="AF49" s="167"/>
      <c r="AG49" s="168"/>
      <c r="AH49" s="165"/>
      <c r="AI49" s="167"/>
      <c r="AJ49" s="165"/>
      <c r="AK49" s="173"/>
      <c r="AL49" s="167"/>
      <c r="AM49" s="165"/>
      <c r="AN49" s="173"/>
      <c r="AO49" s="173"/>
      <c r="AP49" s="168"/>
      <c r="AQ49" s="165"/>
      <c r="AR49" s="168"/>
      <c r="AS49" s="165"/>
      <c r="AT49" s="190"/>
      <c r="AU49" s="167"/>
      <c r="AV49" s="165"/>
      <c r="AW49" s="173"/>
      <c r="AX49" s="173"/>
      <c r="AY49" s="190"/>
      <c r="AZ49" s="167"/>
      <c r="BA49" s="165"/>
      <c r="BB49" s="165"/>
      <c r="BC49" s="168"/>
      <c r="BD49" s="165"/>
      <c r="BE49" s="165"/>
      <c r="BF49" s="173"/>
      <c r="BG49" s="304"/>
      <c r="BH49" s="601"/>
      <c r="BI49" s="165"/>
      <c r="BJ49" s="167"/>
      <c r="BK49" s="165"/>
      <c r="BL49" s="190"/>
      <c r="BM49" s="167"/>
      <c r="BN49" s="165"/>
      <c r="BO49" s="173"/>
      <c r="BP49" s="190"/>
      <c r="BQ49" s="173"/>
      <c r="BR49" s="168"/>
      <c r="BS49" s="165"/>
      <c r="BT49" s="167"/>
      <c r="BU49" s="165"/>
      <c r="BV49" s="190"/>
      <c r="BW49" s="173"/>
      <c r="BX49" s="173"/>
      <c r="BY49" s="167"/>
      <c r="BZ49" s="165"/>
      <c r="CA49" s="173"/>
      <c r="CB49" s="190"/>
      <c r="CC49" s="167"/>
      <c r="CD49" s="165"/>
      <c r="CE49" s="173"/>
      <c r="CF49" s="173"/>
      <c r="CG49" s="168"/>
      <c r="CH49" s="165"/>
      <c r="CI49" s="167"/>
    </row>
    <row r="50" spans="1:87" x14ac:dyDescent="0.3">
      <c r="A50" s="10">
        <v>601</v>
      </c>
      <c r="B50" s="11" t="s">
        <v>191</v>
      </c>
      <c r="C50" s="471">
        <v>2027</v>
      </c>
      <c r="D50" s="54">
        <v>738</v>
      </c>
      <c r="E50" s="367">
        <f t="shared" si="0"/>
        <v>0.36408485446472622</v>
      </c>
      <c r="F50" s="45">
        <v>410</v>
      </c>
      <c r="G50" s="45">
        <v>173</v>
      </c>
      <c r="H50" s="45">
        <v>357</v>
      </c>
      <c r="I50" s="45">
        <v>410</v>
      </c>
      <c r="J50" s="46">
        <v>57</v>
      </c>
      <c r="K50" s="165"/>
      <c r="L50" s="304"/>
      <c r="M50" s="601"/>
      <c r="N50" s="165"/>
      <c r="O50" s="165"/>
      <c r="P50" s="190"/>
      <c r="Q50" s="166"/>
      <c r="R50" s="166"/>
      <c r="S50" s="169"/>
      <c r="T50" s="165"/>
      <c r="U50" s="165"/>
      <c r="V50" s="168"/>
      <c r="W50" s="169"/>
      <c r="X50" s="173"/>
      <c r="Y50" s="190"/>
      <c r="Z50" s="167"/>
      <c r="AA50" s="165"/>
      <c r="AB50" s="166"/>
      <c r="AC50" s="169"/>
      <c r="AD50" s="165"/>
      <c r="AE50" s="165"/>
      <c r="AF50" s="167"/>
      <c r="AG50" s="168"/>
      <c r="AH50" s="165"/>
      <c r="AI50" s="167"/>
      <c r="AJ50" s="165"/>
      <c r="AK50" s="173"/>
      <c r="AL50" s="167"/>
      <c r="AM50" s="165"/>
      <c r="AN50" s="173"/>
      <c r="AO50" s="173"/>
      <c r="AP50" s="168"/>
      <c r="AQ50" s="165"/>
      <c r="AR50" s="168"/>
      <c r="AS50" s="165"/>
      <c r="AT50" s="190"/>
      <c r="AU50" s="167"/>
      <c r="AV50" s="165"/>
      <c r="AW50" s="173"/>
      <c r="AX50" s="173"/>
      <c r="AY50" s="190"/>
      <c r="AZ50" s="167"/>
      <c r="BA50" s="165"/>
      <c r="BB50" s="165"/>
      <c r="BC50" s="168"/>
      <c r="BD50" s="165"/>
      <c r="BE50" s="165"/>
      <c r="BF50" s="173"/>
      <c r="BG50" s="304"/>
      <c r="BH50" s="601"/>
      <c r="BI50" s="165"/>
      <c r="BJ50" s="167"/>
      <c r="BK50" s="165"/>
      <c r="BL50" s="190"/>
      <c r="BM50" s="167"/>
      <c r="BN50" s="165"/>
      <c r="BO50" s="173"/>
      <c r="BP50" s="190"/>
      <c r="BQ50" s="173"/>
      <c r="BR50" s="168"/>
      <c r="BS50" s="165"/>
      <c r="BT50" s="167"/>
      <c r="BU50" s="165"/>
      <c r="BV50" s="190"/>
      <c r="BW50" s="173"/>
      <c r="BX50" s="173"/>
      <c r="BY50" s="167"/>
      <c r="BZ50" s="165"/>
      <c r="CA50" s="173"/>
      <c r="CB50" s="190"/>
      <c r="CC50" s="167"/>
      <c r="CD50" s="165"/>
      <c r="CE50" s="173"/>
      <c r="CF50" s="173"/>
      <c r="CG50" s="168"/>
      <c r="CH50" s="165"/>
      <c r="CI50" s="167"/>
    </row>
    <row r="51" spans="1:87" x14ac:dyDescent="0.3">
      <c r="A51" s="10">
        <v>602</v>
      </c>
      <c r="B51" s="11" t="s">
        <v>192</v>
      </c>
      <c r="C51" s="471">
        <v>1304</v>
      </c>
      <c r="D51" s="54">
        <v>411</v>
      </c>
      <c r="E51" s="367">
        <f t="shared" si="0"/>
        <v>0.31518404907975461</v>
      </c>
      <c r="F51" s="45">
        <v>234</v>
      </c>
      <c r="G51" s="45">
        <v>75</v>
      </c>
      <c r="H51" s="45">
        <v>188</v>
      </c>
      <c r="I51" s="45">
        <v>209</v>
      </c>
      <c r="J51" s="46">
        <v>40</v>
      </c>
      <c r="K51" s="165"/>
      <c r="L51" s="304"/>
      <c r="M51" s="601"/>
      <c r="N51" s="165"/>
      <c r="O51" s="165"/>
      <c r="P51" s="190"/>
      <c r="Q51" s="166"/>
      <c r="R51" s="166"/>
      <c r="S51" s="169"/>
      <c r="T51" s="165"/>
      <c r="U51" s="165"/>
      <c r="V51" s="168"/>
      <c r="W51" s="169"/>
      <c r="X51" s="173"/>
      <c r="Y51" s="190"/>
      <c r="Z51" s="167"/>
      <c r="AA51" s="165"/>
      <c r="AB51" s="166"/>
      <c r="AC51" s="169"/>
      <c r="AD51" s="165"/>
      <c r="AE51" s="165"/>
      <c r="AF51" s="167"/>
      <c r="AG51" s="168"/>
      <c r="AH51" s="165"/>
      <c r="AI51" s="167"/>
      <c r="AJ51" s="165"/>
      <c r="AK51" s="173"/>
      <c r="AL51" s="167"/>
      <c r="AM51" s="165"/>
      <c r="AN51" s="173"/>
      <c r="AO51" s="173"/>
      <c r="AP51" s="168"/>
      <c r="AQ51" s="165"/>
      <c r="AR51" s="168"/>
      <c r="AS51" s="165"/>
      <c r="AT51" s="190"/>
      <c r="AU51" s="167"/>
      <c r="AV51" s="165"/>
      <c r="AW51" s="173"/>
      <c r="AX51" s="173"/>
      <c r="AY51" s="190"/>
      <c r="AZ51" s="167"/>
      <c r="BA51" s="165"/>
      <c r="BB51" s="165"/>
      <c r="BC51" s="168"/>
      <c r="BD51" s="165"/>
      <c r="BE51" s="165"/>
      <c r="BF51" s="173"/>
      <c r="BG51" s="304"/>
      <c r="BH51" s="601"/>
      <c r="BI51" s="165"/>
      <c r="BJ51" s="167"/>
      <c r="BK51" s="165"/>
      <c r="BL51" s="190"/>
      <c r="BM51" s="167"/>
      <c r="BN51" s="165"/>
      <c r="BO51" s="173"/>
      <c r="BP51" s="190"/>
      <c r="BQ51" s="173"/>
      <c r="BR51" s="168"/>
      <c r="BS51" s="165"/>
      <c r="BT51" s="167"/>
      <c r="BU51" s="165"/>
      <c r="BV51" s="190"/>
      <c r="BW51" s="173"/>
      <c r="BX51" s="173"/>
      <c r="BY51" s="167"/>
      <c r="BZ51" s="165"/>
      <c r="CA51" s="173"/>
      <c r="CB51" s="190"/>
      <c r="CC51" s="167"/>
      <c r="CD51" s="165"/>
      <c r="CE51" s="173"/>
      <c r="CF51" s="173"/>
      <c r="CG51" s="168"/>
      <c r="CH51" s="165"/>
      <c r="CI51" s="167"/>
    </row>
    <row r="52" spans="1:87" x14ac:dyDescent="0.3">
      <c r="A52" s="10">
        <v>603</v>
      </c>
      <c r="B52" s="11" t="s">
        <v>193</v>
      </c>
      <c r="C52" s="471">
        <v>1884</v>
      </c>
      <c r="D52" s="54">
        <v>546</v>
      </c>
      <c r="E52" s="367">
        <f t="shared" si="0"/>
        <v>0.28980891719745222</v>
      </c>
      <c r="F52" s="45">
        <v>299</v>
      </c>
      <c r="G52" s="45">
        <v>125</v>
      </c>
      <c r="H52" s="45">
        <v>248</v>
      </c>
      <c r="I52" s="45">
        <v>295</v>
      </c>
      <c r="J52" s="46">
        <v>49</v>
      </c>
      <c r="K52" s="165"/>
      <c r="L52" s="304"/>
      <c r="M52" s="601"/>
      <c r="N52" s="165"/>
      <c r="O52" s="165"/>
      <c r="P52" s="190"/>
      <c r="Q52" s="166"/>
      <c r="R52" s="166"/>
      <c r="S52" s="169"/>
      <c r="T52" s="165"/>
      <c r="U52" s="165"/>
      <c r="V52" s="168"/>
      <c r="W52" s="169"/>
      <c r="X52" s="173"/>
      <c r="Y52" s="190"/>
      <c r="Z52" s="167"/>
      <c r="AA52" s="165"/>
      <c r="AB52" s="166"/>
      <c r="AC52" s="169"/>
      <c r="AD52" s="165"/>
      <c r="AE52" s="165"/>
      <c r="AF52" s="167"/>
      <c r="AG52" s="168"/>
      <c r="AH52" s="165"/>
      <c r="AI52" s="167"/>
      <c r="AJ52" s="165"/>
      <c r="AK52" s="173"/>
      <c r="AL52" s="167"/>
      <c r="AM52" s="165"/>
      <c r="AN52" s="173"/>
      <c r="AO52" s="173"/>
      <c r="AP52" s="168"/>
      <c r="AQ52" s="165"/>
      <c r="AR52" s="168"/>
      <c r="AS52" s="165"/>
      <c r="AT52" s="190"/>
      <c r="AU52" s="167"/>
      <c r="AV52" s="165"/>
      <c r="AW52" s="173"/>
      <c r="AX52" s="173"/>
      <c r="AY52" s="190"/>
      <c r="AZ52" s="167"/>
      <c r="BA52" s="165"/>
      <c r="BB52" s="165"/>
      <c r="BC52" s="168"/>
      <c r="BD52" s="165"/>
      <c r="BE52" s="165"/>
      <c r="BF52" s="173"/>
      <c r="BG52" s="304"/>
      <c r="BH52" s="601"/>
      <c r="BI52" s="165"/>
      <c r="BJ52" s="167"/>
      <c r="BK52" s="165"/>
      <c r="BL52" s="190"/>
      <c r="BM52" s="167"/>
      <c r="BN52" s="165"/>
      <c r="BO52" s="173"/>
      <c r="BP52" s="190"/>
      <c r="BQ52" s="173"/>
      <c r="BR52" s="168"/>
      <c r="BS52" s="165"/>
      <c r="BT52" s="167"/>
      <c r="BU52" s="165"/>
      <c r="BV52" s="190"/>
      <c r="BW52" s="173"/>
      <c r="BX52" s="173"/>
      <c r="BY52" s="167"/>
      <c r="BZ52" s="165"/>
      <c r="CA52" s="173"/>
      <c r="CB52" s="190"/>
      <c r="CC52" s="167"/>
      <c r="CD52" s="165"/>
      <c r="CE52" s="173"/>
      <c r="CF52" s="173"/>
      <c r="CG52" s="168"/>
      <c r="CH52" s="165"/>
      <c r="CI52" s="167"/>
    </row>
    <row r="53" spans="1:87" x14ac:dyDescent="0.3">
      <c r="A53" s="10">
        <v>604</v>
      </c>
      <c r="B53" s="11" t="s">
        <v>194</v>
      </c>
      <c r="C53" s="471">
        <v>1715</v>
      </c>
      <c r="D53" s="54">
        <v>660</v>
      </c>
      <c r="E53" s="367">
        <f t="shared" si="0"/>
        <v>0.38483965014577259</v>
      </c>
      <c r="F53" s="45">
        <v>401</v>
      </c>
      <c r="G53" s="45">
        <v>157</v>
      </c>
      <c r="H53" s="45">
        <v>324</v>
      </c>
      <c r="I53" s="45">
        <v>380</v>
      </c>
      <c r="J53" s="46">
        <v>41</v>
      </c>
      <c r="K53" s="165"/>
      <c r="L53" s="304"/>
      <c r="M53" s="601"/>
      <c r="N53" s="165"/>
      <c r="O53" s="165"/>
      <c r="P53" s="190"/>
      <c r="Q53" s="166"/>
      <c r="R53" s="166"/>
      <c r="S53" s="169"/>
      <c r="T53" s="165"/>
      <c r="U53" s="165"/>
      <c r="V53" s="168"/>
      <c r="W53" s="169"/>
      <c r="X53" s="173"/>
      <c r="Y53" s="190"/>
      <c r="Z53" s="167"/>
      <c r="AA53" s="165"/>
      <c r="AB53" s="166"/>
      <c r="AC53" s="169"/>
      <c r="AD53" s="165"/>
      <c r="AE53" s="165"/>
      <c r="AF53" s="167"/>
      <c r="AG53" s="168"/>
      <c r="AH53" s="165"/>
      <c r="AI53" s="167"/>
      <c r="AJ53" s="165"/>
      <c r="AK53" s="173"/>
      <c r="AL53" s="167"/>
      <c r="AM53" s="165"/>
      <c r="AN53" s="173"/>
      <c r="AO53" s="173"/>
      <c r="AP53" s="168"/>
      <c r="AQ53" s="165"/>
      <c r="AR53" s="168"/>
      <c r="AS53" s="165"/>
      <c r="AT53" s="190"/>
      <c r="AU53" s="167"/>
      <c r="AV53" s="165"/>
      <c r="AW53" s="173"/>
      <c r="AX53" s="173"/>
      <c r="AY53" s="190"/>
      <c r="AZ53" s="167"/>
      <c r="BA53" s="165"/>
      <c r="BB53" s="165"/>
      <c r="BC53" s="168"/>
      <c r="BD53" s="165"/>
      <c r="BE53" s="165"/>
      <c r="BF53" s="173"/>
      <c r="BG53" s="304"/>
      <c r="BH53" s="601"/>
      <c r="BI53" s="165"/>
      <c r="BJ53" s="167"/>
      <c r="BK53" s="165"/>
      <c r="BL53" s="190"/>
      <c r="BM53" s="167"/>
      <c r="BN53" s="165"/>
      <c r="BO53" s="173"/>
      <c r="BP53" s="190"/>
      <c r="BQ53" s="173"/>
      <c r="BR53" s="168"/>
      <c r="BS53" s="165"/>
      <c r="BT53" s="167"/>
      <c r="BU53" s="165"/>
      <c r="BV53" s="190"/>
      <c r="BW53" s="173"/>
      <c r="BX53" s="173"/>
      <c r="BY53" s="167"/>
      <c r="BZ53" s="165"/>
      <c r="CA53" s="173"/>
      <c r="CB53" s="190"/>
      <c r="CC53" s="167"/>
      <c r="CD53" s="165"/>
      <c r="CE53" s="173"/>
      <c r="CF53" s="173"/>
      <c r="CG53" s="168"/>
      <c r="CH53" s="165"/>
      <c r="CI53" s="167"/>
    </row>
    <row r="54" spans="1:87" x14ac:dyDescent="0.3">
      <c r="A54" s="10">
        <v>605</v>
      </c>
      <c r="B54" s="11" t="s">
        <v>781</v>
      </c>
      <c r="C54" s="471">
        <v>1382</v>
      </c>
      <c r="D54" s="54">
        <v>569</v>
      </c>
      <c r="E54" s="367">
        <f t="shared" si="0"/>
        <v>0.4117221418234443</v>
      </c>
      <c r="F54" s="45">
        <v>291</v>
      </c>
      <c r="G54" s="45">
        <v>102</v>
      </c>
      <c r="H54" s="45">
        <v>257</v>
      </c>
      <c r="I54" s="45">
        <v>281</v>
      </c>
      <c r="J54" s="46">
        <v>48</v>
      </c>
      <c r="K54" s="165"/>
      <c r="L54" s="304"/>
      <c r="M54" s="601"/>
      <c r="N54" s="165"/>
      <c r="O54" s="165"/>
      <c r="P54" s="190"/>
      <c r="Q54" s="166"/>
      <c r="R54" s="166"/>
      <c r="S54" s="169"/>
      <c r="T54" s="165"/>
      <c r="U54" s="165"/>
      <c r="V54" s="168"/>
      <c r="W54" s="169"/>
      <c r="X54" s="173"/>
      <c r="Y54" s="190"/>
      <c r="Z54" s="167"/>
      <c r="AA54" s="165"/>
      <c r="AB54" s="166"/>
      <c r="AC54" s="169"/>
      <c r="AD54" s="165"/>
      <c r="AE54" s="165"/>
      <c r="AF54" s="167"/>
      <c r="AG54" s="168"/>
      <c r="AH54" s="165"/>
      <c r="AI54" s="167"/>
      <c r="AJ54" s="165"/>
      <c r="AK54" s="173"/>
      <c r="AL54" s="167"/>
      <c r="AM54" s="165"/>
      <c r="AN54" s="173"/>
      <c r="AO54" s="173"/>
      <c r="AP54" s="168"/>
      <c r="AQ54" s="165"/>
      <c r="AR54" s="168"/>
      <c r="AS54" s="165"/>
      <c r="AT54" s="190"/>
      <c r="AU54" s="167"/>
      <c r="AV54" s="165"/>
      <c r="AW54" s="173"/>
      <c r="AX54" s="173"/>
      <c r="AY54" s="190"/>
      <c r="AZ54" s="167"/>
      <c r="BA54" s="165"/>
      <c r="BB54" s="165"/>
      <c r="BC54" s="168"/>
      <c r="BD54" s="165"/>
      <c r="BE54" s="165"/>
      <c r="BF54" s="173"/>
      <c r="BG54" s="304"/>
      <c r="BH54" s="601"/>
      <c r="BI54" s="165"/>
      <c r="BJ54" s="167"/>
      <c r="BK54" s="165"/>
      <c r="BL54" s="190"/>
      <c r="BM54" s="167"/>
      <c r="BN54" s="165"/>
      <c r="BO54" s="173"/>
      <c r="BP54" s="190"/>
      <c r="BQ54" s="173"/>
      <c r="BR54" s="168"/>
      <c r="BS54" s="165"/>
      <c r="BT54" s="167"/>
      <c r="BU54" s="165"/>
      <c r="BV54" s="190"/>
      <c r="BW54" s="173"/>
      <c r="BX54" s="173"/>
      <c r="BY54" s="167"/>
      <c r="BZ54" s="165"/>
      <c r="CA54" s="173"/>
      <c r="CB54" s="190"/>
      <c r="CC54" s="167"/>
      <c r="CD54" s="165"/>
      <c r="CE54" s="173"/>
      <c r="CF54" s="173"/>
      <c r="CG54" s="168"/>
      <c r="CH54" s="165"/>
      <c r="CI54" s="167"/>
    </row>
    <row r="55" spans="1:87" x14ac:dyDescent="0.3">
      <c r="A55" s="10">
        <v>701</v>
      </c>
      <c r="B55" s="11" t="s">
        <v>195</v>
      </c>
      <c r="C55" s="471">
        <v>1268</v>
      </c>
      <c r="D55" s="54">
        <v>569</v>
      </c>
      <c r="E55" s="367">
        <f t="shared" si="0"/>
        <v>0.44873817034700314</v>
      </c>
      <c r="F55" s="45">
        <v>386</v>
      </c>
      <c r="G55" s="45">
        <v>123</v>
      </c>
      <c r="H55" s="45">
        <v>277</v>
      </c>
      <c r="I55" s="45">
        <v>406</v>
      </c>
      <c r="J55" s="46">
        <v>28</v>
      </c>
      <c r="K55" s="165"/>
      <c r="L55" s="304"/>
      <c r="M55" s="601"/>
      <c r="N55" s="165"/>
      <c r="O55" s="165"/>
      <c r="P55" s="190"/>
      <c r="Q55" s="166"/>
      <c r="R55" s="166"/>
      <c r="S55" s="169"/>
      <c r="T55" s="165"/>
      <c r="U55" s="165"/>
      <c r="V55" s="168"/>
      <c r="W55" s="169"/>
      <c r="X55" s="173"/>
      <c r="Y55" s="190"/>
      <c r="Z55" s="167"/>
      <c r="AA55" s="165"/>
      <c r="AB55" s="166"/>
      <c r="AC55" s="169"/>
      <c r="AD55" s="165"/>
      <c r="AE55" s="165"/>
      <c r="AF55" s="167"/>
      <c r="AG55" s="168"/>
      <c r="AH55" s="165"/>
      <c r="AI55" s="167"/>
      <c r="AJ55" s="165"/>
      <c r="AK55" s="173"/>
      <c r="AL55" s="167"/>
      <c r="AM55" s="165"/>
      <c r="AN55" s="173"/>
      <c r="AO55" s="173"/>
      <c r="AP55" s="168"/>
      <c r="AQ55" s="165"/>
      <c r="AR55" s="168"/>
      <c r="AS55" s="165"/>
      <c r="AT55" s="190"/>
      <c r="AU55" s="167"/>
      <c r="AV55" s="165"/>
      <c r="AW55" s="173"/>
      <c r="AX55" s="173"/>
      <c r="AY55" s="190"/>
      <c r="AZ55" s="167"/>
      <c r="BA55" s="165"/>
      <c r="BB55" s="165"/>
      <c r="BC55" s="168"/>
      <c r="BD55" s="165"/>
      <c r="BE55" s="165"/>
      <c r="BF55" s="173"/>
      <c r="BG55" s="304"/>
      <c r="BH55" s="601"/>
      <c r="BI55" s="165"/>
      <c r="BJ55" s="167"/>
      <c r="BK55" s="165"/>
      <c r="BL55" s="190"/>
      <c r="BM55" s="167"/>
      <c r="BN55" s="165"/>
      <c r="BO55" s="173"/>
      <c r="BP55" s="190"/>
      <c r="BQ55" s="173"/>
      <c r="BR55" s="168"/>
      <c r="BS55" s="165"/>
      <c r="BT55" s="167"/>
      <c r="BU55" s="165"/>
      <c r="BV55" s="190"/>
      <c r="BW55" s="173"/>
      <c r="BX55" s="173"/>
      <c r="BY55" s="167"/>
      <c r="BZ55" s="165"/>
      <c r="CA55" s="173"/>
      <c r="CB55" s="190"/>
      <c r="CC55" s="167"/>
      <c r="CD55" s="165"/>
      <c r="CE55" s="173"/>
      <c r="CF55" s="173"/>
      <c r="CG55" s="168"/>
      <c r="CH55" s="165"/>
      <c r="CI55" s="167"/>
    </row>
    <row r="56" spans="1:87" x14ac:dyDescent="0.3">
      <c r="A56" s="10">
        <v>702</v>
      </c>
      <c r="B56" s="11" t="s">
        <v>196</v>
      </c>
      <c r="C56" s="471">
        <v>767</v>
      </c>
      <c r="D56" s="54">
        <v>171</v>
      </c>
      <c r="E56" s="367">
        <f t="shared" si="0"/>
        <v>0.22294654498044328</v>
      </c>
      <c r="F56" s="45">
        <v>116</v>
      </c>
      <c r="G56" s="45">
        <v>38</v>
      </c>
      <c r="H56" s="45">
        <v>77</v>
      </c>
      <c r="I56" s="45">
        <v>127</v>
      </c>
      <c r="J56" s="46">
        <v>10</v>
      </c>
      <c r="K56" s="165"/>
      <c r="L56" s="304"/>
      <c r="M56" s="601"/>
      <c r="N56" s="165"/>
      <c r="O56" s="165"/>
      <c r="P56" s="190"/>
      <c r="Q56" s="166"/>
      <c r="R56" s="166"/>
      <c r="S56" s="169"/>
      <c r="T56" s="165"/>
      <c r="U56" s="165"/>
      <c r="V56" s="168"/>
      <c r="W56" s="169"/>
      <c r="X56" s="173"/>
      <c r="Y56" s="190"/>
      <c r="Z56" s="167"/>
      <c r="AA56" s="165"/>
      <c r="AB56" s="166"/>
      <c r="AC56" s="169"/>
      <c r="AD56" s="165"/>
      <c r="AE56" s="165"/>
      <c r="AF56" s="167"/>
      <c r="AG56" s="168"/>
      <c r="AH56" s="165"/>
      <c r="AI56" s="167"/>
      <c r="AJ56" s="165"/>
      <c r="AK56" s="173"/>
      <c r="AL56" s="167"/>
      <c r="AM56" s="165"/>
      <c r="AN56" s="173"/>
      <c r="AO56" s="173"/>
      <c r="AP56" s="168"/>
      <c r="AQ56" s="165"/>
      <c r="AR56" s="168"/>
      <c r="AS56" s="165"/>
      <c r="AT56" s="190"/>
      <c r="AU56" s="167"/>
      <c r="AV56" s="165"/>
      <c r="AW56" s="173"/>
      <c r="AX56" s="173"/>
      <c r="AY56" s="190"/>
      <c r="AZ56" s="167"/>
      <c r="BA56" s="165"/>
      <c r="BB56" s="165"/>
      <c r="BC56" s="168"/>
      <c r="BD56" s="165"/>
      <c r="BE56" s="165"/>
      <c r="BF56" s="173"/>
      <c r="BG56" s="304"/>
      <c r="BH56" s="601"/>
      <c r="BI56" s="165"/>
      <c r="BJ56" s="167"/>
      <c r="BK56" s="165"/>
      <c r="BL56" s="190"/>
      <c r="BM56" s="167"/>
      <c r="BN56" s="165"/>
      <c r="BO56" s="173"/>
      <c r="BP56" s="190"/>
      <c r="BQ56" s="173"/>
      <c r="BR56" s="168"/>
      <c r="BS56" s="165"/>
      <c r="BT56" s="167"/>
      <c r="BU56" s="165"/>
      <c r="BV56" s="190"/>
      <c r="BW56" s="173"/>
      <c r="BX56" s="173"/>
      <c r="BY56" s="167"/>
      <c r="BZ56" s="165"/>
      <c r="CA56" s="173"/>
      <c r="CB56" s="190"/>
      <c r="CC56" s="167"/>
      <c r="CD56" s="165"/>
      <c r="CE56" s="173"/>
      <c r="CF56" s="173"/>
      <c r="CG56" s="168"/>
      <c r="CH56" s="165"/>
      <c r="CI56" s="167"/>
    </row>
    <row r="57" spans="1:87" x14ac:dyDescent="0.3">
      <c r="A57" s="10">
        <v>703</v>
      </c>
      <c r="B57" s="11" t="s">
        <v>197</v>
      </c>
      <c r="C57" s="471">
        <v>1162</v>
      </c>
      <c r="D57" s="54">
        <v>525</v>
      </c>
      <c r="E57" s="367">
        <f t="shared" si="0"/>
        <v>0.45180722891566266</v>
      </c>
      <c r="F57" s="45">
        <v>348</v>
      </c>
      <c r="G57" s="45">
        <v>133</v>
      </c>
      <c r="H57" s="45">
        <v>263</v>
      </c>
      <c r="I57" s="45">
        <v>416</v>
      </c>
      <c r="J57" s="46">
        <v>27</v>
      </c>
      <c r="K57" s="165"/>
      <c r="L57" s="304"/>
      <c r="M57" s="601"/>
      <c r="N57" s="165"/>
      <c r="O57" s="165"/>
      <c r="P57" s="190"/>
      <c r="Q57" s="166"/>
      <c r="R57" s="166"/>
      <c r="S57" s="169"/>
      <c r="T57" s="165"/>
      <c r="U57" s="165"/>
      <c r="V57" s="168"/>
      <c r="W57" s="169"/>
      <c r="X57" s="173"/>
      <c r="Y57" s="190"/>
      <c r="Z57" s="167"/>
      <c r="AA57" s="165"/>
      <c r="AB57" s="166"/>
      <c r="AC57" s="169"/>
      <c r="AD57" s="165"/>
      <c r="AE57" s="165"/>
      <c r="AF57" s="167"/>
      <c r="AG57" s="168"/>
      <c r="AH57" s="165"/>
      <c r="AI57" s="167"/>
      <c r="AJ57" s="165"/>
      <c r="AK57" s="173"/>
      <c r="AL57" s="167"/>
      <c r="AM57" s="165"/>
      <c r="AN57" s="173"/>
      <c r="AO57" s="173"/>
      <c r="AP57" s="168"/>
      <c r="AQ57" s="165"/>
      <c r="AR57" s="168"/>
      <c r="AS57" s="165"/>
      <c r="AT57" s="190"/>
      <c r="AU57" s="167"/>
      <c r="AV57" s="165"/>
      <c r="AW57" s="173"/>
      <c r="AX57" s="173"/>
      <c r="AY57" s="190"/>
      <c r="AZ57" s="167"/>
      <c r="BA57" s="165"/>
      <c r="BB57" s="165"/>
      <c r="BC57" s="168"/>
      <c r="BD57" s="165"/>
      <c r="BE57" s="165"/>
      <c r="BF57" s="173"/>
      <c r="BG57" s="304"/>
      <c r="BH57" s="601"/>
      <c r="BI57" s="165"/>
      <c r="BJ57" s="167"/>
      <c r="BK57" s="165"/>
      <c r="BL57" s="190"/>
      <c r="BM57" s="167"/>
      <c r="BN57" s="165"/>
      <c r="BO57" s="173"/>
      <c r="BP57" s="190"/>
      <c r="BQ57" s="173"/>
      <c r="BR57" s="168"/>
      <c r="BS57" s="165"/>
      <c r="BT57" s="167"/>
      <c r="BU57" s="165"/>
      <c r="BV57" s="190"/>
      <c r="BW57" s="173"/>
      <c r="BX57" s="173"/>
      <c r="BY57" s="167"/>
      <c r="BZ57" s="165"/>
      <c r="CA57" s="173"/>
      <c r="CB57" s="190"/>
      <c r="CC57" s="167"/>
      <c r="CD57" s="165"/>
      <c r="CE57" s="173"/>
      <c r="CF57" s="173"/>
      <c r="CG57" s="168"/>
      <c r="CH57" s="165"/>
      <c r="CI57" s="167"/>
    </row>
    <row r="58" spans="1:87" x14ac:dyDescent="0.3">
      <c r="A58" s="10">
        <v>704</v>
      </c>
      <c r="B58" s="11" t="s">
        <v>198</v>
      </c>
      <c r="C58" s="471">
        <v>1193</v>
      </c>
      <c r="D58" s="54">
        <v>403</v>
      </c>
      <c r="E58" s="367">
        <f t="shared" si="0"/>
        <v>0.33780385582564965</v>
      </c>
      <c r="F58" s="45">
        <v>249</v>
      </c>
      <c r="G58" s="45">
        <v>103</v>
      </c>
      <c r="H58" s="45">
        <v>152</v>
      </c>
      <c r="I58" s="45">
        <v>278</v>
      </c>
      <c r="J58" s="46">
        <v>35</v>
      </c>
      <c r="K58" s="165"/>
      <c r="L58" s="304"/>
      <c r="M58" s="601"/>
      <c r="N58" s="165"/>
      <c r="O58" s="165"/>
      <c r="P58" s="190"/>
      <c r="Q58" s="166"/>
      <c r="R58" s="166"/>
      <c r="S58" s="169"/>
      <c r="T58" s="165"/>
      <c r="U58" s="165"/>
      <c r="V58" s="168"/>
      <c r="W58" s="169"/>
      <c r="X58" s="173"/>
      <c r="Y58" s="190"/>
      <c r="Z58" s="167"/>
      <c r="AA58" s="165"/>
      <c r="AB58" s="166"/>
      <c r="AC58" s="169"/>
      <c r="AD58" s="165"/>
      <c r="AE58" s="165"/>
      <c r="AF58" s="167"/>
      <c r="AG58" s="168"/>
      <c r="AH58" s="165"/>
      <c r="AI58" s="167"/>
      <c r="AJ58" s="165"/>
      <c r="AK58" s="173"/>
      <c r="AL58" s="167"/>
      <c r="AM58" s="165"/>
      <c r="AN58" s="173"/>
      <c r="AO58" s="173"/>
      <c r="AP58" s="168"/>
      <c r="AQ58" s="165"/>
      <c r="AR58" s="168"/>
      <c r="AS58" s="165"/>
      <c r="AT58" s="190"/>
      <c r="AU58" s="167"/>
      <c r="AV58" s="165"/>
      <c r="AW58" s="173"/>
      <c r="AX58" s="173"/>
      <c r="AY58" s="190"/>
      <c r="AZ58" s="167"/>
      <c r="BA58" s="165"/>
      <c r="BB58" s="165"/>
      <c r="BC58" s="168"/>
      <c r="BD58" s="165"/>
      <c r="BE58" s="165"/>
      <c r="BF58" s="173"/>
      <c r="BG58" s="304"/>
      <c r="BH58" s="601"/>
      <c r="BI58" s="165"/>
      <c r="BJ58" s="167"/>
      <c r="BK58" s="165"/>
      <c r="BL58" s="190"/>
      <c r="BM58" s="167"/>
      <c r="BN58" s="165"/>
      <c r="BO58" s="173"/>
      <c r="BP58" s="190"/>
      <c r="BQ58" s="173"/>
      <c r="BR58" s="168"/>
      <c r="BS58" s="165"/>
      <c r="BT58" s="167"/>
      <c r="BU58" s="165"/>
      <c r="BV58" s="190"/>
      <c r="BW58" s="173"/>
      <c r="BX58" s="173"/>
      <c r="BY58" s="167"/>
      <c r="BZ58" s="165"/>
      <c r="CA58" s="173"/>
      <c r="CB58" s="190"/>
      <c r="CC58" s="167"/>
      <c r="CD58" s="165"/>
      <c r="CE58" s="173"/>
      <c r="CF58" s="173"/>
      <c r="CG58" s="168"/>
      <c r="CH58" s="165"/>
      <c r="CI58" s="167"/>
    </row>
    <row r="59" spans="1:87" x14ac:dyDescent="0.3">
      <c r="A59" s="10">
        <v>705</v>
      </c>
      <c r="B59" s="11" t="s">
        <v>199</v>
      </c>
      <c r="C59" s="471">
        <v>609</v>
      </c>
      <c r="D59" s="54">
        <v>274</v>
      </c>
      <c r="E59" s="367">
        <f t="shared" si="0"/>
        <v>0.44991789819376027</v>
      </c>
      <c r="F59" s="45">
        <v>175</v>
      </c>
      <c r="G59" s="45">
        <v>67</v>
      </c>
      <c r="H59" s="45">
        <v>119</v>
      </c>
      <c r="I59" s="45">
        <v>207</v>
      </c>
      <c r="J59" s="46">
        <v>13</v>
      </c>
      <c r="K59" s="165"/>
      <c r="L59" s="304"/>
      <c r="M59" s="601"/>
      <c r="N59" s="165"/>
      <c r="O59" s="165"/>
      <c r="P59" s="190"/>
      <c r="Q59" s="166"/>
      <c r="R59" s="166"/>
      <c r="S59" s="169"/>
      <c r="T59" s="165"/>
      <c r="U59" s="165"/>
      <c r="V59" s="168"/>
      <c r="W59" s="169"/>
      <c r="X59" s="173"/>
      <c r="Y59" s="190"/>
      <c r="Z59" s="167"/>
      <c r="AA59" s="165"/>
      <c r="AB59" s="166"/>
      <c r="AC59" s="169"/>
      <c r="AD59" s="165"/>
      <c r="AE59" s="165"/>
      <c r="AF59" s="167"/>
      <c r="AG59" s="168"/>
      <c r="AH59" s="165"/>
      <c r="AI59" s="167"/>
      <c r="AJ59" s="165"/>
      <c r="AK59" s="173"/>
      <c r="AL59" s="167"/>
      <c r="AM59" s="165"/>
      <c r="AN59" s="173"/>
      <c r="AO59" s="173"/>
      <c r="AP59" s="168"/>
      <c r="AQ59" s="165"/>
      <c r="AR59" s="168"/>
      <c r="AS59" s="165"/>
      <c r="AT59" s="190"/>
      <c r="AU59" s="167"/>
      <c r="AV59" s="165"/>
      <c r="AW59" s="173"/>
      <c r="AX59" s="173"/>
      <c r="AY59" s="190"/>
      <c r="AZ59" s="167"/>
      <c r="BA59" s="165"/>
      <c r="BB59" s="165"/>
      <c r="BC59" s="168"/>
      <c r="BD59" s="165"/>
      <c r="BE59" s="165"/>
      <c r="BF59" s="173"/>
      <c r="BG59" s="304"/>
      <c r="BH59" s="601"/>
      <c r="BI59" s="165"/>
      <c r="BJ59" s="167"/>
      <c r="BK59" s="165"/>
      <c r="BL59" s="190"/>
      <c r="BM59" s="167"/>
      <c r="BN59" s="165"/>
      <c r="BO59" s="173"/>
      <c r="BP59" s="190"/>
      <c r="BQ59" s="173"/>
      <c r="BR59" s="168"/>
      <c r="BS59" s="165"/>
      <c r="BT59" s="167"/>
      <c r="BU59" s="165"/>
      <c r="BV59" s="190"/>
      <c r="BW59" s="173"/>
      <c r="BX59" s="173"/>
      <c r="BY59" s="167"/>
      <c r="BZ59" s="165"/>
      <c r="CA59" s="173"/>
      <c r="CB59" s="190"/>
      <c r="CC59" s="167"/>
      <c r="CD59" s="165"/>
      <c r="CE59" s="173"/>
      <c r="CF59" s="173"/>
      <c r="CG59" s="168"/>
      <c r="CH59" s="165"/>
      <c r="CI59" s="167"/>
    </row>
    <row r="60" spans="1:87" x14ac:dyDescent="0.3">
      <c r="A60" s="10">
        <v>706</v>
      </c>
      <c r="B60" s="11" t="s">
        <v>200</v>
      </c>
      <c r="C60" s="471">
        <v>898</v>
      </c>
      <c r="D60" s="54">
        <v>309</v>
      </c>
      <c r="E60" s="367">
        <f t="shared" si="0"/>
        <v>0.34409799554565701</v>
      </c>
      <c r="F60" s="45">
        <v>198</v>
      </c>
      <c r="G60" s="45">
        <v>98</v>
      </c>
      <c r="H60" s="45">
        <v>141</v>
      </c>
      <c r="I60" s="45">
        <v>236</v>
      </c>
      <c r="J60" s="46">
        <v>8</v>
      </c>
      <c r="K60" s="165"/>
      <c r="L60" s="304"/>
      <c r="M60" s="601"/>
      <c r="N60" s="165"/>
      <c r="O60" s="165"/>
      <c r="P60" s="190"/>
      <c r="Q60" s="166"/>
      <c r="R60" s="166"/>
      <c r="S60" s="169"/>
      <c r="T60" s="165"/>
      <c r="U60" s="165"/>
      <c r="V60" s="168"/>
      <c r="W60" s="169"/>
      <c r="X60" s="173"/>
      <c r="Y60" s="190"/>
      <c r="Z60" s="167"/>
      <c r="AA60" s="165"/>
      <c r="AB60" s="166"/>
      <c r="AC60" s="169"/>
      <c r="AD60" s="165"/>
      <c r="AE60" s="165"/>
      <c r="AF60" s="167"/>
      <c r="AG60" s="168"/>
      <c r="AH60" s="165"/>
      <c r="AI60" s="167"/>
      <c r="AJ60" s="165"/>
      <c r="AK60" s="173"/>
      <c r="AL60" s="167"/>
      <c r="AM60" s="165"/>
      <c r="AN60" s="173"/>
      <c r="AO60" s="173"/>
      <c r="AP60" s="168"/>
      <c r="AQ60" s="165"/>
      <c r="AR60" s="168"/>
      <c r="AS60" s="165"/>
      <c r="AT60" s="190"/>
      <c r="AU60" s="167"/>
      <c r="AV60" s="165"/>
      <c r="AW60" s="173"/>
      <c r="AX60" s="173"/>
      <c r="AY60" s="190"/>
      <c r="AZ60" s="167"/>
      <c r="BA60" s="165"/>
      <c r="BB60" s="165"/>
      <c r="BC60" s="168"/>
      <c r="BD60" s="165"/>
      <c r="BE60" s="165"/>
      <c r="BF60" s="173"/>
      <c r="BG60" s="304"/>
      <c r="BH60" s="601"/>
      <c r="BI60" s="165"/>
      <c r="BJ60" s="167"/>
      <c r="BK60" s="165"/>
      <c r="BL60" s="190"/>
      <c r="BM60" s="167"/>
      <c r="BN60" s="165"/>
      <c r="BO60" s="173"/>
      <c r="BP60" s="190"/>
      <c r="BQ60" s="173"/>
      <c r="BR60" s="168"/>
      <c r="BS60" s="165"/>
      <c r="BT60" s="167"/>
      <c r="BU60" s="165"/>
      <c r="BV60" s="190"/>
      <c r="BW60" s="173"/>
      <c r="BX60" s="173"/>
      <c r="BY60" s="167"/>
      <c r="BZ60" s="165"/>
      <c r="CA60" s="173"/>
      <c r="CB60" s="190"/>
      <c r="CC60" s="167"/>
      <c r="CD60" s="165"/>
      <c r="CE60" s="173"/>
      <c r="CF60" s="173"/>
      <c r="CG60" s="168"/>
      <c r="CH60" s="165"/>
      <c r="CI60" s="167"/>
    </row>
    <row r="61" spans="1:87" x14ac:dyDescent="0.3">
      <c r="A61" s="10">
        <v>707</v>
      </c>
      <c r="B61" s="11" t="s">
        <v>201</v>
      </c>
      <c r="C61" s="471">
        <v>1306</v>
      </c>
      <c r="D61" s="54">
        <v>469</v>
      </c>
      <c r="E61" s="367">
        <f t="shared" si="0"/>
        <v>0.35911179173047475</v>
      </c>
      <c r="F61" s="45">
        <v>310</v>
      </c>
      <c r="G61" s="45">
        <v>116</v>
      </c>
      <c r="H61" s="45">
        <v>197</v>
      </c>
      <c r="I61" s="45">
        <v>339</v>
      </c>
      <c r="J61" s="46">
        <v>23</v>
      </c>
      <c r="K61" s="165"/>
      <c r="L61" s="304"/>
      <c r="M61" s="601"/>
      <c r="N61" s="165"/>
      <c r="O61" s="165"/>
      <c r="P61" s="190"/>
      <c r="Q61" s="166"/>
      <c r="R61" s="166"/>
      <c r="S61" s="169"/>
      <c r="T61" s="165"/>
      <c r="U61" s="165"/>
      <c r="V61" s="168"/>
      <c r="W61" s="169"/>
      <c r="X61" s="173"/>
      <c r="Y61" s="190"/>
      <c r="Z61" s="167"/>
      <c r="AA61" s="165"/>
      <c r="AB61" s="166"/>
      <c r="AC61" s="169"/>
      <c r="AD61" s="165"/>
      <c r="AE61" s="165"/>
      <c r="AF61" s="167"/>
      <c r="AG61" s="168"/>
      <c r="AH61" s="165"/>
      <c r="AI61" s="167"/>
      <c r="AJ61" s="165"/>
      <c r="AK61" s="173"/>
      <c r="AL61" s="167"/>
      <c r="AM61" s="165"/>
      <c r="AN61" s="173"/>
      <c r="AO61" s="173"/>
      <c r="AP61" s="168"/>
      <c r="AQ61" s="165"/>
      <c r="AR61" s="168"/>
      <c r="AS61" s="165"/>
      <c r="AT61" s="190"/>
      <c r="AU61" s="167"/>
      <c r="AV61" s="165"/>
      <c r="AW61" s="173"/>
      <c r="AX61" s="173"/>
      <c r="AY61" s="190"/>
      <c r="AZ61" s="167"/>
      <c r="BA61" s="165"/>
      <c r="BB61" s="165"/>
      <c r="BC61" s="168"/>
      <c r="BD61" s="165"/>
      <c r="BE61" s="165"/>
      <c r="BF61" s="173"/>
      <c r="BG61" s="304"/>
      <c r="BH61" s="601"/>
      <c r="BI61" s="165"/>
      <c r="BJ61" s="167"/>
      <c r="BK61" s="165"/>
      <c r="BL61" s="190"/>
      <c r="BM61" s="167"/>
      <c r="BN61" s="165"/>
      <c r="BO61" s="173"/>
      <c r="BP61" s="190"/>
      <c r="BQ61" s="173"/>
      <c r="BR61" s="168"/>
      <c r="BS61" s="165"/>
      <c r="BT61" s="167"/>
      <c r="BU61" s="165"/>
      <c r="BV61" s="190"/>
      <c r="BW61" s="173"/>
      <c r="BX61" s="173"/>
      <c r="BY61" s="167"/>
      <c r="BZ61" s="165"/>
      <c r="CA61" s="173"/>
      <c r="CB61" s="190"/>
      <c r="CC61" s="167"/>
      <c r="CD61" s="165"/>
      <c r="CE61" s="173"/>
      <c r="CF61" s="173"/>
      <c r="CG61" s="168"/>
      <c r="CH61" s="165"/>
      <c r="CI61" s="167"/>
    </row>
    <row r="62" spans="1:87" x14ac:dyDescent="0.3">
      <c r="A62" s="10">
        <v>708</v>
      </c>
      <c r="B62" s="11" t="s">
        <v>202</v>
      </c>
      <c r="C62" s="471">
        <v>1140</v>
      </c>
      <c r="D62" s="54">
        <v>352</v>
      </c>
      <c r="E62" s="367">
        <f t="shared" si="0"/>
        <v>0.30877192982456142</v>
      </c>
      <c r="F62" s="45">
        <v>244</v>
      </c>
      <c r="G62" s="45">
        <v>87</v>
      </c>
      <c r="H62" s="45">
        <v>161</v>
      </c>
      <c r="I62" s="45">
        <v>273</v>
      </c>
      <c r="J62" s="46">
        <v>22</v>
      </c>
      <c r="K62" s="165"/>
      <c r="L62" s="304"/>
      <c r="M62" s="601"/>
      <c r="N62" s="165"/>
      <c r="O62" s="165"/>
      <c r="P62" s="190"/>
      <c r="Q62" s="166"/>
      <c r="R62" s="166"/>
      <c r="S62" s="169"/>
      <c r="T62" s="165"/>
      <c r="U62" s="165"/>
      <c r="V62" s="168"/>
      <c r="W62" s="169"/>
      <c r="X62" s="173"/>
      <c r="Y62" s="190"/>
      <c r="Z62" s="167"/>
      <c r="AA62" s="165"/>
      <c r="AB62" s="166"/>
      <c r="AC62" s="169"/>
      <c r="AD62" s="165"/>
      <c r="AE62" s="165"/>
      <c r="AF62" s="167"/>
      <c r="AG62" s="168"/>
      <c r="AH62" s="165"/>
      <c r="AI62" s="167"/>
      <c r="AJ62" s="165"/>
      <c r="AK62" s="173"/>
      <c r="AL62" s="167"/>
      <c r="AM62" s="165"/>
      <c r="AN62" s="173"/>
      <c r="AO62" s="173"/>
      <c r="AP62" s="168"/>
      <c r="AQ62" s="165"/>
      <c r="AR62" s="168"/>
      <c r="AS62" s="165"/>
      <c r="AT62" s="190"/>
      <c r="AU62" s="167"/>
      <c r="AV62" s="165"/>
      <c r="AW62" s="173"/>
      <c r="AX62" s="173"/>
      <c r="AY62" s="190"/>
      <c r="AZ62" s="167"/>
      <c r="BA62" s="165"/>
      <c r="BB62" s="165"/>
      <c r="BC62" s="168"/>
      <c r="BD62" s="165"/>
      <c r="BE62" s="165"/>
      <c r="BF62" s="173"/>
      <c r="BG62" s="304"/>
      <c r="BH62" s="601"/>
      <c r="BI62" s="165"/>
      <c r="BJ62" s="167"/>
      <c r="BK62" s="165"/>
      <c r="BL62" s="190"/>
      <c r="BM62" s="167"/>
      <c r="BN62" s="165"/>
      <c r="BO62" s="173"/>
      <c r="BP62" s="190"/>
      <c r="BQ62" s="173"/>
      <c r="BR62" s="168"/>
      <c r="BS62" s="165"/>
      <c r="BT62" s="167"/>
      <c r="BU62" s="165"/>
      <c r="BV62" s="190"/>
      <c r="BW62" s="173"/>
      <c r="BX62" s="173"/>
      <c r="BY62" s="167"/>
      <c r="BZ62" s="165"/>
      <c r="CA62" s="173"/>
      <c r="CB62" s="190"/>
      <c r="CC62" s="167"/>
      <c r="CD62" s="165"/>
      <c r="CE62" s="173"/>
      <c r="CF62" s="173"/>
      <c r="CG62" s="168"/>
      <c r="CH62" s="165"/>
      <c r="CI62" s="167"/>
    </row>
    <row r="63" spans="1:87" x14ac:dyDescent="0.3">
      <c r="A63" s="10">
        <v>709</v>
      </c>
      <c r="B63" s="11" t="s">
        <v>203</v>
      </c>
      <c r="C63" s="471">
        <v>1138</v>
      </c>
      <c r="D63" s="54">
        <v>485</v>
      </c>
      <c r="E63" s="367">
        <f t="shared" si="0"/>
        <v>0.42618629173989453</v>
      </c>
      <c r="F63" s="45">
        <v>313</v>
      </c>
      <c r="G63" s="45">
        <v>104</v>
      </c>
      <c r="H63" s="45">
        <v>221</v>
      </c>
      <c r="I63" s="45">
        <v>374</v>
      </c>
      <c r="J63" s="46">
        <v>34</v>
      </c>
      <c r="K63" s="165"/>
      <c r="L63" s="304"/>
      <c r="M63" s="601"/>
      <c r="N63" s="165"/>
      <c r="O63" s="165"/>
      <c r="P63" s="190"/>
      <c r="Q63" s="166"/>
      <c r="R63" s="166"/>
      <c r="S63" s="169"/>
      <c r="T63" s="165"/>
      <c r="U63" s="165"/>
      <c r="V63" s="168"/>
      <c r="W63" s="169"/>
      <c r="X63" s="173"/>
      <c r="Y63" s="190"/>
      <c r="Z63" s="167"/>
      <c r="AA63" s="165"/>
      <c r="AB63" s="166"/>
      <c r="AC63" s="169"/>
      <c r="AD63" s="165"/>
      <c r="AE63" s="165"/>
      <c r="AF63" s="167"/>
      <c r="AG63" s="168"/>
      <c r="AH63" s="165"/>
      <c r="AI63" s="167"/>
      <c r="AJ63" s="165"/>
      <c r="AK63" s="173"/>
      <c r="AL63" s="167"/>
      <c r="AM63" s="165"/>
      <c r="AN63" s="173"/>
      <c r="AO63" s="173"/>
      <c r="AP63" s="168"/>
      <c r="AQ63" s="165"/>
      <c r="AR63" s="168"/>
      <c r="AS63" s="165"/>
      <c r="AT63" s="190"/>
      <c r="AU63" s="167"/>
      <c r="AV63" s="165"/>
      <c r="AW63" s="173"/>
      <c r="AX63" s="173"/>
      <c r="AY63" s="190"/>
      <c r="AZ63" s="167"/>
      <c r="BA63" s="165"/>
      <c r="BB63" s="165"/>
      <c r="BC63" s="168"/>
      <c r="BD63" s="165"/>
      <c r="BE63" s="165"/>
      <c r="BF63" s="173"/>
      <c r="BG63" s="304"/>
      <c r="BH63" s="601"/>
      <c r="BI63" s="165"/>
      <c r="BJ63" s="167"/>
      <c r="BK63" s="165"/>
      <c r="BL63" s="190"/>
      <c r="BM63" s="167"/>
      <c r="BN63" s="165"/>
      <c r="BO63" s="173"/>
      <c r="BP63" s="190"/>
      <c r="BQ63" s="173"/>
      <c r="BR63" s="168"/>
      <c r="BS63" s="165"/>
      <c r="BT63" s="167"/>
      <c r="BU63" s="165"/>
      <c r="BV63" s="190"/>
      <c r="BW63" s="173"/>
      <c r="BX63" s="173"/>
      <c r="BY63" s="167"/>
      <c r="BZ63" s="165"/>
      <c r="CA63" s="173"/>
      <c r="CB63" s="190"/>
      <c r="CC63" s="167"/>
      <c r="CD63" s="165"/>
      <c r="CE63" s="173"/>
      <c r="CF63" s="173"/>
      <c r="CG63" s="168"/>
      <c r="CH63" s="165"/>
      <c r="CI63" s="167"/>
    </row>
    <row r="64" spans="1:87" x14ac:dyDescent="0.3">
      <c r="A64" s="10">
        <v>710</v>
      </c>
      <c r="B64" s="11" t="s">
        <v>204</v>
      </c>
      <c r="C64" s="471">
        <v>513</v>
      </c>
      <c r="D64" s="54">
        <v>138</v>
      </c>
      <c r="E64" s="367">
        <f t="shared" si="0"/>
        <v>0.26900584795321636</v>
      </c>
      <c r="F64" s="45">
        <v>75</v>
      </c>
      <c r="G64" s="45">
        <v>38</v>
      </c>
      <c r="H64" s="45">
        <v>56</v>
      </c>
      <c r="I64" s="45">
        <v>105</v>
      </c>
      <c r="J64" s="46">
        <v>16</v>
      </c>
      <c r="K64" s="165"/>
      <c r="L64" s="304"/>
      <c r="M64" s="601"/>
      <c r="N64" s="165"/>
      <c r="O64" s="165"/>
      <c r="P64" s="190"/>
      <c r="Q64" s="166"/>
      <c r="R64" s="166"/>
      <c r="S64" s="169"/>
      <c r="T64" s="165"/>
      <c r="U64" s="165"/>
      <c r="V64" s="168"/>
      <c r="W64" s="169"/>
      <c r="X64" s="173"/>
      <c r="Y64" s="190"/>
      <c r="Z64" s="167"/>
      <c r="AA64" s="165"/>
      <c r="AB64" s="166"/>
      <c r="AC64" s="169"/>
      <c r="AD64" s="165"/>
      <c r="AE64" s="165"/>
      <c r="AF64" s="167"/>
      <c r="AG64" s="168"/>
      <c r="AH64" s="165"/>
      <c r="AI64" s="167"/>
      <c r="AJ64" s="165"/>
      <c r="AK64" s="173"/>
      <c r="AL64" s="167"/>
      <c r="AM64" s="165"/>
      <c r="AN64" s="173"/>
      <c r="AO64" s="173"/>
      <c r="AP64" s="168"/>
      <c r="AQ64" s="165"/>
      <c r="AR64" s="168"/>
      <c r="AS64" s="165"/>
      <c r="AT64" s="190"/>
      <c r="AU64" s="167"/>
      <c r="AV64" s="165"/>
      <c r="AW64" s="173"/>
      <c r="AX64" s="173"/>
      <c r="AY64" s="190"/>
      <c r="AZ64" s="167"/>
      <c r="BA64" s="165"/>
      <c r="BB64" s="165"/>
      <c r="BC64" s="168"/>
      <c r="BD64" s="165"/>
      <c r="BE64" s="165"/>
      <c r="BF64" s="173"/>
      <c r="BG64" s="304"/>
      <c r="BH64" s="601"/>
      <c r="BI64" s="165"/>
      <c r="BJ64" s="167"/>
      <c r="BK64" s="165"/>
      <c r="BL64" s="190"/>
      <c r="BM64" s="167"/>
      <c r="BN64" s="165"/>
      <c r="BO64" s="173"/>
      <c r="BP64" s="190"/>
      <c r="BQ64" s="173"/>
      <c r="BR64" s="168"/>
      <c r="BS64" s="165"/>
      <c r="BT64" s="167"/>
      <c r="BU64" s="165"/>
      <c r="BV64" s="190"/>
      <c r="BW64" s="173"/>
      <c r="BX64" s="173"/>
      <c r="BY64" s="167"/>
      <c r="BZ64" s="165"/>
      <c r="CA64" s="173"/>
      <c r="CB64" s="190"/>
      <c r="CC64" s="167"/>
      <c r="CD64" s="165"/>
      <c r="CE64" s="173"/>
      <c r="CF64" s="173"/>
      <c r="CG64" s="168"/>
      <c r="CH64" s="165"/>
      <c r="CI64" s="167"/>
    </row>
    <row r="65" spans="1:87" x14ac:dyDescent="0.3">
      <c r="A65" s="10">
        <v>711</v>
      </c>
      <c r="B65" s="11" t="s">
        <v>743</v>
      </c>
      <c r="C65" s="471">
        <v>1059</v>
      </c>
      <c r="D65" s="54">
        <v>393</v>
      </c>
      <c r="E65" s="367">
        <f t="shared" si="0"/>
        <v>0.37110481586402266</v>
      </c>
      <c r="F65" s="45">
        <v>249</v>
      </c>
      <c r="G65" s="45">
        <v>98</v>
      </c>
      <c r="H65" s="45">
        <v>177</v>
      </c>
      <c r="I65" s="45">
        <v>284</v>
      </c>
      <c r="J65" s="46">
        <v>18</v>
      </c>
      <c r="K65" s="165"/>
      <c r="L65" s="304"/>
      <c r="M65" s="601"/>
      <c r="N65" s="165"/>
      <c r="O65" s="165"/>
      <c r="P65" s="190"/>
      <c r="Q65" s="166"/>
      <c r="R65" s="166"/>
      <c r="S65" s="169"/>
      <c r="T65" s="165"/>
      <c r="U65" s="165"/>
      <c r="V65" s="168"/>
      <c r="W65" s="169"/>
      <c r="X65" s="173"/>
      <c r="Y65" s="190"/>
      <c r="Z65" s="167"/>
      <c r="AA65" s="165"/>
      <c r="AB65" s="166"/>
      <c r="AC65" s="169"/>
      <c r="AD65" s="165"/>
      <c r="AE65" s="165"/>
      <c r="AF65" s="167"/>
      <c r="AG65" s="168"/>
      <c r="AH65" s="165"/>
      <c r="AI65" s="167"/>
      <c r="AJ65" s="165"/>
      <c r="AK65" s="173"/>
      <c r="AL65" s="167"/>
      <c r="AM65" s="165"/>
      <c r="AN65" s="173"/>
      <c r="AO65" s="173"/>
      <c r="AP65" s="168"/>
      <c r="AQ65" s="165"/>
      <c r="AR65" s="168"/>
      <c r="AS65" s="165"/>
      <c r="AT65" s="190"/>
      <c r="AU65" s="167"/>
      <c r="AV65" s="165"/>
      <c r="AW65" s="173"/>
      <c r="AX65" s="173"/>
      <c r="AY65" s="190"/>
      <c r="AZ65" s="167"/>
      <c r="BA65" s="165"/>
      <c r="BB65" s="165"/>
      <c r="BC65" s="168"/>
      <c r="BD65" s="165"/>
      <c r="BE65" s="165"/>
      <c r="BF65" s="173"/>
      <c r="BG65" s="304"/>
      <c r="BH65" s="601"/>
      <c r="BI65" s="165"/>
      <c r="BJ65" s="167"/>
      <c r="BK65" s="165"/>
      <c r="BL65" s="190"/>
      <c r="BM65" s="167"/>
      <c r="BN65" s="165"/>
      <c r="BO65" s="173"/>
      <c r="BP65" s="190"/>
      <c r="BQ65" s="173"/>
      <c r="BR65" s="168"/>
      <c r="BS65" s="165"/>
      <c r="BT65" s="167"/>
      <c r="BU65" s="165"/>
      <c r="BV65" s="190"/>
      <c r="BW65" s="173"/>
      <c r="BX65" s="173"/>
      <c r="BY65" s="167"/>
      <c r="BZ65" s="165"/>
      <c r="CA65" s="173"/>
      <c r="CB65" s="190"/>
      <c r="CC65" s="167"/>
      <c r="CD65" s="165"/>
      <c r="CE65" s="173"/>
      <c r="CF65" s="173"/>
      <c r="CG65" s="168"/>
      <c r="CH65" s="165"/>
      <c r="CI65" s="167"/>
    </row>
    <row r="66" spans="1:87" x14ac:dyDescent="0.3">
      <c r="A66" s="10">
        <v>801</v>
      </c>
      <c r="B66" s="11" t="s">
        <v>205</v>
      </c>
      <c r="C66" s="471">
        <v>1564</v>
      </c>
      <c r="D66" s="54">
        <v>476</v>
      </c>
      <c r="E66" s="367">
        <f t="shared" si="0"/>
        <v>0.30434782608695654</v>
      </c>
      <c r="F66" s="45">
        <v>295</v>
      </c>
      <c r="G66" s="45">
        <v>94</v>
      </c>
      <c r="H66" s="45">
        <v>219</v>
      </c>
      <c r="I66" s="45">
        <v>327</v>
      </c>
      <c r="J66" s="46">
        <v>38</v>
      </c>
      <c r="K66" s="165"/>
      <c r="L66" s="304"/>
      <c r="M66" s="601"/>
      <c r="N66" s="165"/>
      <c r="O66" s="165"/>
      <c r="P66" s="190"/>
      <c r="Q66" s="166"/>
      <c r="R66" s="166"/>
      <c r="S66" s="169"/>
      <c r="T66" s="165"/>
      <c r="U66" s="165"/>
      <c r="V66" s="168"/>
      <c r="W66" s="169"/>
      <c r="X66" s="173"/>
      <c r="Y66" s="190"/>
      <c r="Z66" s="167"/>
      <c r="AA66" s="165"/>
      <c r="AB66" s="166"/>
      <c r="AC66" s="169"/>
      <c r="AD66" s="165"/>
      <c r="AE66" s="165"/>
      <c r="AF66" s="167"/>
      <c r="AG66" s="168"/>
      <c r="AH66" s="165"/>
      <c r="AI66" s="167"/>
      <c r="AJ66" s="165"/>
      <c r="AK66" s="173"/>
      <c r="AL66" s="167"/>
      <c r="AM66" s="165"/>
      <c r="AN66" s="173"/>
      <c r="AO66" s="173"/>
      <c r="AP66" s="168"/>
      <c r="AQ66" s="165"/>
      <c r="AR66" s="168"/>
      <c r="AS66" s="165"/>
      <c r="AT66" s="190"/>
      <c r="AU66" s="167"/>
      <c r="AV66" s="165"/>
      <c r="AW66" s="173"/>
      <c r="AX66" s="173"/>
      <c r="AY66" s="190"/>
      <c r="AZ66" s="167"/>
      <c r="BA66" s="165"/>
      <c r="BB66" s="165"/>
      <c r="BC66" s="168"/>
      <c r="BD66" s="165"/>
      <c r="BE66" s="165"/>
      <c r="BF66" s="173"/>
      <c r="BG66" s="304"/>
      <c r="BH66" s="601"/>
      <c r="BI66" s="165"/>
      <c r="BJ66" s="167"/>
      <c r="BK66" s="165"/>
      <c r="BL66" s="190"/>
      <c r="BM66" s="167"/>
      <c r="BN66" s="165"/>
      <c r="BO66" s="173"/>
      <c r="BP66" s="190"/>
      <c r="BQ66" s="173"/>
      <c r="BR66" s="168"/>
      <c r="BS66" s="165"/>
      <c r="BT66" s="167"/>
      <c r="BU66" s="165"/>
      <c r="BV66" s="190"/>
      <c r="BW66" s="173"/>
      <c r="BX66" s="173"/>
      <c r="BY66" s="167"/>
      <c r="BZ66" s="165"/>
      <c r="CA66" s="173"/>
      <c r="CB66" s="190"/>
      <c r="CC66" s="167"/>
      <c r="CD66" s="165"/>
      <c r="CE66" s="173"/>
      <c r="CF66" s="173"/>
      <c r="CG66" s="168"/>
      <c r="CH66" s="165"/>
      <c r="CI66" s="167"/>
    </row>
    <row r="67" spans="1:87" x14ac:dyDescent="0.3">
      <c r="A67" s="10">
        <v>802</v>
      </c>
      <c r="B67" s="11" t="s">
        <v>206</v>
      </c>
      <c r="C67" s="471">
        <v>1379</v>
      </c>
      <c r="D67" s="54">
        <v>647</v>
      </c>
      <c r="E67" s="367">
        <f t="shared" si="0"/>
        <v>0.46918056562726612</v>
      </c>
      <c r="F67" s="45">
        <v>397</v>
      </c>
      <c r="G67" s="45">
        <v>95</v>
      </c>
      <c r="H67" s="45">
        <v>366</v>
      </c>
      <c r="I67" s="45">
        <v>367</v>
      </c>
      <c r="J67" s="46">
        <v>62</v>
      </c>
      <c r="K67" s="165"/>
      <c r="L67" s="304"/>
      <c r="M67" s="601"/>
      <c r="N67" s="165"/>
      <c r="O67" s="165"/>
      <c r="P67" s="190"/>
      <c r="Q67" s="166"/>
      <c r="R67" s="166"/>
      <c r="S67" s="169"/>
      <c r="T67" s="165"/>
      <c r="U67" s="165"/>
      <c r="V67" s="168"/>
      <c r="W67" s="169"/>
      <c r="X67" s="173"/>
      <c r="Y67" s="190"/>
      <c r="Z67" s="167"/>
      <c r="AA67" s="165"/>
      <c r="AB67" s="166"/>
      <c r="AC67" s="169"/>
      <c r="AD67" s="165"/>
      <c r="AE67" s="165"/>
      <c r="AF67" s="167"/>
      <c r="AG67" s="168"/>
      <c r="AH67" s="165"/>
      <c r="AI67" s="167"/>
      <c r="AJ67" s="165"/>
      <c r="AK67" s="173"/>
      <c r="AL67" s="167"/>
      <c r="AM67" s="165"/>
      <c r="AN67" s="173"/>
      <c r="AO67" s="173"/>
      <c r="AP67" s="168"/>
      <c r="AQ67" s="165"/>
      <c r="AR67" s="168"/>
      <c r="AS67" s="165"/>
      <c r="AT67" s="190"/>
      <c r="AU67" s="167"/>
      <c r="AV67" s="165"/>
      <c r="AW67" s="173"/>
      <c r="AX67" s="173"/>
      <c r="AY67" s="190"/>
      <c r="AZ67" s="167"/>
      <c r="BA67" s="165"/>
      <c r="BB67" s="165"/>
      <c r="BC67" s="168"/>
      <c r="BD67" s="165"/>
      <c r="BE67" s="165"/>
      <c r="BF67" s="173"/>
      <c r="BG67" s="304"/>
      <c r="BH67" s="601"/>
      <c r="BI67" s="165"/>
      <c r="BJ67" s="167"/>
      <c r="BK67" s="165"/>
      <c r="BL67" s="190"/>
      <c r="BM67" s="167"/>
      <c r="BN67" s="165"/>
      <c r="BO67" s="173"/>
      <c r="BP67" s="190"/>
      <c r="BQ67" s="173"/>
      <c r="BR67" s="168"/>
      <c r="BS67" s="165"/>
      <c r="BT67" s="167"/>
      <c r="BU67" s="165"/>
      <c r="BV67" s="190"/>
      <c r="BW67" s="173"/>
      <c r="BX67" s="173"/>
      <c r="BY67" s="167"/>
      <c r="BZ67" s="165"/>
      <c r="CA67" s="173"/>
      <c r="CB67" s="190"/>
      <c r="CC67" s="167"/>
      <c r="CD67" s="165"/>
      <c r="CE67" s="173"/>
      <c r="CF67" s="173"/>
      <c r="CG67" s="168"/>
      <c r="CH67" s="165"/>
      <c r="CI67" s="167"/>
    </row>
    <row r="68" spans="1:87" x14ac:dyDescent="0.3">
      <c r="A68" s="10">
        <v>803</v>
      </c>
      <c r="B68" s="11" t="s">
        <v>207</v>
      </c>
      <c r="C68" s="471">
        <v>1540</v>
      </c>
      <c r="D68" s="54">
        <v>857</v>
      </c>
      <c r="E68" s="367">
        <f t="shared" si="0"/>
        <v>0.55649350649350648</v>
      </c>
      <c r="F68" s="45">
        <v>470</v>
      </c>
      <c r="G68" s="45">
        <v>148</v>
      </c>
      <c r="H68" s="45">
        <v>390</v>
      </c>
      <c r="I68" s="45">
        <v>382</v>
      </c>
      <c r="J68" s="46">
        <v>131</v>
      </c>
      <c r="K68" s="165"/>
      <c r="L68" s="304"/>
      <c r="M68" s="601"/>
      <c r="N68" s="165"/>
      <c r="O68" s="165"/>
      <c r="P68" s="190"/>
      <c r="Q68" s="166"/>
      <c r="R68" s="166"/>
      <c r="S68" s="169"/>
      <c r="T68" s="165"/>
      <c r="U68" s="165"/>
      <c r="V68" s="168"/>
      <c r="W68" s="169"/>
      <c r="X68" s="173"/>
      <c r="Y68" s="190"/>
      <c r="Z68" s="167"/>
      <c r="AA68" s="165"/>
      <c r="AB68" s="166"/>
      <c r="AC68" s="169"/>
      <c r="AD68" s="165"/>
      <c r="AE68" s="165"/>
      <c r="AF68" s="167"/>
      <c r="AG68" s="168"/>
      <c r="AH68" s="165"/>
      <c r="AI68" s="167"/>
      <c r="AJ68" s="165"/>
      <c r="AK68" s="173"/>
      <c r="AL68" s="167"/>
      <c r="AM68" s="165"/>
      <c r="AN68" s="173"/>
      <c r="AO68" s="173"/>
      <c r="AP68" s="168"/>
      <c r="AQ68" s="165"/>
      <c r="AR68" s="168"/>
      <c r="AS68" s="165"/>
      <c r="AT68" s="190"/>
      <c r="AU68" s="167"/>
      <c r="AV68" s="165"/>
      <c r="AW68" s="173"/>
      <c r="AX68" s="173"/>
      <c r="AY68" s="190"/>
      <c r="AZ68" s="167"/>
      <c r="BA68" s="165"/>
      <c r="BB68" s="165"/>
      <c r="BC68" s="168"/>
      <c r="BD68" s="165"/>
      <c r="BE68" s="165"/>
      <c r="BF68" s="173"/>
      <c r="BG68" s="304"/>
      <c r="BH68" s="601"/>
      <c r="BI68" s="165"/>
      <c r="BJ68" s="167"/>
      <c r="BK68" s="165"/>
      <c r="BL68" s="190"/>
      <c r="BM68" s="167"/>
      <c r="BN68" s="165"/>
      <c r="BO68" s="173"/>
      <c r="BP68" s="190"/>
      <c r="BQ68" s="173"/>
      <c r="BR68" s="168"/>
      <c r="BS68" s="165"/>
      <c r="BT68" s="167"/>
      <c r="BU68" s="165"/>
      <c r="BV68" s="190"/>
      <c r="BW68" s="173"/>
      <c r="BX68" s="173"/>
      <c r="BY68" s="167"/>
      <c r="BZ68" s="165"/>
      <c r="CA68" s="173"/>
      <c r="CB68" s="190"/>
      <c r="CC68" s="167"/>
      <c r="CD68" s="165"/>
      <c r="CE68" s="173"/>
      <c r="CF68" s="173"/>
      <c r="CG68" s="168"/>
      <c r="CH68" s="165"/>
      <c r="CI68" s="167"/>
    </row>
    <row r="69" spans="1:87" x14ac:dyDescent="0.3">
      <c r="A69" s="10">
        <v>804</v>
      </c>
      <c r="B69" s="11" t="s">
        <v>208</v>
      </c>
      <c r="C69" s="471">
        <v>1625</v>
      </c>
      <c r="D69" s="54">
        <v>493</v>
      </c>
      <c r="E69" s="367">
        <f t="shared" si="0"/>
        <v>0.30338461538461536</v>
      </c>
      <c r="F69" s="45">
        <v>289</v>
      </c>
      <c r="G69" s="45">
        <v>99</v>
      </c>
      <c r="H69" s="45">
        <v>221</v>
      </c>
      <c r="I69" s="45">
        <v>298</v>
      </c>
      <c r="J69" s="46">
        <v>27</v>
      </c>
      <c r="K69" s="165"/>
      <c r="L69" s="304"/>
      <c r="M69" s="601"/>
      <c r="N69" s="165"/>
      <c r="O69" s="165"/>
      <c r="P69" s="190"/>
      <c r="Q69" s="166"/>
      <c r="R69" s="166"/>
      <c r="S69" s="169"/>
      <c r="T69" s="165"/>
      <c r="U69" s="165"/>
      <c r="V69" s="168"/>
      <c r="W69" s="169"/>
      <c r="X69" s="173"/>
      <c r="Y69" s="190"/>
      <c r="Z69" s="167"/>
      <c r="AA69" s="165"/>
      <c r="AB69" s="166"/>
      <c r="AC69" s="169"/>
      <c r="AD69" s="165"/>
      <c r="AE69" s="165"/>
      <c r="AF69" s="167"/>
      <c r="AG69" s="168"/>
      <c r="AH69" s="165"/>
      <c r="AI69" s="167"/>
      <c r="AJ69" s="165"/>
      <c r="AK69" s="173"/>
      <c r="AL69" s="167"/>
      <c r="AM69" s="165"/>
      <c r="AN69" s="173"/>
      <c r="AO69" s="173"/>
      <c r="AP69" s="168"/>
      <c r="AQ69" s="165"/>
      <c r="AR69" s="168"/>
      <c r="AS69" s="165"/>
      <c r="AT69" s="190"/>
      <c r="AU69" s="167"/>
      <c r="AV69" s="165"/>
      <c r="AW69" s="173"/>
      <c r="AX69" s="173"/>
      <c r="AY69" s="190"/>
      <c r="AZ69" s="167"/>
      <c r="BA69" s="165"/>
      <c r="BB69" s="165"/>
      <c r="BC69" s="168"/>
      <c r="BD69" s="165"/>
      <c r="BE69" s="165"/>
      <c r="BF69" s="173"/>
      <c r="BG69" s="304"/>
      <c r="BH69" s="601"/>
      <c r="BI69" s="165"/>
      <c r="BJ69" s="167"/>
      <c r="BK69" s="165"/>
      <c r="BL69" s="190"/>
      <c r="BM69" s="167"/>
      <c r="BN69" s="165"/>
      <c r="BO69" s="173"/>
      <c r="BP69" s="190"/>
      <c r="BQ69" s="173"/>
      <c r="BR69" s="168"/>
      <c r="BS69" s="165"/>
      <c r="BT69" s="167"/>
      <c r="BU69" s="165"/>
      <c r="BV69" s="190"/>
      <c r="BW69" s="173"/>
      <c r="BX69" s="173"/>
      <c r="BY69" s="167"/>
      <c r="BZ69" s="165"/>
      <c r="CA69" s="173"/>
      <c r="CB69" s="190"/>
      <c r="CC69" s="167"/>
      <c r="CD69" s="165"/>
      <c r="CE69" s="173"/>
      <c r="CF69" s="173"/>
      <c r="CG69" s="168"/>
      <c r="CH69" s="165"/>
      <c r="CI69" s="167"/>
    </row>
    <row r="70" spans="1:87" x14ac:dyDescent="0.3">
      <c r="A70" s="10">
        <v>901</v>
      </c>
      <c r="B70" s="11" t="s">
        <v>209</v>
      </c>
      <c r="C70" s="471">
        <v>896</v>
      </c>
      <c r="D70" s="54">
        <v>189</v>
      </c>
      <c r="E70" s="367">
        <f t="shared" si="0"/>
        <v>0.2109375</v>
      </c>
      <c r="F70" s="45">
        <v>115</v>
      </c>
      <c r="G70" s="45">
        <v>60</v>
      </c>
      <c r="H70" s="45">
        <v>83</v>
      </c>
      <c r="I70" s="45">
        <v>135</v>
      </c>
      <c r="J70" s="46">
        <v>17</v>
      </c>
      <c r="K70" s="165"/>
      <c r="L70" s="304"/>
      <c r="M70" s="601"/>
      <c r="N70" s="165"/>
      <c r="O70" s="165"/>
      <c r="P70" s="190"/>
      <c r="Q70" s="166"/>
      <c r="R70" s="166"/>
      <c r="S70" s="169"/>
      <c r="T70" s="165"/>
      <c r="U70" s="165"/>
      <c r="V70" s="168"/>
      <c r="W70" s="169"/>
      <c r="X70" s="173"/>
      <c r="Y70" s="190"/>
      <c r="Z70" s="167"/>
      <c r="AA70" s="165"/>
      <c r="AB70" s="166"/>
      <c r="AC70" s="169"/>
      <c r="AD70" s="165"/>
      <c r="AE70" s="165"/>
      <c r="AF70" s="167"/>
      <c r="AG70" s="168"/>
      <c r="AH70" s="165"/>
      <c r="AI70" s="167"/>
      <c r="AJ70" s="165"/>
      <c r="AK70" s="173"/>
      <c r="AL70" s="167"/>
      <c r="AM70" s="165"/>
      <c r="AN70" s="173"/>
      <c r="AO70" s="173"/>
      <c r="AP70" s="168"/>
      <c r="AQ70" s="165"/>
      <c r="AR70" s="168"/>
      <c r="AS70" s="165"/>
      <c r="AT70" s="190"/>
      <c r="AU70" s="167"/>
      <c r="AV70" s="165"/>
      <c r="AW70" s="173"/>
      <c r="AX70" s="173"/>
      <c r="AY70" s="190"/>
      <c r="AZ70" s="167"/>
      <c r="BA70" s="165"/>
      <c r="BB70" s="165"/>
      <c r="BC70" s="168"/>
      <c r="BD70" s="165"/>
      <c r="BE70" s="165"/>
      <c r="BF70" s="173"/>
      <c r="BG70" s="304"/>
      <c r="BH70" s="601"/>
      <c r="BI70" s="165"/>
      <c r="BJ70" s="167"/>
      <c r="BK70" s="165"/>
      <c r="BL70" s="190"/>
      <c r="BM70" s="167"/>
      <c r="BN70" s="165"/>
      <c r="BO70" s="173"/>
      <c r="BP70" s="190"/>
      <c r="BQ70" s="173"/>
      <c r="BR70" s="168"/>
      <c r="BS70" s="165"/>
      <c r="BT70" s="167"/>
      <c r="BU70" s="165"/>
      <c r="BV70" s="190"/>
      <c r="BW70" s="173"/>
      <c r="BX70" s="173"/>
      <c r="BY70" s="167"/>
      <c r="BZ70" s="165"/>
      <c r="CA70" s="173"/>
      <c r="CB70" s="190"/>
      <c r="CC70" s="167"/>
      <c r="CD70" s="165"/>
      <c r="CE70" s="173"/>
      <c r="CF70" s="173"/>
      <c r="CG70" s="168"/>
      <c r="CH70" s="165"/>
      <c r="CI70" s="167"/>
    </row>
    <row r="71" spans="1:87" x14ac:dyDescent="0.3">
      <c r="A71" s="10">
        <v>902</v>
      </c>
      <c r="B71" s="11" t="s">
        <v>210</v>
      </c>
      <c r="C71" s="471">
        <v>1590</v>
      </c>
      <c r="D71" s="54">
        <v>818</v>
      </c>
      <c r="E71" s="367">
        <f t="shared" ref="E71:E143" si="1">SUM(D71/C71)</f>
        <v>0.51446540880503144</v>
      </c>
      <c r="F71" s="45">
        <v>460</v>
      </c>
      <c r="G71" s="45">
        <v>141</v>
      </c>
      <c r="H71" s="45">
        <v>418</v>
      </c>
      <c r="I71" s="45">
        <v>466</v>
      </c>
      <c r="J71" s="46">
        <v>77</v>
      </c>
      <c r="K71" s="165"/>
      <c r="L71" s="304"/>
      <c r="M71" s="601"/>
      <c r="N71" s="165"/>
      <c r="O71" s="165"/>
      <c r="P71" s="190"/>
      <c r="Q71" s="166"/>
      <c r="R71" s="166"/>
      <c r="S71" s="169"/>
      <c r="T71" s="165"/>
      <c r="U71" s="165"/>
      <c r="V71" s="168"/>
      <c r="W71" s="169"/>
      <c r="X71" s="173"/>
      <c r="Y71" s="190"/>
      <c r="Z71" s="167"/>
      <c r="AA71" s="165"/>
      <c r="AB71" s="166"/>
      <c r="AC71" s="169"/>
      <c r="AD71" s="165"/>
      <c r="AE71" s="165"/>
      <c r="AF71" s="167"/>
      <c r="AG71" s="168"/>
      <c r="AH71" s="165"/>
      <c r="AI71" s="167"/>
      <c r="AJ71" s="165"/>
      <c r="AK71" s="173"/>
      <c r="AL71" s="167"/>
      <c r="AM71" s="165"/>
      <c r="AN71" s="173"/>
      <c r="AO71" s="173"/>
      <c r="AP71" s="168"/>
      <c r="AQ71" s="165"/>
      <c r="AR71" s="168"/>
      <c r="AS71" s="165"/>
      <c r="AT71" s="190"/>
      <c r="AU71" s="167"/>
      <c r="AV71" s="165"/>
      <c r="AW71" s="173"/>
      <c r="AX71" s="173"/>
      <c r="AY71" s="190"/>
      <c r="AZ71" s="167"/>
      <c r="BA71" s="165"/>
      <c r="BB71" s="165"/>
      <c r="BC71" s="168"/>
      <c r="BD71" s="165"/>
      <c r="BE71" s="165"/>
      <c r="BF71" s="173"/>
      <c r="BG71" s="304"/>
      <c r="BH71" s="601"/>
      <c r="BI71" s="165"/>
      <c r="BJ71" s="167"/>
      <c r="BK71" s="165"/>
      <c r="BL71" s="190"/>
      <c r="BM71" s="167"/>
      <c r="BN71" s="165"/>
      <c r="BO71" s="173"/>
      <c r="BP71" s="190"/>
      <c r="BQ71" s="173"/>
      <c r="BR71" s="168"/>
      <c r="BS71" s="165"/>
      <c r="BT71" s="167"/>
      <c r="BU71" s="165"/>
      <c r="BV71" s="190"/>
      <c r="BW71" s="173"/>
      <c r="BX71" s="173"/>
      <c r="BY71" s="167"/>
      <c r="BZ71" s="165"/>
      <c r="CA71" s="173"/>
      <c r="CB71" s="190"/>
      <c r="CC71" s="167"/>
      <c r="CD71" s="165"/>
      <c r="CE71" s="173"/>
      <c r="CF71" s="173"/>
      <c r="CG71" s="168"/>
      <c r="CH71" s="165"/>
      <c r="CI71" s="167"/>
    </row>
    <row r="72" spans="1:87" x14ac:dyDescent="0.3">
      <c r="A72" s="10">
        <v>903</v>
      </c>
      <c r="B72" s="11" t="s">
        <v>211</v>
      </c>
      <c r="C72" s="471">
        <v>1369</v>
      </c>
      <c r="D72" s="54">
        <v>396</v>
      </c>
      <c r="E72" s="367">
        <f t="shared" si="1"/>
        <v>0.28926223520818117</v>
      </c>
      <c r="F72" s="45">
        <v>242</v>
      </c>
      <c r="G72" s="45">
        <v>65</v>
      </c>
      <c r="H72" s="45">
        <v>189</v>
      </c>
      <c r="I72" s="45">
        <v>261</v>
      </c>
      <c r="J72" s="46">
        <v>24</v>
      </c>
      <c r="K72" s="165"/>
      <c r="L72" s="304"/>
      <c r="M72" s="601"/>
      <c r="N72" s="165"/>
      <c r="O72" s="165"/>
      <c r="P72" s="190"/>
      <c r="Q72" s="166"/>
      <c r="R72" s="166"/>
      <c r="S72" s="169"/>
      <c r="T72" s="165"/>
      <c r="U72" s="165"/>
      <c r="V72" s="168"/>
      <c r="W72" s="169"/>
      <c r="X72" s="173"/>
      <c r="Y72" s="190"/>
      <c r="Z72" s="167"/>
      <c r="AA72" s="165"/>
      <c r="AB72" s="166"/>
      <c r="AC72" s="169"/>
      <c r="AD72" s="165"/>
      <c r="AE72" s="165"/>
      <c r="AF72" s="167"/>
      <c r="AG72" s="168"/>
      <c r="AH72" s="165"/>
      <c r="AI72" s="167"/>
      <c r="AJ72" s="165"/>
      <c r="AK72" s="173"/>
      <c r="AL72" s="167"/>
      <c r="AM72" s="165"/>
      <c r="AN72" s="173"/>
      <c r="AO72" s="173"/>
      <c r="AP72" s="168"/>
      <c r="AQ72" s="165"/>
      <c r="AR72" s="168"/>
      <c r="AS72" s="165"/>
      <c r="AT72" s="190"/>
      <c r="AU72" s="167"/>
      <c r="AV72" s="165"/>
      <c r="AW72" s="173"/>
      <c r="AX72" s="173"/>
      <c r="AY72" s="190"/>
      <c r="AZ72" s="167"/>
      <c r="BA72" s="165"/>
      <c r="BB72" s="165"/>
      <c r="BC72" s="168"/>
      <c r="BD72" s="165"/>
      <c r="BE72" s="165"/>
      <c r="BF72" s="173"/>
      <c r="BG72" s="304"/>
      <c r="BH72" s="601"/>
      <c r="BI72" s="165"/>
      <c r="BJ72" s="167"/>
      <c r="BK72" s="165"/>
      <c r="BL72" s="190"/>
      <c r="BM72" s="167"/>
      <c r="BN72" s="165"/>
      <c r="BO72" s="173"/>
      <c r="BP72" s="190"/>
      <c r="BQ72" s="173"/>
      <c r="BR72" s="168"/>
      <c r="BS72" s="165"/>
      <c r="BT72" s="167"/>
      <c r="BU72" s="165"/>
      <c r="BV72" s="190"/>
      <c r="BW72" s="173"/>
      <c r="BX72" s="173"/>
      <c r="BY72" s="167"/>
      <c r="BZ72" s="165"/>
      <c r="CA72" s="173"/>
      <c r="CB72" s="190"/>
      <c r="CC72" s="167"/>
      <c r="CD72" s="165"/>
      <c r="CE72" s="173"/>
      <c r="CF72" s="173"/>
      <c r="CG72" s="168"/>
      <c r="CH72" s="165"/>
      <c r="CI72" s="167"/>
    </row>
    <row r="73" spans="1:87" x14ac:dyDescent="0.3">
      <c r="A73" s="10">
        <v>904</v>
      </c>
      <c r="B73" s="11" t="s">
        <v>744</v>
      </c>
      <c r="C73" s="471">
        <v>1080</v>
      </c>
      <c r="D73" s="54">
        <v>267</v>
      </c>
      <c r="E73" s="367">
        <f t="shared" si="1"/>
        <v>0.24722222222222223</v>
      </c>
      <c r="F73" s="45">
        <v>173</v>
      </c>
      <c r="G73" s="45">
        <v>60</v>
      </c>
      <c r="H73" s="45">
        <v>113</v>
      </c>
      <c r="I73" s="45">
        <v>197</v>
      </c>
      <c r="J73" s="46">
        <v>22</v>
      </c>
      <c r="K73" s="165"/>
      <c r="L73" s="304"/>
      <c r="M73" s="601"/>
      <c r="N73" s="165"/>
      <c r="O73" s="165"/>
      <c r="P73" s="190"/>
      <c r="Q73" s="166"/>
      <c r="R73" s="166"/>
      <c r="S73" s="169"/>
      <c r="T73" s="165"/>
      <c r="U73" s="165"/>
      <c r="V73" s="168"/>
      <c r="W73" s="169"/>
      <c r="X73" s="173"/>
      <c r="Y73" s="190"/>
      <c r="Z73" s="167"/>
      <c r="AA73" s="165"/>
      <c r="AB73" s="166"/>
      <c r="AC73" s="169"/>
      <c r="AD73" s="165"/>
      <c r="AE73" s="165"/>
      <c r="AF73" s="167"/>
      <c r="AG73" s="168"/>
      <c r="AH73" s="165"/>
      <c r="AI73" s="167"/>
      <c r="AJ73" s="165"/>
      <c r="AK73" s="173"/>
      <c r="AL73" s="167"/>
      <c r="AM73" s="165"/>
      <c r="AN73" s="173"/>
      <c r="AO73" s="173"/>
      <c r="AP73" s="168"/>
      <c r="AQ73" s="165"/>
      <c r="AR73" s="168"/>
      <c r="AS73" s="165"/>
      <c r="AT73" s="190"/>
      <c r="AU73" s="167"/>
      <c r="AV73" s="165"/>
      <c r="AW73" s="173"/>
      <c r="AX73" s="173"/>
      <c r="AY73" s="190"/>
      <c r="AZ73" s="167"/>
      <c r="BA73" s="165"/>
      <c r="BB73" s="165"/>
      <c r="BC73" s="168"/>
      <c r="BD73" s="165"/>
      <c r="BE73" s="165"/>
      <c r="BF73" s="173"/>
      <c r="BG73" s="304"/>
      <c r="BH73" s="601"/>
      <c r="BI73" s="165"/>
      <c r="BJ73" s="167"/>
      <c r="BK73" s="165"/>
      <c r="BL73" s="190"/>
      <c r="BM73" s="167"/>
      <c r="BN73" s="165"/>
      <c r="BO73" s="173"/>
      <c r="BP73" s="190"/>
      <c r="BQ73" s="173"/>
      <c r="BR73" s="168"/>
      <c r="BS73" s="165"/>
      <c r="BT73" s="167"/>
      <c r="BU73" s="165"/>
      <c r="BV73" s="190"/>
      <c r="BW73" s="173"/>
      <c r="BX73" s="173"/>
      <c r="BY73" s="167"/>
      <c r="BZ73" s="165"/>
      <c r="CA73" s="173"/>
      <c r="CB73" s="190"/>
      <c r="CC73" s="167"/>
      <c r="CD73" s="165"/>
      <c r="CE73" s="173"/>
      <c r="CF73" s="173"/>
      <c r="CG73" s="168"/>
      <c r="CH73" s="165"/>
      <c r="CI73" s="167"/>
    </row>
    <row r="74" spans="1:87" x14ac:dyDescent="0.3">
      <c r="A74" s="10">
        <v>1001</v>
      </c>
      <c r="B74" s="11" t="s">
        <v>212</v>
      </c>
      <c r="C74" s="471">
        <v>1328</v>
      </c>
      <c r="D74" s="54">
        <v>619</v>
      </c>
      <c r="E74" s="367">
        <f t="shared" si="1"/>
        <v>0.46611445783132532</v>
      </c>
      <c r="F74" s="45">
        <v>313</v>
      </c>
      <c r="G74" s="45">
        <v>132</v>
      </c>
      <c r="H74" s="45">
        <v>277</v>
      </c>
      <c r="I74" s="45">
        <v>299</v>
      </c>
      <c r="J74" s="46">
        <v>121</v>
      </c>
      <c r="K74" s="165"/>
      <c r="L74" s="304"/>
      <c r="M74" s="601"/>
      <c r="N74" s="165"/>
      <c r="O74" s="165"/>
      <c r="P74" s="190"/>
      <c r="Q74" s="166"/>
      <c r="R74" s="166"/>
      <c r="S74" s="169"/>
      <c r="T74" s="165"/>
      <c r="U74" s="165"/>
      <c r="V74" s="168"/>
      <c r="W74" s="169"/>
      <c r="X74" s="173"/>
      <c r="Y74" s="190"/>
      <c r="Z74" s="167"/>
      <c r="AA74" s="165"/>
      <c r="AB74" s="166"/>
      <c r="AC74" s="169"/>
      <c r="AD74" s="165"/>
      <c r="AE74" s="165"/>
      <c r="AF74" s="167"/>
      <c r="AG74" s="168"/>
      <c r="AH74" s="165"/>
      <c r="AI74" s="167"/>
      <c r="AJ74" s="165"/>
      <c r="AK74" s="173"/>
      <c r="AL74" s="167"/>
      <c r="AM74" s="165"/>
      <c r="AN74" s="173"/>
      <c r="AO74" s="173"/>
      <c r="AP74" s="168"/>
      <c r="AQ74" s="165"/>
      <c r="AR74" s="168"/>
      <c r="AS74" s="165"/>
      <c r="AT74" s="190"/>
      <c r="AU74" s="167"/>
      <c r="AV74" s="165"/>
      <c r="AW74" s="173"/>
      <c r="AX74" s="173"/>
      <c r="AY74" s="190"/>
      <c r="AZ74" s="167"/>
      <c r="BA74" s="165"/>
      <c r="BB74" s="165"/>
      <c r="BC74" s="168"/>
      <c r="BD74" s="165"/>
      <c r="BE74" s="165"/>
      <c r="BF74" s="173"/>
      <c r="BG74" s="304"/>
      <c r="BH74" s="601"/>
      <c r="BI74" s="165"/>
      <c r="BJ74" s="167"/>
      <c r="BK74" s="165"/>
      <c r="BL74" s="190"/>
      <c r="BM74" s="167"/>
      <c r="BN74" s="165"/>
      <c r="BO74" s="173"/>
      <c r="BP74" s="190"/>
      <c r="BQ74" s="173"/>
      <c r="BR74" s="168"/>
      <c r="BS74" s="165"/>
      <c r="BT74" s="167"/>
      <c r="BU74" s="165"/>
      <c r="BV74" s="190"/>
      <c r="BW74" s="173"/>
      <c r="BX74" s="173"/>
      <c r="BY74" s="167"/>
      <c r="BZ74" s="165"/>
      <c r="CA74" s="173"/>
      <c r="CB74" s="190"/>
      <c r="CC74" s="167"/>
      <c r="CD74" s="165"/>
      <c r="CE74" s="173"/>
      <c r="CF74" s="173"/>
      <c r="CG74" s="168"/>
      <c r="CH74" s="165"/>
      <c r="CI74" s="167"/>
    </row>
    <row r="75" spans="1:87" x14ac:dyDescent="0.3">
      <c r="A75" s="10">
        <v>1002</v>
      </c>
      <c r="B75" s="11" t="s">
        <v>213</v>
      </c>
      <c r="C75" s="471">
        <v>1485</v>
      </c>
      <c r="D75" s="54">
        <v>320</v>
      </c>
      <c r="E75" s="367">
        <f t="shared" si="1"/>
        <v>0.21548821548821548</v>
      </c>
      <c r="F75" s="45">
        <v>159</v>
      </c>
      <c r="G75" s="45">
        <v>81</v>
      </c>
      <c r="H75" s="45">
        <v>127</v>
      </c>
      <c r="I75" s="45">
        <v>180</v>
      </c>
      <c r="J75" s="46">
        <v>18</v>
      </c>
      <c r="K75" s="165"/>
      <c r="L75" s="304"/>
      <c r="M75" s="601"/>
      <c r="N75" s="165"/>
      <c r="O75" s="165"/>
      <c r="P75" s="190"/>
      <c r="Q75" s="166"/>
      <c r="R75" s="166"/>
      <c r="S75" s="169"/>
      <c r="T75" s="165"/>
      <c r="U75" s="165"/>
      <c r="V75" s="168"/>
      <c r="W75" s="169"/>
      <c r="X75" s="173"/>
      <c r="Y75" s="190"/>
      <c r="Z75" s="167"/>
      <c r="AA75" s="165"/>
      <c r="AB75" s="166"/>
      <c r="AC75" s="169"/>
      <c r="AD75" s="165"/>
      <c r="AE75" s="165"/>
      <c r="AF75" s="167"/>
      <c r="AG75" s="168"/>
      <c r="AH75" s="165"/>
      <c r="AI75" s="167"/>
      <c r="AJ75" s="165"/>
      <c r="AK75" s="173"/>
      <c r="AL75" s="167"/>
      <c r="AM75" s="165"/>
      <c r="AN75" s="173"/>
      <c r="AO75" s="173"/>
      <c r="AP75" s="168"/>
      <c r="AQ75" s="165"/>
      <c r="AR75" s="168"/>
      <c r="AS75" s="165"/>
      <c r="AT75" s="190"/>
      <c r="AU75" s="167"/>
      <c r="AV75" s="165"/>
      <c r="AW75" s="173"/>
      <c r="AX75" s="173"/>
      <c r="AY75" s="190"/>
      <c r="AZ75" s="167"/>
      <c r="BA75" s="165"/>
      <c r="BB75" s="165"/>
      <c r="BC75" s="168"/>
      <c r="BD75" s="165"/>
      <c r="BE75" s="165"/>
      <c r="BF75" s="173"/>
      <c r="BG75" s="304"/>
      <c r="BH75" s="601"/>
      <c r="BI75" s="165"/>
      <c r="BJ75" s="167"/>
      <c r="BK75" s="165"/>
      <c r="BL75" s="190"/>
      <c r="BM75" s="167"/>
      <c r="BN75" s="165"/>
      <c r="BO75" s="173"/>
      <c r="BP75" s="190"/>
      <c r="BQ75" s="173"/>
      <c r="BR75" s="168"/>
      <c r="BS75" s="165"/>
      <c r="BT75" s="167"/>
      <c r="BU75" s="165"/>
      <c r="BV75" s="190"/>
      <c r="BW75" s="173"/>
      <c r="BX75" s="173"/>
      <c r="BY75" s="167"/>
      <c r="BZ75" s="165"/>
      <c r="CA75" s="173"/>
      <c r="CB75" s="190"/>
      <c r="CC75" s="167"/>
      <c r="CD75" s="165"/>
      <c r="CE75" s="173"/>
      <c r="CF75" s="173"/>
      <c r="CG75" s="168"/>
      <c r="CH75" s="165"/>
      <c r="CI75" s="167"/>
    </row>
    <row r="76" spans="1:87" x14ac:dyDescent="0.3">
      <c r="A76" s="10">
        <v>1003</v>
      </c>
      <c r="B76" s="11" t="s">
        <v>745</v>
      </c>
      <c r="C76" s="471">
        <v>1365</v>
      </c>
      <c r="D76" s="54">
        <v>459</v>
      </c>
      <c r="E76" s="367">
        <f t="shared" si="1"/>
        <v>0.33626373626373629</v>
      </c>
      <c r="F76" s="45">
        <v>275</v>
      </c>
      <c r="G76" s="45">
        <v>101</v>
      </c>
      <c r="H76" s="45">
        <v>226</v>
      </c>
      <c r="I76" s="45">
        <v>259</v>
      </c>
      <c r="J76" s="46">
        <v>27</v>
      </c>
      <c r="K76" s="165"/>
      <c r="L76" s="304"/>
      <c r="M76" s="601"/>
      <c r="N76" s="165"/>
      <c r="O76" s="165"/>
      <c r="P76" s="190"/>
      <c r="Q76" s="166"/>
      <c r="R76" s="166"/>
      <c r="S76" s="169"/>
      <c r="T76" s="165"/>
      <c r="U76" s="165"/>
      <c r="V76" s="168"/>
      <c r="W76" s="169"/>
      <c r="X76" s="173"/>
      <c r="Y76" s="190"/>
      <c r="Z76" s="167"/>
      <c r="AA76" s="165"/>
      <c r="AB76" s="166"/>
      <c r="AC76" s="169"/>
      <c r="AD76" s="165"/>
      <c r="AE76" s="165"/>
      <c r="AF76" s="167"/>
      <c r="AG76" s="168"/>
      <c r="AH76" s="165"/>
      <c r="AI76" s="167"/>
      <c r="AJ76" s="165"/>
      <c r="AK76" s="173"/>
      <c r="AL76" s="167"/>
      <c r="AM76" s="165"/>
      <c r="AN76" s="173"/>
      <c r="AO76" s="173"/>
      <c r="AP76" s="168"/>
      <c r="AQ76" s="165"/>
      <c r="AR76" s="168"/>
      <c r="AS76" s="165"/>
      <c r="AT76" s="190"/>
      <c r="AU76" s="167"/>
      <c r="AV76" s="165"/>
      <c r="AW76" s="173"/>
      <c r="AX76" s="173"/>
      <c r="AY76" s="190"/>
      <c r="AZ76" s="167"/>
      <c r="BA76" s="165"/>
      <c r="BB76" s="165"/>
      <c r="BC76" s="168"/>
      <c r="BD76" s="165"/>
      <c r="BE76" s="165"/>
      <c r="BF76" s="173"/>
      <c r="BG76" s="304"/>
      <c r="BH76" s="601"/>
      <c r="BI76" s="165"/>
      <c r="BJ76" s="167"/>
      <c r="BK76" s="165"/>
      <c r="BL76" s="190"/>
      <c r="BM76" s="167"/>
      <c r="BN76" s="165"/>
      <c r="BO76" s="173"/>
      <c r="BP76" s="190"/>
      <c r="BQ76" s="173"/>
      <c r="BR76" s="168"/>
      <c r="BS76" s="165"/>
      <c r="BT76" s="167"/>
      <c r="BU76" s="165"/>
      <c r="BV76" s="190"/>
      <c r="BW76" s="173"/>
      <c r="BX76" s="173"/>
      <c r="BY76" s="167"/>
      <c r="BZ76" s="165"/>
      <c r="CA76" s="173"/>
      <c r="CB76" s="190"/>
      <c r="CC76" s="167"/>
      <c r="CD76" s="165"/>
      <c r="CE76" s="173"/>
      <c r="CF76" s="173"/>
      <c r="CG76" s="168"/>
      <c r="CH76" s="165"/>
      <c r="CI76" s="167"/>
    </row>
    <row r="77" spans="1:87" x14ac:dyDescent="0.3">
      <c r="A77" s="10">
        <v>1101</v>
      </c>
      <c r="B77" s="11" t="s">
        <v>214</v>
      </c>
      <c r="C77" s="471">
        <v>1227</v>
      </c>
      <c r="D77" s="54">
        <v>461</v>
      </c>
      <c r="E77" s="367">
        <f t="shared" si="1"/>
        <v>0.37571312143439284</v>
      </c>
      <c r="F77" s="45">
        <v>271</v>
      </c>
      <c r="G77" s="45">
        <v>94</v>
      </c>
      <c r="H77" s="45">
        <v>223</v>
      </c>
      <c r="I77" s="45">
        <v>266</v>
      </c>
      <c r="J77" s="46">
        <v>43</v>
      </c>
      <c r="K77" s="165"/>
      <c r="L77" s="304"/>
      <c r="M77" s="601"/>
      <c r="N77" s="165"/>
      <c r="O77" s="165"/>
      <c r="P77" s="190"/>
      <c r="Q77" s="166"/>
      <c r="R77" s="166"/>
      <c r="S77" s="169"/>
      <c r="T77" s="165"/>
      <c r="U77" s="165"/>
      <c r="V77" s="168"/>
      <c r="W77" s="169"/>
      <c r="X77" s="173"/>
      <c r="Y77" s="190"/>
      <c r="Z77" s="167"/>
      <c r="AA77" s="165"/>
      <c r="AB77" s="166"/>
      <c r="AC77" s="169"/>
      <c r="AD77" s="165"/>
      <c r="AE77" s="165"/>
      <c r="AF77" s="167"/>
      <c r="AG77" s="168"/>
      <c r="AH77" s="165"/>
      <c r="AI77" s="167"/>
      <c r="AJ77" s="165"/>
      <c r="AK77" s="173"/>
      <c r="AL77" s="167"/>
      <c r="AM77" s="165"/>
      <c r="AN77" s="173"/>
      <c r="AO77" s="173"/>
      <c r="AP77" s="168"/>
      <c r="AQ77" s="165"/>
      <c r="AR77" s="168"/>
      <c r="AS77" s="165"/>
      <c r="AT77" s="190"/>
      <c r="AU77" s="167"/>
      <c r="AV77" s="165"/>
      <c r="AW77" s="173"/>
      <c r="AX77" s="173"/>
      <c r="AY77" s="190"/>
      <c r="AZ77" s="167"/>
      <c r="BA77" s="165"/>
      <c r="BB77" s="165"/>
      <c r="BC77" s="168"/>
      <c r="BD77" s="165"/>
      <c r="BE77" s="165"/>
      <c r="BF77" s="173"/>
      <c r="BG77" s="304"/>
      <c r="BH77" s="601"/>
      <c r="BI77" s="165"/>
      <c r="BJ77" s="167"/>
      <c r="BK77" s="165"/>
      <c r="BL77" s="190"/>
      <c r="BM77" s="167"/>
      <c r="BN77" s="165"/>
      <c r="BO77" s="173"/>
      <c r="BP77" s="190"/>
      <c r="BQ77" s="173"/>
      <c r="BR77" s="168"/>
      <c r="BS77" s="165"/>
      <c r="BT77" s="167"/>
      <c r="BU77" s="165"/>
      <c r="BV77" s="190"/>
      <c r="BW77" s="173"/>
      <c r="BX77" s="173"/>
      <c r="BY77" s="167"/>
      <c r="BZ77" s="165"/>
      <c r="CA77" s="173"/>
      <c r="CB77" s="190"/>
      <c r="CC77" s="167"/>
      <c r="CD77" s="165"/>
      <c r="CE77" s="173"/>
      <c r="CF77" s="173"/>
      <c r="CG77" s="168"/>
      <c r="CH77" s="165"/>
      <c r="CI77" s="167"/>
    </row>
    <row r="78" spans="1:87" x14ac:dyDescent="0.3">
      <c r="A78" s="10">
        <v>1102</v>
      </c>
      <c r="B78" s="11" t="s">
        <v>215</v>
      </c>
      <c r="C78" s="471">
        <v>1429</v>
      </c>
      <c r="D78" s="54">
        <v>315</v>
      </c>
      <c r="E78" s="367">
        <f t="shared" si="1"/>
        <v>0.22043386983904828</v>
      </c>
      <c r="F78" s="45">
        <v>185</v>
      </c>
      <c r="G78" s="45">
        <v>61</v>
      </c>
      <c r="H78" s="45">
        <v>151</v>
      </c>
      <c r="I78" s="45">
        <v>178</v>
      </c>
      <c r="J78" s="46">
        <v>33</v>
      </c>
      <c r="K78" s="165"/>
      <c r="L78" s="304"/>
      <c r="M78" s="601"/>
      <c r="N78" s="165"/>
      <c r="O78" s="165"/>
      <c r="P78" s="190"/>
      <c r="Q78" s="166"/>
      <c r="R78" s="166"/>
      <c r="S78" s="169"/>
      <c r="T78" s="165"/>
      <c r="U78" s="165"/>
      <c r="V78" s="168"/>
      <c r="W78" s="169"/>
      <c r="X78" s="173"/>
      <c r="Y78" s="190"/>
      <c r="Z78" s="167"/>
      <c r="AA78" s="165"/>
      <c r="AB78" s="166"/>
      <c r="AC78" s="169"/>
      <c r="AD78" s="165"/>
      <c r="AE78" s="165"/>
      <c r="AF78" s="167"/>
      <c r="AG78" s="168"/>
      <c r="AH78" s="165"/>
      <c r="AI78" s="167"/>
      <c r="AJ78" s="165"/>
      <c r="AK78" s="173"/>
      <c r="AL78" s="167"/>
      <c r="AM78" s="165"/>
      <c r="AN78" s="173"/>
      <c r="AO78" s="173"/>
      <c r="AP78" s="168"/>
      <c r="AQ78" s="165"/>
      <c r="AR78" s="168"/>
      <c r="AS78" s="165"/>
      <c r="AT78" s="190"/>
      <c r="AU78" s="167"/>
      <c r="AV78" s="165"/>
      <c r="AW78" s="173"/>
      <c r="AX78" s="173"/>
      <c r="AY78" s="190"/>
      <c r="AZ78" s="167"/>
      <c r="BA78" s="165"/>
      <c r="BB78" s="165"/>
      <c r="BC78" s="168"/>
      <c r="BD78" s="165"/>
      <c r="BE78" s="165"/>
      <c r="BF78" s="173"/>
      <c r="BG78" s="304"/>
      <c r="BH78" s="601"/>
      <c r="BI78" s="165"/>
      <c r="BJ78" s="167"/>
      <c r="BK78" s="165"/>
      <c r="BL78" s="190"/>
      <c r="BM78" s="167"/>
      <c r="BN78" s="165"/>
      <c r="BO78" s="173"/>
      <c r="BP78" s="190"/>
      <c r="BQ78" s="173"/>
      <c r="BR78" s="168"/>
      <c r="BS78" s="165"/>
      <c r="BT78" s="167"/>
      <c r="BU78" s="165"/>
      <c r="BV78" s="190"/>
      <c r="BW78" s="173"/>
      <c r="BX78" s="173"/>
      <c r="BY78" s="167"/>
      <c r="BZ78" s="165"/>
      <c r="CA78" s="173"/>
      <c r="CB78" s="190"/>
      <c r="CC78" s="167"/>
      <c r="CD78" s="165"/>
      <c r="CE78" s="173"/>
      <c r="CF78" s="173"/>
      <c r="CG78" s="168"/>
      <c r="CH78" s="165"/>
      <c r="CI78" s="167"/>
    </row>
    <row r="79" spans="1:87" x14ac:dyDescent="0.3">
      <c r="A79" s="10">
        <v>1103</v>
      </c>
      <c r="B79" s="11" t="s">
        <v>216</v>
      </c>
      <c r="C79" s="471">
        <v>964</v>
      </c>
      <c r="D79" s="54">
        <v>216</v>
      </c>
      <c r="E79" s="367">
        <f t="shared" si="1"/>
        <v>0.22406639004149378</v>
      </c>
      <c r="F79" s="45">
        <v>112</v>
      </c>
      <c r="G79" s="45">
        <v>35</v>
      </c>
      <c r="H79" s="45">
        <v>73</v>
      </c>
      <c r="I79" s="45">
        <v>105</v>
      </c>
      <c r="J79" s="46">
        <v>26</v>
      </c>
      <c r="K79" s="165"/>
      <c r="L79" s="304"/>
      <c r="M79" s="601"/>
      <c r="N79" s="165"/>
      <c r="O79" s="165"/>
      <c r="P79" s="190"/>
      <c r="Q79" s="166"/>
      <c r="R79" s="166"/>
      <c r="S79" s="169"/>
      <c r="T79" s="165"/>
      <c r="U79" s="165"/>
      <c r="V79" s="168"/>
      <c r="W79" s="169"/>
      <c r="X79" s="173"/>
      <c r="Y79" s="190"/>
      <c r="Z79" s="167"/>
      <c r="AA79" s="165"/>
      <c r="AB79" s="166"/>
      <c r="AC79" s="169"/>
      <c r="AD79" s="165"/>
      <c r="AE79" s="165"/>
      <c r="AF79" s="167"/>
      <c r="AG79" s="168"/>
      <c r="AH79" s="165"/>
      <c r="AI79" s="167"/>
      <c r="AJ79" s="165"/>
      <c r="AK79" s="173"/>
      <c r="AL79" s="167"/>
      <c r="AM79" s="165"/>
      <c r="AN79" s="173"/>
      <c r="AO79" s="173"/>
      <c r="AP79" s="168"/>
      <c r="AQ79" s="165"/>
      <c r="AR79" s="168"/>
      <c r="AS79" s="165"/>
      <c r="AT79" s="190"/>
      <c r="AU79" s="167"/>
      <c r="AV79" s="165"/>
      <c r="AW79" s="173"/>
      <c r="AX79" s="173"/>
      <c r="AY79" s="190"/>
      <c r="AZ79" s="167"/>
      <c r="BA79" s="165"/>
      <c r="BB79" s="165"/>
      <c r="BC79" s="168"/>
      <c r="BD79" s="165"/>
      <c r="BE79" s="165"/>
      <c r="BF79" s="173"/>
      <c r="BG79" s="304"/>
      <c r="BH79" s="601"/>
      <c r="BI79" s="165"/>
      <c r="BJ79" s="167"/>
      <c r="BK79" s="165"/>
      <c r="BL79" s="190"/>
      <c r="BM79" s="167"/>
      <c r="BN79" s="165"/>
      <c r="BO79" s="173"/>
      <c r="BP79" s="190"/>
      <c r="BQ79" s="173"/>
      <c r="BR79" s="168"/>
      <c r="BS79" s="165"/>
      <c r="BT79" s="167"/>
      <c r="BU79" s="165"/>
      <c r="BV79" s="190"/>
      <c r="BW79" s="173"/>
      <c r="BX79" s="173"/>
      <c r="BY79" s="167"/>
      <c r="BZ79" s="165"/>
      <c r="CA79" s="173"/>
      <c r="CB79" s="190"/>
      <c r="CC79" s="167"/>
      <c r="CD79" s="165"/>
      <c r="CE79" s="173"/>
      <c r="CF79" s="173"/>
      <c r="CG79" s="168"/>
      <c r="CH79" s="165"/>
      <c r="CI79" s="167"/>
    </row>
    <row r="80" spans="1:87" x14ac:dyDescent="0.3">
      <c r="A80" s="10">
        <v>1104</v>
      </c>
      <c r="B80" s="11" t="s">
        <v>772</v>
      </c>
      <c r="C80" s="471">
        <v>1121</v>
      </c>
      <c r="D80" s="54">
        <v>333</v>
      </c>
      <c r="E80" s="367">
        <f>SUM(D80/C80)</f>
        <v>0.29705619982158787</v>
      </c>
      <c r="F80" s="45">
        <v>193</v>
      </c>
      <c r="G80" s="45">
        <v>68</v>
      </c>
      <c r="H80" s="45">
        <v>157</v>
      </c>
      <c r="I80" s="45">
        <v>200</v>
      </c>
      <c r="J80" s="46">
        <v>20</v>
      </c>
      <c r="K80" s="165"/>
      <c r="L80" s="304"/>
      <c r="M80" s="601"/>
      <c r="N80" s="165"/>
      <c r="O80" s="165"/>
      <c r="P80" s="190"/>
      <c r="Q80" s="166"/>
      <c r="R80" s="166"/>
      <c r="S80" s="169"/>
      <c r="T80" s="165"/>
      <c r="U80" s="165"/>
      <c r="V80" s="168"/>
      <c r="W80" s="169"/>
      <c r="X80" s="173"/>
      <c r="Y80" s="190"/>
      <c r="Z80" s="167"/>
      <c r="AA80" s="165"/>
      <c r="AB80" s="166"/>
      <c r="AC80" s="169"/>
      <c r="AD80" s="165"/>
      <c r="AE80" s="165"/>
      <c r="AF80" s="167"/>
      <c r="AG80" s="168"/>
      <c r="AH80" s="165"/>
      <c r="AI80" s="167"/>
      <c r="AJ80" s="165"/>
      <c r="AK80" s="173"/>
      <c r="AL80" s="167"/>
      <c r="AM80" s="165"/>
      <c r="AN80" s="173"/>
      <c r="AO80" s="173"/>
      <c r="AP80" s="168"/>
      <c r="AQ80" s="165"/>
      <c r="AR80" s="168"/>
      <c r="AS80" s="165"/>
      <c r="AT80" s="190"/>
      <c r="AU80" s="167"/>
      <c r="AV80" s="165"/>
      <c r="AW80" s="173"/>
      <c r="AX80" s="173"/>
      <c r="AY80" s="190"/>
      <c r="AZ80" s="167"/>
      <c r="BA80" s="165"/>
      <c r="BB80" s="165"/>
      <c r="BC80" s="168"/>
      <c r="BD80" s="165"/>
      <c r="BE80" s="165"/>
      <c r="BF80" s="173"/>
      <c r="BG80" s="304"/>
      <c r="BH80" s="601"/>
      <c r="BI80" s="165"/>
      <c r="BJ80" s="167"/>
      <c r="BK80" s="165"/>
      <c r="BL80" s="190"/>
      <c r="BM80" s="167"/>
      <c r="BN80" s="165"/>
      <c r="BO80" s="173"/>
      <c r="BP80" s="190"/>
      <c r="BQ80" s="173"/>
      <c r="BR80" s="168"/>
      <c r="BS80" s="165"/>
      <c r="BT80" s="167"/>
      <c r="BU80" s="165"/>
      <c r="BV80" s="190"/>
      <c r="BW80" s="173"/>
      <c r="BX80" s="173"/>
      <c r="BY80" s="167"/>
      <c r="BZ80" s="165"/>
      <c r="CA80" s="173"/>
      <c r="CB80" s="190"/>
      <c r="CC80" s="167"/>
      <c r="CD80" s="165"/>
      <c r="CE80" s="173"/>
      <c r="CF80" s="173"/>
      <c r="CG80" s="168"/>
      <c r="CH80" s="165"/>
      <c r="CI80" s="167"/>
    </row>
    <row r="81" spans="1:87" x14ac:dyDescent="0.3">
      <c r="A81" s="10">
        <v>1201</v>
      </c>
      <c r="B81" s="11" t="s">
        <v>217</v>
      </c>
      <c r="C81" s="471">
        <v>868</v>
      </c>
      <c r="D81" s="54">
        <v>191</v>
      </c>
      <c r="E81" s="367">
        <f t="shared" si="1"/>
        <v>0.22004608294930875</v>
      </c>
      <c r="F81" s="45">
        <v>95</v>
      </c>
      <c r="G81" s="45">
        <v>34</v>
      </c>
      <c r="H81" s="45">
        <v>83</v>
      </c>
      <c r="I81" s="45">
        <v>101</v>
      </c>
      <c r="J81" s="46">
        <v>22</v>
      </c>
      <c r="K81" s="165"/>
      <c r="L81" s="304"/>
      <c r="M81" s="601"/>
      <c r="N81" s="165"/>
      <c r="O81" s="165"/>
      <c r="P81" s="190"/>
      <c r="Q81" s="166"/>
      <c r="R81" s="166"/>
      <c r="S81" s="169"/>
      <c r="T81" s="165"/>
      <c r="U81" s="165"/>
      <c r="V81" s="168"/>
      <c r="W81" s="169"/>
      <c r="X81" s="173"/>
      <c r="Y81" s="190"/>
      <c r="Z81" s="167"/>
      <c r="AA81" s="165"/>
      <c r="AB81" s="166"/>
      <c r="AC81" s="169"/>
      <c r="AD81" s="165"/>
      <c r="AE81" s="165"/>
      <c r="AF81" s="167"/>
      <c r="AG81" s="168"/>
      <c r="AH81" s="165"/>
      <c r="AI81" s="167"/>
      <c r="AJ81" s="165"/>
      <c r="AK81" s="173"/>
      <c r="AL81" s="167"/>
      <c r="AM81" s="165"/>
      <c r="AN81" s="173"/>
      <c r="AO81" s="173"/>
      <c r="AP81" s="168"/>
      <c r="AQ81" s="165"/>
      <c r="AR81" s="168"/>
      <c r="AS81" s="165"/>
      <c r="AT81" s="190"/>
      <c r="AU81" s="167"/>
      <c r="AV81" s="165"/>
      <c r="AW81" s="173"/>
      <c r="AX81" s="173"/>
      <c r="AY81" s="190"/>
      <c r="AZ81" s="167"/>
      <c r="BA81" s="165"/>
      <c r="BB81" s="165"/>
      <c r="BC81" s="168"/>
      <c r="BD81" s="165"/>
      <c r="BE81" s="165"/>
      <c r="BF81" s="173"/>
      <c r="BG81" s="304"/>
      <c r="BH81" s="601"/>
      <c r="BI81" s="165"/>
      <c r="BJ81" s="167"/>
      <c r="BK81" s="165"/>
      <c r="BL81" s="190"/>
      <c r="BM81" s="167"/>
      <c r="BN81" s="165"/>
      <c r="BO81" s="173"/>
      <c r="BP81" s="190"/>
      <c r="BQ81" s="173"/>
      <c r="BR81" s="168"/>
      <c r="BS81" s="165"/>
      <c r="BT81" s="167"/>
      <c r="BU81" s="165"/>
      <c r="BV81" s="190"/>
      <c r="BW81" s="173"/>
      <c r="BX81" s="173"/>
      <c r="BY81" s="167"/>
      <c r="BZ81" s="165"/>
      <c r="CA81" s="173"/>
      <c r="CB81" s="190"/>
      <c r="CC81" s="167"/>
      <c r="CD81" s="165"/>
      <c r="CE81" s="173"/>
      <c r="CF81" s="173"/>
      <c r="CG81" s="168"/>
      <c r="CH81" s="165"/>
      <c r="CI81" s="167"/>
    </row>
    <row r="82" spans="1:87" x14ac:dyDescent="0.3">
      <c r="A82" s="10">
        <v>1202</v>
      </c>
      <c r="B82" s="11" t="s">
        <v>218</v>
      </c>
      <c r="C82" s="471">
        <v>550</v>
      </c>
      <c r="D82" s="54">
        <v>44</v>
      </c>
      <c r="E82" s="367">
        <f t="shared" si="1"/>
        <v>0.08</v>
      </c>
      <c r="F82" s="45">
        <v>13</v>
      </c>
      <c r="G82" s="45">
        <v>8</v>
      </c>
      <c r="H82" s="45">
        <v>10</v>
      </c>
      <c r="I82" s="45">
        <v>15</v>
      </c>
      <c r="J82" s="46">
        <v>4</v>
      </c>
      <c r="K82" s="165"/>
      <c r="L82" s="304"/>
      <c r="M82" s="601"/>
      <c r="N82" s="165"/>
      <c r="O82" s="165"/>
      <c r="P82" s="190"/>
      <c r="Q82" s="166"/>
      <c r="R82" s="166"/>
      <c r="S82" s="169"/>
      <c r="T82" s="165"/>
      <c r="U82" s="165"/>
      <c r="V82" s="168"/>
      <c r="W82" s="169"/>
      <c r="X82" s="173"/>
      <c r="Y82" s="190"/>
      <c r="Z82" s="167"/>
      <c r="AA82" s="165"/>
      <c r="AB82" s="166"/>
      <c r="AC82" s="169"/>
      <c r="AD82" s="165"/>
      <c r="AE82" s="165"/>
      <c r="AF82" s="167"/>
      <c r="AG82" s="168"/>
      <c r="AH82" s="165"/>
      <c r="AI82" s="167"/>
      <c r="AJ82" s="165"/>
      <c r="AK82" s="173"/>
      <c r="AL82" s="167"/>
      <c r="AM82" s="165"/>
      <c r="AN82" s="173"/>
      <c r="AO82" s="173"/>
      <c r="AP82" s="168"/>
      <c r="AQ82" s="165"/>
      <c r="AR82" s="168"/>
      <c r="AS82" s="165"/>
      <c r="AT82" s="190"/>
      <c r="AU82" s="167"/>
      <c r="AV82" s="165"/>
      <c r="AW82" s="173"/>
      <c r="AX82" s="173"/>
      <c r="AY82" s="190"/>
      <c r="AZ82" s="167"/>
      <c r="BA82" s="165"/>
      <c r="BB82" s="165"/>
      <c r="BC82" s="168"/>
      <c r="BD82" s="165"/>
      <c r="BE82" s="165"/>
      <c r="BF82" s="173"/>
      <c r="BG82" s="304"/>
      <c r="BH82" s="601"/>
      <c r="BI82" s="165"/>
      <c r="BJ82" s="167"/>
      <c r="BK82" s="165"/>
      <c r="BL82" s="190"/>
      <c r="BM82" s="167"/>
      <c r="BN82" s="165"/>
      <c r="BO82" s="173"/>
      <c r="BP82" s="190"/>
      <c r="BQ82" s="173"/>
      <c r="BR82" s="168"/>
      <c r="BS82" s="165"/>
      <c r="BT82" s="167"/>
      <c r="BU82" s="165"/>
      <c r="BV82" s="190"/>
      <c r="BW82" s="173"/>
      <c r="BX82" s="173"/>
      <c r="BY82" s="167"/>
      <c r="BZ82" s="165"/>
      <c r="CA82" s="173"/>
      <c r="CB82" s="190"/>
      <c r="CC82" s="167"/>
      <c r="CD82" s="165"/>
      <c r="CE82" s="173"/>
      <c r="CF82" s="173"/>
      <c r="CG82" s="168"/>
      <c r="CH82" s="165"/>
      <c r="CI82" s="167"/>
    </row>
    <row r="83" spans="1:87" x14ac:dyDescent="0.3">
      <c r="A83" s="10">
        <v>1203</v>
      </c>
      <c r="B83" s="11" t="s">
        <v>219</v>
      </c>
      <c r="C83" s="471">
        <v>1263</v>
      </c>
      <c r="D83" s="54">
        <v>309</v>
      </c>
      <c r="E83" s="367">
        <f t="shared" si="1"/>
        <v>0.24465558194774348</v>
      </c>
      <c r="F83" s="45">
        <v>157</v>
      </c>
      <c r="G83" s="45">
        <v>49</v>
      </c>
      <c r="H83" s="45">
        <v>129</v>
      </c>
      <c r="I83" s="45">
        <v>169</v>
      </c>
      <c r="J83" s="46">
        <v>20</v>
      </c>
      <c r="K83" s="165"/>
      <c r="L83" s="304"/>
      <c r="M83" s="601"/>
      <c r="N83" s="165"/>
      <c r="O83" s="165"/>
      <c r="P83" s="190"/>
      <c r="Q83" s="166"/>
      <c r="R83" s="166"/>
      <c r="S83" s="169"/>
      <c r="T83" s="165"/>
      <c r="U83" s="165"/>
      <c r="V83" s="168"/>
      <c r="W83" s="169"/>
      <c r="X83" s="173"/>
      <c r="Y83" s="190"/>
      <c r="Z83" s="167"/>
      <c r="AA83" s="165"/>
      <c r="AB83" s="166"/>
      <c r="AC83" s="169"/>
      <c r="AD83" s="165"/>
      <c r="AE83" s="165"/>
      <c r="AF83" s="167"/>
      <c r="AG83" s="168"/>
      <c r="AH83" s="165"/>
      <c r="AI83" s="167"/>
      <c r="AJ83" s="165"/>
      <c r="AK83" s="173"/>
      <c r="AL83" s="167"/>
      <c r="AM83" s="165"/>
      <c r="AN83" s="173"/>
      <c r="AO83" s="173"/>
      <c r="AP83" s="168"/>
      <c r="AQ83" s="165"/>
      <c r="AR83" s="168"/>
      <c r="AS83" s="165"/>
      <c r="AT83" s="190"/>
      <c r="AU83" s="167"/>
      <c r="AV83" s="165"/>
      <c r="AW83" s="173"/>
      <c r="AX83" s="173"/>
      <c r="AY83" s="190"/>
      <c r="AZ83" s="167"/>
      <c r="BA83" s="165"/>
      <c r="BB83" s="165"/>
      <c r="BC83" s="168"/>
      <c r="BD83" s="165"/>
      <c r="BE83" s="165"/>
      <c r="BF83" s="173"/>
      <c r="BG83" s="304"/>
      <c r="BH83" s="601"/>
      <c r="BI83" s="165"/>
      <c r="BJ83" s="167"/>
      <c r="BK83" s="165"/>
      <c r="BL83" s="190"/>
      <c r="BM83" s="167"/>
      <c r="BN83" s="165"/>
      <c r="BO83" s="173"/>
      <c r="BP83" s="190"/>
      <c r="BQ83" s="173"/>
      <c r="BR83" s="168"/>
      <c r="BS83" s="165"/>
      <c r="BT83" s="167"/>
      <c r="BU83" s="165"/>
      <c r="BV83" s="190"/>
      <c r="BW83" s="173"/>
      <c r="BX83" s="173"/>
      <c r="BY83" s="167"/>
      <c r="BZ83" s="165"/>
      <c r="CA83" s="173"/>
      <c r="CB83" s="190"/>
      <c r="CC83" s="167"/>
      <c r="CD83" s="165"/>
      <c r="CE83" s="173"/>
      <c r="CF83" s="173"/>
      <c r="CG83" s="168"/>
      <c r="CH83" s="165"/>
      <c r="CI83" s="167"/>
    </row>
    <row r="84" spans="1:87" x14ac:dyDescent="0.3">
      <c r="A84" s="10">
        <v>1204</v>
      </c>
      <c r="B84" s="11" t="s">
        <v>739</v>
      </c>
      <c r="C84" s="471">
        <v>1521</v>
      </c>
      <c r="D84" s="54">
        <v>386</v>
      </c>
      <c r="E84" s="367">
        <f t="shared" si="1"/>
        <v>0.25378040762656146</v>
      </c>
      <c r="F84" s="45">
        <v>212</v>
      </c>
      <c r="G84" s="45">
        <v>76</v>
      </c>
      <c r="H84" s="45">
        <v>155</v>
      </c>
      <c r="I84" s="45">
        <v>193</v>
      </c>
      <c r="J84" s="46">
        <v>35</v>
      </c>
      <c r="K84" s="165"/>
      <c r="L84" s="304"/>
      <c r="M84" s="601"/>
      <c r="N84" s="165"/>
      <c r="O84" s="165"/>
      <c r="P84" s="190"/>
      <c r="Q84" s="166"/>
      <c r="R84" s="166"/>
      <c r="S84" s="169"/>
      <c r="T84" s="165"/>
      <c r="U84" s="165"/>
      <c r="V84" s="168"/>
      <c r="W84" s="169"/>
      <c r="X84" s="173"/>
      <c r="Y84" s="190"/>
      <c r="Z84" s="167"/>
      <c r="AA84" s="165"/>
      <c r="AB84" s="166"/>
      <c r="AC84" s="169"/>
      <c r="AD84" s="165"/>
      <c r="AE84" s="165"/>
      <c r="AF84" s="167"/>
      <c r="AG84" s="168"/>
      <c r="AH84" s="165"/>
      <c r="AI84" s="167"/>
      <c r="AJ84" s="165"/>
      <c r="AK84" s="173"/>
      <c r="AL84" s="167"/>
      <c r="AM84" s="165"/>
      <c r="AN84" s="173"/>
      <c r="AO84" s="173"/>
      <c r="AP84" s="168"/>
      <c r="AQ84" s="165"/>
      <c r="AR84" s="168"/>
      <c r="AS84" s="165"/>
      <c r="AT84" s="190"/>
      <c r="AU84" s="167"/>
      <c r="AV84" s="165"/>
      <c r="AW84" s="173"/>
      <c r="AX84" s="173"/>
      <c r="AY84" s="190"/>
      <c r="AZ84" s="167"/>
      <c r="BA84" s="165"/>
      <c r="BB84" s="165"/>
      <c r="BC84" s="168"/>
      <c r="BD84" s="165"/>
      <c r="BE84" s="165"/>
      <c r="BF84" s="173"/>
      <c r="BG84" s="304"/>
      <c r="BH84" s="601"/>
      <c r="BI84" s="165"/>
      <c r="BJ84" s="167"/>
      <c r="BK84" s="165"/>
      <c r="BL84" s="190"/>
      <c r="BM84" s="167"/>
      <c r="BN84" s="165"/>
      <c r="BO84" s="173"/>
      <c r="BP84" s="190"/>
      <c r="BQ84" s="173"/>
      <c r="BR84" s="168"/>
      <c r="BS84" s="165"/>
      <c r="BT84" s="167"/>
      <c r="BU84" s="165"/>
      <c r="BV84" s="190"/>
      <c r="BW84" s="173"/>
      <c r="BX84" s="173"/>
      <c r="BY84" s="167"/>
      <c r="BZ84" s="165"/>
      <c r="CA84" s="173"/>
      <c r="CB84" s="190"/>
      <c r="CC84" s="167"/>
      <c r="CD84" s="165"/>
      <c r="CE84" s="173"/>
      <c r="CF84" s="173"/>
      <c r="CG84" s="168"/>
      <c r="CH84" s="165"/>
      <c r="CI84" s="167"/>
    </row>
    <row r="85" spans="1:87" x14ac:dyDescent="0.3">
      <c r="A85" s="10">
        <v>1205</v>
      </c>
      <c r="B85" s="11" t="s">
        <v>740</v>
      </c>
      <c r="C85" s="471">
        <v>1250</v>
      </c>
      <c r="D85" s="54">
        <v>265</v>
      </c>
      <c r="E85" s="367">
        <f t="shared" si="1"/>
        <v>0.21199999999999999</v>
      </c>
      <c r="F85" s="45">
        <v>103</v>
      </c>
      <c r="G85" s="45">
        <v>59</v>
      </c>
      <c r="H85" s="45">
        <v>87</v>
      </c>
      <c r="I85" s="45">
        <v>132</v>
      </c>
      <c r="J85" s="46">
        <v>26</v>
      </c>
      <c r="K85" s="165"/>
      <c r="L85" s="304"/>
      <c r="M85" s="601"/>
      <c r="N85" s="165"/>
      <c r="O85" s="165"/>
      <c r="P85" s="190"/>
      <c r="Q85" s="166"/>
      <c r="R85" s="166"/>
      <c r="S85" s="169"/>
      <c r="T85" s="165"/>
      <c r="U85" s="165"/>
      <c r="V85" s="168"/>
      <c r="W85" s="169"/>
      <c r="X85" s="173"/>
      <c r="Y85" s="190"/>
      <c r="Z85" s="167"/>
      <c r="AA85" s="165"/>
      <c r="AB85" s="166"/>
      <c r="AC85" s="169"/>
      <c r="AD85" s="165"/>
      <c r="AE85" s="165"/>
      <c r="AF85" s="167"/>
      <c r="AG85" s="168"/>
      <c r="AH85" s="165"/>
      <c r="AI85" s="167"/>
      <c r="AJ85" s="165"/>
      <c r="AK85" s="173"/>
      <c r="AL85" s="167"/>
      <c r="AM85" s="165"/>
      <c r="AN85" s="173"/>
      <c r="AO85" s="173"/>
      <c r="AP85" s="168"/>
      <c r="AQ85" s="165"/>
      <c r="AR85" s="168"/>
      <c r="AS85" s="165"/>
      <c r="AT85" s="190"/>
      <c r="AU85" s="167"/>
      <c r="AV85" s="165"/>
      <c r="AW85" s="173"/>
      <c r="AX85" s="173"/>
      <c r="AY85" s="190"/>
      <c r="AZ85" s="167"/>
      <c r="BA85" s="165"/>
      <c r="BB85" s="165"/>
      <c r="BC85" s="168"/>
      <c r="BD85" s="165"/>
      <c r="BE85" s="165"/>
      <c r="BF85" s="173"/>
      <c r="BG85" s="304"/>
      <c r="BH85" s="601"/>
      <c r="BI85" s="165"/>
      <c r="BJ85" s="167"/>
      <c r="BK85" s="165"/>
      <c r="BL85" s="190"/>
      <c r="BM85" s="167"/>
      <c r="BN85" s="165"/>
      <c r="BO85" s="173"/>
      <c r="BP85" s="190"/>
      <c r="BQ85" s="173"/>
      <c r="BR85" s="168"/>
      <c r="BS85" s="165"/>
      <c r="BT85" s="167"/>
      <c r="BU85" s="165"/>
      <c r="BV85" s="190"/>
      <c r="BW85" s="173"/>
      <c r="BX85" s="173"/>
      <c r="BY85" s="167"/>
      <c r="BZ85" s="165"/>
      <c r="CA85" s="173"/>
      <c r="CB85" s="190"/>
      <c r="CC85" s="167"/>
      <c r="CD85" s="165"/>
      <c r="CE85" s="173"/>
      <c r="CF85" s="173"/>
      <c r="CG85" s="168"/>
      <c r="CH85" s="165"/>
      <c r="CI85" s="167"/>
    </row>
    <row r="86" spans="1:87" x14ac:dyDescent="0.3">
      <c r="A86" s="10">
        <v>1301</v>
      </c>
      <c r="B86" s="11" t="s">
        <v>220</v>
      </c>
      <c r="C86" s="471">
        <v>1237</v>
      </c>
      <c r="D86" s="54">
        <v>229</v>
      </c>
      <c r="E86" s="367">
        <f t="shared" si="1"/>
        <v>0.18512530315278899</v>
      </c>
      <c r="F86" s="45">
        <v>144</v>
      </c>
      <c r="G86" s="45">
        <v>46</v>
      </c>
      <c r="H86" s="45">
        <v>93</v>
      </c>
      <c r="I86" s="45">
        <v>154</v>
      </c>
      <c r="J86" s="46">
        <v>16</v>
      </c>
      <c r="K86" s="165"/>
      <c r="L86" s="304"/>
      <c r="M86" s="601"/>
      <c r="N86" s="165"/>
      <c r="O86" s="165"/>
      <c r="P86" s="190"/>
      <c r="Q86" s="166"/>
      <c r="R86" s="166"/>
      <c r="S86" s="169"/>
      <c r="T86" s="165"/>
      <c r="U86" s="165"/>
      <c r="V86" s="168"/>
      <c r="W86" s="169"/>
      <c r="X86" s="173"/>
      <c r="Y86" s="190"/>
      <c r="Z86" s="167"/>
      <c r="AA86" s="165"/>
      <c r="AB86" s="166"/>
      <c r="AC86" s="169"/>
      <c r="AD86" s="165"/>
      <c r="AE86" s="165"/>
      <c r="AF86" s="167"/>
      <c r="AG86" s="168"/>
      <c r="AH86" s="165"/>
      <c r="AI86" s="167"/>
      <c r="AJ86" s="165"/>
      <c r="AK86" s="173"/>
      <c r="AL86" s="167"/>
      <c r="AM86" s="165"/>
      <c r="AN86" s="173"/>
      <c r="AO86" s="173"/>
      <c r="AP86" s="168"/>
      <c r="AQ86" s="165"/>
      <c r="AR86" s="168"/>
      <c r="AS86" s="165"/>
      <c r="AT86" s="190"/>
      <c r="AU86" s="167"/>
      <c r="AV86" s="165"/>
      <c r="AW86" s="173"/>
      <c r="AX86" s="173"/>
      <c r="AY86" s="190"/>
      <c r="AZ86" s="167"/>
      <c r="BA86" s="165"/>
      <c r="BB86" s="165"/>
      <c r="BC86" s="168"/>
      <c r="BD86" s="165"/>
      <c r="BE86" s="165"/>
      <c r="BF86" s="173"/>
      <c r="BG86" s="304"/>
      <c r="BH86" s="601"/>
      <c r="BI86" s="165"/>
      <c r="BJ86" s="167"/>
      <c r="BK86" s="165"/>
      <c r="BL86" s="190"/>
      <c r="BM86" s="167"/>
      <c r="BN86" s="165"/>
      <c r="BO86" s="173"/>
      <c r="BP86" s="190"/>
      <c r="BQ86" s="173"/>
      <c r="BR86" s="168"/>
      <c r="BS86" s="165"/>
      <c r="BT86" s="167"/>
      <c r="BU86" s="165"/>
      <c r="BV86" s="190"/>
      <c r="BW86" s="173"/>
      <c r="BX86" s="173"/>
      <c r="BY86" s="167"/>
      <c r="BZ86" s="165"/>
      <c r="CA86" s="173"/>
      <c r="CB86" s="190"/>
      <c r="CC86" s="167"/>
      <c r="CD86" s="165"/>
      <c r="CE86" s="173"/>
      <c r="CF86" s="173"/>
      <c r="CG86" s="168"/>
      <c r="CH86" s="165"/>
      <c r="CI86" s="167"/>
    </row>
    <row r="87" spans="1:87" x14ac:dyDescent="0.3">
      <c r="A87" s="10">
        <v>1302</v>
      </c>
      <c r="B87" s="11" t="s">
        <v>221</v>
      </c>
      <c r="C87" s="471">
        <v>858</v>
      </c>
      <c r="D87" s="54">
        <v>407</v>
      </c>
      <c r="E87" s="367">
        <f t="shared" si="1"/>
        <v>0.47435897435897434</v>
      </c>
      <c r="F87" s="45">
        <v>253</v>
      </c>
      <c r="G87" s="45">
        <v>77</v>
      </c>
      <c r="H87" s="45">
        <v>201</v>
      </c>
      <c r="I87" s="45">
        <v>242</v>
      </c>
      <c r="J87" s="46">
        <v>29</v>
      </c>
      <c r="K87" s="165"/>
      <c r="L87" s="304"/>
      <c r="M87" s="601"/>
      <c r="N87" s="165"/>
      <c r="O87" s="165"/>
      <c r="P87" s="190"/>
      <c r="Q87" s="166"/>
      <c r="R87" s="166"/>
      <c r="S87" s="169"/>
      <c r="T87" s="165"/>
      <c r="U87" s="165"/>
      <c r="V87" s="168"/>
      <c r="W87" s="169"/>
      <c r="X87" s="173"/>
      <c r="Y87" s="190"/>
      <c r="Z87" s="167"/>
      <c r="AA87" s="165"/>
      <c r="AB87" s="166"/>
      <c r="AC87" s="169"/>
      <c r="AD87" s="165"/>
      <c r="AE87" s="165"/>
      <c r="AF87" s="167"/>
      <c r="AG87" s="168"/>
      <c r="AH87" s="165"/>
      <c r="AI87" s="167"/>
      <c r="AJ87" s="165"/>
      <c r="AK87" s="173"/>
      <c r="AL87" s="167"/>
      <c r="AM87" s="165"/>
      <c r="AN87" s="173"/>
      <c r="AO87" s="173"/>
      <c r="AP87" s="168"/>
      <c r="AQ87" s="165"/>
      <c r="AR87" s="168"/>
      <c r="AS87" s="165"/>
      <c r="AT87" s="190"/>
      <c r="AU87" s="167"/>
      <c r="AV87" s="165"/>
      <c r="AW87" s="173"/>
      <c r="AX87" s="173"/>
      <c r="AY87" s="190"/>
      <c r="AZ87" s="167"/>
      <c r="BA87" s="165"/>
      <c r="BB87" s="165"/>
      <c r="BC87" s="168"/>
      <c r="BD87" s="165"/>
      <c r="BE87" s="165"/>
      <c r="BF87" s="173"/>
      <c r="BG87" s="304"/>
      <c r="BH87" s="601"/>
      <c r="BI87" s="165"/>
      <c r="BJ87" s="167"/>
      <c r="BK87" s="165"/>
      <c r="BL87" s="190"/>
      <c r="BM87" s="167"/>
      <c r="BN87" s="165"/>
      <c r="BO87" s="173"/>
      <c r="BP87" s="190"/>
      <c r="BQ87" s="173"/>
      <c r="BR87" s="168"/>
      <c r="BS87" s="165"/>
      <c r="BT87" s="167"/>
      <c r="BU87" s="165"/>
      <c r="BV87" s="190"/>
      <c r="BW87" s="173"/>
      <c r="BX87" s="173"/>
      <c r="BY87" s="167"/>
      <c r="BZ87" s="165"/>
      <c r="CA87" s="173"/>
      <c r="CB87" s="190"/>
      <c r="CC87" s="167"/>
      <c r="CD87" s="165"/>
      <c r="CE87" s="173"/>
      <c r="CF87" s="173"/>
      <c r="CG87" s="168"/>
      <c r="CH87" s="165"/>
      <c r="CI87" s="167"/>
    </row>
    <row r="88" spans="1:87" x14ac:dyDescent="0.3">
      <c r="A88" s="10">
        <v>1303</v>
      </c>
      <c r="B88" s="11" t="s">
        <v>222</v>
      </c>
      <c r="C88" s="471">
        <v>1298</v>
      </c>
      <c r="D88" s="54">
        <v>244</v>
      </c>
      <c r="E88" s="367">
        <f t="shared" si="1"/>
        <v>0.18798151001540833</v>
      </c>
      <c r="F88" s="45">
        <v>140</v>
      </c>
      <c r="G88" s="45">
        <v>58</v>
      </c>
      <c r="H88" s="45">
        <v>96</v>
      </c>
      <c r="I88" s="45">
        <v>157</v>
      </c>
      <c r="J88" s="46">
        <v>21</v>
      </c>
      <c r="K88" s="165"/>
      <c r="L88" s="304"/>
      <c r="M88" s="601"/>
      <c r="N88" s="165"/>
      <c r="O88" s="165"/>
      <c r="P88" s="190"/>
      <c r="Q88" s="166"/>
      <c r="R88" s="166"/>
      <c r="S88" s="169"/>
      <c r="T88" s="165"/>
      <c r="U88" s="165"/>
      <c r="V88" s="168"/>
      <c r="W88" s="169"/>
      <c r="X88" s="173"/>
      <c r="Y88" s="190"/>
      <c r="Z88" s="167"/>
      <c r="AA88" s="165"/>
      <c r="AB88" s="166"/>
      <c r="AC88" s="169"/>
      <c r="AD88" s="165"/>
      <c r="AE88" s="165"/>
      <c r="AF88" s="167"/>
      <c r="AG88" s="168"/>
      <c r="AH88" s="165"/>
      <c r="AI88" s="167"/>
      <c r="AJ88" s="165"/>
      <c r="AK88" s="173"/>
      <c r="AL88" s="167"/>
      <c r="AM88" s="165"/>
      <c r="AN88" s="173"/>
      <c r="AO88" s="173"/>
      <c r="AP88" s="168"/>
      <c r="AQ88" s="165"/>
      <c r="AR88" s="168"/>
      <c r="AS88" s="165"/>
      <c r="AT88" s="190"/>
      <c r="AU88" s="167"/>
      <c r="AV88" s="165"/>
      <c r="AW88" s="173"/>
      <c r="AX88" s="173"/>
      <c r="AY88" s="190"/>
      <c r="AZ88" s="167"/>
      <c r="BA88" s="165"/>
      <c r="BB88" s="165"/>
      <c r="BC88" s="168"/>
      <c r="BD88" s="165"/>
      <c r="BE88" s="165"/>
      <c r="BF88" s="173"/>
      <c r="BG88" s="304"/>
      <c r="BH88" s="601"/>
      <c r="BI88" s="165"/>
      <c r="BJ88" s="167"/>
      <c r="BK88" s="165"/>
      <c r="BL88" s="190"/>
      <c r="BM88" s="167"/>
      <c r="BN88" s="165"/>
      <c r="BO88" s="173"/>
      <c r="BP88" s="190"/>
      <c r="BQ88" s="173"/>
      <c r="BR88" s="168"/>
      <c r="BS88" s="165"/>
      <c r="BT88" s="167"/>
      <c r="BU88" s="165"/>
      <c r="BV88" s="190"/>
      <c r="BW88" s="173"/>
      <c r="BX88" s="173"/>
      <c r="BY88" s="167"/>
      <c r="BZ88" s="165"/>
      <c r="CA88" s="173"/>
      <c r="CB88" s="190"/>
      <c r="CC88" s="167"/>
      <c r="CD88" s="165"/>
      <c r="CE88" s="173"/>
      <c r="CF88" s="173"/>
      <c r="CG88" s="168"/>
      <c r="CH88" s="165"/>
      <c r="CI88" s="167"/>
    </row>
    <row r="89" spans="1:87" x14ac:dyDescent="0.3">
      <c r="A89" s="10">
        <v>1304</v>
      </c>
      <c r="B89" s="11" t="s">
        <v>223</v>
      </c>
      <c r="C89" s="471">
        <v>1230</v>
      </c>
      <c r="D89" s="54">
        <v>353</v>
      </c>
      <c r="E89" s="367">
        <f t="shared" si="1"/>
        <v>0.28699186991869918</v>
      </c>
      <c r="F89" s="45">
        <v>228</v>
      </c>
      <c r="G89" s="45">
        <v>95</v>
      </c>
      <c r="H89" s="45">
        <v>152</v>
      </c>
      <c r="I89" s="45">
        <v>238</v>
      </c>
      <c r="J89" s="46">
        <v>20</v>
      </c>
      <c r="K89" s="165"/>
      <c r="L89" s="304"/>
      <c r="M89" s="601"/>
      <c r="N89" s="165"/>
      <c r="O89" s="165"/>
      <c r="P89" s="190"/>
      <c r="Q89" s="166"/>
      <c r="R89" s="166"/>
      <c r="S89" s="169"/>
      <c r="T89" s="165"/>
      <c r="U89" s="165"/>
      <c r="V89" s="168"/>
      <c r="W89" s="169"/>
      <c r="X89" s="173"/>
      <c r="Y89" s="190"/>
      <c r="Z89" s="167"/>
      <c r="AA89" s="165"/>
      <c r="AB89" s="166"/>
      <c r="AC89" s="169"/>
      <c r="AD89" s="165"/>
      <c r="AE89" s="165"/>
      <c r="AF89" s="167"/>
      <c r="AG89" s="168"/>
      <c r="AH89" s="165"/>
      <c r="AI89" s="167"/>
      <c r="AJ89" s="165"/>
      <c r="AK89" s="173"/>
      <c r="AL89" s="167"/>
      <c r="AM89" s="165"/>
      <c r="AN89" s="173"/>
      <c r="AO89" s="173"/>
      <c r="AP89" s="168"/>
      <c r="AQ89" s="165"/>
      <c r="AR89" s="168"/>
      <c r="AS89" s="165"/>
      <c r="AT89" s="190"/>
      <c r="AU89" s="167"/>
      <c r="AV89" s="165"/>
      <c r="AW89" s="173"/>
      <c r="AX89" s="173"/>
      <c r="AY89" s="190"/>
      <c r="AZ89" s="167"/>
      <c r="BA89" s="165"/>
      <c r="BB89" s="165"/>
      <c r="BC89" s="168"/>
      <c r="BD89" s="165"/>
      <c r="BE89" s="165"/>
      <c r="BF89" s="173"/>
      <c r="BG89" s="304"/>
      <c r="BH89" s="601"/>
      <c r="BI89" s="165"/>
      <c r="BJ89" s="167"/>
      <c r="BK89" s="165"/>
      <c r="BL89" s="190"/>
      <c r="BM89" s="167"/>
      <c r="BN89" s="165"/>
      <c r="BO89" s="173"/>
      <c r="BP89" s="190"/>
      <c r="BQ89" s="173"/>
      <c r="BR89" s="168"/>
      <c r="BS89" s="165"/>
      <c r="BT89" s="167"/>
      <c r="BU89" s="165"/>
      <c r="BV89" s="190"/>
      <c r="BW89" s="173"/>
      <c r="BX89" s="173"/>
      <c r="BY89" s="167"/>
      <c r="BZ89" s="165"/>
      <c r="CA89" s="173"/>
      <c r="CB89" s="190"/>
      <c r="CC89" s="167"/>
      <c r="CD89" s="165"/>
      <c r="CE89" s="173"/>
      <c r="CF89" s="173"/>
      <c r="CG89" s="168"/>
      <c r="CH89" s="165"/>
      <c r="CI89" s="167"/>
    </row>
    <row r="90" spans="1:87" x14ac:dyDescent="0.3">
      <c r="A90" s="10">
        <v>1305</v>
      </c>
      <c r="B90" s="11" t="s">
        <v>224</v>
      </c>
      <c r="C90" s="471">
        <v>1344</v>
      </c>
      <c r="D90" s="54">
        <v>735</v>
      </c>
      <c r="E90" s="367">
        <f t="shared" si="1"/>
        <v>0.546875</v>
      </c>
      <c r="F90" s="45">
        <v>500</v>
      </c>
      <c r="G90" s="45">
        <v>137</v>
      </c>
      <c r="H90" s="45">
        <v>436</v>
      </c>
      <c r="I90" s="45">
        <v>489</v>
      </c>
      <c r="J90" s="46">
        <v>46</v>
      </c>
      <c r="K90" s="165"/>
      <c r="L90" s="304"/>
      <c r="M90" s="601"/>
      <c r="N90" s="165"/>
      <c r="O90" s="165"/>
      <c r="P90" s="190"/>
      <c r="Q90" s="166"/>
      <c r="R90" s="166"/>
      <c r="S90" s="169"/>
      <c r="T90" s="165"/>
      <c r="U90" s="165"/>
      <c r="V90" s="168"/>
      <c r="W90" s="169"/>
      <c r="X90" s="173"/>
      <c r="Y90" s="190"/>
      <c r="Z90" s="167"/>
      <c r="AA90" s="165"/>
      <c r="AB90" s="166"/>
      <c r="AC90" s="169"/>
      <c r="AD90" s="165"/>
      <c r="AE90" s="165"/>
      <c r="AF90" s="167"/>
      <c r="AG90" s="168"/>
      <c r="AH90" s="165"/>
      <c r="AI90" s="167"/>
      <c r="AJ90" s="165"/>
      <c r="AK90" s="173"/>
      <c r="AL90" s="167"/>
      <c r="AM90" s="165"/>
      <c r="AN90" s="173"/>
      <c r="AO90" s="173"/>
      <c r="AP90" s="168"/>
      <c r="AQ90" s="165"/>
      <c r="AR90" s="168"/>
      <c r="AS90" s="165"/>
      <c r="AT90" s="190"/>
      <c r="AU90" s="167"/>
      <c r="AV90" s="165"/>
      <c r="AW90" s="173"/>
      <c r="AX90" s="173"/>
      <c r="AY90" s="190"/>
      <c r="AZ90" s="167"/>
      <c r="BA90" s="165"/>
      <c r="BB90" s="165"/>
      <c r="BC90" s="168"/>
      <c r="BD90" s="165"/>
      <c r="BE90" s="165"/>
      <c r="BF90" s="173"/>
      <c r="BG90" s="304"/>
      <c r="BH90" s="601"/>
      <c r="BI90" s="165"/>
      <c r="BJ90" s="167"/>
      <c r="BK90" s="165"/>
      <c r="BL90" s="190"/>
      <c r="BM90" s="167"/>
      <c r="BN90" s="165"/>
      <c r="BO90" s="173"/>
      <c r="BP90" s="190"/>
      <c r="BQ90" s="173"/>
      <c r="BR90" s="168"/>
      <c r="BS90" s="165"/>
      <c r="BT90" s="167"/>
      <c r="BU90" s="165"/>
      <c r="BV90" s="190"/>
      <c r="BW90" s="173"/>
      <c r="BX90" s="173"/>
      <c r="BY90" s="167"/>
      <c r="BZ90" s="165"/>
      <c r="CA90" s="173"/>
      <c r="CB90" s="190"/>
      <c r="CC90" s="167"/>
      <c r="CD90" s="165"/>
      <c r="CE90" s="173"/>
      <c r="CF90" s="173"/>
      <c r="CG90" s="168"/>
      <c r="CH90" s="165"/>
      <c r="CI90" s="167"/>
    </row>
    <row r="91" spans="1:87" x14ac:dyDescent="0.3">
      <c r="A91" s="10">
        <v>1306</v>
      </c>
      <c r="B91" s="11" t="s">
        <v>225</v>
      </c>
      <c r="C91" s="471">
        <v>966</v>
      </c>
      <c r="D91" s="54">
        <v>519</v>
      </c>
      <c r="E91" s="367">
        <f t="shared" si="1"/>
        <v>0.53726708074534157</v>
      </c>
      <c r="F91" s="45">
        <v>347</v>
      </c>
      <c r="G91" s="45">
        <v>120</v>
      </c>
      <c r="H91" s="45">
        <v>281</v>
      </c>
      <c r="I91" s="45">
        <v>369</v>
      </c>
      <c r="J91" s="46">
        <v>22</v>
      </c>
      <c r="K91" s="165"/>
      <c r="L91" s="304"/>
      <c r="M91" s="601"/>
      <c r="N91" s="165"/>
      <c r="O91" s="165"/>
      <c r="P91" s="190"/>
      <c r="Q91" s="166"/>
      <c r="R91" s="166"/>
      <c r="S91" s="169"/>
      <c r="T91" s="165"/>
      <c r="U91" s="165"/>
      <c r="V91" s="168"/>
      <c r="W91" s="169"/>
      <c r="X91" s="173"/>
      <c r="Y91" s="190"/>
      <c r="Z91" s="167"/>
      <c r="AA91" s="165"/>
      <c r="AB91" s="166"/>
      <c r="AC91" s="169"/>
      <c r="AD91" s="165"/>
      <c r="AE91" s="165"/>
      <c r="AF91" s="167"/>
      <c r="AG91" s="168"/>
      <c r="AH91" s="165"/>
      <c r="AI91" s="167"/>
      <c r="AJ91" s="165"/>
      <c r="AK91" s="173"/>
      <c r="AL91" s="167"/>
      <c r="AM91" s="165"/>
      <c r="AN91" s="173"/>
      <c r="AO91" s="173"/>
      <c r="AP91" s="168"/>
      <c r="AQ91" s="165"/>
      <c r="AR91" s="168"/>
      <c r="AS91" s="165"/>
      <c r="AT91" s="190"/>
      <c r="AU91" s="167"/>
      <c r="AV91" s="165"/>
      <c r="AW91" s="173"/>
      <c r="AX91" s="173"/>
      <c r="AY91" s="190"/>
      <c r="AZ91" s="167"/>
      <c r="BA91" s="165"/>
      <c r="BB91" s="165"/>
      <c r="BC91" s="168"/>
      <c r="BD91" s="165"/>
      <c r="BE91" s="165"/>
      <c r="BF91" s="173"/>
      <c r="BG91" s="304"/>
      <c r="BH91" s="601"/>
      <c r="BI91" s="165"/>
      <c r="BJ91" s="167"/>
      <c r="BK91" s="165"/>
      <c r="BL91" s="190"/>
      <c r="BM91" s="167"/>
      <c r="BN91" s="165"/>
      <c r="BO91" s="173"/>
      <c r="BP91" s="190"/>
      <c r="BQ91" s="173"/>
      <c r="BR91" s="168"/>
      <c r="BS91" s="165"/>
      <c r="BT91" s="167"/>
      <c r="BU91" s="165"/>
      <c r="BV91" s="190"/>
      <c r="BW91" s="173"/>
      <c r="BX91" s="173"/>
      <c r="BY91" s="167"/>
      <c r="BZ91" s="165"/>
      <c r="CA91" s="173"/>
      <c r="CB91" s="190"/>
      <c r="CC91" s="167"/>
      <c r="CD91" s="165"/>
      <c r="CE91" s="173"/>
      <c r="CF91" s="173"/>
      <c r="CG91" s="168"/>
      <c r="CH91" s="165"/>
      <c r="CI91" s="167"/>
    </row>
    <row r="92" spans="1:87" x14ac:dyDescent="0.3">
      <c r="A92" s="10">
        <v>1307</v>
      </c>
      <c r="B92" s="11" t="s">
        <v>741</v>
      </c>
      <c r="C92" s="471">
        <v>1550</v>
      </c>
      <c r="D92" s="54">
        <v>301</v>
      </c>
      <c r="E92" s="367">
        <f t="shared" si="1"/>
        <v>0.19419354838709676</v>
      </c>
      <c r="F92" s="45">
        <v>206</v>
      </c>
      <c r="G92" s="45">
        <v>55</v>
      </c>
      <c r="H92" s="45">
        <v>141</v>
      </c>
      <c r="I92" s="45">
        <v>240</v>
      </c>
      <c r="J92" s="46">
        <v>13</v>
      </c>
      <c r="K92" s="165"/>
      <c r="L92" s="304"/>
      <c r="M92" s="601"/>
      <c r="N92" s="165"/>
      <c r="O92" s="165"/>
      <c r="P92" s="190"/>
      <c r="Q92" s="166"/>
      <c r="R92" s="166"/>
      <c r="S92" s="169"/>
      <c r="T92" s="165"/>
      <c r="U92" s="165"/>
      <c r="V92" s="168"/>
      <c r="W92" s="169"/>
      <c r="X92" s="173"/>
      <c r="Y92" s="190"/>
      <c r="Z92" s="167"/>
      <c r="AA92" s="165"/>
      <c r="AB92" s="166"/>
      <c r="AC92" s="169"/>
      <c r="AD92" s="165"/>
      <c r="AE92" s="165"/>
      <c r="AF92" s="167"/>
      <c r="AG92" s="168"/>
      <c r="AH92" s="165"/>
      <c r="AI92" s="167"/>
      <c r="AJ92" s="165"/>
      <c r="AK92" s="173"/>
      <c r="AL92" s="167"/>
      <c r="AM92" s="165"/>
      <c r="AN92" s="173"/>
      <c r="AO92" s="173"/>
      <c r="AP92" s="168"/>
      <c r="AQ92" s="165"/>
      <c r="AR92" s="168"/>
      <c r="AS92" s="165"/>
      <c r="AT92" s="190"/>
      <c r="AU92" s="167"/>
      <c r="AV92" s="165"/>
      <c r="AW92" s="173"/>
      <c r="AX92" s="173"/>
      <c r="AY92" s="190"/>
      <c r="AZ92" s="167"/>
      <c r="BA92" s="165"/>
      <c r="BB92" s="165"/>
      <c r="BC92" s="168"/>
      <c r="BD92" s="165"/>
      <c r="BE92" s="165"/>
      <c r="BF92" s="173"/>
      <c r="BG92" s="304"/>
      <c r="BH92" s="601"/>
      <c r="BI92" s="165"/>
      <c r="BJ92" s="167"/>
      <c r="BK92" s="165"/>
      <c r="BL92" s="190"/>
      <c r="BM92" s="167"/>
      <c r="BN92" s="165"/>
      <c r="BO92" s="173"/>
      <c r="BP92" s="190"/>
      <c r="BQ92" s="173"/>
      <c r="BR92" s="168"/>
      <c r="BS92" s="165"/>
      <c r="BT92" s="167"/>
      <c r="BU92" s="165"/>
      <c r="BV92" s="190"/>
      <c r="BW92" s="173"/>
      <c r="BX92" s="173"/>
      <c r="BY92" s="167"/>
      <c r="BZ92" s="165"/>
      <c r="CA92" s="173"/>
      <c r="CB92" s="190"/>
      <c r="CC92" s="167"/>
      <c r="CD92" s="165"/>
      <c r="CE92" s="173"/>
      <c r="CF92" s="173"/>
      <c r="CG92" s="168"/>
      <c r="CH92" s="165"/>
      <c r="CI92" s="167"/>
    </row>
    <row r="93" spans="1:87" x14ac:dyDescent="0.3">
      <c r="A93" s="10">
        <v>1308</v>
      </c>
      <c r="B93" s="11" t="s">
        <v>742</v>
      </c>
      <c r="C93" s="471">
        <v>891</v>
      </c>
      <c r="D93" s="54">
        <v>64</v>
      </c>
      <c r="E93" s="367">
        <f t="shared" si="1"/>
        <v>7.1829405162738502E-2</v>
      </c>
      <c r="F93" s="45">
        <v>31</v>
      </c>
      <c r="G93" s="45">
        <v>19</v>
      </c>
      <c r="H93" s="45">
        <v>22</v>
      </c>
      <c r="I93" s="45">
        <v>29</v>
      </c>
      <c r="J93" s="46">
        <v>6</v>
      </c>
      <c r="K93" s="165"/>
      <c r="L93" s="304"/>
      <c r="M93" s="601"/>
      <c r="N93" s="165"/>
      <c r="O93" s="165"/>
      <c r="P93" s="190"/>
      <c r="Q93" s="166"/>
      <c r="R93" s="166"/>
      <c r="S93" s="169"/>
      <c r="T93" s="165"/>
      <c r="U93" s="165"/>
      <c r="V93" s="168"/>
      <c r="W93" s="169"/>
      <c r="X93" s="173"/>
      <c r="Y93" s="190"/>
      <c r="Z93" s="167"/>
      <c r="AA93" s="165"/>
      <c r="AB93" s="166"/>
      <c r="AC93" s="169"/>
      <c r="AD93" s="165"/>
      <c r="AE93" s="165"/>
      <c r="AF93" s="167"/>
      <c r="AG93" s="168"/>
      <c r="AH93" s="165"/>
      <c r="AI93" s="167"/>
      <c r="AJ93" s="165"/>
      <c r="AK93" s="173"/>
      <c r="AL93" s="167"/>
      <c r="AM93" s="165"/>
      <c r="AN93" s="173"/>
      <c r="AO93" s="173"/>
      <c r="AP93" s="168"/>
      <c r="AQ93" s="165"/>
      <c r="AR93" s="168"/>
      <c r="AS93" s="165"/>
      <c r="AT93" s="190"/>
      <c r="AU93" s="167"/>
      <c r="AV93" s="165"/>
      <c r="AW93" s="173"/>
      <c r="AX93" s="173"/>
      <c r="AY93" s="190"/>
      <c r="AZ93" s="167"/>
      <c r="BA93" s="165"/>
      <c r="BB93" s="165"/>
      <c r="BC93" s="168"/>
      <c r="BD93" s="165"/>
      <c r="BE93" s="165"/>
      <c r="BF93" s="173"/>
      <c r="BG93" s="304"/>
      <c r="BH93" s="601"/>
      <c r="BI93" s="165"/>
      <c r="BJ93" s="167"/>
      <c r="BK93" s="165"/>
      <c r="BL93" s="190"/>
      <c r="BM93" s="167"/>
      <c r="BN93" s="165"/>
      <c r="BO93" s="173"/>
      <c r="BP93" s="190"/>
      <c r="BQ93" s="173"/>
      <c r="BR93" s="168"/>
      <c r="BS93" s="165"/>
      <c r="BT93" s="167"/>
      <c r="BU93" s="165"/>
      <c r="BV93" s="190"/>
      <c r="BW93" s="173"/>
      <c r="BX93" s="173"/>
      <c r="BY93" s="167"/>
      <c r="BZ93" s="165"/>
      <c r="CA93" s="173"/>
      <c r="CB93" s="190"/>
      <c r="CC93" s="167"/>
      <c r="CD93" s="165"/>
      <c r="CE93" s="173"/>
      <c r="CF93" s="173"/>
      <c r="CG93" s="168"/>
      <c r="CH93" s="165"/>
      <c r="CI93" s="167"/>
    </row>
    <row r="94" spans="1:87" x14ac:dyDescent="0.3">
      <c r="A94" s="10">
        <v>1401</v>
      </c>
      <c r="B94" s="11" t="s">
        <v>226</v>
      </c>
      <c r="C94" s="471">
        <v>1284</v>
      </c>
      <c r="D94" s="54">
        <v>765</v>
      </c>
      <c r="E94" s="367">
        <f t="shared" si="1"/>
        <v>0.59579439252336452</v>
      </c>
      <c r="F94" s="45">
        <v>477</v>
      </c>
      <c r="G94" s="45">
        <v>175</v>
      </c>
      <c r="H94" s="45">
        <v>416</v>
      </c>
      <c r="I94" s="45">
        <v>464</v>
      </c>
      <c r="J94" s="46">
        <v>76</v>
      </c>
      <c r="K94" s="165"/>
      <c r="L94" s="304"/>
      <c r="M94" s="601"/>
      <c r="N94" s="165"/>
      <c r="O94" s="165"/>
      <c r="P94" s="190"/>
      <c r="Q94" s="166"/>
      <c r="R94" s="166"/>
      <c r="S94" s="169"/>
      <c r="T94" s="165"/>
      <c r="U94" s="165"/>
      <c r="V94" s="168"/>
      <c r="W94" s="169"/>
      <c r="X94" s="173"/>
      <c r="Y94" s="190"/>
      <c r="Z94" s="167"/>
      <c r="AA94" s="165"/>
      <c r="AB94" s="166"/>
      <c r="AC94" s="169"/>
      <c r="AD94" s="165"/>
      <c r="AE94" s="165"/>
      <c r="AF94" s="167"/>
      <c r="AG94" s="168"/>
      <c r="AH94" s="165"/>
      <c r="AI94" s="167"/>
      <c r="AJ94" s="165"/>
      <c r="AK94" s="173"/>
      <c r="AL94" s="167"/>
      <c r="AM94" s="165"/>
      <c r="AN94" s="173"/>
      <c r="AO94" s="173"/>
      <c r="AP94" s="168"/>
      <c r="AQ94" s="165"/>
      <c r="AR94" s="168"/>
      <c r="AS94" s="165"/>
      <c r="AT94" s="190"/>
      <c r="AU94" s="167"/>
      <c r="AV94" s="165"/>
      <c r="AW94" s="173"/>
      <c r="AX94" s="173"/>
      <c r="AY94" s="190"/>
      <c r="AZ94" s="167"/>
      <c r="BA94" s="165"/>
      <c r="BB94" s="165"/>
      <c r="BC94" s="168"/>
      <c r="BD94" s="165"/>
      <c r="BE94" s="165"/>
      <c r="BF94" s="173"/>
      <c r="BG94" s="304"/>
      <c r="BH94" s="601"/>
      <c r="BI94" s="165"/>
      <c r="BJ94" s="167"/>
      <c r="BK94" s="165"/>
      <c r="BL94" s="190"/>
      <c r="BM94" s="167"/>
      <c r="BN94" s="165"/>
      <c r="BO94" s="173"/>
      <c r="BP94" s="190"/>
      <c r="BQ94" s="173"/>
      <c r="BR94" s="168"/>
      <c r="BS94" s="165"/>
      <c r="BT94" s="167"/>
      <c r="BU94" s="165"/>
      <c r="BV94" s="190"/>
      <c r="BW94" s="173"/>
      <c r="BX94" s="173"/>
      <c r="BY94" s="167"/>
      <c r="BZ94" s="165"/>
      <c r="CA94" s="173"/>
      <c r="CB94" s="190"/>
      <c r="CC94" s="167"/>
      <c r="CD94" s="165"/>
      <c r="CE94" s="173"/>
      <c r="CF94" s="173"/>
      <c r="CG94" s="168"/>
      <c r="CH94" s="165"/>
      <c r="CI94" s="167"/>
    </row>
    <row r="95" spans="1:87" x14ac:dyDescent="0.3">
      <c r="A95" s="10">
        <v>1402</v>
      </c>
      <c r="B95" s="11" t="s">
        <v>227</v>
      </c>
      <c r="C95" s="471">
        <v>1222</v>
      </c>
      <c r="D95" s="54">
        <v>558</v>
      </c>
      <c r="E95" s="367">
        <f t="shared" si="1"/>
        <v>0.45662847790507366</v>
      </c>
      <c r="F95" s="45">
        <v>361</v>
      </c>
      <c r="G95" s="45">
        <v>123</v>
      </c>
      <c r="H95" s="45">
        <v>292</v>
      </c>
      <c r="I95" s="45">
        <v>388</v>
      </c>
      <c r="J95" s="46">
        <v>34</v>
      </c>
      <c r="K95" s="165"/>
      <c r="L95" s="304"/>
      <c r="M95" s="601"/>
      <c r="N95" s="165"/>
      <c r="O95" s="165"/>
      <c r="P95" s="190"/>
      <c r="Q95" s="166"/>
      <c r="R95" s="166"/>
      <c r="S95" s="169"/>
      <c r="T95" s="165"/>
      <c r="U95" s="165"/>
      <c r="V95" s="168"/>
      <c r="W95" s="169"/>
      <c r="X95" s="173"/>
      <c r="Y95" s="190"/>
      <c r="Z95" s="167"/>
      <c r="AA95" s="165"/>
      <c r="AB95" s="166"/>
      <c r="AC95" s="169"/>
      <c r="AD95" s="165"/>
      <c r="AE95" s="165"/>
      <c r="AF95" s="167"/>
      <c r="AG95" s="168"/>
      <c r="AH95" s="165"/>
      <c r="AI95" s="167"/>
      <c r="AJ95" s="165"/>
      <c r="AK95" s="173"/>
      <c r="AL95" s="167"/>
      <c r="AM95" s="165"/>
      <c r="AN95" s="173"/>
      <c r="AO95" s="173"/>
      <c r="AP95" s="168"/>
      <c r="AQ95" s="165"/>
      <c r="AR95" s="168"/>
      <c r="AS95" s="165"/>
      <c r="AT95" s="190"/>
      <c r="AU95" s="167"/>
      <c r="AV95" s="165"/>
      <c r="AW95" s="173"/>
      <c r="AX95" s="173"/>
      <c r="AY95" s="190"/>
      <c r="AZ95" s="167"/>
      <c r="BA95" s="165"/>
      <c r="BB95" s="165"/>
      <c r="BC95" s="168"/>
      <c r="BD95" s="165"/>
      <c r="BE95" s="165"/>
      <c r="BF95" s="173"/>
      <c r="BG95" s="304"/>
      <c r="BH95" s="601"/>
      <c r="BI95" s="165"/>
      <c r="BJ95" s="167"/>
      <c r="BK95" s="165"/>
      <c r="BL95" s="190"/>
      <c r="BM95" s="167"/>
      <c r="BN95" s="165"/>
      <c r="BO95" s="173"/>
      <c r="BP95" s="190"/>
      <c r="BQ95" s="173"/>
      <c r="BR95" s="168"/>
      <c r="BS95" s="165"/>
      <c r="BT95" s="167"/>
      <c r="BU95" s="165"/>
      <c r="BV95" s="190"/>
      <c r="BW95" s="173"/>
      <c r="BX95" s="173"/>
      <c r="BY95" s="167"/>
      <c r="BZ95" s="165"/>
      <c r="CA95" s="173"/>
      <c r="CB95" s="190"/>
      <c r="CC95" s="167"/>
      <c r="CD95" s="165"/>
      <c r="CE95" s="173"/>
      <c r="CF95" s="173"/>
      <c r="CG95" s="168"/>
      <c r="CH95" s="165"/>
      <c r="CI95" s="167"/>
    </row>
    <row r="96" spans="1:87" x14ac:dyDescent="0.3">
      <c r="A96" s="10">
        <v>1403</v>
      </c>
      <c r="B96" s="11" t="s">
        <v>228</v>
      </c>
      <c r="C96" s="471">
        <v>487</v>
      </c>
      <c r="D96" s="54">
        <v>351</v>
      </c>
      <c r="E96" s="367">
        <f t="shared" si="1"/>
        <v>0.72073921971252564</v>
      </c>
      <c r="F96" s="45">
        <v>204</v>
      </c>
      <c r="G96" s="45">
        <v>50</v>
      </c>
      <c r="H96" s="45">
        <v>195</v>
      </c>
      <c r="I96" s="45">
        <v>175</v>
      </c>
      <c r="J96" s="46">
        <v>39</v>
      </c>
      <c r="K96" s="165"/>
      <c r="L96" s="304"/>
      <c r="M96" s="601"/>
      <c r="N96" s="165"/>
      <c r="O96" s="165"/>
      <c r="P96" s="190"/>
      <c r="Q96" s="166"/>
      <c r="R96" s="166"/>
      <c r="S96" s="169"/>
      <c r="T96" s="165"/>
      <c r="U96" s="165"/>
      <c r="V96" s="168"/>
      <c r="W96" s="169"/>
      <c r="X96" s="173"/>
      <c r="Y96" s="190"/>
      <c r="Z96" s="167"/>
      <c r="AA96" s="165"/>
      <c r="AB96" s="166"/>
      <c r="AC96" s="169"/>
      <c r="AD96" s="165"/>
      <c r="AE96" s="165"/>
      <c r="AF96" s="167"/>
      <c r="AG96" s="168"/>
      <c r="AH96" s="165"/>
      <c r="AI96" s="167"/>
      <c r="AJ96" s="165"/>
      <c r="AK96" s="173"/>
      <c r="AL96" s="167"/>
      <c r="AM96" s="165"/>
      <c r="AN96" s="173"/>
      <c r="AO96" s="173"/>
      <c r="AP96" s="168"/>
      <c r="AQ96" s="165"/>
      <c r="AR96" s="168"/>
      <c r="AS96" s="165"/>
      <c r="AT96" s="190"/>
      <c r="AU96" s="167"/>
      <c r="AV96" s="165"/>
      <c r="AW96" s="173"/>
      <c r="AX96" s="173"/>
      <c r="AY96" s="190"/>
      <c r="AZ96" s="167"/>
      <c r="BA96" s="165"/>
      <c r="BB96" s="165"/>
      <c r="BC96" s="168"/>
      <c r="BD96" s="165"/>
      <c r="BE96" s="165"/>
      <c r="BF96" s="173"/>
      <c r="BG96" s="304"/>
      <c r="BH96" s="601"/>
      <c r="BI96" s="165"/>
      <c r="BJ96" s="167"/>
      <c r="BK96" s="165"/>
      <c r="BL96" s="190"/>
      <c r="BM96" s="167"/>
      <c r="BN96" s="165"/>
      <c r="BO96" s="173"/>
      <c r="BP96" s="190"/>
      <c r="BQ96" s="173"/>
      <c r="BR96" s="168"/>
      <c r="BS96" s="165"/>
      <c r="BT96" s="167"/>
      <c r="BU96" s="165"/>
      <c r="BV96" s="190"/>
      <c r="BW96" s="173"/>
      <c r="BX96" s="173"/>
      <c r="BY96" s="167"/>
      <c r="BZ96" s="165"/>
      <c r="CA96" s="173"/>
      <c r="CB96" s="190"/>
      <c r="CC96" s="167"/>
      <c r="CD96" s="165"/>
      <c r="CE96" s="173"/>
      <c r="CF96" s="173"/>
      <c r="CG96" s="168"/>
      <c r="CH96" s="165"/>
      <c r="CI96" s="167"/>
    </row>
    <row r="97" spans="1:87" x14ac:dyDescent="0.3">
      <c r="A97" s="10">
        <v>1404</v>
      </c>
      <c r="B97" s="11" t="s">
        <v>229</v>
      </c>
      <c r="C97" s="471">
        <v>1471</v>
      </c>
      <c r="D97" s="54">
        <v>843</v>
      </c>
      <c r="E97" s="367">
        <f t="shared" si="1"/>
        <v>0.57307953772943576</v>
      </c>
      <c r="F97" s="45">
        <v>545</v>
      </c>
      <c r="G97" s="45">
        <v>140</v>
      </c>
      <c r="H97" s="45">
        <v>444</v>
      </c>
      <c r="I97" s="45">
        <v>571</v>
      </c>
      <c r="J97" s="46">
        <v>69</v>
      </c>
      <c r="K97" s="165"/>
      <c r="L97" s="304"/>
      <c r="M97" s="601"/>
      <c r="N97" s="165"/>
      <c r="O97" s="165"/>
      <c r="P97" s="190"/>
      <c r="Q97" s="166"/>
      <c r="R97" s="166"/>
      <c r="S97" s="169"/>
      <c r="T97" s="165"/>
      <c r="U97" s="165"/>
      <c r="V97" s="168"/>
      <c r="W97" s="169"/>
      <c r="X97" s="173"/>
      <c r="Y97" s="190"/>
      <c r="Z97" s="167"/>
      <c r="AA97" s="165"/>
      <c r="AB97" s="166"/>
      <c r="AC97" s="169"/>
      <c r="AD97" s="165"/>
      <c r="AE97" s="165"/>
      <c r="AF97" s="167"/>
      <c r="AG97" s="168"/>
      <c r="AH97" s="165"/>
      <c r="AI97" s="167"/>
      <c r="AJ97" s="165"/>
      <c r="AK97" s="173"/>
      <c r="AL97" s="167"/>
      <c r="AM97" s="165"/>
      <c r="AN97" s="173"/>
      <c r="AO97" s="173"/>
      <c r="AP97" s="168"/>
      <c r="AQ97" s="165"/>
      <c r="AR97" s="168"/>
      <c r="AS97" s="165"/>
      <c r="AT97" s="190"/>
      <c r="AU97" s="167"/>
      <c r="AV97" s="165"/>
      <c r="AW97" s="173"/>
      <c r="AX97" s="173"/>
      <c r="AY97" s="190"/>
      <c r="AZ97" s="167"/>
      <c r="BA97" s="165"/>
      <c r="BB97" s="165"/>
      <c r="BC97" s="168"/>
      <c r="BD97" s="165"/>
      <c r="BE97" s="165"/>
      <c r="BF97" s="173"/>
      <c r="BG97" s="304"/>
      <c r="BH97" s="601"/>
      <c r="BI97" s="165"/>
      <c r="BJ97" s="167"/>
      <c r="BK97" s="165"/>
      <c r="BL97" s="190"/>
      <c r="BM97" s="167"/>
      <c r="BN97" s="165"/>
      <c r="BO97" s="173"/>
      <c r="BP97" s="190"/>
      <c r="BQ97" s="173"/>
      <c r="BR97" s="168"/>
      <c r="BS97" s="165"/>
      <c r="BT97" s="167"/>
      <c r="BU97" s="165"/>
      <c r="BV97" s="190"/>
      <c r="BW97" s="173"/>
      <c r="BX97" s="173"/>
      <c r="BY97" s="167"/>
      <c r="BZ97" s="165"/>
      <c r="CA97" s="173"/>
      <c r="CB97" s="190"/>
      <c r="CC97" s="167"/>
      <c r="CD97" s="165"/>
      <c r="CE97" s="173"/>
      <c r="CF97" s="173"/>
      <c r="CG97" s="168"/>
      <c r="CH97" s="165"/>
      <c r="CI97" s="167"/>
    </row>
    <row r="98" spans="1:87" x14ac:dyDescent="0.3">
      <c r="A98" s="10">
        <v>1405</v>
      </c>
      <c r="B98" s="11" t="s">
        <v>230</v>
      </c>
      <c r="C98" s="471">
        <v>1257</v>
      </c>
      <c r="D98" s="54">
        <v>683</v>
      </c>
      <c r="E98" s="367">
        <f t="shared" si="1"/>
        <v>0.54335719968178198</v>
      </c>
      <c r="F98" s="45">
        <v>438</v>
      </c>
      <c r="G98" s="45">
        <v>125</v>
      </c>
      <c r="H98" s="45">
        <v>367</v>
      </c>
      <c r="I98" s="45">
        <v>441</v>
      </c>
      <c r="J98" s="46">
        <v>46</v>
      </c>
      <c r="K98" s="165"/>
      <c r="L98" s="304"/>
      <c r="M98" s="601"/>
      <c r="N98" s="165"/>
      <c r="O98" s="165"/>
      <c r="P98" s="190"/>
      <c r="Q98" s="166"/>
      <c r="R98" s="166"/>
      <c r="S98" s="169"/>
      <c r="T98" s="165"/>
      <c r="U98" s="165"/>
      <c r="V98" s="168"/>
      <c r="W98" s="169"/>
      <c r="X98" s="173"/>
      <c r="Y98" s="190"/>
      <c r="Z98" s="167"/>
      <c r="AA98" s="165"/>
      <c r="AB98" s="166"/>
      <c r="AC98" s="169"/>
      <c r="AD98" s="165"/>
      <c r="AE98" s="165"/>
      <c r="AF98" s="167"/>
      <c r="AG98" s="168"/>
      <c r="AH98" s="165"/>
      <c r="AI98" s="167"/>
      <c r="AJ98" s="165"/>
      <c r="AK98" s="173"/>
      <c r="AL98" s="167"/>
      <c r="AM98" s="165"/>
      <c r="AN98" s="173"/>
      <c r="AO98" s="173"/>
      <c r="AP98" s="168"/>
      <c r="AQ98" s="165"/>
      <c r="AR98" s="168"/>
      <c r="AS98" s="165"/>
      <c r="AT98" s="190"/>
      <c r="AU98" s="167"/>
      <c r="AV98" s="165"/>
      <c r="AW98" s="173"/>
      <c r="AX98" s="173"/>
      <c r="AY98" s="190"/>
      <c r="AZ98" s="167"/>
      <c r="BA98" s="165"/>
      <c r="BB98" s="165"/>
      <c r="BC98" s="168"/>
      <c r="BD98" s="165"/>
      <c r="BE98" s="165"/>
      <c r="BF98" s="173"/>
      <c r="BG98" s="304"/>
      <c r="BH98" s="601"/>
      <c r="BI98" s="165"/>
      <c r="BJ98" s="167"/>
      <c r="BK98" s="165"/>
      <c r="BL98" s="190"/>
      <c r="BM98" s="167"/>
      <c r="BN98" s="165"/>
      <c r="BO98" s="173"/>
      <c r="BP98" s="190"/>
      <c r="BQ98" s="173"/>
      <c r="BR98" s="168"/>
      <c r="BS98" s="165"/>
      <c r="BT98" s="167"/>
      <c r="BU98" s="165"/>
      <c r="BV98" s="190"/>
      <c r="BW98" s="173"/>
      <c r="BX98" s="173"/>
      <c r="BY98" s="167"/>
      <c r="BZ98" s="165"/>
      <c r="CA98" s="173"/>
      <c r="CB98" s="190"/>
      <c r="CC98" s="167"/>
      <c r="CD98" s="165"/>
      <c r="CE98" s="173"/>
      <c r="CF98" s="173"/>
      <c r="CG98" s="168"/>
      <c r="CH98" s="165"/>
      <c r="CI98" s="167"/>
    </row>
    <row r="99" spans="1:87" x14ac:dyDescent="0.3">
      <c r="A99" s="10">
        <v>1406</v>
      </c>
      <c r="B99" s="11" t="s">
        <v>231</v>
      </c>
      <c r="C99" s="471">
        <v>990</v>
      </c>
      <c r="D99" s="54">
        <v>648</v>
      </c>
      <c r="E99" s="367">
        <f t="shared" si="1"/>
        <v>0.65454545454545454</v>
      </c>
      <c r="F99" s="45">
        <v>445</v>
      </c>
      <c r="G99" s="45">
        <v>129</v>
      </c>
      <c r="H99" s="45">
        <v>351</v>
      </c>
      <c r="I99" s="45">
        <v>431</v>
      </c>
      <c r="J99" s="46">
        <v>51</v>
      </c>
      <c r="K99" s="165"/>
      <c r="L99" s="304"/>
      <c r="M99" s="601"/>
      <c r="N99" s="165"/>
      <c r="O99" s="165"/>
      <c r="P99" s="190"/>
      <c r="Q99" s="166"/>
      <c r="R99" s="166"/>
      <c r="S99" s="169"/>
      <c r="T99" s="165"/>
      <c r="U99" s="165"/>
      <c r="V99" s="168"/>
      <c r="W99" s="169"/>
      <c r="X99" s="173"/>
      <c r="Y99" s="190"/>
      <c r="Z99" s="167"/>
      <c r="AA99" s="165"/>
      <c r="AB99" s="166"/>
      <c r="AC99" s="169"/>
      <c r="AD99" s="165"/>
      <c r="AE99" s="165"/>
      <c r="AF99" s="167"/>
      <c r="AG99" s="168"/>
      <c r="AH99" s="165"/>
      <c r="AI99" s="167"/>
      <c r="AJ99" s="165"/>
      <c r="AK99" s="173"/>
      <c r="AL99" s="167"/>
      <c r="AM99" s="165"/>
      <c r="AN99" s="173"/>
      <c r="AO99" s="173"/>
      <c r="AP99" s="168"/>
      <c r="AQ99" s="165"/>
      <c r="AR99" s="168"/>
      <c r="AS99" s="165"/>
      <c r="AT99" s="190"/>
      <c r="AU99" s="167"/>
      <c r="AV99" s="165"/>
      <c r="AW99" s="173"/>
      <c r="AX99" s="173"/>
      <c r="AY99" s="190"/>
      <c r="AZ99" s="167"/>
      <c r="BA99" s="165"/>
      <c r="BB99" s="165"/>
      <c r="BC99" s="168"/>
      <c r="BD99" s="165"/>
      <c r="BE99" s="165"/>
      <c r="BF99" s="173"/>
      <c r="BG99" s="304"/>
      <c r="BH99" s="601"/>
      <c r="BI99" s="165"/>
      <c r="BJ99" s="167"/>
      <c r="BK99" s="165"/>
      <c r="BL99" s="190"/>
      <c r="BM99" s="167"/>
      <c r="BN99" s="165"/>
      <c r="BO99" s="173"/>
      <c r="BP99" s="190"/>
      <c r="BQ99" s="173"/>
      <c r="BR99" s="168"/>
      <c r="BS99" s="165"/>
      <c r="BT99" s="167"/>
      <c r="BU99" s="165"/>
      <c r="BV99" s="190"/>
      <c r="BW99" s="173"/>
      <c r="BX99" s="173"/>
      <c r="BY99" s="167"/>
      <c r="BZ99" s="165"/>
      <c r="CA99" s="173"/>
      <c r="CB99" s="190"/>
      <c r="CC99" s="167"/>
      <c r="CD99" s="165"/>
      <c r="CE99" s="173"/>
      <c r="CF99" s="173"/>
      <c r="CG99" s="168"/>
      <c r="CH99" s="165"/>
      <c r="CI99" s="167"/>
    </row>
    <row r="100" spans="1:87" x14ac:dyDescent="0.3">
      <c r="A100" s="10">
        <v>1407</v>
      </c>
      <c r="B100" s="11" t="s">
        <v>232</v>
      </c>
      <c r="C100" s="471">
        <v>1042</v>
      </c>
      <c r="D100" s="54">
        <v>701</v>
      </c>
      <c r="E100" s="367">
        <f t="shared" si="1"/>
        <v>0.67274472168905952</v>
      </c>
      <c r="F100" s="45">
        <v>431</v>
      </c>
      <c r="G100" s="45">
        <v>134</v>
      </c>
      <c r="H100" s="45">
        <v>361</v>
      </c>
      <c r="I100" s="45">
        <v>419</v>
      </c>
      <c r="J100" s="46">
        <v>64</v>
      </c>
      <c r="K100" s="165"/>
      <c r="L100" s="304"/>
      <c r="M100" s="601"/>
      <c r="N100" s="165"/>
      <c r="O100" s="165"/>
      <c r="P100" s="190"/>
      <c r="Q100" s="166"/>
      <c r="R100" s="166"/>
      <c r="S100" s="169"/>
      <c r="T100" s="165"/>
      <c r="U100" s="165"/>
      <c r="V100" s="168"/>
      <c r="W100" s="169"/>
      <c r="X100" s="173"/>
      <c r="Y100" s="190"/>
      <c r="Z100" s="167"/>
      <c r="AA100" s="165"/>
      <c r="AB100" s="166"/>
      <c r="AC100" s="169"/>
      <c r="AD100" s="165"/>
      <c r="AE100" s="165"/>
      <c r="AF100" s="167"/>
      <c r="AG100" s="168"/>
      <c r="AH100" s="165"/>
      <c r="AI100" s="167"/>
      <c r="AJ100" s="165"/>
      <c r="AK100" s="173"/>
      <c r="AL100" s="167"/>
      <c r="AM100" s="165"/>
      <c r="AN100" s="173"/>
      <c r="AO100" s="173"/>
      <c r="AP100" s="168"/>
      <c r="AQ100" s="165"/>
      <c r="AR100" s="168"/>
      <c r="AS100" s="165"/>
      <c r="AT100" s="190"/>
      <c r="AU100" s="167"/>
      <c r="AV100" s="165"/>
      <c r="AW100" s="173"/>
      <c r="AX100" s="173"/>
      <c r="AY100" s="190"/>
      <c r="AZ100" s="167"/>
      <c r="BA100" s="165"/>
      <c r="BB100" s="165"/>
      <c r="BC100" s="168"/>
      <c r="BD100" s="165"/>
      <c r="BE100" s="165"/>
      <c r="BF100" s="173"/>
      <c r="BG100" s="304"/>
      <c r="BH100" s="601"/>
      <c r="BI100" s="165"/>
      <c r="BJ100" s="167"/>
      <c r="BK100" s="165"/>
      <c r="BL100" s="190"/>
      <c r="BM100" s="167"/>
      <c r="BN100" s="165"/>
      <c r="BO100" s="173"/>
      <c r="BP100" s="190"/>
      <c r="BQ100" s="173"/>
      <c r="BR100" s="168"/>
      <c r="BS100" s="165"/>
      <c r="BT100" s="167"/>
      <c r="BU100" s="165"/>
      <c r="BV100" s="190"/>
      <c r="BW100" s="173"/>
      <c r="BX100" s="173"/>
      <c r="BY100" s="167"/>
      <c r="BZ100" s="165"/>
      <c r="CA100" s="173"/>
      <c r="CB100" s="190"/>
      <c r="CC100" s="167"/>
      <c r="CD100" s="165"/>
      <c r="CE100" s="173"/>
      <c r="CF100" s="173"/>
      <c r="CG100" s="168"/>
      <c r="CH100" s="165"/>
      <c r="CI100" s="167"/>
    </row>
    <row r="101" spans="1:87" x14ac:dyDescent="0.3">
      <c r="A101" s="10">
        <v>1408</v>
      </c>
      <c r="B101" s="11" t="s">
        <v>233</v>
      </c>
      <c r="C101" s="471">
        <v>1296</v>
      </c>
      <c r="D101" s="54">
        <v>699</v>
      </c>
      <c r="E101" s="367">
        <f t="shared" si="1"/>
        <v>0.53935185185185186</v>
      </c>
      <c r="F101" s="45">
        <v>435</v>
      </c>
      <c r="G101" s="45">
        <v>126</v>
      </c>
      <c r="H101" s="45">
        <v>376</v>
      </c>
      <c r="I101" s="45">
        <v>427</v>
      </c>
      <c r="J101" s="46">
        <v>69</v>
      </c>
      <c r="K101" s="165"/>
      <c r="L101" s="304"/>
      <c r="M101" s="601"/>
      <c r="N101" s="165"/>
      <c r="O101" s="165"/>
      <c r="P101" s="190"/>
      <c r="Q101" s="166"/>
      <c r="R101" s="166"/>
      <c r="S101" s="169"/>
      <c r="T101" s="165"/>
      <c r="U101" s="165"/>
      <c r="V101" s="168"/>
      <c r="W101" s="169"/>
      <c r="X101" s="173"/>
      <c r="Y101" s="190"/>
      <c r="Z101" s="167"/>
      <c r="AA101" s="165"/>
      <c r="AB101" s="166"/>
      <c r="AC101" s="169"/>
      <c r="AD101" s="165"/>
      <c r="AE101" s="165"/>
      <c r="AF101" s="167"/>
      <c r="AG101" s="168"/>
      <c r="AH101" s="165"/>
      <c r="AI101" s="167"/>
      <c r="AJ101" s="165"/>
      <c r="AK101" s="173"/>
      <c r="AL101" s="167"/>
      <c r="AM101" s="165"/>
      <c r="AN101" s="173"/>
      <c r="AO101" s="173"/>
      <c r="AP101" s="168"/>
      <c r="AQ101" s="165"/>
      <c r="AR101" s="168"/>
      <c r="AS101" s="165"/>
      <c r="AT101" s="190"/>
      <c r="AU101" s="167"/>
      <c r="AV101" s="165"/>
      <c r="AW101" s="173"/>
      <c r="AX101" s="173"/>
      <c r="AY101" s="190"/>
      <c r="AZ101" s="167"/>
      <c r="BA101" s="165"/>
      <c r="BB101" s="165"/>
      <c r="BC101" s="168"/>
      <c r="BD101" s="165"/>
      <c r="BE101" s="165"/>
      <c r="BF101" s="173"/>
      <c r="BG101" s="304"/>
      <c r="BH101" s="601"/>
      <c r="BI101" s="165"/>
      <c r="BJ101" s="167"/>
      <c r="BK101" s="165"/>
      <c r="BL101" s="190"/>
      <c r="BM101" s="167"/>
      <c r="BN101" s="165"/>
      <c r="BO101" s="173"/>
      <c r="BP101" s="190"/>
      <c r="BQ101" s="173"/>
      <c r="BR101" s="168"/>
      <c r="BS101" s="165"/>
      <c r="BT101" s="167"/>
      <c r="BU101" s="165"/>
      <c r="BV101" s="190"/>
      <c r="BW101" s="173"/>
      <c r="BX101" s="173"/>
      <c r="BY101" s="167"/>
      <c r="BZ101" s="165"/>
      <c r="CA101" s="173"/>
      <c r="CB101" s="190"/>
      <c r="CC101" s="167"/>
      <c r="CD101" s="165"/>
      <c r="CE101" s="173"/>
      <c r="CF101" s="173"/>
      <c r="CG101" s="168"/>
      <c r="CH101" s="165"/>
      <c r="CI101" s="167"/>
    </row>
    <row r="102" spans="1:87" x14ac:dyDescent="0.3">
      <c r="A102" s="10">
        <v>1409</v>
      </c>
      <c r="B102" s="11" t="s">
        <v>234</v>
      </c>
      <c r="C102" s="471">
        <v>1410</v>
      </c>
      <c r="D102" s="54">
        <v>664</v>
      </c>
      <c r="E102" s="367">
        <f t="shared" si="1"/>
        <v>0.47092198581560285</v>
      </c>
      <c r="F102" s="45">
        <v>403</v>
      </c>
      <c r="G102" s="45">
        <v>136</v>
      </c>
      <c r="H102" s="45">
        <v>330</v>
      </c>
      <c r="I102" s="45">
        <v>403</v>
      </c>
      <c r="J102" s="46">
        <v>62</v>
      </c>
      <c r="K102" s="165"/>
      <c r="L102" s="304"/>
      <c r="M102" s="601"/>
      <c r="N102" s="165"/>
      <c r="O102" s="165"/>
      <c r="P102" s="190"/>
      <c r="Q102" s="166"/>
      <c r="R102" s="166"/>
      <c r="S102" s="169"/>
      <c r="T102" s="165"/>
      <c r="U102" s="165"/>
      <c r="V102" s="168"/>
      <c r="W102" s="169"/>
      <c r="X102" s="173"/>
      <c r="Y102" s="190"/>
      <c r="Z102" s="167"/>
      <c r="AA102" s="165"/>
      <c r="AB102" s="166"/>
      <c r="AC102" s="169"/>
      <c r="AD102" s="165"/>
      <c r="AE102" s="165"/>
      <c r="AF102" s="167"/>
      <c r="AG102" s="168"/>
      <c r="AH102" s="165"/>
      <c r="AI102" s="167"/>
      <c r="AJ102" s="165"/>
      <c r="AK102" s="173"/>
      <c r="AL102" s="167"/>
      <c r="AM102" s="165"/>
      <c r="AN102" s="173"/>
      <c r="AO102" s="173"/>
      <c r="AP102" s="168"/>
      <c r="AQ102" s="165"/>
      <c r="AR102" s="168"/>
      <c r="AS102" s="165"/>
      <c r="AT102" s="190"/>
      <c r="AU102" s="167"/>
      <c r="AV102" s="165"/>
      <c r="AW102" s="173"/>
      <c r="AX102" s="173"/>
      <c r="AY102" s="190"/>
      <c r="AZ102" s="167"/>
      <c r="BA102" s="165"/>
      <c r="BB102" s="165"/>
      <c r="BC102" s="168"/>
      <c r="BD102" s="165"/>
      <c r="BE102" s="165"/>
      <c r="BF102" s="173"/>
      <c r="BG102" s="304"/>
      <c r="BH102" s="601"/>
      <c r="BI102" s="165"/>
      <c r="BJ102" s="167"/>
      <c r="BK102" s="165"/>
      <c r="BL102" s="190"/>
      <c r="BM102" s="167"/>
      <c r="BN102" s="165"/>
      <c r="BO102" s="173"/>
      <c r="BP102" s="190"/>
      <c r="BQ102" s="173"/>
      <c r="BR102" s="168"/>
      <c r="BS102" s="165"/>
      <c r="BT102" s="167"/>
      <c r="BU102" s="165"/>
      <c r="BV102" s="190"/>
      <c r="BW102" s="173"/>
      <c r="BX102" s="173"/>
      <c r="BY102" s="167"/>
      <c r="BZ102" s="165"/>
      <c r="CA102" s="173"/>
      <c r="CB102" s="190"/>
      <c r="CC102" s="167"/>
      <c r="CD102" s="165"/>
      <c r="CE102" s="173"/>
      <c r="CF102" s="173"/>
      <c r="CG102" s="168"/>
      <c r="CH102" s="165"/>
      <c r="CI102" s="167"/>
    </row>
    <row r="103" spans="1:87" x14ac:dyDescent="0.3">
      <c r="A103" s="10">
        <v>1501</v>
      </c>
      <c r="B103" s="11" t="s">
        <v>235</v>
      </c>
      <c r="C103" s="471">
        <v>1221</v>
      </c>
      <c r="D103" s="54">
        <v>708</v>
      </c>
      <c r="E103" s="367">
        <f t="shared" si="1"/>
        <v>0.57985257985257987</v>
      </c>
      <c r="F103" s="45">
        <v>446</v>
      </c>
      <c r="G103" s="45">
        <v>223</v>
      </c>
      <c r="H103" s="45">
        <v>394</v>
      </c>
      <c r="I103" s="45">
        <v>460</v>
      </c>
      <c r="J103" s="46">
        <v>27</v>
      </c>
      <c r="K103" s="165"/>
      <c r="L103" s="304"/>
      <c r="M103" s="601"/>
      <c r="N103" s="165"/>
      <c r="O103" s="165"/>
      <c r="P103" s="190"/>
      <c r="Q103" s="166"/>
      <c r="R103" s="166"/>
      <c r="S103" s="169"/>
      <c r="T103" s="165"/>
      <c r="U103" s="165"/>
      <c r="V103" s="168"/>
      <c r="W103" s="169"/>
      <c r="X103" s="173"/>
      <c r="Y103" s="190"/>
      <c r="Z103" s="167"/>
      <c r="AA103" s="165"/>
      <c r="AB103" s="166"/>
      <c r="AC103" s="169"/>
      <c r="AD103" s="165"/>
      <c r="AE103" s="165"/>
      <c r="AF103" s="167"/>
      <c r="AG103" s="168"/>
      <c r="AH103" s="165"/>
      <c r="AI103" s="167"/>
      <c r="AJ103" s="165"/>
      <c r="AK103" s="173"/>
      <c r="AL103" s="167"/>
      <c r="AM103" s="165"/>
      <c r="AN103" s="173"/>
      <c r="AO103" s="173"/>
      <c r="AP103" s="168"/>
      <c r="AQ103" s="165"/>
      <c r="AR103" s="168"/>
      <c r="AS103" s="165"/>
      <c r="AT103" s="190"/>
      <c r="AU103" s="167"/>
      <c r="AV103" s="165"/>
      <c r="AW103" s="173"/>
      <c r="AX103" s="173"/>
      <c r="AY103" s="190"/>
      <c r="AZ103" s="167"/>
      <c r="BA103" s="165"/>
      <c r="BB103" s="165"/>
      <c r="BC103" s="168"/>
      <c r="BD103" s="165"/>
      <c r="BE103" s="165"/>
      <c r="BF103" s="173"/>
      <c r="BG103" s="304"/>
      <c r="BH103" s="601"/>
      <c r="BI103" s="165"/>
      <c r="BJ103" s="167"/>
      <c r="BK103" s="165"/>
      <c r="BL103" s="190"/>
      <c r="BM103" s="167"/>
      <c r="BN103" s="165"/>
      <c r="BO103" s="173"/>
      <c r="BP103" s="190"/>
      <c r="BQ103" s="173"/>
      <c r="BR103" s="168"/>
      <c r="BS103" s="165"/>
      <c r="BT103" s="167"/>
      <c r="BU103" s="165"/>
      <c r="BV103" s="190"/>
      <c r="BW103" s="173"/>
      <c r="BX103" s="173"/>
      <c r="BY103" s="167"/>
      <c r="BZ103" s="165"/>
      <c r="CA103" s="173"/>
      <c r="CB103" s="190"/>
      <c r="CC103" s="167"/>
      <c r="CD103" s="165"/>
      <c r="CE103" s="173"/>
      <c r="CF103" s="173"/>
      <c r="CG103" s="168"/>
      <c r="CH103" s="165"/>
      <c r="CI103" s="167"/>
    </row>
    <row r="104" spans="1:87" x14ac:dyDescent="0.3">
      <c r="A104" s="10">
        <v>1502</v>
      </c>
      <c r="B104" s="11" t="s">
        <v>236</v>
      </c>
      <c r="C104" s="471">
        <v>1488</v>
      </c>
      <c r="D104" s="54">
        <v>734</v>
      </c>
      <c r="E104" s="367">
        <f t="shared" si="1"/>
        <v>0.49327956989247312</v>
      </c>
      <c r="F104" s="45">
        <v>469</v>
      </c>
      <c r="G104" s="45">
        <v>142</v>
      </c>
      <c r="H104" s="45">
        <v>391</v>
      </c>
      <c r="I104" s="45">
        <v>430</v>
      </c>
      <c r="J104" s="46">
        <v>54</v>
      </c>
      <c r="K104" s="165"/>
      <c r="L104" s="304"/>
      <c r="M104" s="601"/>
      <c r="N104" s="165"/>
      <c r="O104" s="165"/>
      <c r="P104" s="190"/>
      <c r="Q104" s="166"/>
      <c r="R104" s="166"/>
      <c r="S104" s="169"/>
      <c r="T104" s="165"/>
      <c r="U104" s="165"/>
      <c r="V104" s="168"/>
      <c r="W104" s="169"/>
      <c r="X104" s="173"/>
      <c r="Y104" s="190"/>
      <c r="Z104" s="167"/>
      <c r="AA104" s="165"/>
      <c r="AB104" s="166"/>
      <c r="AC104" s="169"/>
      <c r="AD104" s="165"/>
      <c r="AE104" s="165"/>
      <c r="AF104" s="167"/>
      <c r="AG104" s="168"/>
      <c r="AH104" s="165"/>
      <c r="AI104" s="167"/>
      <c r="AJ104" s="165"/>
      <c r="AK104" s="173"/>
      <c r="AL104" s="167"/>
      <c r="AM104" s="165"/>
      <c r="AN104" s="173"/>
      <c r="AO104" s="173"/>
      <c r="AP104" s="168"/>
      <c r="AQ104" s="165"/>
      <c r="AR104" s="168"/>
      <c r="AS104" s="165"/>
      <c r="AT104" s="190"/>
      <c r="AU104" s="167"/>
      <c r="AV104" s="165"/>
      <c r="AW104" s="173"/>
      <c r="AX104" s="173"/>
      <c r="AY104" s="190"/>
      <c r="AZ104" s="167"/>
      <c r="BA104" s="165"/>
      <c r="BB104" s="165"/>
      <c r="BC104" s="168"/>
      <c r="BD104" s="165"/>
      <c r="BE104" s="165"/>
      <c r="BF104" s="173"/>
      <c r="BG104" s="304"/>
      <c r="BH104" s="601"/>
      <c r="BI104" s="165"/>
      <c r="BJ104" s="167"/>
      <c r="BK104" s="165"/>
      <c r="BL104" s="190"/>
      <c r="BM104" s="167"/>
      <c r="BN104" s="165"/>
      <c r="BO104" s="173"/>
      <c r="BP104" s="190"/>
      <c r="BQ104" s="173"/>
      <c r="BR104" s="168"/>
      <c r="BS104" s="165"/>
      <c r="BT104" s="167"/>
      <c r="BU104" s="165"/>
      <c r="BV104" s="190"/>
      <c r="BW104" s="173"/>
      <c r="BX104" s="173"/>
      <c r="BY104" s="167"/>
      <c r="BZ104" s="165"/>
      <c r="CA104" s="173"/>
      <c r="CB104" s="190"/>
      <c r="CC104" s="167"/>
      <c r="CD104" s="165"/>
      <c r="CE104" s="173"/>
      <c r="CF104" s="173"/>
      <c r="CG104" s="168"/>
      <c r="CH104" s="165"/>
      <c r="CI104" s="167"/>
    </row>
    <row r="105" spans="1:87" x14ac:dyDescent="0.3">
      <c r="A105" s="10">
        <v>1503</v>
      </c>
      <c r="B105" s="11" t="s">
        <v>237</v>
      </c>
      <c r="C105" s="471">
        <v>1018</v>
      </c>
      <c r="D105" s="54">
        <v>244</v>
      </c>
      <c r="E105" s="367">
        <f t="shared" si="1"/>
        <v>0.23968565815324164</v>
      </c>
      <c r="F105" s="45">
        <v>169</v>
      </c>
      <c r="G105" s="45">
        <v>49</v>
      </c>
      <c r="H105" s="45">
        <v>128</v>
      </c>
      <c r="I105" s="45">
        <v>177</v>
      </c>
      <c r="J105" s="46">
        <v>13</v>
      </c>
      <c r="K105" s="165"/>
      <c r="L105" s="304"/>
      <c r="M105" s="601"/>
      <c r="N105" s="165"/>
      <c r="O105" s="165"/>
      <c r="P105" s="190"/>
      <c r="Q105" s="166"/>
      <c r="R105" s="166"/>
      <c r="S105" s="169"/>
      <c r="T105" s="165"/>
      <c r="U105" s="165"/>
      <c r="V105" s="168"/>
      <c r="W105" s="169"/>
      <c r="X105" s="173"/>
      <c r="Y105" s="190"/>
      <c r="Z105" s="167"/>
      <c r="AA105" s="165"/>
      <c r="AB105" s="166"/>
      <c r="AC105" s="169"/>
      <c r="AD105" s="165"/>
      <c r="AE105" s="165"/>
      <c r="AF105" s="167"/>
      <c r="AG105" s="168"/>
      <c r="AH105" s="165"/>
      <c r="AI105" s="167"/>
      <c r="AJ105" s="165"/>
      <c r="AK105" s="173"/>
      <c r="AL105" s="167"/>
      <c r="AM105" s="165"/>
      <c r="AN105" s="173"/>
      <c r="AO105" s="173"/>
      <c r="AP105" s="168"/>
      <c r="AQ105" s="165"/>
      <c r="AR105" s="168"/>
      <c r="AS105" s="165"/>
      <c r="AT105" s="190"/>
      <c r="AU105" s="167"/>
      <c r="AV105" s="165"/>
      <c r="AW105" s="173"/>
      <c r="AX105" s="173"/>
      <c r="AY105" s="190"/>
      <c r="AZ105" s="167"/>
      <c r="BA105" s="165"/>
      <c r="BB105" s="165"/>
      <c r="BC105" s="168"/>
      <c r="BD105" s="165"/>
      <c r="BE105" s="165"/>
      <c r="BF105" s="173"/>
      <c r="BG105" s="304"/>
      <c r="BH105" s="601"/>
      <c r="BI105" s="165"/>
      <c r="BJ105" s="167"/>
      <c r="BK105" s="165"/>
      <c r="BL105" s="190"/>
      <c r="BM105" s="167"/>
      <c r="BN105" s="165"/>
      <c r="BO105" s="173"/>
      <c r="BP105" s="190"/>
      <c r="BQ105" s="173"/>
      <c r="BR105" s="168"/>
      <c r="BS105" s="165"/>
      <c r="BT105" s="167"/>
      <c r="BU105" s="165"/>
      <c r="BV105" s="190"/>
      <c r="BW105" s="173"/>
      <c r="BX105" s="173"/>
      <c r="BY105" s="167"/>
      <c r="BZ105" s="165"/>
      <c r="CA105" s="173"/>
      <c r="CB105" s="190"/>
      <c r="CC105" s="167"/>
      <c r="CD105" s="165"/>
      <c r="CE105" s="173"/>
      <c r="CF105" s="173"/>
      <c r="CG105" s="168"/>
      <c r="CH105" s="165"/>
      <c r="CI105" s="167"/>
    </row>
    <row r="106" spans="1:87" x14ac:dyDescent="0.3">
      <c r="A106" s="10">
        <v>1504</v>
      </c>
      <c r="B106" s="11" t="s">
        <v>238</v>
      </c>
      <c r="C106" s="471">
        <v>821</v>
      </c>
      <c r="D106" s="54">
        <v>321</v>
      </c>
      <c r="E106" s="367">
        <f t="shared" si="1"/>
        <v>0.39098660170523752</v>
      </c>
      <c r="F106" s="45">
        <v>188</v>
      </c>
      <c r="G106" s="45">
        <v>109</v>
      </c>
      <c r="H106" s="45">
        <v>122</v>
      </c>
      <c r="I106" s="45">
        <v>211</v>
      </c>
      <c r="J106" s="46">
        <v>15</v>
      </c>
      <c r="K106" s="165"/>
      <c r="L106" s="304"/>
      <c r="M106" s="601"/>
      <c r="N106" s="165"/>
      <c r="O106" s="165"/>
      <c r="P106" s="190"/>
      <c r="Q106" s="166"/>
      <c r="R106" s="166"/>
      <c r="S106" s="169"/>
      <c r="T106" s="165"/>
      <c r="U106" s="165"/>
      <c r="V106" s="168"/>
      <c r="W106" s="169"/>
      <c r="X106" s="173"/>
      <c r="Y106" s="190"/>
      <c r="Z106" s="167"/>
      <c r="AA106" s="165"/>
      <c r="AB106" s="166"/>
      <c r="AC106" s="169"/>
      <c r="AD106" s="165"/>
      <c r="AE106" s="165"/>
      <c r="AF106" s="167"/>
      <c r="AG106" s="168"/>
      <c r="AH106" s="165"/>
      <c r="AI106" s="167"/>
      <c r="AJ106" s="165"/>
      <c r="AK106" s="173"/>
      <c r="AL106" s="167"/>
      <c r="AM106" s="165"/>
      <c r="AN106" s="173"/>
      <c r="AO106" s="173"/>
      <c r="AP106" s="168"/>
      <c r="AQ106" s="165"/>
      <c r="AR106" s="168"/>
      <c r="AS106" s="165"/>
      <c r="AT106" s="190"/>
      <c r="AU106" s="167"/>
      <c r="AV106" s="165"/>
      <c r="AW106" s="173"/>
      <c r="AX106" s="173"/>
      <c r="AY106" s="190"/>
      <c r="AZ106" s="167"/>
      <c r="BA106" s="165"/>
      <c r="BB106" s="165"/>
      <c r="BC106" s="168"/>
      <c r="BD106" s="165"/>
      <c r="BE106" s="165"/>
      <c r="BF106" s="173"/>
      <c r="BG106" s="304"/>
      <c r="BH106" s="601"/>
      <c r="BI106" s="165"/>
      <c r="BJ106" s="167"/>
      <c r="BK106" s="165"/>
      <c r="BL106" s="190"/>
      <c r="BM106" s="167"/>
      <c r="BN106" s="165"/>
      <c r="BO106" s="173"/>
      <c r="BP106" s="190"/>
      <c r="BQ106" s="173"/>
      <c r="BR106" s="168"/>
      <c r="BS106" s="165"/>
      <c r="BT106" s="167"/>
      <c r="BU106" s="165"/>
      <c r="BV106" s="190"/>
      <c r="BW106" s="173"/>
      <c r="BX106" s="173"/>
      <c r="BY106" s="167"/>
      <c r="BZ106" s="165"/>
      <c r="CA106" s="173"/>
      <c r="CB106" s="190"/>
      <c r="CC106" s="167"/>
      <c r="CD106" s="165"/>
      <c r="CE106" s="173"/>
      <c r="CF106" s="173"/>
      <c r="CG106" s="168"/>
      <c r="CH106" s="165"/>
      <c r="CI106" s="167"/>
    </row>
    <row r="107" spans="1:87" x14ac:dyDescent="0.3">
      <c r="A107" s="10">
        <v>1505</v>
      </c>
      <c r="B107" s="11" t="s">
        <v>239</v>
      </c>
      <c r="C107" s="471">
        <v>1429</v>
      </c>
      <c r="D107" s="54">
        <v>731</v>
      </c>
      <c r="E107" s="367">
        <f t="shared" si="1"/>
        <v>0.5115465360391882</v>
      </c>
      <c r="F107" s="45">
        <v>456</v>
      </c>
      <c r="G107" s="45">
        <v>133</v>
      </c>
      <c r="H107" s="45">
        <v>384</v>
      </c>
      <c r="I107" s="45">
        <v>430</v>
      </c>
      <c r="J107" s="46">
        <v>40</v>
      </c>
      <c r="K107" s="165"/>
      <c r="L107" s="304"/>
      <c r="M107" s="601"/>
      <c r="N107" s="165"/>
      <c r="O107" s="165"/>
      <c r="P107" s="190"/>
      <c r="Q107" s="166"/>
      <c r="R107" s="166"/>
      <c r="S107" s="169"/>
      <c r="T107" s="165"/>
      <c r="U107" s="165"/>
      <c r="V107" s="168"/>
      <c r="W107" s="169"/>
      <c r="X107" s="173"/>
      <c r="Y107" s="190"/>
      <c r="Z107" s="167"/>
      <c r="AA107" s="165"/>
      <c r="AB107" s="166"/>
      <c r="AC107" s="169"/>
      <c r="AD107" s="165"/>
      <c r="AE107" s="165"/>
      <c r="AF107" s="167"/>
      <c r="AG107" s="168"/>
      <c r="AH107" s="165"/>
      <c r="AI107" s="167"/>
      <c r="AJ107" s="165"/>
      <c r="AK107" s="173"/>
      <c r="AL107" s="167"/>
      <c r="AM107" s="165"/>
      <c r="AN107" s="173"/>
      <c r="AO107" s="173"/>
      <c r="AP107" s="168"/>
      <c r="AQ107" s="165"/>
      <c r="AR107" s="168"/>
      <c r="AS107" s="165"/>
      <c r="AT107" s="190"/>
      <c r="AU107" s="167"/>
      <c r="AV107" s="165"/>
      <c r="AW107" s="173"/>
      <c r="AX107" s="173"/>
      <c r="AY107" s="190"/>
      <c r="AZ107" s="167"/>
      <c r="BA107" s="165"/>
      <c r="BB107" s="165"/>
      <c r="BC107" s="168"/>
      <c r="BD107" s="165"/>
      <c r="BE107" s="165"/>
      <c r="BF107" s="173"/>
      <c r="BG107" s="304"/>
      <c r="BH107" s="601"/>
      <c r="BI107" s="165"/>
      <c r="BJ107" s="167"/>
      <c r="BK107" s="165"/>
      <c r="BL107" s="190"/>
      <c r="BM107" s="167"/>
      <c r="BN107" s="165"/>
      <c r="BO107" s="173"/>
      <c r="BP107" s="190"/>
      <c r="BQ107" s="173"/>
      <c r="BR107" s="168"/>
      <c r="BS107" s="165"/>
      <c r="BT107" s="167"/>
      <c r="BU107" s="165"/>
      <c r="BV107" s="190"/>
      <c r="BW107" s="173"/>
      <c r="BX107" s="173"/>
      <c r="BY107" s="167"/>
      <c r="BZ107" s="165"/>
      <c r="CA107" s="173"/>
      <c r="CB107" s="190"/>
      <c r="CC107" s="167"/>
      <c r="CD107" s="165"/>
      <c r="CE107" s="173"/>
      <c r="CF107" s="173"/>
      <c r="CG107" s="168"/>
      <c r="CH107" s="165"/>
      <c r="CI107" s="167"/>
    </row>
    <row r="108" spans="1:87" x14ac:dyDescent="0.3">
      <c r="A108" s="10">
        <v>1506</v>
      </c>
      <c r="B108" s="11" t="s">
        <v>240</v>
      </c>
      <c r="C108" s="471">
        <v>1165</v>
      </c>
      <c r="D108" s="54">
        <v>519</v>
      </c>
      <c r="E108" s="367">
        <f t="shared" si="1"/>
        <v>0.44549356223175968</v>
      </c>
      <c r="F108" s="45">
        <v>352</v>
      </c>
      <c r="G108" s="45">
        <v>118</v>
      </c>
      <c r="H108" s="45">
        <v>292</v>
      </c>
      <c r="I108" s="45">
        <v>351</v>
      </c>
      <c r="J108" s="46">
        <v>35</v>
      </c>
      <c r="K108" s="165"/>
      <c r="L108" s="304"/>
      <c r="M108" s="601"/>
      <c r="N108" s="165"/>
      <c r="O108" s="165"/>
      <c r="P108" s="190"/>
      <c r="Q108" s="166"/>
      <c r="R108" s="166"/>
      <c r="S108" s="169"/>
      <c r="T108" s="165"/>
      <c r="U108" s="165"/>
      <c r="V108" s="168"/>
      <c r="W108" s="169"/>
      <c r="X108" s="173"/>
      <c r="Y108" s="190"/>
      <c r="Z108" s="167"/>
      <c r="AA108" s="165"/>
      <c r="AB108" s="166"/>
      <c r="AC108" s="169"/>
      <c r="AD108" s="165"/>
      <c r="AE108" s="165"/>
      <c r="AF108" s="167"/>
      <c r="AG108" s="168"/>
      <c r="AH108" s="165"/>
      <c r="AI108" s="167"/>
      <c r="AJ108" s="165"/>
      <c r="AK108" s="173"/>
      <c r="AL108" s="167"/>
      <c r="AM108" s="165"/>
      <c r="AN108" s="173"/>
      <c r="AO108" s="173"/>
      <c r="AP108" s="168"/>
      <c r="AQ108" s="165"/>
      <c r="AR108" s="168"/>
      <c r="AS108" s="165"/>
      <c r="AT108" s="190"/>
      <c r="AU108" s="167"/>
      <c r="AV108" s="165"/>
      <c r="AW108" s="173"/>
      <c r="AX108" s="173"/>
      <c r="AY108" s="190"/>
      <c r="AZ108" s="167"/>
      <c r="BA108" s="165"/>
      <c r="BB108" s="165"/>
      <c r="BC108" s="168"/>
      <c r="BD108" s="165"/>
      <c r="BE108" s="165"/>
      <c r="BF108" s="173"/>
      <c r="BG108" s="304"/>
      <c r="BH108" s="601"/>
      <c r="BI108" s="165"/>
      <c r="BJ108" s="167"/>
      <c r="BK108" s="165"/>
      <c r="BL108" s="190"/>
      <c r="BM108" s="167"/>
      <c r="BN108" s="165"/>
      <c r="BO108" s="173"/>
      <c r="BP108" s="190"/>
      <c r="BQ108" s="173"/>
      <c r="BR108" s="168"/>
      <c r="BS108" s="165"/>
      <c r="BT108" s="167"/>
      <c r="BU108" s="165"/>
      <c r="BV108" s="190"/>
      <c r="BW108" s="173"/>
      <c r="BX108" s="173"/>
      <c r="BY108" s="167"/>
      <c r="BZ108" s="165"/>
      <c r="CA108" s="173"/>
      <c r="CB108" s="190"/>
      <c r="CC108" s="167"/>
      <c r="CD108" s="165"/>
      <c r="CE108" s="173"/>
      <c r="CF108" s="173"/>
      <c r="CG108" s="168"/>
      <c r="CH108" s="165"/>
      <c r="CI108" s="167"/>
    </row>
    <row r="109" spans="1:87" x14ac:dyDescent="0.3">
      <c r="A109" s="10">
        <v>1507</v>
      </c>
      <c r="B109" s="11" t="s">
        <v>241</v>
      </c>
      <c r="C109" s="471">
        <v>705</v>
      </c>
      <c r="D109" s="54">
        <v>340</v>
      </c>
      <c r="E109" s="367">
        <f t="shared" si="1"/>
        <v>0.48226950354609927</v>
      </c>
      <c r="F109" s="45">
        <v>217</v>
      </c>
      <c r="G109" s="45">
        <v>65</v>
      </c>
      <c r="H109" s="45">
        <v>189</v>
      </c>
      <c r="I109" s="45">
        <v>207</v>
      </c>
      <c r="J109" s="46">
        <v>21</v>
      </c>
      <c r="K109" s="165"/>
      <c r="L109" s="304"/>
      <c r="M109" s="601"/>
      <c r="N109" s="165"/>
      <c r="O109" s="165"/>
      <c r="P109" s="190"/>
      <c r="Q109" s="166"/>
      <c r="R109" s="166"/>
      <c r="S109" s="169"/>
      <c r="T109" s="165"/>
      <c r="U109" s="165"/>
      <c r="V109" s="168"/>
      <c r="W109" s="169"/>
      <c r="X109" s="173"/>
      <c r="Y109" s="190"/>
      <c r="Z109" s="167"/>
      <c r="AA109" s="165"/>
      <c r="AB109" s="166"/>
      <c r="AC109" s="169"/>
      <c r="AD109" s="165"/>
      <c r="AE109" s="165"/>
      <c r="AF109" s="167"/>
      <c r="AG109" s="168"/>
      <c r="AH109" s="165"/>
      <c r="AI109" s="167"/>
      <c r="AJ109" s="165"/>
      <c r="AK109" s="173"/>
      <c r="AL109" s="167"/>
      <c r="AM109" s="165"/>
      <c r="AN109" s="173"/>
      <c r="AO109" s="173"/>
      <c r="AP109" s="168"/>
      <c r="AQ109" s="165"/>
      <c r="AR109" s="168"/>
      <c r="AS109" s="165"/>
      <c r="AT109" s="190"/>
      <c r="AU109" s="167"/>
      <c r="AV109" s="165"/>
      <c r="AW109" s="173"/>
      <c r="AX109" s="173"/>
      <c r="AY109" s="190"/>
      <c r="AZ109" s="167"/>
      <c r="BA109" s="165"/>
      <c r="BB109" s="165"/>
      <c r="BC109" s="168"/>
      <c r="BD109" s="165"/>
      <c r="BE109" s="165"/>
      <c r="BF109" s="173"/>
      <c r="BG109" s="304"/>
      <c r="BH109" s="601"/>
      <c r="BI109" s="165"/>
      <c r="BJ109" s="167"/>
      <c r="BK109" s="165"/>
      <c r="BL109" s="190"/>
      <c r="BM109" s="167"/>
      <c r="BN109" s="165"/>
      <c r="BO109" s="173"/>
      <c r="BP109" s="190"/>
      <c r="BQ109" s="173"/>
      <c r="BR109" s="168"/>
      <c r="BS109" s="165"/>
      <c r="BT109" s="167"/>
      <c r="BU109" s="165"/>
      <c r="BV109" s="190"/>
      <c r="BW109" s="173"/>
      <c r="BX109" s="173"/>
      <c r="BY109" s="167"/>
      <c r="BZ109" s="165"/>
      <c r="CA109" s="173"/>
      <c r="CB109" s="190"/>
      <c r="CC109" s="167"/>
      <c r="CD109" s="165"/>
      <c r="CE109" s="173"/>
      <c r="CF109" s="173"/>
      <c r="CG109" s="168"/>
      <c r="CH109" s="165"/>
      <c r="CI109" s="167"/>
    </row>
    <row r="110" spans="1:87" x14ac:dyDescent="0.3">
      <c r="A110" s="10">
        <v>1508</v>
      </c>
      <c r="B110" s="11" t="s">
        <v>242</v>
      </c>
      <c r="C110" s="471">
        <v>1183</v>
      </c>
      <c r="D110" s="54">
        <v>799</v>
      </c>
      <c r="E110" s="367">
        <f t="shared" si="1"/>
        <v>0.6754015215553677</v>
      </c>
      <c r="F110" s="45">
        <v>506</v>
      </c>
      <c r="G110" s="45">
        <v>143</v>
      </c>
      <c r="H110" s="45">
        <v>484</v>
      </c>
      <c r="I110" s="45">
        <v>451</v>
      </c>
      <c r="J110" s="46">
        <v>79</v>
      </c>
      <c r="K110" s="165"/>
      <c r="L110" s="304"/>
      <c r="M110" s="601"/>
      <c r="N110" s="165"/>
      <c r="O110" s="165"/>
      <c r="P110" s="190"/>
      <c r="Q110" s="166"/>
      <c r="R110" s="166"/>
      <c r="S110" s="169"/>
      <c r="T110" s="165"/>
      <c r="U110" s="165"/>
      <c r="V110" s="168"/>
      <c r="W110" s="169"/>
      <c r="X110" s="173"/>
      <c r="Y110" s="190"/>
      <c r="Z110" s="167"/>
      <c r="AA110" s="165"/>
      <c r="AB110" s="166"/>
      <c r="AC110" s="169"/>
      <c r="AD110" s="165"/>
      <c r="AE110" s="165"/>
      <c r="AF110" s="167"/>
      <c r="AG110" s="168"/>
      <c r="AH110" s="165"/>
      <c r="AI110" s="167"/>
      <c r="AJ110" s="165"/>
      <c r="AK110" s="173"/>
      <c r="AL110" s="167"/>
      <c r="AM110" s="165"/>
      <c r="AN110" s="173"/>
      <c r="AO110" s="173"/>
      <c r="AP110" s="168"/>
      <c r="AQ110" s="165"/>
      <c r="AR110" s="168"/>
      <c r="AS110" s="165"/>
      <c r="AT110" s="190"/>
      <c r="AU110" s="167"/>
      <c r="AV110" s="165"/>
      <c r="AW110" s="173"/>
      <c r="AX110" s="173"/>
      <c r="AY110" s="190"/>
      <c r="AZ110" s="167"/>
      <c r="BA110" s="165"/>
      <c r="BB110" s="165"/>
      <c r="BC110" s="168"/>
      <c r="BD110" s="165"/>
      <c r="BE110" s="165"/>
      <c r="BF110" s="173"/>
      <c r="BG110" s="304"/>
      <c r="BH110" s="601"/>
      <c r="BI110" s="165"/>
      <c r="BJ110" s="167"/>
      <c r="BK110" s="165"/>
      <c r="BL110" s="190"/>
      <c r="BM110" s="167"/>
      <c r="BN110" s="165"/>
      <c r="BO110" s="173"/>
      <c r="BP110" s="190"/>
      <c r="BQ110" s="173"/>
      <c r="BR110" s="168"/>
      <c r="BS110" s="165"/>
      <c r="BT110" s="167"/>
      <c r="BU110" s="165"/>
      <c r="BV110" s="190"/>
      <c r="BW110" s="173"/>
      <c r="BX110" s="173"/>
      <c r="BY110" s="167"/>
      <c r="BZ110" s="165"/>
      <c r="CA110" s="173"/>
      <c r="CB110" s="190"/>
      <c r="CC110" s="167"/>
      <c r="CD110" s="165"/>
      <c r="CE110" s="173"/>
      <c r="CF110" s="173"/>
      <c r="CG110" s="168"/>
      <c r="CH110" s="165"/>
      <c r="CI110" s="167"/>
    </row>
    <row r="111" spans="1:87" x14ac:dyDescent="0.3">
      <c r="A111" s="10">
        <v>1509</v>
      </c>
      <c r="B111" s="11" t="s">
        <v>243</v>
      </c>
      <c r="C111" s="471">
        <v>1050</v>
      </c>
      <c r="D111" s="54">
        <v>470</v>
      </c>
      <c r="E111" s="367">
        <f t="shared" si="1"/>
        <v>0.44761904761904764</v>
      </c>
      <c r="F111" s="45">
        <v>313</v>
      </c>
      <c r="G111" s="45">
        <v>86</v>
      </c>
      <c r="H111" s="45">
        <v>266</v>
      </c>
      <c r="I111" s="45">
        <v>282</v>
      </c>
      <c r="J111" s="46">
        <v>32</v>
      </c>
      <c r="K111" s="165"/>
      <c r="L111" s="304"/>
      <c r="M111" s="601"/>
      <c r="N111" s="165"/>
      <c r="O111" s="165"/>
      <c r="P111" s="190"/>
      <c r="Q111" s="166"/>
      <c r="R111" s="166"/>
      <c r="S111" s="169"/>
      <c r="T111" s="165"/>
      <c r="U111" s="165"/>
      <c r="V111" s="168"/>
      <c r="W111" s="169"/>
      <c r="X111" s="173"/>
      <c r="Y111" s="190"/>
      <c r="Z111" s="167"/>
      <c r="AA111" s="165"/>
      <c r="AB111" s="166"/>
      <c r="AC111" s="169"/>
      <c r="AD111" s="165"/>
      <c r="AE111" s="165"/>
      <c r="AF111" s="167"/>
      <c r="AG111" s="168"/>
      <c r="AH111" s="165"/>
      <c r="AI111" s="167"/>
      <c r="AJ111" s="165"/>
      <c r="AK111" s="173"/>
      <c r="AL111" s="167"/>
      <c r="AM111" s="165"/>
      <c r="AN111" s="173"/>
      <c r="AO111" s="173"/>
      <c r="AP111" s="168"/>
      <c r="AQ111" s="165"/>
      <c r="AR111" s="168"/>
      <c r="AS111" s="165"/>
      <c r="AT111" s="190"/>
      <c r="AU111" s="167"/>
      <c r="AV111" s="165"/>
      <c r="AW111" s="173"/>
      <c r="AX111" s="173"/>
      <c r="AY111" s="190"/>
      <c r="AZ111" s="167"/>
      <c r="BA111" s="165"/>
      <c r="BB111" s="165"/>
      <c r="BC111" s="168"/>
      <c r="BD111" s="165"/>
      <c r="BE111" s="165"/>
      <c r="BF111" s="173"/>
      <c r="BG111" s="304"/>
      <c r="BH111" s="601"/>
      <c r="BI111" s="165"/>
      <c r="BJ111" s="167"/>
      <c r="BK111" s="165"/>
      <c r="BL111" s="190"/>
      <c r="BM111" s="167"/>
      <c r="BN111" s="165"/>
      <c r="BO111" s="173"/>
      <c r="BP111" s="190"/>
      <c r="BQ111" s="173"/>
      <c r="BR111" s="168"/>
      <c r="BS111" s="165"/>
      <c r="BT111" s="167"/>
      <c r="BU111" s="165"/>
      <c r="BV111" s="190"/>
      <c r="BW111" s="173"/>
      <c r="BX111" s="173"/>
      <c r="BY111" s="167"/>
      <c r="BZ111" s="165"/>
      <c r="CA111" s="173"/>
      <c r="CB111" s="190"/>
      <c r="CC111" s="167"/>
      <c r="CD111" s="165"/>
      <c r="CE111" s="173"/>
      <c r="CF111" s="173"/>
      <c r="CG111" s="168"/>
      <c r="CH111" s="165"/>
      <c r="CI111" s="167"/>
    </row>
    <row r="112" spans="1:87" x14ac:dyDescent="0.3">
      <c r="A112" s="10">
        <v>1510</v>
      </c>
      <c r="B112" s="11" t="s">
        <v>244</v>
      </c>
      <c r="C112" s="471">
        <v>808</v>
      </c>
      <c r="D112" s="54">
        <v>210</v>
      </c>
      <c r="E112" s="367">
        <f t="shared" si="1"/>
        <v>0.25990099009900991</v>
      </c>
      <c r="F112" s="45">
        <v>130</v>
      </c>
      <c r="G112" s="45">
        <v>38</v>
      </c>
      <c r="H112" s="45">
        <v>98</v>
      </c>
      <c r="I112" s="45">
        <v>153</v>
      </c>
      <c r="J112" s="46">
        <v>16</v>
      </c>
      <c r="K112" s="165"/>
      <c r="L112" s="304"/>
      <c r="M112" s="601"/>
      <c r="N112" s="165"/>
      <c r="O112" s="165"/>
      <c r="P112" s="190"/>
      <c r="Q112" s="166"/>
      <c r="R112" s="166"/>
      <c r="S112" s="169"/>
      <c r="T112" s="165"/>
      <c r="U112" s="165"/>
      <c r="V112" s="168"/>
      <c r="W112" s="169"/>
      <c r="X112" s="173"/>
      <c r="Y112" s="190"/>
      <c r="Z112" s="167"/>
      <c r="AA112" s="165"/>
      <c r="AB112" s="166"/>
      <c r="AC112" s="169"/>
      <c r="AD112" s="165"/>
      <c r="AE112" s="165"/>
      <c r="AF112" s="167"/>
      <c r="AG112" s="168"/>
      <c r="AH112" s="165"/>
      <c r="AI112" s="167"/>
      <c r="AJ112" s="165"/>
      <c r="AK112" s="173"/>
      <c r="AL112" s="167"/>
      <c r="AM112" s="165"/>
      <c r="AN112" s="173"/>
      <c r="AO112" s="173"/>
      <c r="AP112" s="168"/>
      <c r="AQ112" s="165"/>
      <c r="AR112" s="168"/>
      <c r="AS112" s="165"/>
      <c r="AT112" s="190"/>
      <c r="AU112" s="167"/>
      <c r="AV112" s="165"/>
      <c r="AW112" s="173"/>
      <c r="AX112" s="173"/>
      <c r="AY112" s="190"/>
      <c r="AZ112" s="167"/>
      <c r="BA112" s="165"/>
      <c r="BB112" s="165"/>
      <c r="BC112" s="168"/>
      <c r="BD112" s="165"/>
      <c r="BE112" s="165"/>
      <c r="BF112" s="173"/>
      <c r="BG112" s="304"/>
      <c r="BH112" s="601"/>
      <c r="BI112" s="165"/>
      <c r="BJ112" s="167"/>
      <c r="BK112" s="165"/>
      <c r="BL112" s="190"/>
      <c r="BM112" s="167"/>
      <c r="BN112" s="165"/>
      <c r="BO112" s="173"/>
      <c r="BP112" s="190"/>
      <c r="BQ112" s="173"/>
      <c r="BR112" s="168"/>
      <c r="BS112" s="165"/>
      <c r="BT112" s="167"/>
      <c r="BU112" s="165"/>
      <c r="BV112" s="190"/>
      <c r="BW112" s="173"/>
      <c r="BX112" s="173"/>
      <c r="BY112" s="167"/>
      <c r="BZ112" s="165"/>
      <c r="CA112" s="173"/>
      <c r="CB112" s="190"/>
      <c r="CC112" s="167"/>
      <c r="CD112" s="165"/>
      <c r="CE112" s="173"/>
      <c r="CF112" s="173"/>
      <c r="CG112" s="168"/>
      <c r="CH112" s="165"/>
      <c r="CI112" s="167"/>
    </row>
    <row r="113" spans="1:87" x14ac:dyDescent="0.3">
      <c r="A113" s="10">
        <v>1601</v>
      </c>
      <c r="B113" s="11" t="s">
        <v>245</v>
      </c>
      <c r="C113" s="471">
        <v>1451</v>
      </c>
      <c r="D113" s="54">
        <v>280</v>
      </c>
      <c r="E113" s="367">
        <f t="shared" si="1"/>
        <v>0.19297036526533426</v>
      </c>
      <c r="F113" s="45">
        <v>149</v>
      </c>
      <c r="G113" s="45">
        <v>39</v>
      </c>
      <c r="H113" s="45">
        <v>118</v>
      </c>
      <c r="I113" s="45">
        <v>138</v>
      </c>
      <c r="J113" s="46">
        <v>32</v>
      </c>
      <c r="K113" s="165"/>
      <c r="L113" s="304"/>
      <c r="M113" s="601"/>
      <c r="N113" s="165"/>
      <c r="O113" s="165"/>
      <c r="P113" s="190"/>
      <c r="Q113" s="166"/>
      <c r="R113" s="166"/>
      <c r="S113" s="169"/>
      <c r="T113" s="165"/>
      <c r="U113" s="165"/>
      <c r="V113" s="168"/>
      <c r="W113" s="169"/>
      <c r="X113" s="173"/>
      <c r="Y113" s="190"/>
      <c r="Z113" s="167"/>
      <c r="AA113" s="165"/>
      <c r="AB113" s="166"/>
      <c r="AC113" s="169"/>
      <c r="AD113" s="165"/>
      <c r="AE113" s="165"/>
      <c r="AF113" s="167"/>
      <c r="AG113" s="168"/>
      <c r="AH113" s="165"/>
      <c r="AI113" s="167"/>
      <c r="AJ113" s="165"/>
      <c r="AK113" s="173"/>
      <c r="AL113" s="167"/>
      <c r="AM113" s="165"/>
      <c r="AN113" s="173"/>
      <c r="AO113" s="173"/>
      <c r="AP113" s="168"/>
      <c r="AQ113" s="165"/>
      <c r="AR113" s="168"/>
      <c r="AS113" s="165"/>
      <c r="AT113" s="190"/>
      <c r="AU113" s="167"/>
      <c r="AV113" s="165"/>
      <c r="AW113" s="173"/>
      <c r="AX113" s="173"/>
      <c r="AY113" s="190"/>
      <c r="AZ113" s="167"/>
      <c r="BA113" s="165"/>
      <c r="BB113" s="165"/>
      <c r="BC113" s="168"/>
      <c r="BD113" s="165"/>
      <c r="BE113" s="165"/>
      <c r="BF113" s="173"/>
      <c r="BG113" s="304"/>
      <c r="BH113" s="601"/>
      <c r="BI113" s="165"/>
      <c r="BJ113" s="167"/>
      <c r="BK113" s="165"/>
      <c r="BL113" s="190"/>
      <c r="BM113" s="167"/>
      <c r="BN113" s="165"/>
      <c r="BO113" s="173"/>
      <c r="BP113" s="190"/>
      <c r="BQ113" s="173"/>
      <c r="BR113" s="168"/>
      <c r="BS113" s="165"/>
      <c r="BT113" s="167"/>
      <c r="BU113" s="165"/>
      <c r="BV113" s="190"/>
      <c r="BW113" s="173"/>
      <c r="BX113" s="173"/>
      <c r="BY113" s="167"/>
      <c r="BZ113" s="165"/>
      <c r="CA113" s="173"/>
      <c r="CB113" s="190"/>
      <c r="CC113" s="167"/>
      <c r="CD113" s="165"/>
      <c r="CE113" s="173"/>
      <c r="CF113" s="173"/>
      <c r="CG113" s="168"/>
      <c r="CH113" s="165"/>
      <c r="CI113" s="167"/>
    </row>
    <row r="114" spans="1:87" x14ac:dyDescent="0.3">
      <c r="A114" s="10">
        <v>1701</v>
      </c>
      <c r="B114" s="11" t="s">
        <v>246</v>
      </c>
      <c r="C114" s="471">
        <v>1596</v>
      </c>
      <c r="D114" s="54">
        <v>385</v>
      </c>
      <c r="E114" s="367">
        <f t="shared" si="1"/>
        <v>0.2412280701754386</v>
      </c>
      <c r="F114" s="45">
        <v>235</v>
      </c>
      <c r="G114" s="45">
        <v>82</v>
      </c>
      <c r="H114" s="45">
        <v>142</v>
      </c>
      <c r="I114" s="45">
        <v>254</v>
      </c>
      <c r="J114" s="46">
        <v>18</v>
      </c>
      <c r="K114" s="165"/>
      <c r="L114" s="304"/>
      <c r="M114" s="601"/>
      <c r="N114" s="165"/>
      <c r="O114" s="165"/>
      <c r="P114" s="190"/>
      <c r="Q114" s="166"/>
      <c r="R114" s="166"/>
      <c r="S114" s="169"/>
      <c r="T114" s="165"/>
      <c r="U114" s="165"/>
      <c r="V114" s="168"/>
      <c r="W114" s="169"/>
      <c r="X114" s="173"/>
      <c r="Y114" s="190"/>
      <c r="Z114" s="167"/>
      <c r="AA114" s="165"/>
      <c r="AB114" s="166"/>
      <c r="AC114" s="169"/>
      <c r="AD114" s="165"/>
      <c r="AE114" s="165"/>
      <c r="AF114" s="167"/>
      <c r="AG114" s="168"/>
      <c r="AH114" s="165"/>
      <c r="AI114" s="167"/>
      <c r="AJ114" s="165"/>
      <c r="AK114" s="173"/>
      <c r="AL114" s="167"/>
      <c r="AM114" s="165"/>
      <c r="AN114" s="173"/>
      <c r="AO114" s="173"/>
      <c r="AP114" s="168"/>
      <c r="AQ114" s="165"/>
      <c r="AR114" s="168"/>
      <c r="AS114" s="165"/>
      <c r="AT114" s="190"/>
      <c r="AU114" s="167"/>
      <c r="AV114" s="165"/>
      <c r="AW114" s="173"/>
      <c r="AX114" s="173"/>
      <c r="AY114" s="190"/>
      <c r="AZ114" s="167"/>
      <c r="BA114" s="165"/>
      <c r="BB114" s="165"/>
      <c r="BC114" s="168"/>
      <c r="BD114" s="165"/>
      <c r="BE114" s="165"/>
      <c r="BF114" s="173"/>
      <c r="BG114" s="304"/>
      <c r="BH114" s="601"/>
      <c r="BI114" s="165"/>
      <c r="BJ114" s="167"/>
      <c r="BK114" s="165"/>
      <c r="BL114" s="190"/>
      <c r="BM114" s="167"/>
      <c r="BN114" s="165"/>
      <c r="BO114" s="173"/>
      <c r="BP114" s="190"/>
      <c r="BQ114" s="173"/>
      <c r="BR114" s="168"/>
      <c r="BS114" s="165"/>
      <c r="BT114" s="167"/>
      <c r="BU114" s="165"/>
      <c r="BV114" s="190"/>
      <c r="BW114" s="173"/>
      <c r="BX114" s="173"/>
      <c r="BY114" s="167"/>
      <c r="BZ114" s="165"/>
      <c r="CA114" s="173"/>
      <c r="CB114" s="190"/>
      <c r="CC114" s="167"/>
      <c r="CD114" s="165"/>
      <c r="CE114" s="173"/>
      <c r="CF114" s="173"/>
      <c r="CG114" s="168"/>
      <c r="CH114" s="165"/>
      <c r="CI114" s="167"/>
    </row>
    <row r="115" spans="1:87" x14ac:dyDescent="0.3">
      <c r="A115" s="10">
        <v>1702</v>
      </c>
      <c r="B115" s="11" t="s">
        <v>247</v>
      </c>
      <c r="C115" s="471">
        <v>1674</v>
      </c>
      <c r="D115" s="54">
        <v>494</v>
      </c>
      <c r="E115" s="367">
        <f t="shared" si="1"/>
        <v>0.29510155316606929</v>
      </c>
      <c r="F115" s="45">
        <v>259</v>
      </c>
      <c r="G115" s="45">
        <v>83</v>
      </c>
      <c r="H115" s="45">
        <v>226</v>
      </c>
      <c r="I115" s="45">
        <v>268</v>
      </c>
      <c r="J115" s="46">
        <v>32</v>
      </c>
      <c r="K115" s="165"/>
      <c r="L115" s="304"/>
      <c r="M115" s="601"/>
      <c r="N115" s="165"/>
      <c r="O115" s="165"/>
      <c r="P115" s="190"/>
      <c r="Q115" s="166"/>
      <c r="R115" s="166"/>
      <c r="S115" s="169"/>
      <c r="T115" s="165"/>
      <c r="U115" s="165"/>
      <c r="V115" s="168"/>
      <c r="W115" s="169"/>
      <c r="X115" s="173"/>
      <c r="Y115" s="190"/>
      <c r="Z115" s="167"/>
      <c r="AA115" s="165"/>
      <c r="AB115" s="166"/>
      <c r="AC115" s="169"/>
      <c r="AD115" s="165"/>
      <c r="AE115" s="165"/>
      <c r="AF115" s="167"/>
      <c r="AG115" s="168"/>
      <c r="AH115" s="165"/>
      <c r="AI115" s="167"/>
      <c r="AJ115" s="165"/>
      <c r="AK115" s="173"/>
      <c r="AL115" s="167"/>
      <c r="AM115" s="165"/>
      <c r="AN115" s="173"/>
      <c r="AO115" s="173"/>
      <c r="AP115" s="168"/>
      <c r="AQ115" s="165"/>
      <c r="AR115" s="168"/>
      <c r="AS115" s="165"/>
      <c r="AT115" s="190"/>
      <c r="AU115" s="167"/>
      <c r="AV115" s="165"/>
      <c r="AW115" s="173"/>
      <c r="AX115" s="173"/>
      <c r="AY115" s="190"/>
      <c r="AZ115" s="167"/>
      <c r="BA115" s="165"/>
      <c r="BB115" s="165"/>
      <c r="BC115" s="168"/>
      <c r="BD115" s="165"/>
      <c r="BE115" s="165"/>
      <c r="BF115" s="173"/>
      <c r="BG115" s="304"/>
      <c r="BH115" s="601"/>
      <c r="BI115" s="165"/>
      <c r="BJ115" s="167"/>
      <c r="BK115" s="165"/>
      <c r="BL115" s="190"/>
      <c r="BM115" s="167"/>
      <c r="BN115" s="165"/>
      <c r="BO115" s="173"/>
      <c r="BP115" s="190"/>
      <c r="BQ115" s="173"/>
      <c r="BR115" s="168"/>
      <c r="BS115" s="165"/>
      <c r="BT115" s="167"/>
      <c r="BU115" s="165"/>
      <c r="BV115" s="190"/>
      <c r="BW115" s="173"/>
      <c r="BX115" s="173"/>
      <c r="BY115" s="167"/>
      <c r="BZ115" s="165"/>
      <c r="CA115" s="173"/>
      <c r="CB115" s="190"/>
      <c r="CC115" s="167"/>
      <c r="CD115" s="165"/>
      <c r="CE115" s="173"/>
      <c r="CF115" s="173"/>
      <c r="CG115" s="168"/>
      <c r="CH115" s="165"/>
      <c r="CI115" s="167"/>
    </row>
    <row r="116" spans="1:87" x14ac:dyDescent="0.3">
      <c r="A116" s="10">
        <v>1703</v>
      </c>
      <c r="B116" s="11" t="s">
        <v>248</v>
      </c>
      <c r="C116" s="471">
        <v>1155</v>
      </c>
      <c r="D116" s="54">
        <v>337</v>
      </c>
      <c r="E116" s="367">
        <f t="shared" si="1"/>
        <v>0.2917748917748918</v>
      </c>
      <c r="F116" s="45">
        <v>192</v>
      </c>
      <c r="G116" s="45">
        <v>79</v>
      </c>
      <c r="H116" s="45">
        <v>149</v>
      </c>
      <c r="I116" s="45">
        <v>202</v>
      </c>
      <c r="J116" s="46">
        <v>20</v>
      </c>
      <c r="K116" s="165"/>
      <c r="L116" s="304"/>
      <c r="M116" s="601"/>
      <c r="N116" s="165"/>
      <c r="O116" s="165"/>
      <c r="P116" s="190"/>
      <c r="Q116" s="166"/>
      <c r="R116" s="166"/>
      <c r="S116" s="169"/>
      <c r="T116" s="165"/>
      <c r="U116" s="165"/>
      <c r="V116" s="168"/>
      <c r="W116" s="169"/>
      <c r="X116" s="173"/>
      <c r="Y116" s="190"/>
      <c r="Z116" s="167"/>
      <c r="AA116" s="165"/>
      <c r="AB116" s="166"/>
      <c r="AC116" s="169"/>
      <c r="AD116" s="165"/>
      <c r="AE116" s="165"/>
      <c r="AF116" s="167"/>
      <c r="AG116" s="168"/>
      <c r="AH116" s="165"/>
      <c r="AI116" s="167"/>
      <c r="AJ116" s="165"/>
      <c r="AK116" s="173"/>
      <c r="AL116" s="167"/>
      <c r="AM116" s="165"/>
      <c r="AN116" s="173"/>
      <c r="AO116" s="173"/>
      <c r="AP116" s="168"/>
      <c r="AQ116" s="165"/>
      <c r="AR116" s="168"/>
      <c r="AS116" s="165"/>
      <c r="AT116" s="190"/>
      <c r="AU116" s="167"/>
      <c r="AV116" s="165"/>
      <c r="AW116" s="173"/>
      <c r="AX116" s="173"/>
      <c r="AY116" s="190"/>
      <c r="AZ116" s="167"/>
      <c r="BA116" s="165"/>
      <c r="BB116" s="165"/>
      <c r="BC116" s="168"/>
      <c r="BD116" s="165"/>
      <c r="BE116" s="165"/>
      <c r="BF116" s="173"/>
      <c r="BG116" s="304"/>
      <c r="BH116" s="601"/>
      <c r="BI116" s="165"/>
      <c r="BJ116" s="167"/>
      <c r="BK116" s="165"/>
      <c r="BL116" s="190"/>
      <c r="BM116" s="167"/>
      <c r="BN116" s="165"/>
      <c r="BO116" s="173"/>
      <c r="BP116" s="190"/>
      <c r="BQ116" s="173"/>
      <c r="BR116" s="168"/>
      <c r="BS116" s="165"/>
      <c r="BT116" s="167"/>
      <c r="BU116" s="165"/>
      <c r="BV116" s="190"/>
      <c r="BW116" s="173"/>
      <c r="BX116" s="173"/>
      <c r="BY116" s="167"/>
      <c r="BZ116" s="165"/>
      <c r="CA116" s="173"/>
      <c r="CB116" s="190"/>
      <c r="CC116" s="167"/>
      <c r="CD116" s="165"/>
      <c r="CE116" s="173"/>
      <c r="CF116" s="173"/>
      <c r="CG116" s="168"/>
      <c r="CH116" s="165"/>
      <c r="CI116" s="167"/>
    </row>
    <row r="117" spans="1:87" x14ac:dyDescent="0.3">
      <c r="A117" s="10">
        <v>1801</v>
      </c>
      <c r="B117" s="11" t="s">
        <v>249</v>
      </c>
      <c r="C117" s="471">
        <v>1066</v>
      </c>
      <c r="D117" s="54">
        <v>256</v>
      </c>
      <c r="E117" s="367">
        <f t="shared" si="1"/>
        <v>0.24015009380863039</v>
      </c>
      <c r="F117" s="45">
        <v>139</v>
      </c>
      <c r="G117" s="45">
        <v>60</v>
      </c>
      <c r="H117" s="45">
        <v>87</v>
      </c>
      <c r="I117" s="45">
        <v>151</v>
      </c>
      <c r="J117" s="46">
        <v>26</v>
      </c>
      <c r="K117" s="165"/>
      <c r="L117" s="304"/>
      <c r="M117" s="601"/>
      <c r="N117" s="165"/>
      <c r="O117" s="165"/>
      <c r="P117" s="190"/>
      <c r="Q117" s="166"/>
      <c r="R117" s="166"/>
      <c r="S117" s="169"/>
      <c r="T117" s="165"/>
      <c r="U117" s="165"/>
      <c r="V117" s="168"/>
      <c r="W117" s="169"/>
      <c r="X117" s="173"/>
      <c r="Y117" s="190"/>
      <c r="Z117" s="167"/>
      <c r="AA117" s="165"/>
      <c r="AB117" s="166"/>
      <c r="AC117" s="169"/>
      <c r="AD117" s="165"/>
      <c r="AE117" s="165"/>
      <c r="AF117" s="167"/>
      <c r="AG117" s="168"/>
      <c r="AH117" s="165"/>
      <c r="AI117" s="167"/>
      <c r="AJ117" s="165"/>
      <c r="AK117" s="173"/>
      <c r="AL117" s="167"/>
      <c r="AM117" s="165"/>
      <c r="AN117" s="173"/>
      <c r="AO117" s="173"/>
      <c r="AP117" s="168"/>
      <c r="AQ117" s="165"/>
      <c r="AR117" s="168"/>
      <c r="AS117" s="165"/>
      <c r="AT117" s="190"/>
      <c r="AU117" s="167"/>
      <c r="AV117" s="165"/>
      <c r="AW117" s="173"/>
      <c r="AX117" s="173"/>
      <c r="AY117" s="190"/>
      <c r="AZ117" s="167"/>
      <c r="BA117" s="165"/>
      <c r="BB117" s="165"/>
      <c r="BC117" s="168"/>
      <c r="BD117" s="165"/>
      <c r="BE117" s="165"/>
      <c r="BF117" s="173"/>
      <c r="BG117" s="304"/>
      <c r="BH117" s="601"/>
      <c r="BI117" s="165"/>
      <c r="BJ117" s="167"/>
      <c r="BK117" s="165"/>
      <c r="BL117" s="190"/>
      <c r="BM117" s="167"/>
      <c r="BN117" s="165"/>
      <c r="BO117" s="173"/>
      <c r="BP117" s="190"/>
      <c r="BQ117" s="173"/>
      <c r="BR117" s="168"/>
      <c r="BS117" s="165"/>
      <c r="BT117" s="167"/>
      <c r="BU117" s="165"/>
      <c r="BV117" s="190"/>
      <c r="BW117" s="173"/>
      <c r="BX117" s="173"/>
      <c r="BY117" s="167"/>
      <c r="BZ117" s="165"/>
      <c r="CA117" s="173"/>
      <c r="CB117" s="190"/>
      <c r="CC117" s="167"/>
      <c r="CD117" s="165"/>
      <c r="CE117" s="173"/>
      <c r="CF117" s="173"/>
      <c r="CG117" s="168"/>
      <c r="CH117" s="165"/>
      <c r="CI117" s="167"/>
    </row>
    <row r="118" spans="1:87" x14ac:dyDescent="0.3">
      <c r="A118" s="10">
        <v>1802</v>
      </c>
      <c r="B118" s="11" t="s">
        <v>250</v>
      </c>
      <c r="C118" s="471">
        <v>794</v>
      </c>
      <c r="D118" s="54">
        <v>123</v>
      </c>
      <c r="E118" s="367">
        <f t="shared" si="1"/>
        <v>0.15491183879093198</v>
      </c>
      <c r="F118" s="45">
        <v>73</v>
      </c>
      <c r="G118" s="45">
        <v>38</v>
      </c>
      <c r="H118" s="45">
        <v>25</v>
      </c>
      <c r="I118" s="45">
        <v>72</v>
      </c>
      <c r="J118" s="46">
        <v>21</v>
      </c>
      <c r="K118" s="165"/>
      <c r="L118" s="304"/>
      <c r="M118" s="601"/>
      <c r="N118" s="165"/>
      <c r="O118" s="165"/>
      <c r="P118" s="190"/>
      <c r="Q118" s="166"/>
      <c r="R118" s="166"/>
      <c r="S118" s="169"/>
      <c r="T118" s="165"/>
      <c r="U118" s="165"/>
      <c r="V118" s="168"/>
      <c r="W118" s="169"/>
      <c r="X118" s="173"/>
      <c r="Y118" s="190"/>
      <c r="Z118" s="167"/>
      <c r="AA118" s="165"/>
      <c r="AB118" s="166"/>
      <c r="AC118" s="169"/>
      <c r="AD118" s="165"/>
      <c r="AE118" s="165"/>
      <c r="AF118" s="167"/>
      <c r="AG118" s="168"/>
      <c r="AH118" s="165"/>
      <c r="AI118" s="167"/>
      <c r="AJ118" s="165"/>
      <c r="AK118" s="173"/>
      <c r="AL118" s="167"/>
      <c r="AM118" s="165"/>
      <c r="AN118" s="173"/>
      <c r="AO118" s="173"/>
      <c r="AP118" s="168"/>
      <c r="AQ118" s="165"/>
      <c r="AR118" s="168"/>
      <c r="AS118" s="165"/>
      <c r="AT118" s="190"/>
      <c r="AU118" s="167"/>
      <c r="AV118" s="165"/>
      <c r="AW118" s="173"/>
      <c r="AX118" s="173"/>
      <c r="AY118" s="190"/>
      <c r="AZ118" s="167"/>
      <c r="BA118" s="165"/>
      <c r="BB118" s="165"/>
      <c r="BC118" s="168"/>
      <c r="BD118" s="165"/>
      <c r="BE118" s="165"/>
      <c r="BF118" s="173"/>
      <c r="BG118" s="304"/>
      <c r="BH118" s="601"/>
      <c r="BI118" s="165"/>
      <c r="BJ118" s="167"/>
      <c r="BK118" s="165"/>
      <c r="BL118" s="190"/>
      <c r="BM118" s="167"/>
      <c r="BN118" s="165"/>
      <c r="BO118" s="173"/>
      <c r="BP118" s="190"/>
      <c r="BQ118" s="173"/>
      <c r="BR118" s="168"/>
      <c r="BS118" s="165"/>
      <c r="BT118" s="167"/>
      <c r="BU118" s="165"/>
      <c r="BV118" s="190"/>
      <c r="BW118" s="173"/>
      <c r="BX118" s="173"/>
      <c r="BY118" s="167"/>
      <c r="BZ118" s="165"/>
      <c r="CA118" s="173"/>
      <c r="CB118" s="190"/>
      <c r="CC118" s="167"/>
      <c r="CD118" s="165"/>
      <c r="CE118" s="173"/>
      <c r="CF118" s="173"/>
      <c r="CG118" s="168"/>
      <c r="CH118" s="165"/>
      <c r="CI118" s="167"/>
    </row>
    <row r="119" spans="1:87" x14ac:dyDescent="0.3">
      <c r="A119" s="10">
        <v>1901</v>
      </c>
      <c r="B119" s="11" t="s">
        <v>251</v>
      </c>
      <c r="C119" s="471">
        <v>973</v>
      </c>
      <c r="D119" s="54">
        <v>405</v>
      </c>
      <c r="E119" s="367">
        <f t="shared" si="1"/>
        <v>0.41623843782117165</v>
      </c>
      <c r="F119" s="45">
        <v>171</v>
      </c>
      <c r="G119" s="45">
        <v>74</v>
      </c>
      <c r="H119" s="45">
        <v>135</v>
      </c>
      <c r="I119" s="45">
        <v>121</v>
      </c>
      <c r="J119" s="46">
        <v>108</v>
      </c>
      <c r="K119" s="165"/>
      <c r="L119" s="304"/>
      <c r="M119" s="601"/>
      <c r="N119" s="165"/>
      <c r="O119" s="165"/>
      <c r="P119" s="190"/>
      <c r="Q119" s="166"/>
      <c r="R119" s="166"/>
      <c r="S119" s="169"/>
      <c r="T119" s="165"/>
      <c r="U119" s="165"/>
      <c r="V119" s="168"/>
      <c r="W119" s="169"/>
      <c r="X119" s="173"/>
      <c r="Y119" s="190"/>
      <c r="Z119" s="167"/>
      <c r="AA119" s="165"/>
      <c r="AB119" s="166"/>
      <c r="AC119" s="169"/>
      <c r="AD119" s="165"/>
      <c r="AE119" s="165"/>
      <c r="AF119" s="167"/>
      <c r="AG119" s="168"/>
      <c r="AH119" s="165"/>
      <c r="AI119" s="167"/>
      <c r="AJ119" s="165"/>
      <c r="AK119" s="173"/>
      <c r="AL119" s="167"/>
      <c r="AM119" s="165"/>
      <c r="AN119" s="173"/>
      <c r="AO119" s="173"/>
      <c r="AP119" s="168"/>
      <c r="AQ119" s="165"/>
      <c r="AR119" s="168"/>
      <c r="AS119" s="165"/>
      <c r="AT119" s="190"/>
      <c r="AU119" s="167"/>
      <c r="AV119" s="165"/>
      <c r="AW119" s="173"/>
      <c r="AX119" s="173"/>
      <c r="AY119" s="190"/>
      <c r="AZ119" s="167"/>
      <c r="BA119" s="165"/>
      <c r="BB119" s="165"/>
      <c r="BC119" s="168"/>
      <c r="BD119" s="165"/>
      <c r="BE119" s="165"/>
      <c r="BF119" s="173"/>
      <c r="BG119" s="304"/>
      <c r="BH119" s="601"/>
      <c r="BI119" s="165"/>
      <c r="BJ119" s="167"/>
      <c r="BK119" s="165"/>
      <c r="BL119" s="190"/>
      <c r="BM119" s="167"/>
      <c r="BN119" s="165"/>
      <c r="BO119" s="173"/>
      <c r="BP119" s="190"/>
      <c r="BQ119" s="173"/>
      <c r="BR119" s="168"/>
      <c r="BS119" s="165"/>
      <c r="BT119" s="167"/>
      <c r="BU119" s="165"/>
      <c r="BV119" s="190"/>
      <c r="BW119" s="173"/>
      <c r="BX119" s="173"/>
      <c r="BY119" s="167"/>
      <c r="BZ119" s="165"/>
      <c r="CA119" s="173"/>
      <c r="CB119" s="190"/>
      <c r="CC119" s="167"/>
      <c r="CD119" s="165"/>
      <c r="CE119" s="173"/>
      <c r="CF119" s="173"/>
      <c r="CG119" s="168"/>
      <c r="CH119" s="165"/>
      <c r="CI119" s="167"/>
    </row>
    <row r="120" spans="1:87" x14ac:dyDescent="0.3">
      <c r="A120" s="10">
        <v>1902</v>
      </c>
      <c r="B120" s="11" t="s">
        <v>252</v>
      </c>
      <c r="C120" s="471">
        <v>1311</v>
      </c>
      <c r="D120" s="54">
        <v>680</v>
      </c>
      <c r="E120" s="367">
        <f t="shared" si="1"/>
        <v>0.5186880244088482</v>
      </c>
      <c r="F120" s="45">
        <v>265</v>
      </c>
      <c r="G120" s="45">
        <v>144</v>
      </c>
      <c r="H120" s="45">
        <v>224</v>
      </c>
      <c r="I120" s="45">
        <v>184</v>
      </c>
      <c r="J120" s="46">
        <v>191</v>
      </c>
      <c r="K120" s="165"/>
      <c r="L120" s="304"/>
      <c r="M120" s="601"/>
      <c r="N120" s="165"/>
      <c r="O120" s="165"/>
      <c r="P120" s="190"/>
      <c r="Q120" s="166"/>
      <c r="R120" s="166"/>
      <c r="S120" s="169"/>
      <c r="T120" s="165"/>
      <c r="U120" s="165"/>
      <c r="V120" s="168"/>
      <c r="W120" s="169"/>
      <c r="X120" s="173"/>
      <c r="Y120" s="190"/>
      <c r="Z120" s="167"/>
      <c r="AA120" s="165"/>
      <c r="AB120" s="166"/>
      <c r="AC120" s="169"/>
      <c r="AD120" s="165"/>
      <c r="AE120" s="165"/>
      <c r="AF120" s="167"/>
      <c r="AG120" s="168"/>
      <c r="AH120" s="165"/>
      <c r="AI120" s="167"/>
      <c r="AJ120" s="165"/>
      <c r="AK120" s="173"/>
      <c r="AL120" s="167"/>
      <c r="AM120" s="165"/>
      <c r="AN120" s="173"/>
      <c r="AO120" s="173"/>
      <c r="AP120" s="168"/>
      <c r="AQ120" s="165"/>
      <c r="AR120" s="168"/>
      <c r="AS120" s="165"/>
      <c r="AT120" s="190"/>
      <c r="AU120" s="167"/>
      <c r="AV120" s="165"/>
      <c r="AW120" s="173"/>
      <c r="AX120" s="173"/>
      <c r="AY120" s="190"/>
      <c r="AZ120" s="167"/>
      <c r="BA120" s="165"/>
      <c r="BB120" s="165"/>
      <c r="BC120" s="168"/>
      <c r="BD120" s="165"/>
      <c r="BE120" s="165"/>
      <c r="BF120" s="173"/>
      <c r="BG120" s="304"/>
      <c r="BH120" s="601"/>
      <c r="BI120" s="165"/>
      <c r="BJ120" s="167"/>
      <c r="BK120" s="165"/>
      <c r="BL120" s="190"/>
      <c r="BM120" s="167"/>
      <c r="BN120" s="165"/>
      <c r="BO120" s="173"/>
      <c r="BP120" s="190"/>
      <c r="BQ120" s="173"/>
      <c r="BR120" s="168"/>
      <c r="BS120" s="165"/>
      <c r="BT120" s="167"/>
      <c r="BU120" s="165"/>
      <c r="BV120" s="190"/>
      <c r="BW120" s="173"/>
      <c r="BX120" s="173"/>
      <c r="BY120" s="167"/>
      <c r="BZ120" s="165"/>
      <c r="CA120" s="173"/>
      <c r="CB120" s="190"/>
      <c r="CC120" s="167"/>
      <c r="CD120" s="165"/>
      <c r="CE120" s="173"/>
      <c r="CF120" s="173"/>
      <c r="CG120" s="168"/>
      <c r="CH120" s="165"/>
      <c r="CI120" s="167"/>
    </row>
    <row r="121" spans="1:87" x14ac:dyDescent="0.3">
      <c r="A121" s="10">
        <v>1903</v>
      </c>
      <c r="B121" s="11" t="s">
        <v>253</v>
      </c>
      <c r="C121" s="471">
        <v>1281</v>
      </c>
      <c r="D121" s="54">
        <v>410</v>
      </c>
      <c r="E121" s="367">
        <f t="shared" si="1"/>
        <v>0.32006245120999222</v>
      </c>
      <c r="F121" s="45">
        <v>165</v>
      </c>
      <c r="G121" s="45">
        <v>76</v>
      </c>
      <c r="H121" s="45">
        <v>143</v>
      </c>
      <c r="I121" s="45">
        <v>124</v>
      </c>
      <c r="J121" s="46">
        <v>75</v>
      </c>
      <c r="K121" s="165"/>
      <c r="L121" s="304"/>
      <c r="M121" s="601"/>
      <c r="N121" s="165"/>
      <c r="O121" s="165"/>
      <c r="P121" s="190"/>
      <c r="Q121" s="166"/>
      <c r="R121" s="166"/>
      <c r="S121" s="169"/>
      <c r="T121" s="165"/>
      <c r="U121" s="165"/>
      <c r="V121" s="168"/>
      <c r="W121" s="169"/>
      <c r="X121" s="173"/>
      <c r="Y121" s="190"/>
      <c r="Z121" s="167"/>
      <c r="AA121" s="165"/>
      <c r="AB121" s="166"/>
      <c r="AC121" s="169"/>
      <c r="AD121" s="165"/>
      <c r="AE121" s="165"/>
      <c r="AF121" s="167"/>
      <c r="AG121" s="168"/>
      <c r="AH121" s="165"/>
      <c r="AI121" s="167"/>
      <c r="AJ121" s="165"/>
      <c r="AK121" s="173"/>
      <c r="AL121" s="167"/>
      <c r="AM121" s="165"/>
      <c r="AN121" s="173"/>
      <c r="AO121" s="173"/>
      <c r="AP121" s="168"/>
      <c r="AQ121" s="165"/>
      <c r="AR121" s="168"/>
      <c r="AS121" s="165"/>
      <c r="AT121" s="190"/>
      <c r="AU121" s="167"/>
      <c r="AV121" s="165"/>
      <c r="AW121" s="173"/>
      <c r="AX121" s="173"/>
      <c r="AY121" s="190"/>
      <c r="AZ121" s="167"/>
      <c r="BA121" s="165"/>
      <c r="BB121" s="165"/>
      <c r="BC121" s="168"/>
      <c r="BD121" s="165"/>
      <c r="BE121" s="165"/>
      <c r="BF121" s="173"/>
      <c r="BG121" s="304"/>
      <c r="BH121" s="601"/>
      <c r="BI121" s="45">
        <v>0</v>
      </c>
      <c r="BJ121" s="46">
        <v>0</v>
      </c>
      <c r="BK121" s="165"/>
      <c r="BL121" s="190"/>
      <c r="BM121" s="167"/>
      <c r="BN121" s="165"/>
      <c r="BO121" s="173"/>
      <c r="BP121" s="190"/>
      <c r="BQ121" s="173"/>
      <c r="BR121" s="168"/>
      <c r="BS121" s="165"/>
      <c r="BT121" s="167"/>
      <c r="BU121" s="165"/>
      <c r="BV121" s="190"/>
      <c r="BW121" s="173"/>
      <c r="BX121" s="173"/>
      <c r="BY121" s="167"/>
      <c r="BZ121" s="45">
        <v>0</v>
      </c>
      <c r="CA121" s="54">
        <v>2</v>
      </c>
      <c r="CB121" s="53">
        <v>0</v>
      </c>
      <c r="CC121" s="46">
        <v>2</v>
      </c>
      <c r="CD121" s="165"/>
      <c r="CE121" s="173"/>
      <c r="CF121" s="173"/>
      <c r="CG121" s="168"/>
      <c r="CH121" s="165"/>
      <c r="CI121" s="167"/>
    </row>
    <row r="122" spans="1:87" x14ac:dyDescent="0.3">
      <c r="A122" s="10">
        <v>1904</v>
      </c>
      <c r="B122" s="11" t="s">
        <v>254</v>
      </c>
      <c r="C122" s="471">
        <v>454</v>
      </c>
      <c r="D122" s="54">
        <v>47</v>
      </c>
      <c r="E122" s="367">
        <f t="shared" si="1"/>
        <v>0.10352422907488987</v>
      </c>
      <c r="F122" s="45">
        <v>23</v>
      </c>
      <c r="G122" s="45">
        <v>8</v>
      </c>
      <c r="H122" s="45">
        <v>19</v>
      </c>
      <c r="I122" s="45">
        <v>25</v>
      </c>
      <c r="J122" s="46">
        <v>5</v>
      </c>
      <c r="K122" s="165"/>
      <c r="L122" s="304"/>
      <c r="M122" s="601"/>
      <c r="N122" s="165"/>
      <c r="O122" s="165"/>
      <c r="P122" s="190"/>
      <c r="Q122" s="166"/>
      <c r="R122" s="166"/>
      <c r="S122" s="169"/>
      <c r="T122" s="165"/>
      <c r="U122" s="165"/>
      <c r="V122" s="168"/>
      <c r="W122" s="169"/>
      <c r="X122" s="173"/>
      <c r="Y122" s="190"/>
      <c r="Z122" s="167"/>
      <c r="AA122" s="165"/>
      <c r="AB122" s="166"/>
      <c r="AC122" s="169"/>
      <c r="AD122" s="165"/>
      <c r="AE122" s="165"/>
      <c r="AF122" s="167"/>
      <c r="AG122" s="168"/>
      <c r="AH122" s="165"/>
      <c r="AI122" s="167"/>
      <c r="AJ122" s="165"/>
      <c r="AK122" s="173"/>
      <c r="AL122" s="167"/>
      <c r="AM122" s="165"/>
      <c r="AN122" s="173"/>
      <c r="AO122" s="173"/>
      <c r="AP122" s="168"/>
      <c r="AQ122" s="165"/>
      <c r="AR122" s="168"/>
      <c r="AS122" s="165"/>
      <c r="AT122" s="190"/>
      <c r="AU122" s="167"/>
      <c r="AV122" s="165"/>
      <c r="AW122" s="173"/>
      <c r="AX122" s="173"/>
      <c r="AY122" s="190"/>
      <c r="AZ122" s="167"/>
      <c r="BA122" s="165"/>
      <c r="BB122" s="165"/>
      <c r="BC122" s="168"/>
      <c r="BD122" s="165"/>
      <c r="BE122" s="165"/>
      <c r="BF122" s="173"/>
      <c r="BG122" s="304"/>
      <c r="BH122" s="601"/>
      <c r="BI122" s="45"/>
      <c r="BJ122" s="46"/>
      <c r="BK122" s="165"/>
      <c r="BL122" s="190"/>
      <c r="BM122" s="167"/>
      <c r="BN122" s="165"/>
      <c r="BO122" s="173"/>
      <c r="BP122" s="190"/>
      <c r="BQ122" s="173"/>
      <c r="BR122" s="168"/>
      <c r="BS122" s="165"/>
      <c r="BT122" s="167"/>
      <c r="BU122" s="165"/>
      <c r="BV122" s="190"/>
      <c r="BW122" s="173"/>
      <c r="BX122" s="173"/>
      <c r="BY122" s="167"/>
      <c r="BZ122" s="199"/>
      <c r="CA122" s="201"/>
      <c r="CB122" s="202"/>
      <c r="CC122" s="200"/>
      <c r="CD122" s="165"/>
      <c r="CE122" s="173"/>
      <c r="CF122" s="173"/>
      <c r="CG122" s="168"/>
      <c r="CH122" s="165"/>
      <c r="CI122" s="167"/>
    </row>
    <row r="123" spans="1:87" x14ac:dyDescent="0.3">
      <c r="A123" s="10">
        <v>2001</v>
      </c>
      <c r="B123" s="11" t="s">
        <v>255</v>
      </c>
      <c r="C123" s="471">
        <v>1278</v>
      </c>
      <c r="D123" s="54">
        <v>278</v>
      </c>
      <c r="E123" s="367">
        <f t="shared" si="1"/>
        <v>0.21752738654147105</v>
      </c>
      <c r="F123" s="45">
        <v>146</v>
      </c>
      <c r="G123" s="45">
        <v>65</v>
      </c>
      <c r="H123" s="45">
        <v>98</v>
      </c>
      <c r="I123" s="45">
        <v>146</v>
      </c>
      <c r="J123" s="46">
        <v>43</v>
      </c>
      <c r="K123" s="165"/>
      <c r="L123" s="304"/>
      <c r="M123" s="601"/>
      <c r="N123" s="165"/>
      <c r="O123" s="165"/>
      <c r="P123" s="190"/>
      <c r="Q123" s="166"/>
      <c r="R123" s="166"/>
      <c r="S123" s="169"/>
      <c r="T123" s="165"/>
      <c r="U123" s="165"/>
      <c r="V123" s="168"/>
      <c r="W123" s="169"/>
      <c r="X123" s="173"/>
      <c r="Y123" s="190"/>
      <c r="Z123" s="167"/>
      <c r="AA123" s="165"/>
      <c r="AB123" s="166"/>
      <c r="AC123" s="169"/>
      <c r="AD123" s="165"/>
      <c r="AE123" s="165"/>
      <c r="AF123" s="167"/>
      <c r="AG123" s="168"/>
      <c r="AH123" s="165"/>
      <c r="AI123" s="167"/>
      <c r="AJ123" s="165"/>
      <c r="AK123" s="173"/>
      <c r="AL123" s="167"/>
      <c r="AM123" s="165"/>
      <c r="AN123" s="173"/>
      <c r="AO123" s="173"/>
      <c r="AP123" s="168"/>
      <c r="AQ123" s="165"/>
      <c r="AR123" s="168"/>
      <c r="AS123" s="165"/>
      <c r="AT123" s="190"/>
      <c r="AU123" s="167"/>
      <c r="AV123" s="165"/>
      <c r="AW123" s="173"/>
      <c r="AX123" s="173"/>
      <c r="AY123" s="190"/>
      <c r="AZ123" s="167"/>
      <c r="BA123" s="165"/>
      <c r="BB123" s="165"/>
      <c r="BC123" s="168"/>
      <c r="BD123" s="165"/>
      <c r="BE123" s="165"/>
      <c r="BF123" s="173"/>
      <c r="BG123" s="304"/>
      <c r="BH123" s="601"/>
      <c r="BI123" s="45"/>
      <c r="BJ123" s="46"/>
      <c r="BK123" s="165"/>
      <c r="BL123" s="190"/>
      <c r="BM123" s="167"/>
      <c r="BN123" s="165"/>
      <c r="BO123" s="173"/>
      <c r="BP123" s="190"/>
      <c r="BQ123" s="173"/>
      <c r="BR123" s="168"/>
      <c r="BS123" s="165"/>
      <c r="BT123" s="167"/>
      <c r="BU123" s="165"/>
      <c r="BV123" s="190"/>
      <c r="BW123" s="173"/>
      <c r="BX123" s="173"/>
      <c r="BY123" s="167"/>
      <c r="BZ123" s="199"/>
      <c r="CA123" s="201"/>
      <c r="CB123" s="202"/>
      <c r="CC123" s="200"/>
      <c r="CD123" s="165"/>
      <c r="CE123" s="173"/>
      <c r="CF123" s="173"/>
      <c r="CG123" s="168"/>
      <c r="CH123" s="165"/>
      <c r="CI123" s="167"/>
    </row>
    <row r="124" spans="1:87" x14ac:dyDescent="0.3">
      <c r="A124" s="10">
        <v>2002</v>
      </c>
      <c r="B124" s="11" t="s">
        <v>256</v>
      </c>
      <c r="C124" s="471">
        <v>1041</v>
      </c>
      <c r="D124" s="54">
        <v>254</v>
      </c>
      <c r="E124" s="367">
        <f t="shared" si="1"/>
        <v>0.24399615754082613</v>
      </c>
      <c r="F124" s="45">
        <v>133</v>
      </c>
      <c r="G124" s="45">
        <v>43</v>
      </c>
      <c r="H124" s="45">
        <v>100</v>
      </c>
      <c r="I124" s="45">
        <v>115</v>
      </c>
      <c r="J124" s="46">
        <v>40</v>
      </c>
      <c r="K124" s="165"/>
      <c r="L124" s="304"/>
      <c r="M124" s="601"/>
      <c r="N124" s="165"/>
      <c r="O124" s="165"/>
      <c r="P124" s="190"/>
      <c r="Q124" s="166"/>
      <c r="R124" s="166"/>
      <c r="S124" s="169"/>
      <c r="T124" s="165"/>
      <c r="U124" s="165"/>
      <c r="V124" s="168"/>
      <c r="W124" s="169"/>
      <c r="X124" s="173"/>
      <c r="Y124" s="190"/>
      <c r="Z124" s="167"/>
      <c r="AA124" s="165"/>
      <c r="AB124" s="166"/>
      <c r="AC124" s="169"/>
      <c r="AD124" s="165"/>
      <c r="AE124" s="165"/>
      <c r="AF124" s="167"/>
      <c r="AG124" s="168"/>
      <c r="AH124" s="165"/>
      <c r="AI124" s="167"/>
      <c r="AJ124" s="165"/>
      <c r="AK124" s="173"/>
      <c r="AL124" s="167"/>
      <c r="AM124" s="165"/>
      <c r="AN124" s="173"/>
      <c r="AO124" s="173"/>
      <c r="AP124" s="168"/>
      <c r="AQ124" s="165"/>
      <c r="AR124" s="168"/>
      <c r="AS124" s="165"/>
      <c r="AT124" s="190"/>
      <c r="AU124" s="167"/>
      <c r="AV124" s="165"/>
      <c r="AW124" s="173"/>
      <c r="AX124" s="173"/>
      <c r="AY124" s="190"/>
      <c r="AZ124" s="167"/>
      <c r="BA124" s="165"/>
      <c r="BB124" s="165"/>
      <c r="BC124" s="168"/>
      <c r="BD124" s="165"/>
      <c r="BE124" s="165"/>
      <c r="BF124" s="173"/>
      <c r="BG124" s="304"/>
      <c r="BH124" s="601"/>
      <c r="BI124" s="45"/>
      <c r="BJ124" s="46"/>
      <c r="BK124" s="165"/>
      <c r="BL124" s="190"/>
      <c r="BM124" s="167"/>
      <c r="BN124" s="165"/>
      <c r="BO124" s="173"/>
      <c r="BP124" s="190"/>
      <c r="BQ124" s="173"/>
      <c r="BR124" s="168"/>
      <c r="BS124" s="165"/>
      <c r="BT124" s="167"/>
      <c r="BU124" s="165"/>
      <c r="BV124" s="190"/>
      <c r="BW124" s="173"/>
      <c r="BX124" s="173"/>
      <c r="BY124" s="167"/>
      <c r="BZ124" s="199"/>
      <c r="CA124" s="201"/>
      <c r="CB124" s="202"/>
      <c r="CC124" s="200"/>
      <c r="CD124" s="165"/>
      <c r="CE124" s="173"/>
      <c r="CF124" s="173"/>
      <c r="CG124" s="168"/>
      <c r="CH124" s="165"/>
      <c r="CI124" s="167"/>
    </row>
    <row r="125" spans="1:87" x14ac:dyDescent="0.3">
      <c r="A125" s="10">
        <v>2003</v>
      </c>
      <c r="B125" s="11" t="s">
        <v>257</v>
      </c>
      <c r="C125" s="471">
        <v>1532</v>
      </c>
      <c r="D125" s="54">
        <v>540</v>
      </c>
      <c r="E125" s="367">
        <f t="shared" si="1"/>
        <v>0.35248041775456918</v>
      </c>
      <c r="F125" s="45">
        <v>274</v>
      </c>
      <c r="G125" s="45">
        <v>105</v>
      </c>
      <c r="H125" s="45">
        <v>257</v>
      </c>
      <c r="I125" s="45">
        <v>272</v>
      </c>
      <c r="J125" s="46">
        <v>87</v>
      </c>
      <c r="K125" s="165"/>
      <c r="L125" s="304"/>
      <c r="M125" s="601"/>
      <c r="N125" s="165"/>
      <c r="O125" s="165"/>
      <c r="P125" s="190"/>
      <c r="Q125" s="166"/>
      <c r="R125" s="166"/>
      <c r="S125" s="169"/>
      <c r="T125" s="165"/>
      <c r="U125" s="165"/>
      <c r="V125" s="168"/>
      <c r="W125" s="169"/>
      <c r="X125" s="173"/>
      <c r="Y125" s="190"/>
      <c r="Z125" s="167"/>
      <c r="AA125" s="165"/>
      <c r="AB125" s="166"/>
      <c r="AC125" s="169"/>
      <c r="AD125" s="165"/>
      <c r="AE125" s="165"/>
      <c r="AF125" s="167"/>
      <c r="AG125" s="168"/>
      <c r="AH125" s="165"/>
      <c r="AI125" s="167"/>
      <c r="AJ125" s="165"/>
      <c r="AK125" s="173"/>
      <c r="AL125" s="167"/>
      <c r="AM125" s="165"/>
      <c r="AN125" s="173"/>
      <c r="AO125" s="173"/>
      <c r="AP125" s="168"/>
      <c r="AQ125" s="165"/>
      <c r="AR125" s="168"/>
      <c r="AS125" s="165"/>
      <c r="AT125" s="190"/>
      <c r="AU125" s="167"/>
      <c r="AV125" s="165"/>
      <c r="AW125" s="173"/>
      <c r="AX125" s="173"/>
      <c r="AY125" s="190"/>
      <c r="AZ125" s="167"/>
      <c r="BA125" s="165"/>
      <c r="BB125" s="165"/>
      <c r="BC125" s="168"/>
      <c r="BD125" s="165"/>
      <c r="BE125" s="165"/>
      <c r="BF125" s="173"/>
      <c r="BG125" s="304"/>
      <c r="BH125" s="601"/>
      <c r="BI125" s="45"/>
      <c r="BJ125" s="46"/>
      <c r="BK125" s="165"/>
      <c r="BL125" s="190"/>
      <c r="BM125" s="167"/>
      <c r="BN125" s="165"/>
      <c r="BO125" s="173"/>
      <c r="BP125" s="190"/>
      <c r="BQ125" s="173"/>
      <c r="BR125" s="168"/>
      <c r="BS125" s="165"/>
      <c r="BT125" s="167"/>
      <c r="BU125" s="165"/>
      <c r="BV125" s="190"/>
      <c r="BW125" s="173"/>
      <c r="BX125" s="173"/>
      <c r="BY125" s="167"/>
      <c r="BZ125" s="199"/>
      <c r="CA125" s="201"/>
      <c r="CB125" s="202"/>
      <c r="CC125" s="200"/>
      <c r="CD125" s="165"/>
      <c r="CE125" s="173"/>
      <c r="CF125" s="173"/>
      <c r="CG125" s="168"/>
      <c r="CH125" s="165"/>
      <c r="CI125" s="167"/>
    </row>
    <row r="126" spans="1:87" x14ac:dyDescent="0.3">
      <c r="A126" s="10">
        <v>2004</v>
      </c>
      <c r="B126" s="11" t="s">
        <v>258</v>
      </c>
      <c r="C126" s="471">
        <v>1462</v>
      </c>
      <c r="D126" s="54">
        <v>473</v>
      </c>
      <c r="E126" s="367">
        <f t="shared" si="1"/>
        <v>0.3235294117647059</v>
      </c>
      <c r="F126" s="45">
        <v>254</v>
      </c>
      <c r="G126" s="45">
        <v>96</v>
      </c>
      <c r="H126" s="45">
        <v>209</v>
      </c>
      <c r="I126" s="45">
        <v>241</v>
      </c>
      <c r="J126" s="46">
        <v>62</v>
      </c>
      <c r="K126" s="165"/>
      <c r="L126" s="304"/>
      <c r="M126" s="601"/>
      <c r="N126" s="165"/>
      <c r="O126" s="165"/>
      <c r="P126" s="190"/>
      <c r="Q126" s="166"/>
      <c r="R126" s="166"/>
      <c r="S126" s="169"/>
      <c r="T126" s="165"/>
      <c r="U126" s="165"/>
      <c r="V126" s="168"/>
      <c r="W126" s="169"/>
      <c r="X126" s="173"/>
      <c r="Y126" s="190"/>
      <c r="Z126" s="167"/>
      <c r="AA126" s="165"/>
      <c r="AB126" s="166"/>
      <c r="AC126" s="169"/>
      <c r="AD126" s="165"/>
      <c r="AE126" s="165"/>
      <c r="AF126" s="167"/>
      <c r="AG126" s="168"/>
      <c r="AH126" s="165"/>
      <c r="AI126" s="167"/>
      <c r="AJ126" s="165"/>
      <c r="AK126" s="173"/>
      <c r="AL126" s="167"/>
      <c r="AM126" s="165"/>
      <c r="AN126" s="173"/>
      <c r="AO126" s="173"/>
      <c r="AP126" s="168"/>
      <c r="AQ126" s="165"/>
      <c r="AR126" s="168"/>
      <c r="AS126" s="165"/>
      <c r="AT126" s="190"/>
      <c r="AU126" s="167"/>
      <c r="AV126" s="165"/>
      <c r="AW126" s="173"/>
      <c r="AX126" s="173"/>
      <c r="AY126" s="190"/>
      <c r="AZ126" s="167"/>
      <c r="BA126" s="165"/>
      <c r="BB126" s="165"/>
      <c r="BC126" s="168"/>
      <c r="BD126" s="165"/>
      <c r="BE126" s="165"/>
      <c r="BF126" s="173"/>
      <c r="BG126" s="304"/>
      <c r="BH126" s="601"/>
      <c r="BI126" s="45"/>
      <c r="BJ126" s="46"/>
      <c r="BK126" s="165"/>
      <c r="BL126" s="190"/>
      <c r="BM126" s="167"/>
      <c r="BN126" s="165"/>
      <c r="BO126" s="173"/>
      <c r="BP126" s="190"/>
      <c r="BQ126" s="173"/>
      <c r="BR126" s="168"/>
      <c r="BS126" s="165"/>
      <c r="BT126" s="167"/>
      <c r="BU126" s="165"/>
      <c r="BV126" s="190"/>
      <c r="BW126" s="173"/>
      <c r="BX126" s="173"/>
      <c r="BY126" s="167"/>
      <c r="BZ126" s="199"/>
      <c r="CA126" s="201"/>
      <c r="CB126" s="202"/>
      <c r="CC126" s="200"/>
      <c r="CD126" s="165"/>
      <c r="CE126" s="173"/>
      <c r="CF126" s="173"/>
      <c r="CG126" s="168"/>
      <c r="CH126" s="165"/>
      <c r="CI126" s="167"/>
    </row>
    <row r="127" spans="1:87" x14ac:dyDescent="0.3">
      <c r="A127" s="10">
        <v>2005</v>
      </c>
      <c r="B127" s="11" t="s">
        <v>746</v>
      </c>
      <c r="C127" s="471">
        <v>1108</v>
      </c>
      <c r="D127" s="54">
        <v>180</v>
      </c>
      <c r="E127" s="367">
        <f t="shared" si="1"/>
        <v>0.16245487364620939</v>
      </c>
      <c r="F127" s="45">
        <v>102</v>
      </c>
      <c r="G127" s="45">
        <v>42</v>
      </c>
      <c r="H127" s="45">
        <v>72</v>
      </c>
      <c r="I127" s="45">
        <v>90</v>
      </c>
      <c r="J127" s="46">
        <v>26</v>
      </c>
      <c r="K127" s="165"/>
      <c r="L127" s="304"/>
      <c r="M127" s="601"/>
      <c r="N127" s="165"/>
      <c r="O127" s="165"/>
      <c r="P127" s="190"/>
      <c r="Q127" s="166"/>
      <c r="R127" s="166"/>
      <c r="S127" s="169"/>
      <c r="T127" s="165"/>
      <c r="U127" s="165"/>
      <c r="V127" s="168"/>
      <c r="W127" s="169"/>
      <c r="X127" s="173"/>
      <c r="Y127" s="190"/>
      <c r="Z127" s="167"/>
      <c r="AA127" s="165"/>
      <c r="AB127" s="166"/>
      <c r="AC127" s="169"/>
      <c r="AD127" s="165"/>
      <c r="AE127" s="165"/>
      <c r="AF127" s="167"/>
      <c r="AG127" s="168"/>
      <c r="AH127" s="165"/>
      <c r="AI127" s="167"/>
      <c r="AJ127" s="165"/>
      <c r="AK127" s="173"/>
      <c r="AL127" s="167"/>
      <c r="AM127" s="165"/>
      <c r="AN127" s="173"/>
      <c r="AO127" s="173"/>
      <c r="AP127" s="168"/>
      <c r="AQ127" s="165"/>
      <c r="AR127" s="168"/>
      <c r="AS127" s="165"/>
      <c r="AT127" s="190"/>
      <c r="AU127" s="167"/>
      <c r="AV127" s="165"/>
      <c r="AW127" s="173"/>
      <c r="AX127" s="173"/>
      <c r="AY127" s="190"/>
      <c r="AZ127" s="167"/>
      <c r="BA127" s="165"/>
      <c r="BB127" s="165"/>
      <c r="BC127" s="168"/>
      <c r="BD127" s="165"/>
      <c r="BE127" s="165"/>
      <c r="BF127" s="173"/>
      <c r="BG127" s="304"/>
      <c r="BH127" s="601"/>
      <c r="BI127" s="45"/>
      <c r="BJ127" s="46"/>
      <c r="BK127" s="165"/>
      <c r="BL127" s="190"/>
      <c r="BM127" s="167"/>
      <c r="BN127" s="165"/>
      <c r="BO127" s="173"/>
      <c r="BP127" s="190"/>
      <c r="BQ127" s="173"/>
      <c r="BR127" s="168"/>
      <c r="BS127" s="165"/>
      <c r="BT127" s="167"/>
      <c r="BU127" s="165"/>
      <c r="BV127" s="190"/>
      <c r="BW127" s="173"/>
      <c r="BX127" s="173"/>
      <c r="BY127" s="167"/>
      <c r="BZ127" s="199"/>
      <c r="CA127" s="201"/>
      <c r="CB127" s="202"/>
      <c r="CC127" s="200"/>
      <c r="CD127" s="165"/>
      <c r="CE127" s="173"/>
      <c r="CF127" s="173"/>
      <c r="CG127" s="168"/>
      <c r="CH127" s="165"/>
      <c r="CI127" s="167"/>
    </row>
    <row r="128" spans="1:87" x14ac:dyDescent="0.3">
      <c r="A128" s="10">
        <v>2101</v>
      </c>
      <c r="B128" s="11" t="s">
        <v>259</v>
      </c>
      <c r="C128" s="471">
        <v>610</v>
      </c>
      <c r="D128" s="54">
        <v>153</v>
      </c>
      <c r="E128" s="367">
        <f t="shared" si="1"/>
        <v>0.25081967213114753</v>
      </c>
      <c r="F128" s="45">
        <v>87</v>
      </c>
      <c r="G128" s="45">
        <v>36</v>
      </c>
      <c r="H128" s="45">
        <v>50</v>
      </c>
      <c r="I128" s="45">
        <v>81</v>
      </c>
      <c r="J128" s="46">
        <v>31</v>
      </c>
      <c r="K128" s="165"/>
      <c r="L128" s="304"/>
      <c r="M128" s="601"/>
      <c r="N128" s="165"/>
      <c r="O128" s="165"/>
      <c r="P128" s="190"/>
      <c r="Q128" s="166"/>
      <c r="R128" s="166"/>
      <c r="S128" s="169"/>
      <c r="T128" s="165"/>
      <c r="U128" s="165"/>
      <c r="V128" s="168"/>
      <c r="W128" s="169"/>
      <c r="X128" s="173"/>
      <c r="Y128" s="190"/>
      <c r="Z128" s="167"/>
      <c r="AA128" s="165"/>
      <c r="AB128" s="166"/>
      <c r="AC128" s="169"/>
      <c r="AD128" s="165"/>
      <c r="AE128" s="165"/>
      <c r="AF128" s="167"/>
      <c r="AG128" s="168"/>
      <c r="AH128" s="165"/>
      <c r="AI128" s="167"/>
      <c r="AJ128" s="165"/>
      <c r="AK128" s="173"/>
      <c r="AL128" s="167"/>
      <c r="AM128" s="165"/>
      <c r="AN128" s="173"/>
      <c r="AO128" s="173"/>
      <c r="AP128" s="168"/>
      <c r="AQ128" s="165"/>
      <c r="AR128" s="168"/>
      <c r="AS128" s="165"/>
      <c r="AT128" s="190"/>
      <c r="AU128" s="167"/>
      <c r="AV128" s="165"/>
      <c r="AW128" s="173"/>
      <c r="AX128" s="173"/>
      <c r="AY128" s="190"/>
      <c r="AZ128" s="167"/>
      <c r="BA128" s="165"/>
      <c r="BB128" s="165"/>
      <c r="BC128" s="168"/>
      <c r="BD128" s="165"/>
      <c r="BE128" s="165"/>
      <c r="BF128" s="173"/>
      <c r="BG128" s="304"/>
      <c r="BH128" s="601"/>
      <c r="BI128" s="45"/>
      <c r="BJ128" s="46"/>
      <c r="BK128" s="165"/>
      <c r="BL128" s="190"/>
      <c r="BM128" s="167"/>
      <c r="BN128" s="165"/>
      <c r="BO128" s="173"/>
      <c r="BP128" s="190"/>
      <c r="BQ128" s="173"/>
      <c r="BR128" s="168"/>
      <c r="BS128" s="165"/>
      <c r="BT128" s="167"/>
      <c r="BU128" s="165"/>
      <c r="BV128" s="190"/>
      <c r="BW128" s="173"/>
      <c r="BX128" s="173"/>
      <c r="BY128" s="167"/>
      <c r="BZ128" s="199"/>
      <c r="CA128" s="201"/>
      <c r="CB128" s="202"/>
      <c r="CC128" s="200"/>
      <c r="CD128" s="165"/>
      <c r="CE128" s="173"/>
      <c r="CF128" s="173"/>
      <c r="CG128" s="168"/>
      <c r="CH128" s="165"/>
      <c r="CI128" s="167"/>
    </row>
    <row r="129" spans="1:87" x14ac:dyDescent="0.3">
      <c r="A129" s="10">
        <v>2102</v>
      </c>
      <c r="B129" s="11" t="s">
        <v>260</v>
      </c>
      <c r="C129" s="471">
        <v>863</v>
      </c>
      <c r="D129" s="54">
        <v>125</v>
      </c>
      <c r="E129" s="367">
        <f t="shared" si="1"/>
        <v>0.14484356894553882</v>
      </c>
      <c r="F129" s="45">
        <v>72</v>
      </c>
      <c r="G129" s="45">
        <v>23</v>
      </c>
      <c r="H129" s="45">
        <v>39</v>
      </c>
      <c r="I129" s="45">
        <v>73</v>
      </c>
      <c r="J129" s="46">
        <v>16</v>
      </c>
      <c r="K129" s="165"/>
      <c r="L129" s="304"/>
      <c r="M129" s="601"/>
      <c r="N129" s="165"/>
      <c r="O129" s="165"/>
      <c r="P129" s="190"/>
      <c r="Q129" s="166"/>
      <c r="R129" s="166"/>
      <c r="S129" s="169"/>
      <c r="T129" s="165"/>
      <c r="U129" s="165"/>
      <c r="V129" s="168"/>
      <c r="W129" s="169"/>
      <c r="X129" s="173"/>
      <c r="Y129" s="190"/>
      <c r="Z129" s="167"/>
      <c r="AA129" s="165"/>
      <c r="AB129" s="166"/>
      <c r="AC129" s="169"/>
      <c r="AD129" s="165"/>
      <c r="AE129" s="165"/>
      <c r="AF129" s="167"/>
      <c r="AG129" s="168"/>
      <c r="AH129" s="165"/>
      <c r="AI129" s="167"/>
      <c r="AJ129" s="165"/>
      <c r="AK129" s="173"/>
      <c r="AL129" s="167"/>
      <c r="AM129" s="165"/>
      <c r="AN129" s="173"/>
      <c r="AO129" s="173"/>
      <c r="AP129" s="168"/>
      <c r="AQ129" s="165"/>
      <c r="AR129" s="168"/>
      <c r="AS129" s="165"/>
      <c r="AT129" s="190"/>
      <c r="AU129" s="167"/>
      <c r="AV129" s="165"/>
      <c r="AW129" s="173"/>
      <c r="AX129" s="173"/>
      <c r="AY129" s="190"/>
      <c r="AZ129" s="167"/>
      <c r="BA129" s="165"/>
      <c r="BB129" s="165"/>
      <c r="BC129" s="168"/>
      <c r="BD129" s="165"/>
      <c r="BE129" s="165"/>
      <c r="BF129" s="173"/>
      <c r="BG129" s="304"/>
      <c r="BH129" s="601"/>
      <c r="BI129" s="45"/>
      <c r="BJ129" s="46"/>
      <c r="BK129" s="165"/>
      <c r="BL129" s="190"/>
      <c r="BM129" s="167"/>
      <c r="BN129" s="165"/>
      <c r="BO129" s="173"/>
      <c r="BP129" s="190"/>
      <c r="BQ129" s="173"/>
      <c r="BR129" s="168"/>
      <c r="BS129" s="165"/>
      <c r="BT129" s="167"/>
      <c r="BU129" s="165"/>
      <c r="BV129" s="190"/>
      <c r="BW129" s="173"/>
      <c r="BX129" s="173"/>
      <c r="BY129" s="167"/>
      <c r="BZ129" s="199"/>
      <c r="CA129" s="201"/>
      <c r="CB129" s="202"/>
      <c r="CC129" s="200"/>
      <c r="CD129" s="165"/>
      <c r="CE129" s="173"/>
      <c r="CF129" s="173"/>
      <c r="CG129" s="168"/>
      <c r="CH129" s="165"/>
      <c r="CI129" s="167"/>
    </row>
    <row r="130" spans="1:87" x14ac:dyDescent="0.3">
      <c r="A130" s="10">
        <v>2103</v>
      </c>
      <c r="B130" s="11" t="s">
        <v>261</v>
      </c>
      <c r="C130" s="471">
        <v>1128</v>
      </c>
      <c r="D130" s="54">
        <v>202</v>
      </c>
      <c r="E130" s="367">
        <f t="shared" si="1"/>
        <v>0.17907801418439717</v>
      </c>
      <c r="F130" s="45">
        <v>102</v>
      </c>
      <c r="G130" s="45">
        <v>62</v>
      </c>
      <c r="H130" s="45">
        <v>83</v>
      </c>
      <c r="I130" s="45">
        <v>118</v>
      </c>
      <c r="J130" s="46">
        <v>37</v>
      </c>
      <c r="K130" s="165"/>
      <c r="L130" s="304"/>
      <c r="M130" s="601"/>
      <c r="N130" s="165"/>
      <c r="O130" s="165"/>
      <c r="P130" s="190"/>
      <c r="Q130" s="166"/>
      <c r="R130" s="166"/>
      <c r="S130" s="169"/>
      <c r="T130" s="165"/>
      <c r="U130" s="165"/>
      <c r="V130" s="168"/>
      <c r="W130" s="169"/>
      <c r="X130" s="173"/>
      <c r="Y130" s="190"/>
      <c r="Z130" s="167"/>
      <c r="AA130" s="165"/>
      <c r="AB130" s="166"/>
      <c r="AC130" s="169"/>
      <c r="AD130" s="165"/>
      <c r="AE130" s="165"/>
      <c r="AF130" s="167"/>
      <c r="AG130" s="168"/>
      <c r="AH130" s="165"/>
      <c r="AI130" s="167"/>
      <c r="AJ130" s="165"/>
      <c r="AK130" s="173"/>
      <c r="AL130" s="167"/>
      <c r="AM130" s="165"/>
      <c r="AN130" s="173"/>
      <c r="AO130" s="173"/>
      <c r="AP130" s="168"/>
      <c r="AQ130" s="165"/>
      <c r="AR130" s="168"/>
      <c r="AS130" s="165"/>
      <c r="AT130" s="190"/>
      <c r="AU130" s="167"/>
      <c r="AV130" s="165"/>
      <c r="AW130" s="173"/>
      <c r="AX130" s="173"/>
      <c r="AY130" s="190"/>
      <c r="AZ130" s="167"/>
      <c r="BA130" s="165"/>
      <c r="BB130" s="165"/>
      <c r="BC130" s="168"/>
      <c r="BD130" s="165"/>
      <c r="BE130" s="165"/>
      <c r="BF130" s="173"/>
      <c r="BG130" s="304"/>
      <c r="BH130" s="601"/>
      <c r="BI130" s="45"/>
      <c r="BJ130" s="46"/>
      <c r="BK130" s="165"/>
      <c r="BL130" s="190"/>
      <c r="BM130" s="167"/>
      <c r="BN130" s="165"/>
      <c r="BO130" s="173"/>
      <c r="BP130" s="190"/>
      <c r="BQ130" s="173"/>
      <c r="BR130" s="168"/>
      <c r="BS130" s="165"/>
      <c r="BT130" s="167"/>
      <c r="BU130" s="165"/>
      <c r="BV130" s="190"/>
      <c r="BW130" s="173"/>
      <c r="BX130" s="173"/>
      <c r="BY130" s="167"/>
      <c r="BZ130" s="199"/>
      <c r="CA130" s="201"/>
      <c r="CB130" s="202"/>
      <c r="CC130" s="200"/>
      <c r="CD130" s="165"/>
      <c r="CE130" s="173"/>
      <c r="CF130" s="173"/>
      <c r="CG130" s="168"/>
      <c r="CH130" s="165"/>
      <c r="CI130" s="167"/>
    </row>
    <row r="131" spans="1:87" x14ac:dyDescent="0.3">
      <c r="A131" s="10">
        <v>2104</v>
      </c>
      <c r="B131" s="11" t="s">
        <v>262</v>
      </c>
      <c r="C131" s="471">
        <v>936</v>
      </c>
      <c r="D131" s="54">
        <v>178</v>
      </c>
      <c r="E131" s="367">
        <f t="shared" si="1"/>
        <v>0.19017094017094016</v>
      </c>
      <c r="F131" s="45">
        <v>84</v>
      </c>
      <c r="G131" s="45">
        <v>34</v>
      </c>
      <c r="H131" s="45">
        <v>71</v>
      </c>
      <c r="I131" s="45">
        <v>86</v>
      </c>
      <c r="J131" s="46">
        <v>24</v>
      </c>
      <c r="K131" s="165"/>
      <c r="L131" s="304"/>
      <c r="M131" s="601"/>
      <c r="N131" s="165"/>
      <c r="O131" s="165"/>
      <c r="P131" s="190"/>
      <c r="Q131" s="166"/>
      <c r="R131" s="166"/>
      <c r="S131" s="169"/>
      <c r="T131" s="165"/>
      <c r="U131" s="165"/>
      <c r="V131" s="168"/>
      <c r="W131" s="169"/>
      <c r="X131" s="173"/>
      <c r="Y131" s="190"/>
      <c r="Z131" s="167"/>
      <c r="AA131" s="165"/>
      <c r="AB131" s="166"/>
      <c r="AC131" s="169"/>
      <c r="AD131" s="165"/>
      <c r="AE131" s="165"/>
      <c r="AF131" s="167"/>
      <c r="AG131" s="168"/>
      <c r="AH131" s="165"/>
      <c r="AI131" s="167"/>
      <c r="AJ131" s="165"/>
      <c r="AK131" s="173"/>
      <c r="AL131" s="167"/>
      <c r="AM131" s="165"/>
      <c r="AN131" s="173"/>
      <c r="AO131" s="173"/>
      <c r="AP131" s="168"/>
      <c r="AQ131" s="165"/>
      <c r="AR131" s="168"/>
      <c r="AS131" s="165"/>
      <c r="AT131" s="190"/>
      <c r="AU131" s="167"/>
      <c r="AV131" s="165"/>
      <c r="AW131" s="173"/>
      <c r="AX131" s="173"/>
      <c r="AY131" s="190"/>
      <c r="AZ131" s="167"/>
      <c r="BA131" s="165"/>
      <c r="BB131" s="165"/>
      <c r="BC131" s="168"/>
      <c r="BD131" s="165"/>
      <c r="BE131" s="165"/>
      <c r="BF131" s="173"/>
      <c r="BG131" s="304"/>
      <c r="BH131" s="601"/>
      <c r="BI131" s="45"/>
      <c r="BJ131" s="46"/>
      <c r="BK131" s="165"/>
      <c r="BL131" s="190"/>
      <c r="BM131" s="167"/>
      <c r="BN131" s="165"/>
      <c r="BO131" s="173"/>
      <c r="BP131" s="190"/>
      <c r="BQ131" s="173"/>
      <c r="BR131" s="168"/>
      <c r="BS131" s="165"/>
      <c r="BT131" s="167"/>
      <c r="BU131" s="165"/>
      <c r="BV131" s="190"/>
      <c r="BW131" s="173"/>
      <c r="BX131" s="173"/>
      <c r="BY131" s="167"/>
      <c r="BZ131" s="199"/>
      <c r="CA131" s="201"/>
      <c r="CB131" s="202"/>
      <c r="CC131" s="200"/>
      <c r="CD131" s="165"/>
      <c r="CE131" s="173"/>
      <c r="CF131" s="173"/>
      <c r="CG131" s="168"/>
      <c r="CH131" s="165"/>
      <c r="CI131" s="167"/>
    </row>
    <row r="132" spans="1:87" x14ac:dyDescent="0.3">
      <c r="A132" s="10">
        <v>2105</v>
      </c>
      <c r="B132" s="11" t="s">
        <v>747</v>
      </c>
      <c r="C132" s="471">
        <v>829</v>
      </c>
      <c r="D132" s="54">
        <v>127</v>
      </c>
      <c r="E132" s="367">
        <f t="shared" si="1"/>
        <v>0.15319662243667068</v>
      </c>
      <c r="F132" s="45">
        <v>78</v>
      </c>
      <c r="G132" s="45">
        <v>25</v>
      </c>
      <c r="H132" s="45">
        <v>55</v>
      </c>
      <c r="I132" s="45">
        <v>88</v>
      </c>
      <c r="J132" s="46">
        <v>11</v>
      </c>
      <c r="K132" s="165"/>
      <c r="L132" s="304"/>
      <c r="M132" s="601"/>
      <c r="N132" s="165"/>
      <c r="O132" s="165"/>
      <c r="P132" s="190"/>
      <c r="Q132" s="166"/>
      <c r="R132" s="166"/>
      <c r="S132" s="169"/>
      <c r="T132" s="165"/>
      <c r="U132" s="165"/>
      <c r="V132" s="168"/>
      <c r="W132" s="169"/>
      <c r="X132" s="173"/>
      <c r="Y132" s="190"/>
      <c r="Z132" s="167"/>
      <c r="AA132" s="165"/>
      <c r="AB132" s="166"/>
      <c r="AC132" s="169"/>
      <c r="AD132" s="165"/>
      <c r="AE132" s="165"/>
      <c r="AF132" s="167"/>
      <c r="AG132" s="168"/>
      <c r="AH132" s="165"/>
      <c r="AI132" s="167"/>
      <c r="AJ132" s="165"/>
      <c r="AK132" s="173"/>
      <c r="AL132" s="167"/>
      <c r="AM132" s="165"/>
      <c r="AN132" s="173"/>
      <c r="AO132" s="173"/>
      <c r="AP132" s="168"/>
      <c r="AQ132" s="165"/>
      <c r="AR132" s="168"/>
      <c r="AS132" s="165"/>
      <c r="AT132" s="190"/>
      <c r="AU132" s="167"/>
      <c r="AV132" s="165"/>
      <c r="AW132" s="173"/>
      <c r="AX132" s="173"/>
      <c r="AY132" s="190"/>
      <c r="AZ132" s="167"/>
      <c r="BA132" s="165"/>
      <c r="BB132" s="165"/>
      <c r="BC132" s="168"/>
      <c r="BD132" s="165"/>
      <c r="BE132" s="165"/>
      <c r="BF132" s="173"/>
      <c r="BG132" s="304"/>
      <c r="BH132" s="601"/>
      <c r="BI132" s="45"/>
      <c r="BJ132" s="46"/>
      <c r="BK132" s="165"/>
      <c r="BL132" s="190"/>
      <c r="BM132" s="167"/>
      <c r="BN132" s="165"/>
      <c r="BO132" s="173"/>
      <c r="BP132" s="190"/>
      <c r="BQ132" s="173"/>
      <c r="BR132" s="168"/>
      <c r="BS132" s="165"/>
      <c r="BT132" s="167"/>
      <c r="BU132" s="165"/>
      <c r="BV132" s="190"/>
      <c r="BW132" s="173"/>
      <c r="BX132" s="173"/>
      <c r="BY132" s="167"/>
      <c r="BZ132" s="199"/>
      <c r="CA132" s="201"/>
      <c r="CB132" s="202"/>
      <c r="CC132" s="200"/>
      <c r="CD132" s="165"/>
      <c r="CE132" s="173"/>
      <c r="CF132" s="173"/>
      <c r="CG132" s="168"/>
      <c r="CH132" s="165"/>
      <c r="CI132" s="167"/>
    </row>
    <row r="133" spans="1:87" x14ac:dyDescent="0.3">
      <c r="A133" s="10">
        <v>2201</v>
      </c>
      <c r="B133" s="11" t="s">
        <v>263</v>
      </c>
      <c r="C133" s="471">
        <v>1515</v>
      </c>
      <c r="D133" s="54">
        <v>717</v>
      </c>
      <c r="E133" s="367">
        <f t="shared" si="1"/>
        <v>0.47326732673267324</v>
      </c>
      <c r="F133" s="45">
        <v>449</v>
      </c>
      <c r="G133" s="45">
        <v>154</v>
      </c>
      <c r="H133" s="45">
        <v>368</v>
      </c>
      <c r="I133" s="45">
        <v>471</v>
      </c>
      <c r="J133" s="46">
        <v>55</v>
      </c>
      <c r="K133" s="165"/>
      <c r="L133" s="304"/>
      <c r="M133" s="601"/>
      <c r="N133" s="165"/>
      <c r="O133" s="165"/>
      <c r="P133" s="190"/>
      <c r="Q133" s="166"/>
      <c r="R133" s="166"/>
      <c r="S133" s="169"/>
      <c r="T133" s="165"/>
      <c r="U133" s="165"/>
      <c r="V133" s="168"/>
      <c r="W133" s="169"/>
      <c r="X133" s="173"/>
      <c r="Y133" s="190"/>
      <c r="Z133" s="167"/>
      <c r="AA133" s="165"/>
      <c r="AB133" s="166"/>
      <c r="AC133" s="169"/>
      <c r="AD133" s="165"/>
      <c r="AE133" s="165"/>
      <c r="AF133" s="167"/>
      <c r="AG133" s="168"/>
      <c r="AH133" s="165"/>
      <c r="AI133" s="167"/>
      <c r="AJ133" s="165"/>
      <c r="AK133" s="173"/>
      <c r="AL133" s="167"/>
      <c r="AM133" s="165"/>
      <c r="AN133" s="173"/>
      <c r="AO133" s="173"/>
      <c r="AP133" s="168"/>
      <c r="AQ133" s="165"/>
      <c r="AR133" s="168"/>
      <c r="AS133" s="165"/>
      <c r="AT133" s="190"/>
      <c r="AU133" s="167"/>
      <c r="AV133" s="165"/>
      <c r="AW133" s="173"/>
      <c r="AX133" s="173"/>
      <c r="AY133" s="190"/>
      <c r="AZ133" s="167"/>
      <c r="BA133" s="165"/>
      <c r="BB133" s="165"/>
      <c r="BC133" s="168"/>
      <c r="BD133" s="165"/>
      <c r="BE133" s="165"/>
      <c r="BF133" s="173"/>
      <c r="BG133" s="304"/>
      <c r="BH133" s="601"/>
      <c r="BI133" s="45"/>
      <c r="BJ133" s="46"/>
      <c r="BK133" s="165"/>
      <c r="BL133" s="190"/>
      <c r="BM133" s="167"/>
      <c r="BN133" s="165"/>
      <c r="BO133" s="173"/>
      <c r="BP133" s="190"/>
      <c r="BQ133" s="173"/>
      <c r="BR133" s="168"/>
      <c r="BS133" s="165"/>
      <c r="BT133" s="167"/>
      <c r="BU133" s="165"/>
      <c r="BV133" s="190"/>
      <c r="BW133" s="173"/>
      <c r="BX133" s="173"/>
      <c r="BY133" s="167"/>
      <c r="BZ133" s="199"/>
      <c r="CA133" s="201"/>
      <c r="CB133" s="202"/>
      <c r="CC133" s="200"/>
      <c r="CD133" s="165"/>
      <c r="CE133" s="173"/>
      <c r="CF133" s="173"/>
      <c r="CG133" s="168"/>
      <c r="CH133" s="165"/>
      <c r="CI133" s="167"/>
    </row>
    <row r="134" spans="1:87" x14ac:dyDescent="0.3">
      <c r="A134" s="10">
        <v>2202</v>
      </c>
      <c r="B134" s="11" t="s">
        <v>264</v>
      </c>
      <c r="C134" s="471">
        <v>1150</v>
      </c>
      <c r="D134" s="54">
        <v>295</v>
      </c>
      <c r="E134" s="367">
        <f t="shared" si="1"/>
        <v>0.2565217391304348</v>
      </c>
      <c r="F134" s="45">
        <v>161</v>
      </c>
      <c r="G134" s="45">
        <v>62</v>
      </c>
      <c r="H134" s="45">
        <v>90</v>
      </c>
      <c r="I134" s="45">
        <v>158</v>
      </c>
      <c r="J134" s="46">
        <v>20</v>
      </c>
      <c r="K134" s="165"/>
      <c r="L134" s="304"/>
      <c r="M134" s="601"/>
      <c r="N134" s="165"/>
      <c r="O134" s="165"/>
      <c r="P134" s="190"/>
      <c r="Q134" s="166"/>
      <c r="R134" s="166"/>
      <c r="S134" s="169"/>
      <c r="T134" s="165"/>
      <c r="U134" s="165"/>
      <c r="V134" s="168"/>
      <c r="W134" s="169"/>
      <c r="X134" s="173"/>
      <c r="Y134" s="190"/>
      <c r="Z134" s="167"/>
      <c r="AA134" s="165"/>
      <c r="AB134" s="166"/>
      <c r="AC134" s="169"/>
      <c r="AD134" s="165"/>
      <c r="AE134" s="165"/>
      <c r="AF134" s="167"/>
      <c r="AG134" s="168"/>
      <c r="AH134" s="165"/>
      <c r="AI134" s="167"/>
      <c r="AJ134" s="165"/>
      <c r="AK134" s="173"/>
      <c r="AL134" s="167"/>
      <c r="AM134" s="165"/>
      <c r="AN134" s="173"/>
      <c r="AO134" s="173"/>
      <c r="AP134" s="168"/>
      <c r="AQ134" s="165"/>
      <c r="AR134" s="168"/>
      <c r="AS134" s="165"/>
      <c r="AT134" s="190"/>
      <c r="AU134" s="167"/>
      <c r="AV134" s="165"/>
      <c r="AW134" s="173"/>
      <c r="AX134" s="173"/>
      <c r="AY134" s="190"/>
      <c r="AZ134" s="167"/>
      <c r="BA134" s="165"/>
      <c r="BB134" s="165"/>
      <c r="BC134" s="168"/>
      <c r="BD134" s="165"/>
      <c r="BE134" s="165"/>
      <c r="BF134" s="173"/>
      <c r="BG134" s="304"/>
      <c r="BH134" s="601"/>
      <c r="BI134" s="45"/>
      <c r="BJ134" s="46"/>
      <c r="BK134" s="165"/>
      <c r="BL134" s="190"/>
      <c r="BM134" s="167"/>
      <c r="BN134" s="165"/>
      <c r="BO134" s="173"/>
      <c r="BP134" s="190"/>
      <c r="BQ134" s="173"/>
      <c r="BR134" s="168"/>
      <c r="BS134" s="165"/>
      <c r="BT134" s="167"/>
      <c r="BU134" s="165"/>
      <c r="BV134" s="190"/>
      <c r="BW134" s="173"/>
      <c r="BX134" s="173"/>
      <c r="BY134" s="167"/>
      <c r="BZ134" s="199"/>
      <c r="CA134" s="201"/>
      <c r="CB134" s="202"/>
      <c r="CC134" s="200"/>
      <c r="CD134" s="165"/>
      <c r="CE134" s="173"/>
      <c r="CF134" s="173"/>
      <c r="CG134" s="168"/>
      <c r="CH134" s="165"/>
      <c r="CI134" s="167"/>
    </row>
    <row r="135" spans="1:87" x14ac:dyDescent="0.3">
      <c r="A135" s="10">
        <v>2203</v>
      </c>
      <c r="B135" s="11" t="s">
        <v>265</v>
      </c>
      <c r="C135" s="471">
        <v>1484</v>
      </c>
      <c r="D135" s="54">
        <v>191</v>
      </c>
      <c r="E135" s="367">
        <f t="shared" si="1"/>
        <v>0.12870619946091644</v>
      </c>
      <c r="F135" s="45">
        <v>109</v>
      </c>
      <c r="G135" s="45">
        <v>49</v>
      </c>
      <c r="H135" s="45">
        <v>67</v>
      </c>
      <c r="I135" s="45">
        <v>129</v>
      </c>
      <c r="J135" s="46">
        <v>10</v>
      </c>
      <c r="K135" s="165"/>
      <c r="L135" s="304"/>
      <c r="M135" s="601"/>
      <c r="N135" s="165"/>
      <c r="O135" s="165"/>
      <c r="P135" s="190"/>
      <c r="Q135" s="166"/>
      <c r="R135" s="166"/>
      <c r="S135" s="169"/>
      <c r="T135" s="165"/>
      <c r="U135" s="165"/>
      <c r="V135" s="168"/>
      <c r="W135" s="169"/>
      <c r="X135" s="173"/>
      <c r="Y135" s="190"/>
      <c r="Z135" s="167"/>
      <c r="AA135" s="165"/>
      <c r="AB135" s="166"/>
      <c r="AC135" s="169"/>
      <c r="AD135" s="165"/>
      <c r="AE135" s="165"/>
      <c r="AF135" s="167"/>
      <c r="AG135" s="168"/>
      <c r="AH135" s="165"/>
      <c r="AI135" s="167"/>
      <c r="AJ135" s="165"/>
      <c r="AK135" s="173"/>
      <c r="AL135" s="167"/>
      <c r="AM135" s="165"/>
      <c r="AN135" s="173"/>
      <c r="AO135" s="173"/>
      <c r="AP135" s="168"/>
      <c r="AQ135" s="165"/>
      <c r="AR135" s="168"/>
      <c r="AS135" s="165"/>
      <c r="AT135" s="190"/>
      <c r="AU135" s="167"/>
      <c r="AV135" s="165"/>
      <c r="AW135" s="173"/>
      <c r="AX135" s="173"/>
      <c r="AY135" s="190"/>
      <c r="AZ135" s="167"/>
      <c r="BA135" s="165"/>
      <c r="BB135" s="165"/>
      <c r="BC135" s="168"/>
      <c r="BD135" s="165"/>
      <c r="BE135" s="165"/>
      <c r="BF135" s="173"/>
      <c r="BG135" s="304"/>
      <c r="BH135" s="601"/>
      <c r="BI135" s="45"/>
      <c r="BJ135" s="46"/>
      <c r="BK135" s="165"/>
      <c r="BL135" s="190"/>
      <c r="BM135" s="167"/>
      <c r="BN135" s="165"/>
      <c r="BO135" s="173"/>
      <c r="BP135" s="190"/>
      <c r="BQ135" s="173"/>
      <c r="BR135" s="168"/>
      <c r="BS135" s="165"/>
      <c r="BT135" s="167"/>
      <c r="BU135" s="165"/>
      <c r="BV135" s="190"/>
      <c r="BW135" s="173"/>
      <c r="BX135" s="173"/>
      <c r="BY135" s="167"/>
      <c r="BZ135" s="199"/>
      <c r="CA135" s="201"/>
      <c r="CB135" s="202"/>
      <c r="CC135" s="200"/>
      <c r="CD135" s="165"/>
      <c r="CE135" s="173"/>
      <c r="CF135" s="173"/>
      <c r="CG135" s="168"/>
      <c r="CH135" s="165"/>
      <c r="CI135" s="167"/>
    </row>
    <row r="136" spans="1:87" x14ac:dyDescent="0.3">
      <c r="A136" s="10">
        <v>2301</v>
      </c>
      <c r="B136" s="11" t="s">
        <v>266</v>
      </c>
      <c r="C136" s="471">
        <v>1509</v>
      </c>
      <c r="D136" s="54">
        <v>709</v>
      </c>
      <c r="E136" s="367">
        <f t="shared" si="1"/>
        <v>0.46984758117958914</v>
      </c>
      <c r="F136" s="45">
        <v>439</v>
      </c>
      <c r="G136" s="45">
        <v>148</v>
      </c>
      <c r="H136" s="45">
        <v>381</v>
      </c>
      <c r="I136" s="45">
        <v>467</v>
      </c>
      <c r="J136" s="46">
        <v>61</v>
      </c>
      <c r="K136" s="165"/>
      <c r="L136" s="304"/>
      <c r="M136" s="601"/>
      <c r="N136" s="165"/>
      <c r="O136" s="165"/>
      <c r="P136" s="190"/>
      <c r="Q136" s="166"/>
      <c r="R136" s="166"/>
      <c r="S136" s="169"/>
      <c r="T136" s="165"/>
      <c r="U136" s="165"/>
      <c r="V136" s="168"/>
      <c r="W136" s="169"/>
      <c r="X136" s="173"/>
      <c r="Y136" s="190"/>
      <c r="Z136" s="167"/>
      <c r="AA136" s="165"/>
      <c r="AB136" s="166"/>
      <c r="AC136" s="169"/>
      <c r="AD136" s="165"/>
      <c r="AE136" s="165"/>
      <c r="AF136" s="167"/>
      <c r="AG136" s="168"/>
      <c r="AH136" s="165"/>
      <c r="AI136" s="167"/>
      <c r="AJ136" s="165"/>
      <c r="AK136" s="173"/>
      <c r="AL136" s="167"/>
      <c r="AM136" s="165"/>
      <c r="AN136" s="173"/>
      <c r="AO136" s="173"/>
      <c r="AP136" s="168"/>
      <c r="AQ136" s="165"/>
      <c r="AR136" s="168"/>
      <c r="AS136" s="165"/>
      <c r="AT136" s="190"/>
      <c r="AU136" s="167"/>
      <c r="AV136" s="165"/>
      <c r="AW136" s="173"/>
      <c r="AX136" s="173"/>
      <c r="AY136" s="190"/>
      <c r="AZ136" s="167"/>
      <c r="BA136" s="165"/>
      <c r="BB136" s="165"/>
      <c r="BC136" s="168"/>
      <c r="BD136" s="165"/>
      <c r="BE136" s="165"/>
      <c r="BF136" s="173"/>
      <c r="BG136" s="304"/>
      <c r="BH136" s="601"/>
      <c r="BI136" s="45"/>
      <c r="BJ136" s="46"/>
      <c r="BK136" s="165"/>
      <c r="BL136" s="190"/>
      <c r="BM136" s="167"/>
      <c r="BN136" s="165"/>
      <c r="BO136" s="173"/>
      <c r="BP136" s="190"/>
      <c r="BQ136" s="173"/>
      <c r="BR136" s="168"/>
      <c r="BS136" s="165"/>
      <c r="BT136" s="167"/>
      <c r="BU136" s="165"/>
      <c r="BV136" s="190"/>
      <c r="BW136" s="173"/>
      <c r="BX136" s="173"/>
      <c r="BY136" s="167"/>
      <c r="BZ136" s="199"/>
      <c r="CA136" s="201"/>
      <c r="CB136" s="202"/>
      <c r="CC136" s="200"/>
      <c r="CD136" s="165"/>
      <c r="CE136" s="173"/>
      <c r="CF136" s="173"/>
      <c r="CG136" s="168"/>
      <c r="CH136" s="165"/>
      <c r="CI136" s="167"/>
    </row>
    <row r="137" spans="1:87" x14ac:dyDescent="0.3">
      <c r="A137" s="10">
        <v>2302</v>
      </c>
      <c r="B137" s="11" t="s">
        <v>267</v>
      </c>
      <c r="C137" s="471">
        <v>1548</v>
      </c>
      <c r="D137" s="54">
        <v>239</v>
      </c>
      <c r="E137" s="367">
        <f t="shared" si="1"/>
        <v>0.15439276485788114</v>
      </c>
      <c r="F137" s="45">
        <v>143</v>
      </c>
      <c r="G137" s="45">
        <v>48</v>
      </c>
      <c r="H137" s="45">
        <v>97</v>
      </c>
      <c r="I137" s="45">
        <v>155</v>
      </c>
      <c r="J137" s="46">
        <v>22</v>
      </c>
      <c r="K137" s="165"/>
      <c r="L137" s="304"/>
      <c r="M137" s="601"/>
      <c r="N137" s="165"/>
      <c r="O137" s="165"/>
      <c r="P137" s="190"/>
      <c r="Q137" s="166"/>
      <c r="R137" s="166"/>
      <c r="S137" s="169"/>
      <c r="T137" s="165"/>
      <c r="U137" s="165"/>
      <c r="V137" s="168"/>
      <c r="W137" s="169"/>
      <c r="X137" s="173"/>
      <c r="Y137" s="190"/>
      <c r="Z137" s="167"/>
      <c r="AA137" s="165"/>
      <c r="AB137" s="166"/>
      <c r="AC137" s="169"/>
      <c r="AD137" s="165"/>
      <c r="AE137" s="165"/>
      <c r="AF137" s="167"/>
      <c r="AG137" s="168"/>
      <c r="AH137" s="165"/>
      <c r="AI137" s="167"/>
      <c r="AJ137" s="165"/>
      <c r="AK137" s="173"/>
      <c r="AL137" s="167"/>
      <c r="AM137" s="165"/>
      <c r="AN137" s="173"/>
      <c r="AO137" s="173"/>
      <c r="AP137" s="168"/>
      <c r="AQ137" s="165"/>
      <c r="AR137" s="168"/>
      <c r="AS137" s="165"/>
      <c r="AT137" s="190"/>
      <c r="AU137" s="167"/>
      <c r="AV137" s="165"/>
      <c r="AW137" s="173"/>
      <c r="AX137" s="173"/>
      <c r="AY137" s="190"/>
      <c r="AZ137" s="167"/>
      <c r="BA137" s="165"/>
      <c r="BB137" s="165"/>
      <c r="BC137" s="168"/>
      <c r="BD137" s="165"/>
      <c r="BE137" s="165"/>
      <c r="BF137" s="173"/>
      <c r="BG137" s="304"/>
      <c r="BH137" s="601"/>
      <c r="BI137" s="45"/>
      <c r="BJ137" s="46"/>
      <c r="BK137" s="165"/>
      <c r="BL137" s="190"/>
      <c r="BM137" s="167"/>
      <c r="BN137" s="165"/>
      <c r="BO137" s="173"/>
      <c r="BP137" s="190"/>
      <c r="BQ137" s="173"/>
      <c r="BR137" s="168"/>
      <c r="BS137" s="165"/>
      <c r="BT137" s="167"/>
      <c r="BU137" s="165"/>
      <c r="BV137" s="190"/>
      <c r="BW137" s="173"/>
      <c r="BX137" s="173"/>
      <c r="BY137" s="167"/>
      <c r="BZ137" s="199"/>
      <c r="CA137" s="201"/>
      <c r="CB137" s="202"/>
      <c r="CC137" s="200"/>
      <c r="CD137" s="165"/>
      <c r="CE137" s="173"/>
      <c r="CF137" s="173"/>
      <c r="CG137" s="168"/>
      <c r="CH137" s="165"/>
      <c r="CI137" s="167"/>
    </row>
    <row r="138" spans="1:87" x14ac:dyDescent="0.3">
      <c r="A138" s="10">
        <v>2303</v>
      </c>
      <c r="B138" s="11" t="s">
        <v>268</v>
      </c>
      <c r="C138" s="471">
        <v>882</v>
      </c>
      <c r="D138" s="54">
        <v>572</v>
      </c>
      <c r="E138" s="367">
        <f t="shared" si="1"/>
        <v>0.64852607709750565</v>
      </c>
      <c r="F138" s="45">
        <v>391</v>
      </c>
      <c r="G138" s="45">
        <v>129</v>
      </c>
      <c r="H138" s="45">
        <v>327</v>
      </c>
      <c r="I138" s="45">
        <v>385</v>
      </c>
      <c r="J138" s="46">
        <v>28</v>
      </c>
      <c r="K138" s="165"/>
      <c r="L138" s="304"/>
      <c r="M138" s="601"/>
      <c r="N138" s="165"/>
      <c r="O138" s="165"/>
      <c r="P138" s="190"/>
      <c r="Q138" s="166"/>
      <c r="R138" s="166"/>
      <c r="S138" s="169"/>
      <c r="T138" s="165"/>
      <c r="U138" s="165"/>
      <c r="V138" s="168"/>
      <c r="W138" s="169"/>
      <c r="X138" s="173"/>
      <c r="Y138" s="190"/>
      <c r="Z138" s="167"/>
      <c r="AA138" s="165"/>
      <c r="AB138" s="166"/>
      <c r="AC138" s="169"/>
      <c r="AD138" s="165"/>
      <c r="AE138" s="165"/>
      <c r="AF138" s="167"/>
      <c r="AG138" s="168"/>
      <c r="AH138" s="165"/>
      <c r="AI138" s="167"/>
      <c r="AJ138" s="165"/>
      <c r="AK138" s="173"/>
      <c r="AL138" s="167"/>
      <c r="AM138" s="165"/>
      <c r="AN138" s="173"/>
      <c r="AO138" s="173"/>
      <c r="AP138" s="168"/>
      <c r="AQ138" s="165"/>
      <c r="AR138" s="168"/>
      <c r="AS138" s="165"/>
      <c r="AT138" s="190"/>
      <c r="AU138" s="167"/>
      <c r="AV138" s="165"/>
      <c r="AW138" s="173"/>
      <c r="AX138" s="173"/>
      <c r="AY138" s="190"/>
      <c r="AZ138" s="167"/>
      <c r="BA138" s="165"/>
      <c r="BB138" s="165"/>
      <c r="BC138" s="168"/>
      <c r="BD138" s="165"/>
      <c r="BE138" s="165"/>
      <c r="BF138" s="173"/>
      <c r="BG138" s="304"/>
      <c r="BH138" s="601"/>
      <c r="BI138" s="45"/>
      <c r="BJ138" s="46"/>
      <c r="BK138" s="165"/>
      <c r="BL138" s="190"/>
      <c r="BM138" s="167"/>
      <c r="BN138" s="165"/>
      <c r="BO138" s="173"/>
      <c r="BP138" s="190"/>
      <c r="BQ138" s="173"/>
      <c r="BR138" s="168"/>
      <c r="BS138" s="165"/>
      <c r="BT138" s="167"/>
      <c r="BU138" s="165"/>
      <c r="BV138" s="190"/>
      <c r="BW138" s="173"/>
      <c r="BX138" s="173"/>
      <c r="BY138" s="167"/>
      <c r="BZ138" s="199"/>
      <c r="CA138" s="201"/>
      <c r="CB138" s="202"/>
      <c r="CC138" s="200"/>
      <c r="CD138" s="165"/>
      <c r="CE138" s="173"/>
      <c r="CF138" s="173"/>
      <c r="CG138" s="168"/>
      <c r="CH138" s="165"/>
      <c r="CI138" s="167"/>
    </row>
    <row r="139" spans="1:87" x14ac:dyDescent="0.3">
      <c r="A139" s="10">
        <v>2304</v>
      </c>
      <c r="B139" s="11" t="s">
        <v>269</v>
      </c>
      <c r="C139" s="471">
        <v>1170</v>
      </c>
      <c r="D139" s="54">
        <v>730</v>
      </c>
      <c r="E139" s="367">
        <f t="shared" si="1"/>
        <v>0.62393162393162394</v>
      </c>
      <c r="F139" s="45">
        <v>504</v>
      </c>
      <c r="G139" s="45">
        <v>196</v>
      </c>
      <c r="H139" s="45">
        <v>415</v>
      </c>
      <c r="I139" s="45">
        <v>495</v>
      </c>
      <c r="J139" s="46">
        <v>23</v>
      </c>
      <c r="K139" s="165"/>
      <c r="L139" s="304"/>
      <c r="M139" s="601"/>
      <c r="N139" s="165"/>
      <c r="O139" s="165"/>
      <c r="P139" s="190"/>
      <c r="Q139" s="166"/>
      <c r="R139" s="166"/>
      <c r="S139" s="169"/>
      <c r="T139" s="165"/>
      <c r="U139" s="165"/>
      <c r="V139" s="168"/>
      <c r="W139" s="169"/>
      <c r="X139" s="173"/>
      <c r="Y139" s="190"/>
      <c r="Z139" s="167"/>
      <c r="AA139" s="165"/>
      <c r="AB139" s="166"/>
      <c r="AC139" s="169"/>
      <c r="AD139" s="165"/>
      <c r="AE139" s="165"/>
      <c r="AF139" s="167"/>
      <c r="AG139" s="168"/>
      <c r="AH139" s="165"/>
      <c r="AI139" s="167"/>
      <c r="AJ139" s="165"/>
      <c r="AK139" s="173"/>
      <c r="AL139" s="167"/>
      <c r="AM139" s="165"/>
      <c r="AN139" s="173"/>
      <c r="AO139" s="173"/>
      <c r="AP139" s="168"/>
      <c r="AQ139" s="165"/>
      <c r="AR139" s="168"/>
      <c r="AS139" s="165"/>
      <c r="AT139" s="190"/>
      <c r="AU139" s="167"/>
      <c r="AV139" s="165"/>
      <c r="AW139" s="173"/>
      <c r="AX139" s="173"/>
      <c r="AY139" s="190"/>
      <c r="AZ139" s="167"/>
      <c r="BA139" s="165"/>
      <c r="BB139" s="165"/>
      <c r="BC139" s="168"/>
      <c r="BD139" s="165"/>
      <c r="BE139" s="165"/>
      <c r="BF139" s="173"/>
      <c r="BG139" s="304"/>
      <c r="BH139" s="601"/>
      <c r="BI139" s="45"/>
      <c r="BJ139" s="46"/>
      <c r="BK139" s="165"/>
      <c r="BL139" s="190"/>
      <c r="BM139" s="167"/>
      <c r="BN139" s="165"/>
      <c r="BO139" s="173"/>
      <c r="BP139" s="190"/>
      <c r="BQ139" s="173"/>
      <c r="BR139" s="168"/>
      <c r="BS139" s="165"/>
      <c r="BT139" s="167"/>
      <c r="BU139" s="165"/>
      <c r="BV139" s="190"/>
      <c r="BW139" s="173"/>
      <c r="BX139" s="173"/>
      <c r="BY139" s="167"/>
      <c r="BZ139" s="199"/>
      <c r="CA139" s="201"/>
      <c r="CB139" s="202"/>
      <c r="CC139" s="200"/>
      <c r="CD139" s="165"/>
      <c r="CE139" s="173"/>
      <c r="CF139" s="173"/>
      <c r="CG139" s="168"/>
      <c r="CH139" s="165"/>
      <c r="CI139" s="167"/>
    </row>
    <row r="140" spans="1:87" x14ac:dyDescent="0.3">
      <c r="A140" s="10">
        <v>2305</v>
      </c>
      <c r="B140" s="11" t="s">
        <v>270</v>
      </c>
      <c r="C140" s="471">
        <v>1036</v>
      </c>
      <c r="D140" s="54">
        <v>351</v>
      </c>
      <c r="E140" s="367">
        <f t="shared" si="1"/>
        <v>0.33880308880308879</v>
      </c>
      <c r="F140" s="45">
        <v>233</v>
      </c>
      <c r="G140" s="45">
        <v>86</v>
      </c>
      <c r="H140" s="45">
        <v>147</v>
      </c>
      <c r="I140" s="45">
        <v>261</v>
      </c>
      <c r="J140" s="46">
        <v>22</v>
      </c>
      <c r="K140" s="165"/>
      <c r="L140" s="304"/>
      <c r="M140" s="601"/>
      <c r="N140" s="165"/>
      <c r="O140" s="165"/>
      <c r="P140" s="190"/>
      <c r="Q140" s="166"/>
      <c r="R140" s="166"/>
      <c r="S140" s="169"/>
      <c r="T140" s="165"/>
      <c r="U140" s="165"/>
      <c r="V140" s="168"/>
      <c r="W140" s="169"/>
      <c r="X140" s="173"/>
      <c r="Y140" s="190"/>
      <c r="Z140" s="167"/>
      <c r="AA140" s="165"/>
      <c r="AB140" s="166"/>
      <c r="AC140" s="169"/>
      <c r="AD140" s="165"/>
      <c r="AE140" s="165"/>
      <c r="AF140" s="167"/>
      <c r="AG140" s="168"/>
      <c r="AH140" s="165"/>
      <c r="AI140" s="167"/>
      <c r="AJ140" s="165"/>
      <c r="AK140" s="173"/>
      <c r="AL140" s="167"/>
      <c r="AM140" s="165"/>
      <c r="AN140" s="173"/>
      <c r="AO140" s="173"/>
      <c r="AP140" s="168"/>
      <c r="AQ140" s="165"/>
      <c r="AR140" s="168"/>
      <c r="AS140" s="165"/>
      <c r="AT140" s="190"/>
      <c r="AU140" s="167"/>
      <c r="AV140" s="165"/>
      <c r="AW140" s="173"/>
      <c r="AX140" s="173"/>
      <c r="AY140" s="190"/>
      <c r="AZ140" s="167"/>
      <c r="BA140" s="165"/>
      <c r="BB140" s="165"/>
      <c r="BC140" s="168"/>
      <c r="BD140" s="165"/>
      <c r="BE140" s="165"/>
      <c r="BF140" s="173"/>
      <c r="BG140" s="304"/>
      <c r="BH140" s="601"/>
      <c r="BI140" s="45"/>
      <c r="BJ140" s="46"/>
      <c r="BK140" s="165"/>
      <c r="BL140" s="190"/>
      <c r="BM140" s="167"/>
      <c r="BN140" s="165"/>
      <c r="BO140" s="173"/>
      <c r="BP140" s="190"/>
      <c r="BQ140" s="173"/>
      <c r="BR140" s="168"/>
      <c r="BS140" s="165"/>
      <c r="BT140" s="167"/>
      <c r="BU140" s="165"/>
      <c r="BV140" s="190"/>
      <c r="BW140" s="173"/>
      <c r="BX140" s="173"/>
      <c r="BY140" s="167"/>
      <c r="BZ140" s="199"/>
      <c r="CA140" s="201"/>
      <c r="CB140" s="202"/>
      <c r="CC140" s="200"/>
      <c r="CD140" s="165"/>
      <c r="CE140" s="173"/>
      <c r="CF140" s="173"/>
      <c r="CG140" s="168"/>
      <c r="CH140" s="165"/>
      <c r="CI140" s="167"/>
    </row>
    <row r="141" spans="1:87" x14ac:dyDescent="0.3">
      <c r="A141" s="10">
        <v>2306</v>
      </c>
      <c r="B141" s="11" t="s">
        <v>271</v>
      </c>
      <c r="C141" s="471">
        <v>1287</v>
      </c>
      <c r="D141" s="54">
        <v>593</v>
      </c>
      <c r="E141" s="367">
        <f t="shared" si="1"/>
        <v>0.46076146076146074</v>
      </c>
      <c r="F141" s="45">
        <v>386</v>
      </c>
      <c r="G141" s="45">
        <v>129</v>
      </c>
      <c r="H141" s="45">
        <v>289</v>
      </c>
      <c r="I141" s="45">
        <v>369</v>
      </c>
      <c r="J141" s="46">
        <v>56</v>
      </c>
      <c r="K141" s="165"/>
      <c r="L141" s="304"/>
      <c r="M141" s="601"/>
      <c r="N141" s="165"/>
      <c r="O141" s="165"/>
      <c r="P141" s="190"/>
      <c r="Q141" s="166"/>
      <c r="R141" s="166"/>
      <c r="S141" s="169"/>
      <c r="T141" s="165"/>
      <c r="U141" s="165"/>
      <c r="V141" s="168"/>
      <c r="W141" s="169"/>
      <c r="X141" s="173"/>
      <c r="Y141" s="190"/>
      <c r="Z141" s="167"/>
      <c r="AA141" s="165"/>
      <c r="AB141" s="166"/>
      <c r="AC141" s="169"/>
      <c r="AD141" s="165"/>
      <c r="AE141" s="165"/>
      <c r="AF141" s="167"/>
      <c r="AG141" s="168"/>
      <c r="AH141" s="165"/>
      <c r="AI141" s="167"/>
      <c r="AJ141" s="165"/>
      <c r="AK141" s="173"/>
      <c r="AL141" s="167"/>
      <c r="AM141" s="165"/>
      <c r="AN141" s="173"/>
      <c r="AO141" s="173"/>
      <c r="AP141" s="168"/>
      <c r="AQ141" s="165"/>
      <c r="AR141" s="168"/>
      <c r="AS141" s="165"/>
      <c r="AT141" s="190"/>
      <c r="AU141" s="167"/>
      <c r="AV141" s="165"/>
      <c r="AW141" s="173"/>
      <c r="AX141" s="173"/>
      <c r="AY141" s="190"/>
      <c r="AZ141" s="167"/>
      <c r="BA141" s="165"/>
      <c r="BB141" s="165"/>
      <c r="BC141" s="168"/>
      <c r="BD141" s="165"/>
      <c r="BE141" s="165"/>
      <c r="BF141" s="173"/>
      <c r="BG141" s="304"/>
      <c r="BH141" s="601"/>
      <c r="BI141" s="45"/>
      <c r="BJ141" s="46"/>
      <c r="BK141" s="165"/>
      <c r="BL141" s="190"/>
      <c r="BM141" s="167"/>
      <c r="BN141" s="165"/>
      <c r="BO141" s="173"/>
      <c r="BP141" s="190"/>
      <c r="BQ141" s="173"/>
      <c r="BR141" s="168"/>
      <c r="BS141" s="165"/>
      <c r="BT141" s="167"/>
      <c r="BU141" s="165"/>
      <c r="BV141" s="190"/>
      <c r="BW141" s="173"/>
      <c r="BX141" s="173"/>
      <c r="BY141" s="167"/>
      <c r="BZ141" s="199"/>
      <c r="CA141" s="201"/>
      <c r="CB141" s="202"/>
      <c r="CC141" s="200"/>
      <c r="CD141" s="165"/>
      <c r="CE141" s="173"/>
      <c r="CF141" s="173"/>
      <c r="CG141" s="168"/>
      <c r="CH141" s="165"/>
      <c r="CI141" s="167"/>
    </row>
    <row r="142" spans="1:87" x14ac:dyDescent="0.3">
      <c r="A142" s="10">
        <v>2307</v>
      </c>
      <c r="B142" s="11" t="s">
        <v>272</v>
      </c>
      <c r="C142" s="471">
        <v>575</v>
      </c>
      <c r="D142" s="54">
        <v>220</v>
      </c>
      <c r="E142" s="367">
        <f t="shared" si="1"/>
        <v>0.38260869565217392</v>
      </c>
      <c r="F142" s="45">
        <v>149</v>
      </c>
      <c r="G142" s="45">
        <v>45</v>
      </c>
      <c r="H142" s="45">
        <v>118</v>
      </c>
      <c r="I142" s="45">
        <v>152</v>
      </c>
      <c r="J142" s="46">
        <v>14</v>
      </c>
      <c r="K142" s="165"/>
      <c r="L142" s="304"/>
      <c r="M142" s="601"/>
      <c r="N142" s="165"/>
      <c r="O142" s="165"/>
      <c r="P142" s="190"/>
      <c r="Q142" s="166"/>
      <c r="R142" s="166"/>
      <c r="S142" s="169"/>
      <c r="T142" s="165"/>
      <c r="U142" s="165"/>
      <c r="V142" s="168"/>
      <c r="W142" s="169"/>
      <c r="X142" s="173"/>
      <c r="Y142" s="190"/>
      <c r="Z142" s="167"/>
      <c r="AA142" s="165"/>
      <c r="AB142" s="166"/>
      <c r="AC142" s="169"/>
      <c r="AD142" s="165"/>
      <c r="AE142" s="165"/>
      <c r="AF142" s="167"/>
      <c r="AG142" s="168"/>
      <c r="AH142" s="165"/>
      <c r="AI142" s="167"/>
      <c r="AJ142" s="165"/>
      <c r="AK142" s="173"/>
      <c r="AL142" s="167"/>
      <c r="AM142" s="165"/>
      <c r="AN142" s="173"/>
      <c r="AO142" s="173"/>
      <c r="AP142" s="168"/>
      <c r="AQ142" s="165"/>
      <c r="AR142" s="168"/>
      <c r="AS142" s="165"/>
      <c r="AT142" s="190"/>
      <c r="AU142" s="167"/>
      <c r="AV142" s="165"/>
      <c r="AW142" s="173"/>
      <c r="AX142" s="173"/>
      <c r="AY142" s="190"/>
      <c r="AZ142" s="167"/>
      <c r="BA142" s="165"/>
      <c r="BB142" s="165"/>
      <c r="BC142" s="168"/>
      <c r="BD142" s="165"/>
      <c r="BE142" s="165"/>
      <c r="BF142" s="173"/>
      <c r="BG142" s="304"/>
      <c r="BH142" s="601"/>
      <c r="BI142" s="45"/>
      <c r="BJ142" s="46"/>
      <c r="BK142" s="165"/>
      <c r="BL142" s="190"/>
      <c r="BM142" s="167"/>
      <c r="BN142" s="165"/>
      <c r="BO142" s="173"/>
      <c r="BP142" s="190"/>
      <c r="BQ142" s="173"/>
      <c r="BR142" s="168"/>
      <c r="BS142" s="165"/>
      <c r="BT142" s="167"/>
      <c r="BU142" s="165"/>
      <c r="BV142" s="190"/>
      <c r="BW142" s="173"/>
      <c r="BX142" s="173"/>
      <c r="BY142" s="167"/>
      <c r="BZ142" s="199"/>
      <c r="CA142" s="201"/>
      <c r="CB142" s="202"/>
      <c r="CC142" s="200"/>
      <c r="CD142" s="165"/>
      <c r="CE142" s="173"/>
      <c r="CF142" s="173"/>
      <c r="CG142" s="168"/>
      <c r="CH142" s="165"/>
      <c r="CI142" s="167"/>
    </row>
    <row r="143" spans="1:87" x14ac:dyDescent="0.3">
      <c r="A143" s="10">
        <v>2308</v>
      </c>
      <c r="B143" s="11" t="s">
        <v>273</v>
      </c>
      <c r="C143" s="471">
        <v>1030</v>
      </c>
      <c r="D143" s="54">
        <v>659</v>
      </c>
      <c r="E143" s="367">
        <f t="shared" si="1"/>
        <v>0.63980582524271845</v>
      </c>
      <c r="F143" s="45">
        <v>414</v>
      </c>
      <c r="G143" s="45">
        <v>105</v>
      </c>
      <c r="H143" s="45">
        <v>343</v>
      </c>
      <c r="I143" s="45">
        <v>380</v>
      </c>
      <c r="J143" s="46">
        <v>86</v>
      </c>
      <c r="K143" s="165"/>
      <c r="L143" s="304"/>
      <c r="M143" s="601"/>
      <c r="N143" s="165"/>
      <c r="O143" s="165"/>
      <c r="P143" s="190"/>
      <c r="Q143" s="166"/>
      <c r="R143" s="166"/>
      <c r="S143" s="169"/>
      <c r="T143" s="165"/>
      <c r="U143" s="165"/>
      <c r="V143" s="168"/>
      <c r="W143" s="169"/>
      <c r="X143" s="173"/>
      <c r="Y143" s="190"/>
      <c r="Z143" s="167"/>
      <c r="AA143" s="165"/>
      <c r="AB143" s="166"/>
      <c r="AC143" s="169"/>
      <c r="AD143" s="165"/>
      <c r="AE143" s="165"/>
      <c r="AF143" s="167"/>
      <c r="AG143" s="168"/>
      <c r="AH143" s="165"/>
      <c r="AI143" s="167"/>
      <c r="AJ143" s="165"/>
      <c r="AK143" s="173"/>
      <c r="AL143" s="167"/>
      <c r="AM143" s="165"/>
      <c r="AN143" s="173"/>
      <c r="AO143" s="173"/>
      <c r="AP143" s="168"/>
      <c r="AQ143" s="165"/>
      <c r="AR143" s="168"/>
      <c r="AS143" s="165"/>
      <c r="AT143" s="190"/>
      <c r="AU143" s="167"/>
      <c r="AV143" s="165"/>
      <c r="AW143" s="173"/>
      <c r="AX143" s="173"/>
      <c r="AY143" s="190"/>
      <c r="AZ143" s="167"/>
      <c r="BA143" s="165"/>
      <c r="BB143" s="165"/>
      <c r="BC143" s="168"/>
      <c r="BD143" s="165"/>
      <c r="BE143" s="165"/>
      <c r="BF143" s="173"/>
      <c r="BG143" s="304"/>
      <c r="BH143" s="601"/>
      <c r="BI143" s="45"/>
      <c r="BJ143" s="46"/>
      <c r="BK143" s="165"/>
      <c r="BL143" s="190"/>
      <c r="BM143" s="167"/>
      <c r="BN143" s="165"/>
      <c r="BO143" s="173"/>
      <c r="BP143" s="190"/>
      <c r="BQ143" s="173"/>
      <c r="BR143" s="168"/>
      <c r="BS143" s="165"/>
      <c r="BT143" s="167"/>
      <c r="BU143" s="165"/>
      <c r="BV143" s="190"/>
      <c r="BW143" s="173"/>
      <c r="BX143" s="173"/>
      <c r="BY143" s="167"/>
      <c r="BZ143" s="199"/>
      <c r="CA143" s="201"/>
      <c r="CB143" s="202"/>
      <c r="CC143" s="200"/>
      <c r="CD143" s="165"/>
      <c r="CE143" s="173"/>
      <c r="CF143" s="173"/>
      <c r="CG143" s="168"/>
      <c r="CH143" s="165"/>
      <c r="CI143" s="167"/>
    </row>
    <row r="144" spans="1:87" x14ac:dyDescent="0.3">
      <c r="A144" s="10">
        <v>2309</v>
      </c>
      <c r="B144" s="11" t="s">
        <v>274</v>
      </c>
      <c r="C144" s="471">
        <v>994</v>
      </c>
      <c r="D144" s="54">
        <v>548</v>
      </c>
      <c r="E144" s="367">
        <f t="shared" ref="E144:E212" si="2">SUM(D144/C144)</f>
        <v>0.55130784708249492</v>
      </c>
      <c r="F144" s="45">
        <v>364</v>
      </c>
      <c r="G144" s="45">
        <v>88</v>
      </c>
      <c r="H144" s="45">
        <v>306</v>
      </c>
      <c r="I144" s="45">
        <v>339</v>
      </c>
      <c r="J144" s="46">
        <v>93</v>
      </c>
      <c r="K144" s="165"/>
      <c r="L144" s="304"/>
      <c r="M144" s="601"/>
      <c r="N144" s="165"/>
      <c r="O144" s="165"/>
      <c r="P144" s="190"/>
      <c r="Q144" s="166"/>
      <c r="R144" s="166"/>
      <c r="S144" s="169"/>
      <c r="T144" s="165"/>
      <c r="U144" s="165"/>
      <c r="V144" s="168"/>
      <c r="W144" s="169"/>
      <c r="X144" s="173"/>
      <c r="Y144" s="190"/>
      <c r="Z144" s="167"/>
      <c r="AA144" s="165"/>
      <c r="AB144" s="166"/>
      <c r="AC144" s="169"/>
      <c r="AD144" s="165"/>
      <c r="AE144" s="165"/>
      <c r="AF144" s="167"/>
      <c r="AG144" s="168"/>
      <c r="AH144" s="165"/>
      <c r="AI144" s="167"/>
      <c r="AJ144" s="165"/>
      <c r="AK144" s="173"/>
      <c r="AL144" s="167"/>
      <c r="AM144" s="165"/>
      <c r="AN144" s="173"/>
      <c r="AO144" s="173"/>
      <c r="AP144" s="168"/>
      <c r="AQ144" s="165"/>
      <c r="AR144" s="168"/>
      <c r="AS144" s="165"/>
      <c r="AT144" s="190"/>
      <c r="AU144" s="167"/>
      <c r="AV144" s="165"/>
      <c r="AW144" s="173"/>
      <c r="AX144" s="173"/>
      <c r="AY144" s="190"/>
      <c r="AZ144" s="167"/>
      <c r="BA144" s="165"/>
      <c r="BB144" s="165"/>
      <c r="BC144" s="168"/>
      <c r="BD144" s="165"/>
      <c r="BE144" s="165"/>
      <c r="BF144" s="173"/>
      <c r="BG144" s="304"/>
      <c r="BH144" s="601"/>
      <c r="BI144" s="45"/>
      <c r="BJ144" s="46"/>
      <c r="BK144" s="165"/>
      <c r="BL144" s="190"/>
      <c r="BM144" s="167"/>
      <c r="BN144" s="165"/>
      <c r="BO144" s="173"/>
      <c r="BP144" s="190"/>
      <c r="BQ144" s="173"/>
      <c r="BR144" s="168"/>
      <c r="BS144" s="165"/>
      <c r="BT144" s="167"/>
      <c r="BU144" s="165"/>
      <c r="BV144" s="190"/>
      <c r="BW144" s="173"/>
      <c r="BX144" s="173"/>
      <c r="BY144" s="167"/>
      <c r="BZ144" s="199"/>
      <c r="CA144" s="201"/>
      <c r="CB144" s="202"/>
      <c r="CC144" s="200"/>
      <c r="CD144" s="165"/>
      <c r="CE144" s="173"/>
      <c r="CF144" s="173"/>
      <c r="CG144" s="168"/>
      <c r="CH144" s="165"/>
      <c r="CI144" s="167"/>
    </row>
    <row r="145" spans="1:87" x14ac:dyDescent="0.3">
      <c r="A145" s="10">
        <v>2310</v>
      </c>
      <c r="B145" s="11" t="s">
        <v>275</v>
      </c>
      <c r="C145" s="471">
        <v>1296</v>
      </c>
      <c r="D145" s="54">
        <v>554</v>
      </c>
      <c r="E145" s="367">
        <f t="shared" si="2"/>
        <v>0.42746913580246915</v>
      </c>
      <c r="F145" s="45">
        <v>296</v>
      </c>
      <c r="G145" s="45">
        <v>138</v>
      </c>
      <c r="H145" s="45">
        <v>233</v>
      </c>
      <c r="I145" s="45">
        <v>327</v>
      </c>
      <c r="J145" s="46">
        <v>78</v>
      </c>
      <c r="K145" s="165"/>
      <c r="L145" s="304"/>
      <c r="M145" s="601"/>
      <c r="N145" s="165"/>
      <c r="O145" s="165"/>
      <c r="P145" s="190"/>
      <c r="Q145" s="166"/>
      <c r="R145" s="166"/>
      <c r="S145" s="169"/>
      <c r="T145" s="165"/>
      <c r="U145" s="165"/>
      <c r="V145" s="168"/>
      <c r="W145" s="169"/>
      <c r="X145" s="173"/>
      <c r="Y145" s="190"/>
      <c r="Z145" s="167"/>
      <c r="AA145" s="165"/>
      <c r="AB145" s="166"/>
      <c r="AC145" s="169"/>
      <c r="AD145" s="165"/>
      <c r="AE145" s="165"/>
      <c r="AF145" s="167"/>
      <c r="AG145" s="168"/>
      <c r="AH145" s="165"/>
      <c r="AI145" s="167"/>
      <c r="AJ145" s="165"/>
      <c r="AK145" s="173"/>
      <c r="AL145" s="167"/>
      <c r="AM145" s="165"/>
      <c r="AN145" s="173"/>
      <c r="AO145" s="173"/>
      <c r="AP145" s="168"/>
      <c r="AQ145" s="165"/>
      <c r="AR145" s="168"/>
      <c r="AS145" s="165"/>
      <c r="AT145" s="190"/>
      <c r="AU145" s="167"/>
      <c r="AV145" s="165"/>
      <c r="AW145" s="173"/>
      <c r="AX145" s="173"/>
      <c r="AY145" s="190"/>
      <c r="AZ145" s="167"/>
      <c r="BA145" s="165"/>
      <c r="BB145" s="165"/>
      <c r="BC145" s="168"/>
      <c r="BD145" s="165"/>
      <c r="BE145" s="165"/>
      <c r="BF145" s="173"/>
      <c r="BG145" s="304"/>
      <c r="BH145" s="601"/>
      <c r="BI145" s="45"/>
      <c r="BJ145" s="46"/>
      <c r="BK145" s="165"/>
      <c r="BL145" s="190"/>
      <c r="BM145" s="167"/>
      <c r="BN145" s="165"/>
      <c r="BO145" s="173"/>
      <c r="BP145" s="190"/>
      <c r="BQ145" s="173"/>
      <c r="BR145" s="168"/>
      <c r="BS145" s="165"/>
      <c r="BT145" s="167"/>
      <c r="BU145" s="165"/>
      <c r="BV145" s="190"/>
      <c r="BW145" s="173"/>
      <c r="BX145" s="173"/>
      <c r="BY145" s="167"/>
      <c r="BZ145" s="199"/>
      <c r="CA145" s="201"/>
      <c r="CB145" s="202"/>
      <c r="CC145" s="200"/>
      <c r="CD145" s="165"/>
      <c r="CE145" s="173"/>
      <c r="CF145" s="173"/>
      <c r="CG145" s="168"/>
      <c r="CH145" s="165"/>
      <c r="CI145" s="167"/>
    </row>
    <row r="146" spans="1:87" x14ac:dyDescent="0.3">
      <c r="A146" s="10">
        <v>2311</v>
      </c>
      <c r="B146" s="11" t="s">
        <v>276</v>
      </c>
      <c r="C146" s="471">
        <v>1210</v>
      </c>
      <c r="D146" s="54">
        <v>653</v>
      </c>
      <c r="E146" s="367">
        <f t="shared" si="2"/>
        <v>0.53966942148760333</v>
      </c>
      <c r="F146" s="45">
        <v>450</v>
      </c>
      <c r="G146" s="45">
        <v>105</v>
      </c>
      <c r="H146" s="45">
        <v>334</v>
      </c>
      <c r="I146" s="45">
        <v>427</v>
      </c>
      <c r="J146" s="46">
        <v>42</v>
      </c>
      <c r="K146" s="165"/>
      <c r="L146" s="304"/>
      <c r="M146" s="601"/>
      <c r="N146" s="165"/>
      <c r="O146" s="165"/>
      <c r="P146" s="190"/>
      <c r="Q146" s="166"/>
      <c r="R146" s="166"/>
      <c r="S146" s="169"/>
      <c r="T146" s="165"/>
      <c r="U146" s="165"/>
      <c r="V146" s="168"/>
      <c r="W146" s="169"/>
      <c r="X146" s="173"/>
      <c r="Y146" s="190"/>
      <c r="Z146" s="167"/>
      <c r="AA146" s="165"/>
      <c r="AB146" s="166"/>
      <c r="AC146" s="169"/>
      <c r="AD146" s="165"/>
      <c r="AE146" s="165"/>
      <c r="AF146" s="167"/>
      <c r="AG146" s="168"/>
      <c r="AH146" s="165"/>
      <c r="AI146" s="167"/>
      <c r="AJ146" s="165"/>
      <c r="AK146" s="173"/>
      <c r="AL146" s="167"/>
      <c r="AM146" s="165"/>
      <c r="AN146" s="173"/>
      <c r="AO146" s="173"/>
      <c r="AP146" s="168"/>
      <c r="AQ146" s="165"/>
      <c r="AR146" s="168"/>
      <c r="AS146" s="165"/>
      <c r="AT146" s="190"/>
      <c r="AU146" s="167"/>
      <c r="AV146" s="165"/>
      <c r="AW146" s="173"/>
      <c r="AX146" s="173"/>
      <c r="AY146" s="190"/>
      <c r="AZ146" s="167"/>
      <c r="BA146" s="165"/>
      <c r="BB146" s="165"/>
      <c r="BC146" s="168"/>
      <c r="BD146" s="165"/>
      <c r="BE146" s="165"/>
      <c r="BF146" s="173"/>
      <c r="BG146" s="304"/>
      <c r="BH146" s="601"/>
      <c r="BI146" s="45"/>
      <c r="BJ146" s="46"/>
      <c r="BK146" s="165"/>
      <c r="BL146" s="190"/>
      <c r="BM146" s="167"/>
      <c r="BN146" s="165"/>
      <c r="BO146" s="173"/>
      <c r="BP146" s="190"/>
      <c r="BQ146" s="173"/>
      <c r="BR146" s="168"/>
      <c r="BS146" s="165"/>
      <c r="BT146" s="167"/>
      <c r="BU146" s="165"/>
      <c r="BV146" s="190"/>
      <c r="BW146" s="173"/>
      <c r="BX146" s="173"/>
      <c r="BY146" s="167"/>
      <c r="BZ146" s="199"/>
      <c r="CA146" s="201"/>
      <c r="CB146" s="202"/>
      <c r="CC146" s="200"/>
      <c r="CD146" s="165"/>
      <c r="CE146" s="173"/>
      <c r="CF146" s="173"/>
      <c r="CG146" s="168"/>
      <c r="CH146" s="165"/>
      <c r="CI146" s="167"/>
    </row>
    <row r="147" spans="1:87" x14ac:dyDescent="0.3">
      <c r="A147" s="10">
        <v>2312</v>
      </c>
      <c r="B147" s="11" t="s">
        <v>277</v>
      </c>
      <c r="C147" s="471">
        <v>612</v>
      </c>
      <c r="D147" s="54">
        <v>221</v>
      </c>
      <c r="E147" s="367">
        <f t="shared" si="2"/>
        <v>0.3611111111111111</v>
      </c>
      <c r="F147" s="45">
        <v>129</v>
      </c>
      <c r="G147" s="45">
        <v>53</v>
      </c>
      <c r="H147" s="45">
        <v>110</v>
      </c>
      <c r="I147" s="45">
        <v>142</v>
      </c>
      <c r="J147" s="46">
        <v>28</v>
      </c>
      <c r="K147" s="165"/>
      <c r="L147" s="304"/>
      <c r="M147" s="601"/>
      <c r="N147" s="165"/>
      <c r="O147" s="165"/>
      <c r="P147" s="190"/>
      <c r="Q147" s="166"/>
      <c r="R147" s="166"/>
      <c r="S147" s="169"/>
      <c r="T147" s="165"/>
      <c r="U147" s="165"/>
      <c r="V147" s="168"/>
      <c r="W147" s="169"/>
      <c r="X147" s="173"/>
      <c r="Y147" s="190"/>
      <c r="Z147" s="167"/>
      <c r="AA147" s="165"/>
      <c r="AB147" s="166"/>
      <c r="AC147" s="169"/>
      <c r="AD147" s="165"/>
      <c r="AE147" s="165"/>
      <c r="AF147" s="167"/>
      <c r="AG147" s="168"/>
      <c r="AH147" s="165"/>
      <c r="AI147" s="167"/>
      <c r="AJ147" s="165"/>
      <c r="AK147" s="173"/>
      <c r="AL147" s="167"/>
      <c r="AM147" s="165"/>
      <c r="AN147" s="173"/>
      <c r="AO147" s="173"/>
      <c r="AP147" s="168"/>
      <c r="AQ147" s="165"/>
      <c r="AR147" s="168"/>
      <c r="AS147" s="165"/>
      <c r="AT147" s="190"/>
      <c r="AU147" s="167"/>
      <c r="AV147" s="165"/>
      <c r="AW147" s="173"/>
      <c r="AX147" s="173"/>
      <c r="AY147" s="190"/>
      <c r="AZ147" s="167"/>
      <c r="BA147" s="165"/>
      <c r="BB147" s="165"/>
      <c r="BC147" s="168"/>
      <c r="BD147" s="165"/>
      <c r="BE147" s="165"/>
      <c r="BF147" s="173"/>
      <c r="BG147" s="304"/>
      <c r="BH147" s="601"/>
      <c r="BI147" s="45"/>
      <c r="BJ147" s="46"/>
      <c r="BK147" s="165"/>
      <c r="BL147" s="190"/>
      <c r="BM147" s="167"/>
      <c r="BN147" s="165"/>
      <c r="BO147" s="173"/>
      <c r="BP147" s="190"/>
      <c r="BQ147" s="173"/>
      <c r="BR147" s="168"/>
      <c r="BS147" s="165"/>
      <c r="BT147" s="167"/>
      <c r="BU147" s="165"/>
      <c r="BV147" s="190"/>
      <c r="BW147" s="173"/>
      <c r="BX147" s="173"/>
      <c r="BY147" s="167"/>
      <c r="BZ147" s="199"/>
      <c r="CA147" s="201"/>
      <c r="CB147" s="202"/>
      <c r="CC147" s="200"/>
      <c r="CD147" s="165"/>
      <c r="CE147" s="173"/>
      <c r="CF147" s="173"/>
      <c r="CG147" s="168"/>
      <c r="CH147" s="165"/>
      <c r="CI147" s="167"/>
    </row>
    <row r="148" spans="1:87" x14ac:dyDescent="0.3">
      <c r="A148" s="10">
        <v>2313</v>
      </c>
      <c r="B148" s="11" t="s">
        <v>278</v>
      </c>
      <c r="C148" s="471">
        <v>1065</v>
      </c>
      <c r="D148" s="54">
        <v>439</v>
      </c>
      <c r="E148" s="367">
        <f t="shared" si="2"/>
        <v>0.41220657276995304</v>
      </c>
      <c r="F148" s="45">
        <v>270</v>
      </c>
      <c r="G148" s="45">
        <v>87</v>
      </c>
      <c r="H148" s="45">
        <v>182</v>
      </c>
      <c r="I148" s="45">
        <v>259</v>
      </c>
      <c r="J148" s="46">
        <v>48</v>
      </c>
      <c r="K148" s="165"/>
      <c r="L148" s="304"/>
      <c r="M148" s="601"/>
      <c r="N148" s="165"/>
      <c r="O148" s="165"/>
      <c r="P148" s="190"/>
      <c r="Q148" s="166"/>
      <c r="R148" s="166"/>
      <c r="S148" s="169"/>
      <c r="T148" s="165"/>
      <c r="U148" s="165"/>
      <c r="V148" s="168"/>
      <c r="W148" s="169"/>
      <c r="X148" s="173"/>
      <c r="Y148" s="190"/>
      <c r="Z148" s="167"/>
      <c r="AA148" s="165"/>
      <c r="AB148" s="166"/>
      <c r="AC148" s="169"/>
      <c r="AD148" s="165"/>
      <c r="AE148" s="165"/>
      <c r="AF148" s="167"/>
      <c r="AG148" s="168"/>
      <c r="AH148" s="165"/>
      <c r="AI148" s="167"/>
      <c r="AJ148" s="165"/>
      <c r="AK148" s="173"/>
      <c r="AL148" s="167"/>
      <c r="AM148" s="165"/>
      <c r="AN148" s="173"/>
      <c r="AO148" s="173"/>
      <c r="AP148" s="168"/>
      <c r="AQ148" s="165"/>
      <c r="AR148" s="168"/>
      <c r="AS148" s="165"/>
      <c r="AT148" s="190"/>
      <c r="AU148" s="167"/>
      <c r="AV148" s="165"/>
      <c r="AW148" s="173"/>
      <c r="AX148" s="173"/>
      <c r="AY148" s="190"/>
      <c r="AZ148" s="167"/>
      <c r="BA148" s="165"/>
      <c r="BB148" s="165"/>
      <c r="BC148" s="168"/>
      <c r="BD148" s="165"/>
      <c r="BE148" s="165"/>
      <c r="BF148" s="173"/>
      <c r="BG148" s="304"/>
      <c r="BH148" s="601"/>
      <c r="BI148" s="45"/>
      <c r="BJ148" s="46"/>
      <c r="BK148" s="165"/>
      <c r="BL148" s="190"/>
      <c r="BM148" s="167"/>
      <c r="BN148" s="165"/>
      <c r="BO148" s="173"/>
      <c r="BP148" s="190"/>
      <c r="BQ148" s="173"/>
      <c r="BR148" s="168"/>
      <c r="BS148" s="165"/>
      <c r="BT148" s="167"/>
      <c r="BU148" s="165"/>
      <c r="BV148" s="190"/>
      <c r="BW148" s="173"/>
      <c r="BX148" s="173"/>
      <c r="BY148" s="167"/>
      <c r="BZ148" s="199"/>
      <c r="CA148" s="201"/>
      <c r="CB148" s="202"/>
      <c r="CC148" s="200"/>
      <c r="CD148" s="165"/>
      <c r="CE148" s="173"/>
      <c r="CF148" s="173"/>
      <c r="CG148" s="168"/>
      <c r="CH148" s="165"/>
      <c r="CI148" s="167"/>
    </row>
    <row r="149" spans="1:87" x14ac:dyDescent="0.3">
      <c r="A149" s="10">
        <v>2314</v>
      </c>
      <c r="B149" s="11" t="s">
        <v>279</v>
      </c>
      <c r="C149" s="471">
        <v>1191</v>
      </c>
      <c r="D149" s="54">
        <v>600</v>
      </c>
      <c r="E149" s="367">
        <f t="shared" si="2"/>
        <v>0.50377833753148615</v>
      </c>
      <c r="F149" s="45">
        <v>388</v>
      </c>
      <c r="G149" s="45">
        <v>106</v>
      </c>
      <c r="H149" s="45">
        <v>312</v>
      </c>
      <c r="I149" s="45">
        <v>361</v>
      </c>
      <c r="J149" s="46">
        <v>72</v>
      </c>
      <c r="K149" s="165"/>
      <c r="L149" s="304"/>
      <c r="M149" s="601"/>
      <c r="N149" s="165"/>
      <c r="O149" s="165"/>
      <c r="P149" s="190"/>
      <c r="Q149" s="166"/>
      <c r="R149" s="166"/>
      <c r="S149" s="169"/>
      <c r="T149" s="165"/>
      <c r="U149" s="165"/>
      <c r="V149" s="168"/>
      <c r="W149" s="169"/>
      <c r="X149" s="173"/>
      <c r="Y149" s="190"/>
      <c r="Z149" s="167"/>
      <c r="AA149" s="165"/>
      <c r="AB149" s="166"/>
      <c r="AC149" s="169"/>
      <c r="AD149" s="165"/>
      <c r="AE149" s="165"/>
      <c r="AF149" s="167"/>
      <c r="AG149" s="168"/>
      <c r="AH149" s="165"/>
      <c r="AI149" s="167"/>
      <c r="AJ149" s="165"/>
      <c r="AK149" s="173"/>
      <c r="AL149" s="167"/>
      <c r="AM149" s="165"/>
      <c r="AN149" s="173"/>
      <c r="AO149" s="173"/>
      <c r="AP149" s="168"/>
      <c r="AQ149" s="165"/>
      <c r="AR149" s="168"/>
      <c r="AS149" s="165"/>
      <c r="AT149" s="190"/>
      <c r="AU149" s="167"/>
      <c r="AV149" s="165"/>
      <c r="AW149" s="173"/>
      <c r="AX149" s="173"/>
      <c r="AY149" s="190"/>
      <c r="AZ149" s="167"/>
      <c r="BA149" s="165"/>
      <c r="BB149" s="165"/>
      <c r="BC149" s="168"/>
      <c r="BD149" s="165"/>
      <c r="BE149" s="165"/>
      <c r="BF149" s="173"/>
      <c r="BG149" s="304"/>
      <c r="BH149" s="601"/>
      <c r="BI149" s="45"/>
      <c r="BJ149" s="46"/>
      <c r="BK149" s="165"/>
      <c r="BL149" s="190"/>
      <c r="BM149" s="167"/>
      <c r="BN149" s="165"/>
      <c r="BO149" s="173"/>
      <c r="BP149" s="190"/>
      <c r="BQ149" s="173"/>
      <c r="BR149" s="168"/>
      <c r="BS149" s="165"/>
      <c r="BT149" s="167"/>
      <c r="BU149" s="165"/>
      <c r="BV149" s="190"/>
      <c r="BW149" s="173"/>
      <c r="BX149" s="173"/>
      <c r="BY149" s="167"/>
      <c r="BZ149" s="199"/>
      <c r="CA149" s="201"/>
      <c r="CB149" s="202"/>
      <c r="CC149" s="200"/>
      <c r="CD149" s="165"/>
      <c r="CE149" s="173"/>
      <c r="CF149" s="173"/>
      <c r="CG149" s="168"/>
      <c r="CH149" s="165"/>
      <c r="CI149" s="167"/>
    </row>
    <row r="150" spans="1:87" x14ac:dyDescent="0.3">
      <c r="A150" s="10">
        <v>2315</v>
      </c>
      <c r="B150" s="11" t="s">
        <v>280</v>
      </c>
      <c r="C150" s="471">
        <v>1057</v>
      </c>
      <c r="D150" s="54">
        <v>618</v>
      </c>
      <c r="E150" s="367">
        <f t="shared" si="2"/>
        <v>0.58467360454115425</v>
      </c>
      <c r="F150" s="45">
        <v>379</v>
      </c>
      <c r="G150" s="45">
        <v>153</v>
      </c>
      <c r="H150" s="45">
        <v>259</v>
      </c>
      <c r="I150" s="45">
        <v>409</v>
      </c>
      <c r="J150" s="46">
        <v>59</v>
      </c>
      <c r="K150" s="165"/>
      <c r="L150" s="304"/>
      <c r="M150" s="601"/>
      <c r="N150" s="165"/>
      <c r="O150" s="165"/>
      <c r="P150" s="190"/>
      <c r="Q150" s="166"/>
      <c r="R150" s="166"/>
      <c r="S150" s="169"/>
      <c r="T150" s="165"/>
      <c r="U150" s="165"/>
      <c r="V150" s="168"/>
      <c r="W150" s="169"/>
      <c r="X150" s="173"/>
      <c r="Y150" s="190"/>
      <c r="Z150" s="167"/>
      <c r="AA150" s="165"/>
      <c r="AB150" s="166"/>
      <c r="AC150" s="169"/>
      <c r="AD150" s="165"/>
      <c r="AE150" s="165"/>
      <c r="AF150" s="167"/>
      <c r="AG150" s="168"/>
      <c r="AH150" s="165"/>
      <c r="AI150" s="167"/>
      <c r="AJ150" s="165"/>
      <c r="AK150" s="173"/>
      <c r="AL150" s="167"/>
      <c r="AM150" s="165"/>
      <c r="AN150" s="173"/>
      <c r="AO150" s="173"/>
      <c r="AP150" s="168"/>
      <c r="AQ150" s="165"/>
      <c r="AR150" s="168"/>
      <c r="AS150" s="165"/>
      <c r="AT150" s="190"/>
      <c r="AU150" s="167"/>
      <c r="AV150" s="165"/>
      <c r="AW150" s="173"/>
      <c r="AX150" s="173"/>
      <c r="AY150" s="190"/>
      <c r="AZ150" s="167"/>
      <c r="BA150" s="165"/>
      <c r="BB150" s="165"/>
      <c r="BC150" s="168"/>
      <c r="BD150" s="165"/>
      <c r="BE150" s="165"/>
      <c r="BF150" s="173"/>
      <c r="BG150" s="304"/>
      <c r="BH150" s="601"/>
      <c r="BI150" s="45">
        <v>0</v>
      </c>
      <c r="BJ150" s="46">
        <v>0</v>
      </c>
      <c r="BK150" s="45">
        <v>0</v>
      </c>
      <c r="BL150" s="53">
        <v>0</v>
      </c>
      <c r="BM150" s="46">
        <v>0</v>
      </c>
      <c r="BN150" s="165"/>
      <c r="BO150" s="173"/>
      <c r="BP150" s="190"/>
      <c r="BQ150" s="173"/>
      <c r="BR150" s="168"/>
      <c r="BS150" s="165"/>
      <c r="BT150" s="167"/>
      <c r="BU150" s="165"/>
      <c r="BV150" s="190"/>
      <c r="BW150" s="173"/>
      <c r="BX150" s="173"/>
      <c r="BY150" s="167"/>
      <c r="BZ150" s="199"/>
      <c r="CA150" s="201"/>
      <c r="CB150" s="202"/>
      <c r="CC150" s="200"/>
      <c r="CD150" s="165"/>
      <c r="CE150" s="173"/>
      <c r="CF150" s="173"/>
      <c r="CG150" s="168"/>
      <c r="CH150" s="165"/>
      <c r="CI150" s="167"/>
    </row>
    <row r="151" spans="1:87" x14ac:dyDescent="0.3">
      <c r="A151" s="10">
        <v>2316</v>
      </c>
      <c r="B151" s="11" t="s">
        <v>281</v>
      </c>
      <c r="C151" s="471">
        <v>1475</v>
      </c>
      <c r="D151" s="54">
        <v>547</v>
      </c>
      <c r="E151" s="367">
        <f t="shared" si="2"/>
        <v>0.37084745762711863</v>
      </c>
      <c r="F151" s="45">
        <v>343</v>
      </c>
      <c r="G151" s="45">
        <v>107</v>
      </c>
      <c r="H151" s="45">
        <v>214</v>
      </c>
      <c r="I151" s="45">
        <v>366</v>
      </c>
      <c r="J151" s="46">
        <v>47</v>
      </c>
      <c r="K151" s="165"/>
      <c r="L151" s="304"/>
      <c r="M151" s="601"/>
      <c r="N151" s="165"/>
      <c r="O151" s="165"/>
      <c r="P151" s="190"/>
      <c r="Q151" s="166"/>
      <c r="R151" s="166"/>
      <c r="S151" s="169"/>
      <c r="T151" s="165"/>
      <c r="U151" s="165"/>
      <c r="V151" s="168"/>
      <c r="W151" s="169"/>
      <c r="X151" s="173"/>
      <c r="Y151" s="190"/>
      <c r="Z151" s="167"/>
      <c r="AA151" s="165"/>
      <c r="AB151" s="166"/>
      <c r="AC151" s="169"/>
      <c r="AD151" s="165"/>
      <c r="AE151" s="165"/>
      <c r="AF151" s="167"/>
      <c r="AG151" s="168"/>
      <c r="AH151" s="165"/>
      <c r="AI151" s="167"/>
      <c r="AJ151" s="165"/>
      <c r="AK151" s="173"/>
      <c r="AL151" s="167"/>
      <c r="AM151" s="165"/>
      <c r="AN151" s="173"/>
      <c r="AO151" s="173"/>
      <c r="AP151" s="168"/>
      <c r="AQ151" s="165"/>
      <c r="AR151" s="168"/>
      <c r="AS151" s="165"/>
      <c r="AT151" s="190"/>
      <c r="AU151" s="167"/>
      <c r="AV151" s="165"/>
      <c r="AW151" s="173"/>
      <c r="AX151" s="173"/>
      <c r="AY151" s="190"/>
      <c r="AZ151" s="167"/>
      <c r="BA151" s="165"/>
      <c r="BB151" s="165"/>
      <c r="BC151" s="168"/>
      <c r="BD151" s="165"/>
      <c r="BE151" s="165"/>
      <c r="BF151" s="173"/>
      <c r="BG151" s="304"/>
      <c r="BH151" s="601"/>
      <c r="BI151" s="45"/>
      <c r="BJ151" s="46"/>
      <c r="BK151" s="199"/>
      <c r="BL151" s="202"/>
      <c r="BM151" s="200"/>
      <c r="BN151" s="165"/>
      <c r="BO151" s="173"/>
      <c r="BP151" s="190"/>
      <c r="BQ151" s="173"/>
      <c r="BR151" s="168"/>
      <c r="BS151" s="165"/>
      <c r="BT151" s="167"/>
      <c r="BU151" s="165"/>
      <c r="BV151" s="190"/>
      <c r="BW151" s="173"/>
      <c r="BX151" s="173"/>
      <c r="BY151" s="167"/>
      <c r="BZ151" s="199"/>
      <c r="CA151" s="201"/>
      <c r="CB151" s="202"/>
      <c r="CC151" s="200"/>
      <c r="CD151" s="165"/>
      <c r="CE151" s="173"/>
      <c r="CF151" s="173"/>
      <c r="CG151" s="168"/>
      <c r="CH151" s="165"/>
      <c r="CI151" s="167"/>
    </row>
    <row r="152" spans="1:87" x14ac:dyDescent="0.3">
      <c r="A152" s="10">
        <v>2317</v>
      </c>
      <c r="B152" s="11" t="s">
        <v>282</v>
      </c>
      <c r="C152" s="471">
        <v>813</v>
      </c>
      <c r="D152" s="54">
        <v>331</v>
      </c>
      <c r="E152" s="367">
        <f t="shared" si="2"/>
        <v>0.40713407134071339</v>
      </c>
      <c r="F152" s="45">
        <v>189</v>
      </c>
      <c r="G152" s="45">
        <v>60</v>
      </c>
      <c r="H152" s="45">
        <v>161</v>
      </c>
      <c r="I152" s="45">
        <v>170</v>
      </c>
      <c r="J152" s="46">
        <v>55</v>
      </c>
      <c r="K152" s="165"/>
      <c r="L152" s="304"/>
      <c r="M152" s="601"/>
      <c r="N152" s="165"/>
      <c r="O152" s="165"/>
      <c r="P152" s="190"/>
      <c r="Q152" s="166"/>
      <c r="R152" s="166"/>
      <c r="S152" s="169"/>
      <c r="T152" s="165"/>
      <c r="U152" s="165"/>
      <c r="V152" s="168"/>
      <c r="W152" s="169"/>
      <c r="X152" s="173"/>
      <c r="Y152" s="190"/>
      <c r="Z152" s="167"/>
      <c r="AA152" s="165"/>
      <c r="AB152" s="166"/>
      <c r="AC152" s="169"/>
      <c r="AD152" s="165"/>
      <c r="AE152" s="165"/>
      <c r="AF152" s="167"/>
      <c r="AG152" s="168"/>
      <c r="AH152" s="165"/>
      <c r="AI152" s="167"/>
      <c r="AJ152" s="165"/>
      <c r="AK152" s="173"/>
      <c r="AL152" s="167"/>
      <c r="AM152" s="165"/>
      <c r="AN152" s="173"/>
      <c r="AO152" s="173"/>
      <c r="AP152" s="168"/>
      <c r="AQ152" s="165"/>
      <c r="AR152" s="168"/>
      <c r="AS152" s="165"/>
      <c r="AT152" s="190"/>
      <c r="AU152" s="167"/>
      <c r="AV152" s="165"/>
      <c r="AW152" s="173"/>
      <c r="AX152" s="173"/>
      <c r="AY152" s="190"/>
      <c r="AZ152" s="167"/>
      <c r="BA152" s="165"/>
      <c r="BB152" s="165"/>
      <c r="BC152" s="168"/>
      <c r="BD152" s="165"/>
      <c r="BE152" s="165"/>
      <c r="BF152" s="173"/>
      <c r="BG152" s="304"/>
      <c r="BH152" s="601"/>
      <c r="BI152" s="45"/>
      <c r="BJ152" s="46"/>
      <c r="BK152" s="199"/>
      <c r="BL152" s="202"/>
      <c r="BM152" s="200"/>
      <c r="BN152" s="165"/>
      <c r="BO152" s="173"/>
      <c r="BP152" s="190"/>
      <c r="BQ152" s="173"/>
      <c r="BR152" s="168"/>
      <c r="BS152" s="165"/>
      <c r="BT152" s="167"/>
      <c r="BU152" s="165"/>
      <c r="BV152" s="190"/>
      <c r="BW152" s="173"/>
      <c r="BX152" s="173"/>
      <c r="BY152" s="167"/>
      <c r="BZ152" s="199"/>
      <c r="CA152" s="201"/>
      <c r="CB152" s="202"/>
      <c r="CC152" s="200"/>
      <c r="CD152" s="165"/>
      <c r="CE152" s="173"/>
      <c r="CF152" s="173"/>
      <c r="CG152" s="168"/>
      <c r="CH152" s="165"/>
      <c r="CI152" s="167"/>
    </row>
    <row r="153" spans="1:87" x14ac:dyDescent="0.3">
      <c r="A153" s="10">
        <v>2318</v>
      </c>
      <c r="B153" s="11" t="s">
        <v>283</v>
      </c>
      <c r="C153" s="471">
        <v>673</v>
      </c>
      <c r="D153" s="54">
        <v>271</v>
      </c>
      <c r="E153" s="367">
        <f t="shared" si="2"/>
        <v>0.40267459138187223</v>
      </c>
      <c r="F153" s="45">
        <v>186</v>
      </c>
      <c r="G153" s="45">
        <v>52</v>
      </c>
      <c r="H153" s="45">
        <v>144</v>
      </c>
      <c r="I153" s="45">
        <v>173</v>
      </c>
      <c r="J153" s="46">
        <v>29</v>
      </c>
      <c r="K153" s="165"/>
      <c r="L153" s="304"/>
      <c r="M153" s="601"/>
      <c r="N153" s="165"/>
      <c r="O153" s="165"/>
      <c r="P153" s="190"/>
      <c r="Q153" s="166"/>
      <c r="R153" s="166"/>
      <c r="S153" s="169"/>
      <c r="T153" s="165"/>
      <c r="U153" s="165"/>
      <c r="V153" s="168"/>
      <c r="W153" s="169"/>
      <c r="X153" s="173"/>
      <c r="Y153" s="190"/>
      <c r="Z153" s="167"/>
      <c r="AA153" s="165"/>
      <c r="AB153" s="166"/>
      <c r="AC153" s="169"/>
      <c r="AD153" s="165"/>
      <c r="AE153" s="165"/>
      <c r="AF153" s="167"/>
      <c r="AG153" s="168"/>
      <c r="AH153" s="165"/>
      <c r="AI153" s="167"/>
      <c r="AJ153" s="165"/>
      <c r="AK153" s="173"/>
      <c r="AL153" s="167"/>
      <c r="AM153" s="165"/>
      <c r="AN153" s="173"/>
      <c r="AO153" s="173"/>
      <c r="AP153" s="168"/>
      <c r="AQ153" s="165"/>
      <c r="AR153" s="168"/>
      <c r="AS153" s="165"/>
      <c r="AT153" s="190"/>
      <c r="AU153" s="167"/>
      <c r="AV153" s="165"/>
      <c r="AW153" s="173"/>
      <c r="AX153" s="173"/>
      <c r="AY153" s="190"/>
      <c r="AZ153" s="167"/>
      <c r="BA153" s="165"/>
      <c r="BB153" s="165"/>
      <c r="BC153" s="168"/>
      <c r="BD153" s="165"/>
      <c r="BE153" s="165"/>
      <c r="BF153" s="173"/>
      <c r="BG153" s="304"/>
      <c r="BH153" s="601"/>
      <c r="BI153" s="45"/>
      <c r="BJ153" s="46"/>
      <c r="BK153" s="199"/>
      <c r="BL153" s="202"/>
      <c r="BM153" s="200"/>
      <c r="BN153" s="165"/>
      <c r="BO153" s="173"/>
      <c r="BP153" s="190"/>
      <c r="BQ153" s="173"/>
      <c r="BR153" s="168"/>
      <c r="BS153" s="165"/>
      <c r="BT153" s="167"/>
      <c r="BU153" s="165"/>
      <c r="BV153" s="190"/>
      <c r="BW153" s="173"/>
      <c r="BX153" s="173"/>
      <c r="BY153" s="167"/>
      <c r="BZ153" s="199"/>
      <c r="CA153" s="201"/>
      <c r="CB153" s="202"/>
      <c r="CC153" s="200"/>
      <c r="CD153" s="165"/>
      <c r="CE153" s="173"/>
      <c r="CF153" s="173"/>
      <c r="CG153" s="168"/>
      <c r="CH153" s="165"/>
      <c r="CI153" s="167"/>
    </row>
    <row r="154" spans="1:87" x14ac:dyDescent="0.3">
      <c r="A154" s="10">
        <v>2401</v>
      </c>
      <c r="B154" s="11" t="s">
        <v>284</v>
      </c>
      <c r="C154" s="471">
        <v>1353</v>
      </c>
      <c r="D154" s="54">
        <v>590</v>
      </c>
      <c r="E154" s="367">
        <f t="shared" si="2"/>
        <v>0.43606799704360683</v>
      </c>
      <c r="F154" s="45">
        <v>410</v>
      </c>
      <c r="G154" s="45">
        <v>126</v>
      </c>
      <c r="H154" s="45">
        <v>274</v>
      </c>
      <c r="I154" s="45">
        <v>440</v>
      </c>
      <c r="J154" s="46">
        <v>35</v>
      </c>
      <c r="K154" s="165"/>
      <c r="L154" s="304"/>
      <c r="M154" s="601"/>
      <c r="N154" s="165"/>
      <c r="O154" s="165"/>
      <c r="P154" s="190"/>
      <c r="Q154" s="166"/>
      <c r="R154" s="166"/>
      <c r="S154" s="169"/>
      <c r="T154" s="165"/>
      <c r="U154" s="165"/>
      <c r="V154" s="168"/>
      <c r="W154" s="169"/>
      <c r="X154" s="173"/>
      <c r="Y154" s="190"/>
      <c r="Z154" s="167"/>
      <c r="AA154" s="165"/>
      <c r="AB154" s="166"/>
      <c r="AC154" s="169"/>
      <c r="AD154" s="165"/>
      <c r="AE154" s="165"/>
      <c r="AF154" s="167"/>
      <c r="AG154" s="168"/>
      <c r="AH154" s="165"/>
      <c r="AI154" s="167"/>
      <c r="AJ154" s="165"/>
      <c r="AK154" s="173"/>
      <c r="AL154" s="167"/>
      <c r="AM154" s="165"/>
      <c r="AN154" s="173"/>
      <c r="AO154" s="173"/>
      <c r="AP154" s="168"/>
      <c r="AQ154" s="165"/>
      <c r="AR154" s="168"/>
      <c r="AS154" s="165"/>
      <c r="AT154" s="190"/>
      <c r="AU154" s="167"/>
      <c r="AV154" s="165"/>
      <c r="AW154" s="173"/>
      <c r="AX154" s="173"/>
      <c r="AY154" s="190"/>
      <c r="AZ154" s="167"/>
      <c r="BA154" s="165"/>
      <c r="BB154" s="165"/>
      <c r="BC154" s="168"/>
      <c r="BD154" s="165"/>
      <c r="BE154" s="165"/>
      <c r="BF154" s="173"/>
      <c r="BG154" s="304"/>
      <c r="BH154" s="601"/>
      <c r="BI154" s="45"/>
      <c r="BJ154" s="46"/>
      <c r="BK154" s="199"/>
      <c r="BL154" s="202"/>
      <c r="BM154" s="200"/>
      <c r="BN154" s="165"/>
      <c r="BO154" s="173"/>
      <c r="BP154" s="190"/>
      <c r="BQ154" s="173"/>
      <c r="BR154" s="168"/>
      <c r="BS154" s="165"/>
      <c r="BT154" s="167"/>
      <c r="BU154" s="165"/>
      <c r="BV154" s="190"/>
      <c r="BW154" s="173"/>
      <c r="BX154" s="173"/>
      <c r="BY154" s="167"/>
      <c r="BZ154" s="199"/>
      <c r="CA154" s="201"/>
      <c r="CB154" s="202"/>
      <c r="CC154" s="200"/>
      <c r="CD154" s="165"/>
      <c r="CE154" s="173"/>
      <c r="CF154" s="173"/>
      <c r="CG154" s="168"/>
      <c r="CH154" s="165"/>
      <c r="CI154" s="167"/>
    </row>
    <row r="155" spans="1:87" x14ac:dyDescent="0.3">
      <c r="A155" s="10">
        <v>2402</v>
      </c>
      <c r="B155" s="11" t="s">
        <v>285</v>
      </c>
      <c r="C155" s="471">
        <v>1440</v>
      </c>
      <c r="D155" s="54">
        <v>598</v>
      </c>
      <c r="E155" s="367">
        <f t="shared" si="2"/>
        <v>0.4152777777777778</v>
      </c>
      <c r="F155" s="45">
        <v>408</v>
      </c>
      <c r="G155" s="45">
        <v>130</v>
      </c>
      <c r="H155" s="45">
        <v>303</v>
      </c>
      <c r="I155" s="45">
        <v>384</v>
      </c>
      <c r="J155" s="46">
        <v>52</v>
      </c>
      <c r="K155" s="165"/>
      <c r="L155" s="304"/>
      <c r="M155" s="601"/>
      <c r="N155" s="165"/>
      <c r="O155" s="165"/>
      <c r="P155" s="190"/>
      <c r="Q155" s="166"/>
      <c r="R155" s="166"/>
      <c r="S155" s="169"/>
      <c r="T155" s="165"/>
      <c r="U155" s="165"/>
      <c r="V155" s="168"/>
      <c r="W155" s="169"/>
      <c r="X155" s="173"/>
      <c r="Y155" s="190"/>
      <c r="Z155" s="167"/>
      <c r="AA155" s="165"/>
      <c r="AB155" s="166"/>
      <c r="AC155" s="169"/>
      <c r="AD155" s="165"/>
      <c r="AE155" s="165"/>
      <c r="AF155" s="167"/>
      <c r="AG155" s="168"/>
      <c r="AH155" s="165"/>
      <c r="AI155" s="167"/>
      <c r="AJ155" s="165"/>
      <c r="AK155" s="173"/>
      <c r="AL155" s="167"/>
      <c r="AM155" s="165"/>
      <c r="AN155" s="173"/>
      <c r="AO155" s="173"/>
      <c r="AP155" s="168"/>
      <c r="AQ155" s="165"/>
      <c r="AR155" s="168"/>
      <c r="AS155" s="165"/>
      <c r="AT155" s="190"/>
      <c r="AU155" s="167"/>
      <c r="AV155" s="165"/>
      <c r="AW155" s="173"/>
      <c r="AX155" s="173"/>
      <c r="AY155" s="190"/>
      <c r="AZ155" s="167"/>
      <c r="BA155" s="165"/>
      <c r="BB155" s="165"/>
      <c r="BC155" s="168"/>
      <c r="BD155" s="165"/>
      <c r="BE155" s="165"/>
      <c r="BF155" s="173"/>
      <c r="BG155" s="304"/>
      <c r="BH155" s="601"/>
      <c r="BI155" s="45"/>
      <c r="BJ155" s="46"/>
      <c r="BK155" s="199"/>
      <c r="BL155" s="202"/>
      <c r="BM155" s="200"/>
      <c r="BN155" s="165"/>
      <c r="BO155" s="173"/>
      <c r="BP155" s="190"/>
      <c r="BQ155" s="173"/>
      <c r="BR155" s="168"/>
      <c r="BS155" s="165"/>
      <c r="BT155" s="167"/>
      <c r="BU155" s="165"/>
      <c r="BV155" s="190"/>
      <c r="BW155" s="173"/>
      <c r="BX155" s="173"/>
      <c r="BY155" s="167"/>
      <c r="BZ155" s="199"/>
      <c r="CA155" s="201"/>
      <c r="CB155" s="202"/>
      <c r="CC155" s="200"/>
      <c r="CD155" s="165"/>
      <c r="CE155" s="173"/>
      <c r="CF155" s="173"/>
      <c r="CG155" s="168"/>
      <c r="CH155" s="165"/>
      <c r="CI155" s="167"/>
    </row>
    <row r="156" spans="1:87" x14ac:dyDescent="0.3">
      <c r="A156" s="10">
        <v>2403</v>
      </c>
      <c r="B156" s="11" t="s">
        <v>286</v>
      </c>
      <c r="C156" s="471">
        <v>1386</v>
      </c>
      <c r="D156" s="54">
        <v>338</v>
      </c>
      <c r="E156" s="367">
        <f t="shared" si="2"/>
        <v>0.24386724386724387</v>
      </c>
      <c r="F156" s="45">
        <v>166</v>
      </c>
      <c r="G156" s="45">
        <v>68</v>
      </c>
      <c r="H156" s="45">
        <v>127</v>
      </c>
      <c r="I156" s="45">
        <v>192</v>
      </c>
      <c r="J156" s="46">
        <v>39</v>
      </c>
      <c r="K156" s="165"/>
      <c r="L156" s="304"/>
      <c r="M156" s="601"/>
      <c r="N156" s="165"/>
      <c r="O156" s="165"/>
      <c r="P156" s="190"/>
      <c r="Q156" s="166"/>
      <c r="R156" s="166"/>
      <c r="S156" s="169"/>
      <c r="T156" s="165"/>
      <c r="U156" s="165"/>
      <c r="V156" s="168"/>
      <c r="W156" s="169"/>
      <c r="X156" s="173"/>
      <c r="Y156" s="190"/>
      <c r="Z156" s="167"/>
      <c r="AA156" s="165"/>
      <c r="AB156" s="166"/>
      <c r="AC156" s="169"/>
      <c r="AD156" s="165"/>
      <c r="AE156" s="165"/>
      <c r="AF156" s="167"/>
      <c r="AG156" s="168"/>
      <c r="AH156" s="165"/>
      <c r="AI156" s="167"/>
      <c r="AJ156" s="165"/>
      <c r="AK156" s="173"/>
      <c r="AL156" s="167"/>
      <c r="AM156" s="165"/>
      <c r="AN156" s="173"/>
      <c r="AO156" s="173"/>
      <c r="AP156" s="168"/>
      <c r="AQ156" s="165"/>
      <c r="AR156" s="168"/>
      <c r="AS156" s="165"/>
      <c r="AT156" s="190"/>
      <c r="AU156" s="167"/>
      <c r="AV156" s="165"/>
      <c r="AW156" s="173"/>
      <c r="AX156" s="173"/>
      <c r="AY156" s="190"/>
      <c r="AZ156" s="167"/>
      <c r="BA156" s="165"/>
      <c r="BB156" s="165"/>
      <c r="BC156" s="168"/>
      <c r="BD156" s="165"/>
      <c r="BE156" s="165"/>
      <c r="BF156" s="173"/>
      <c r="BG156" s="304"/>
      <c r="BH156" s="601"/>
      <c r="BI156" s="45"/>
      <c r="BJ156" s="46"/>
      <c r="BK156" s="199"/>
      <c r="BL156" s="202"/>
      <c r="BM156" s="200"/>
      <c r="BN156" s="165"/>
      <c r="BO156" s="173"/>
      <c r="BP156" s="190"/>
      <c r="BQ156" s="173"/>
      <c r="BR156" s="168"/>
      <c r="BS156" s="165"/>
      <c r="BT156" s="167"/>
      <c r="BU156" s="165"/>
      <c r="BV156" s="190"/>
      <c r="BW156" s="173"/>
      <c r="BX156" s="173"/>
      <c r="BY156" s="167"/>
      <c r="BZ156" s="199"/>
      <c r="CA156" s="201"/>
      <c r="CB156" s="202"/>
      <c r="CC156" s="200"/>
      <c r="CD156" s="165"/>
      <c r="CE156" s="173"/>
      <c r="CF156" s="173"/>
      <c r="CG156" s="168"/>
      <c r="CH156" s="165"/>
      <c r="CI156" s="167"/>
    </row>
    <row r="157" spans="1:87" x14ac:dyDescent="0.3">
      <c r="A157" s="10">
        <v>2404</v>
      </c>
      <c r="B157" s="11" t="s">
        <v>287</v>
      </c>
      <c r="C157" s="471">
        <v>1434</v>
      </c>
      <c r="D157" s="54">
        <v>505</v>
      </c>
      <c r="E157" s="367">
        <f t="shared" si="2"/>
        <v>0.35216178521617852</v>
      </c>
      <c r="F157" s="45">
        <v>255</v>
      </c>
      <c r="G157" s="45">
        <v>109</v>
      </c>
      <c r="H157" s="45">
        <v>179</v>
      </c>
      <c r="I157" s="45">
        <v>252</v>
      </c>
      <c r="J157" s="46">
        <v>68</v>
      </c>
      <c r="K157" s="165"/>
      <c r="L157" s="304"/>
      <c r="M157" s="601"/>
      <c r="N157" s="165"/>
      <c r="O157" s="165"/>
      <c r="P157" s="190"/>
      <c r="Q157" s="166"/>
      <c r="R157" s="166"/>
      <c r="S157" s="169"/>
      <c r="T157" s="165"/>
      <c r="U157" s="165"/>
      <c r="V157" s="168"/>
      <c r="W157" s="169"/>
      <c r="X157" s="173"/>
      <c r="Y157" s="190"/>
      <c r="Z157" s="167"/>
      <c r="AA157" s="165"/>
      <c r="AB157" s="166"/>
      <c r="AC157" s="169"/>
      <c r="AD157" s="165"/>
      <c r="AE157" s="165"/>
      <c r="AF157" s="167"/>
      <c r="AG157" s="168"/>
      <c r="AH157" s="165"/>
      <c r="AI157" s="167"/>
      <c r="AJ157" s="165"/>
      <c r="AK157" s="173"/>
      <c r="AL157" s="167"/>
      <c r="AM157" s="165"/>
      <c r="AN157" s="173"/>
      <c r="AO157" s="173"/>
      <c r="AP157" s="168"/>
      <c r="AQ157" s="165"/>
      <c r="AR157" s="168"/>
      <c r="AS157" s="165"/>
      <c r="AT157" s="190"/>
      <c r="AU157" s="167"/>
      <c r="AV157" s="165"/>
      <c r="AW157" s="173"/>
      <c r="AX157" s="173"/>
      <c r="AY157" s="190"/>
      <c r="AZ157" s="167"/>
      <c r="BA157" s="165"/>
      <c r="BB157" s="165"/>
      <c r="BC157" s="168"/>
      <c r="BD157" s="165"/>
      <c r="BE157" s="165"/>
      <c r="BF157" s="173"/>
      <c r="BG157" s="304"/>
      <c r="BH157" s="601"/>
      <c r="BI157" s="45"/>
      <c r="BJ157" s="46"/>
      <c r="BK157" s="199"/>
      <c r="BL157" s="202"/>
      <c r="BM157" s="200"/>
      <c r="BN157" s="165"/>
      <c r="BO157" s="173"/>
      <c r="BP157" s="190"/>
      <c r="BQ157" s="173"/>
      <c r="BR157" s="168"/>
      <c r="BS157" s="165"/>
      <c r="BT157" s="167"/>
      <c r="BU157" s="165"/>
      <c r="BV157" s="190"/>
      <c r="BW157" s="173"/>
      <c r="BX157" s="173"/>
      <c r="BY157" s="167"/>
      <c r="BZ157" s="199"/>
      <c r="CA157" s="201"/>
      <c r="CB157" s="202"/>
      <c r="CC157" s="200"/>
      <c r="CD157" s="165"/>
      <c r="CE157" s="173"/>
      <c r="CF157" s="173"/>
      <c r="CG157" s="168"/>
      <c r="CH157" s="165"/>
      <c r="CI157" s="167"/>
    </row>
    <row r="158" spans="1:87" x14ac:dyDescent="0.3">
      <c r="A158" s="10">
        <v>2405</v>
      </c>
      <c r="B158" s="11" t="s">
        <v>288</v>
      </c>
      <c r="C158" s="471">
        <v>920</v>
      </c>
      <c r="D158" s="54">
        <v>99</v>
      </c>
      <c r="E158" s="367">
        <f t="shared" si="2"/>
        <v>0.10760869565217392</v>
      </c>
      <c r="F158" s="45">
        <v>50</v>
      </c>
      <c r="G158" s="45">
        <v>13</v>
      </c>
      <c r="H158" s="45">
        <v>22</v>
      </c>
      <c r="I158" s="45">
        <v>67</v>
      </c>
      <c r="J158" s="46">
        <v>14</v>
      </c>
      <c r="K158" s="165"/>
      <c r="L158" s="304"/>
      <c r="M158" s="601"/>
      <c r="N158" s="165"/>
      <c r="O158" s="165"/>
      <c r="P158" s="190"/>
      <c r="Q158" s="166"/>
      <c r="R158" s="166"/>
      <c r="S158" s="169"/>
      <c r="T158" s="165"/>
      <c r="U158" s="165"/>
      <c r="V158" s="168"/>
      <c r="W158" s="169"/>
      <c r="X158" s="173"/>
      <c r="Y158" s="190"/>
      <c r="Z158" s="167"/>
      <c r="AA158" s="165"/>
      <c r="AB158" s="166"/>
      <c r="AC158" s="169"/>
      <c r="AD158" s="165"/>
      <c r="AE158" s="165"/>
      <c r="AF158" s="167"/>
      <c r="AG158" s="168"/>
      <c r="AH158" s="165"/>
      <c r="AI158" s="167"/>
      <c r="AJ158" s="165"/>
      <c r="AK158" s="173"/>
      <c r="AL158" s="167"/>
      <c r="AM158" s="165"/>
      <c r="AN158" s="173"/>
      <c r="AO158" s="173"/>
      <c r="AP158" s="168"/>
      <c r="AQ158" s="165"/>
      <c r="AR158" s="168"/>
      <c r="AS158" s="165"/>
      <c r="AT158" s="190"/>
      <c r="AU158" s="167"/>
      <c r="AV158" s="165"/>
      <c r="AW158" s="173"/>
      <c r="AX158" s="173"/>
      <c r="AY158" s="190"/>
      <c r="AZ158" s="167"/>
      <c r="BA158" s="165"/>
      <c r="BB158" s="165"/>
      <c r="BC158" s="168"/>
      <c r="BD158" s="165"/>
      <c r="BE158" s="165"/>
      <c r="BF158" s="173"/>
      <c r="BG158" s="304"/>
      <c r="BH158" s="601"/>
      <c r="BI158" s="45"/>
      <c r="BJ158" s="46"/>
      <c r="BK158" s="199"/>
      <c r="BL158" s="202"/>
      <c r="BM158" s="200"/>
      <c r="BN158" s="165"/>
      <c r="BO158" s="173"/>
      <c r="BP158" s="190"/>
      <c r="BQ158" s="173"/>
      <c r="BR158" s="168"/>
      <c r="BS158" s="165"/>
      <c r="BT158" s="167"/>
      <c r="BU158" s="165"/>
      <c r="BV158" s="190"/>
      <c r="BW158" s="173"/>
      <c r="BX158" s="173"/>
      <c r="BY158" s="167"/>
      <c r="BZ158" s="199"/>
      <c r="CA158" s="201"/>
      <c r="CB158" s="202"/>
      <c r="CC158" s="200"/>
      <c r="CD158" s="165"/>
      <c r="CE158" s="173"/>
      <c r="CF158" s="173"/>
      <c r="CG158" s="168"/>
      <c r="CH158" s="165"/>
      <c r="CI158" s="167"/>
    </row>
    <row r="159" spans="1:87" x14ac:dyDescent="0.3">
      <c r="A159" s="10">
        <v>2406</v>
      </c>
      <c r="B159" s="11" t="s">
        <v>289</v>
      </c>
      <c r="C159" s="471">
        <v>889</v>
      </c>
      <c r="D159" s="54">
        <v>329</v>
      </c>
      <c r="E159" s="367">
        <f t="shared" si="2"/>
        <v>0.37007874015748032</v>
      </c>
      <c r="F159" s="45">
        <v>245</v>
      </c>
      <c r="G159" s="45">
        <v>64</v>
      </c>
      <c r="H159" s="45">
        <v>156</v>
      </c>
      <c r="I159" s="45">
        <v>234</v>
      </c>
      <c r="J159" s="46">
        <v>26</v>
      </c>
      <c r="K159" s="165"/>
      <c r="L159" s="304"/>
      <c r="M159" s="601"/>
      <c r="N159" s="165"/>
      <c r="O159" s="165"/>
      <c r="P159" s="190"/>
      <c r="Q159" s="166"/>
      <c r="R159" s="166"/>
      <c r="S159" s="169"/>
      <c r="T159" s="165"/>
      <c r="U159" s="165"/>
      <c r="V159" s="168"/>
      <c r="W159" s="169"/>
      <c r="X159" s="173"/>
      <c r="Y159" s="190"/>
      <c r="Z159" s="167"/>
      <c r="AA159" s="165"/>
      <c r="AB159" s="166"/>
      <c r="AC159" s="169"/>
      <c r="AD159" s="165"/>
      <c r="AE159" s="165"/>
      <c r="AF159" s="167"/>
      <c r="AG159" s="168"/>
      <c r="AH159" s="165"/>
      <c r="AI159" s="167"/>
      <c r="AJ159" s="165"/>
      <c r="AK159" s="173"/>
      <c r="AL159" s="167"/>
      <c r="AM159" s="165"/>
      <c r="AN159" s="173"/>
      <c r="AO159" s="173"/>
      <c r="AP159" s="168"/>
      <c r="AQ159" s="165"/>
      <c r="AR159" s="168"/>
      <c r="AS159" s="165"/>
      <c r="AT159" s="190"/>
      <c r="AU159" s="167"/>
      <c r="AV159" s="165"/>
      <c r="AW159" s="173"/>
      <c r="AX159" s="173"/>
      <c r="AY159" s="190"/>
      <c r="AZ159" s="167"/>
      <c r="BA159" s="165"/>
      <c r="BB159" s="165"/>
      <c r="BC159" s="168"/>
      <c r="BD159" s="165"/>
      <c r="BE159" s="165"/>
      <c r="BF159" s="173"/>
      <c r="BG159" s="304"/>
      <c r="BH159" s="601"/>
      <c r="BI159" s="45"/>
      <c r="BJ159" s="46"/>
      <c r="BK159" s="199"/>
      <c r="BL159" s="202"/>
      <c r="BM159" s="200"/>
      <c r="BN159" s="165"/>
      <c r="BO159" s="173"/>
      <c r="BP159" s="190"/>
      <c r="BQ159" s="173"/>
      <c r="BR159" s="168"/>
      <c r="BS159" s="165"/>
      <c r="BT159" s="167"/>
      <c r="BU159" s="165"/>
      <c r="BV159" s="190"/>
      <c r="BW159" s="173"/>
      <c r="BX159" s="173"/>
      <c r="BY159" s="167"/>
      <c r="BZ159" s="199"/>
      <c r="CA159" s="201"/>
      <c r="CB159" s="202"/>
      <c r="CC159" s="200"/>
      <c r="CD159" s="165"/>
      <c r="CE159" s="173"/>
      <c r="CF159" s="173"/>
      <c r="CG159" s="168"/>
      <c r="CH159" s="165"/>
      <c r="CI159" s="167"/>
    </row>
    <row r="160" spans="1:87" x14ac:dyDescent="0.3">
      <c r="A160" s="10">
        <v>2407</v>
      </c>
      <c r="B160" s="11" t="s">
        <v>290</v>
      </c>
      <c r="C160" s="471">
        <v>1354</v>
      </c>
      <c r="D160" s="54">
        <v>563</v>
      </c>
      <c r="E160" s="367">
        <f t="shared" si="2"/>
        <v>0.41580502215657311</v>
      </c>
      <c r="F160" s="45">
        <v>270</v>
      </c>
      <c r="G160" s="45">
        <v>143</v>
      </c>
      <c r="H160" s="45">
        <v>216</v>
      </c>
      <c r="I160" s="45">
        <v>239</v>
      </c>
      <c r="J160" s="46">
        <v>102</v>
      </c>
      <c r="K160" s="165"/>
      <c r="L160" s="304"/>
      <c r="M160" s="601"/>
      <c r="N160" s="165"/>
      <c r="O160" s="165"/>
      <c r="P160" s="190"/>
      <c r="Q160" s="166"/>
      <c r="R160" s="166"/>
      <c r="S160" s="169"/>
      <c r="T160" s="165"/>
      <c r="U160" s="165"/>
      <c r="V160" s="168"/>
      <c r="W160" s="169"/>
      <c r="X160" s="173"/>
      <c r="Y160" s="190"/>
      <c r="Z160" s="167"/>
      <c r="AA160" s="165"/>
      <c r="AB160" s="166"/>
      <c r="AC160" s="169"/>
      <c r="AD160" s="165"/>
      <c r="AE160" s="165"/>
      <c r="AF160" s="167"/>
      <c r="AG160" s="168"/>
      <c r="AH160" s="165"/>
      <c r="AI160" s="167"/>
      <c r="AJ160" s="165"/>
      <c r="AK160" s="173"/>
      <c r="AL160" s="167"/>
      <c r="AM160" s="165"/>
      <c r="AN160" s="173"/>
      <c r="AO160" s="173"/>
      <c r="AP160" s="168"/>
      <c r="AQ160" s="165"/>
      <c r="AR160" s="168"/>
      <c r="AS160" s="165"/>
      <c r="AT160" s="190"/>
      <c r="AU160" s="167"/>
      <c r="AV160" s="165"/>
      <c r="AW160" s="173"/>
      <c r="AX160" s="173"/>
      <c r="AY160" s="190"/>
      <c r="AZ160" s="167"/>
      <c r="BA160" s="165"/>
      <c r="BB160" s="165"/>
      <c r="BC160" s="168"/>
      <c r="BD160" s="165"/>
      <c r="BE160" s="165"/>
      <c r="BF160" s="173"/>
      <c r="BG160" s="304"/>
      <c r="BH160" s="601"/>
      <c r="BI160" s="45"/>
      <c r="BJ160" s="46"/>
      <c r="BK160" s="45"/>
      <c r="BL160" s="53"/>
      <c r="BM160" s="200"/>
      <c r="BN160" s="165"/>
      <c r="BO160" s="173"/>
      <c r="BP160" s="190"/>
      <c r="BQ160" s="173"/>
      <c r="BR160" s="168"/>
      <c r="BS160" s="165"/>
      <c r="BT160" s="167"/>
      <c r="BU160" s="165"/>
      <c r="BV160" s="190"/>
      <c r="BW160" s="173"/>
      <c r="BX160" s="173"/>
      <c r="BY160" s="167"/>
      <c r="BZ160" s="199"/>
      <c r="CA160" s="201"/>
      <c r="CB160" s="202"/>
      <c r="CC160" s="200"/>
      <c r="CD160" s="165"/>
      <c r="CE160" s="173"/>
      <c r="CF160" s="173"/>
      <c r="CG160" s="168"/>
      <c r="CH160" s="165"/>
      <c r="CI160" s="167"/>
    </row>
    <row r="161" spans="1:87" x14ac:dyDescent="0.3">
      <c r="A161" s="10">
        <v>2408</v>
      </c>
      <c r="B161" s="11" t="s">
        <v>291</v>
      </c>
      <c r="C161" s="471">
        <v>540</v>
      </c>
      <c r="D161" s="54">
        <v>29</v>
      </c>
      <c r="E161" s="367">
        <f t="shared" si="2"/>
        <v>5.3703703703703705E-2</v>
      </c>
      <c r="F161" s="45">
        <v>17</v>
      </c>
      <c r="G161" s="45">
        <v>4</v>
      </c>
      <c r="H161" s="45">
        <v>6</v>
      </c>
      <c r="I161" s="45">
        <v>18</v>
      </c>
      <c r="J161" s="46">
        <v>2</v>
      </c>
      <c r="K161" s="165"/>
      <c r="L161" s="304"/>
      <c r="M161" s="601"/>
      <c r="N161" s="165"/>
      <c r="O161" s="165"/>
      <c r="P161" s="190"/>
      <c r="Q161" s="166"/>
      <c r="R161" s="166"/>
      <c r="S161" s="169"/>
      <c r="T161" s="165"/>
      <c r="U161" s="165"/>
      <c r="V161" s="168"/>
      <c r="W161" s="169"/>
      <c r="X161" s="173"/>
      <c r="Y161" s="190"/>
      <c r="Z161" s="167"/>
      <c r="AA161" s="165"/>
      <c r="AB161" s="166"/>
      <c r="AC161" s="169"/>
      <c r="AD161" s="165"/>
      <c r="AE161" s="165"/>
      <c r="AF161" s="167"/>
      <c r="AG161" s="168"/>
      <c r="AH161" s="165"/>
      <c r="AI161" s="167"/>
      <c r="AJ161" s="165"/>
      <c r="AK161" s="173"/>
      <c r="AL161" s="167"/>
      <c r="AM161" s="165"/>
      <c r="AN161" s="173"/>
      <c r="AO161" s="173"/>
      <c r="AP161" s="168"/>
      <c r="AQ161" s="165"/>
      <c r="AR161" s="168"/>
      <c r="AS161" s="165"/>
      <c r="AT161" s="190"/>
      <c r="AU161" s="167"/>
      <c r="AV161" s="165"/>
      <c r="AW161" s="173"/>
      <c r="AX161" s="173"/>
      <c r="AY161" s="190"/>
      <c r="AZ161" s="167"/>
      <c r="BA161" s="165"/>
      <c r="BB161" s="165"/>
      <c r="BC161" s="168"/>
      <c r="BD161" s="165"/>
      <c r="BE161" s="165"/>
      <c r="BF161" s="173"/>
      <c r="BG161" s="304"/>
      <c r="BH161" s="601"/>
      <c r="BI161" s="45"/>
      <c r="BJ161" s="46"/>
      <c r="BK161" s="45"/>
      <c r="BL161" s="53"/>
      <c r="BM161" s="200"/>
      <c r="BN161" s="165"/>
      <c r="BO161" s="173"/>
      <c r="BP161" s="190"/>
      <c r="BQ161" s="173"/>
      <c r="BR161" s="168"/>
      <c r="BS161" s="165"/>
      <c r="BT161" s="167"/>
      <c r="BU161" s="165"/>
      <c r="BV161" s="190"/>
      <c r="BW161" s="173"/>
      <c r="BX161" s="173"/>
      <c r="BY161" s="167"/>
      <c r="BZ161" s="199"/>
      <c r="CA161" s="201"/>
      <c r="CB161" s="202"/>
      <c r="CC161" s="200"/>
      <c r="CD161" s="165"/>
      <c r="CE161" s="173"/>
      <c r="CF161" s="173"/>
      <c r="CG161" s="168"/>
      <c r="CH161" s="165"/>
      <c r="CI161" s="167"/>
    </row>
    <row r="162" spans="1:87" x14ac:dyDescent="0.3">
      <c r="A162" s="10">
        <v>2409</v>
      </c>
      <c r="B162" s="11" t="s">
        <v>292</v>
      </c>
      <c r="C162" s="471">
        <v>630</v>
      </c>
      <c r="D162" s="54">
        <v>52</v>
      </c>
      <c r="E162" s="367">
        <f t="shared" si="2"/>
        <v>8.2539682539682538E-2</v>
      </c>
      <c r="F162" s="45">
        <v>34</v>
      </c>
      <c r="G162" s="45">
        <v>9</v>
      </c>
      <c r="H162" s="45">
        <v>24</v>
      </c>
      <c r="I162" s="45">
        <v>41</v>
      </c>
      <c r="J162" s="46">
        <v>1</v>
      </c>
      <c r="K162" s="165"/>
      <c r="L162" s="304"/>
      <c r="M162" s="601"/>
      <c r="N162" s="165"/>
      <c r="O162" s="165"/>
      <c r="P162" s="190"/>
      <c r="Q162" s="166"/>
      <c r="R162" s="166"/>
      <c r="S162" s="169"/>
      <c r="T162" s="165"/>
      <c r="U162" s="165"/>
      <c r="V162" s="168"/>
      <c r="W162" s="169"/>
      <c r="X162" s="173"/>
      <c r="Y162" s="190"/>
      <c r="Z162" s="167"/>
      <c r="AA162" s="165"/>
      <c r="AB162" s="166"/>
      <c r="AC162" s="169"/>
      <c r="AD162" s="165"/>
      <c r="AE162" s="165"/>
      <c r="AF162" s="167"/>
      <c r="AG162" s="168"/>
      <c r="AH162" s="165"/>
      <c r="AI162" s="167"/>
      <c r="AJ162" s="165"/>
      <c r="AK162" s="173"/>
      <c r="AL162" s="167"/>
      <c r="AM162" s="165"/>
      <c r="AN162" s="173"/>
      <c r="AO162" s="173"/>
      <c r="AP162" s="168"/>
      <c r="AQ162" s="165"/>
      <c r="AR162" s="168"/>
      <c r="AS162" s="165"/>
      <c r="AT162" s="190"/>
      <c r="AU162" s="167"/>
      <c r="AV162" s="165"/>
      <c r="AW162" s="173"/>
      <c r="AX162" s="173"/>
      <c r="AY162" s="190"/>
      <c r="AZ162" s="167"/>
      <c r="BA162" s="165"/>
      <c r="BB162" s="165"/>
      <c r="BC162" s="168"/>
      <c r="BD162" s="165"/>
      <c r="BE162" s="165"/>
      <c r="BF162" s="173"/>
      <c r="BG162" s="304"/>
      <c r="BH162" s="601"/>
      <c r="BI162" s="45"/>
      <c r="BJ162" s="46"/>
      <c r="BK162" s="45"/>
      <c r="BL162" s="53"/>
      <c r="BM162" s="200"/>
      <c r="BN162" s="165"/>
      <c r="BO162" s="173"/>
      <c r="BP162" s="190"/>
      <c r="BQ162" s="173"/>
      <c r="BR162" s="168"/>
      <c r="BS162" s="165"/>
      <c r="BT162" s="167"/>
      <c r="BU162" s="165"/>
      <c r="BV162" s="190"/>
      <c r="BW162" s="173"/>
      <c r="BX162" s="173"/>
      <c r="BY162" s="167"/>
      <c r="BZ162" s="199"/>
      <c r="CA162" s="201"/>
      <c r="CB162" s="202"/>
      <c r="CC162" s="200"/>
      <c r="CD162" s="165"/>
      <c r="CE162" s="173"/>
      <c r="CF162" s="173"/>
      <c r="CG162" s="168"/>
      <c r="CH162" s="165"/>
      <c r="CI162" s="167"/>
    </row>
    <row r="163" spans="1:87" x14ac:dyDescent="0.3">
      <c r="A163" s="10">
        <v>2501</v>
      </c>
      <c r="B163" s="11" t="s">
        <v>293</v>
      </c>
      <c r="C163" s="471">
        <v>1143</v>
      </c>
      <c r="D163" s="54">
        <v>277</v>
      </c>
      <c r="E163" s="367">
        <f t="shared" si="2"/>
        <v>0.24234470691163604</v>
      </c>
      <c r="F163" s="45">
        <v>157</v>
      </c>
      <c r="G163" s="45">
        <v>70</v>
      </c>
      <c r="H163" s="45">
        <v>125</v>
      </c>
      <c r="I163" s="45">
        <v>188</v>
      </c>
      <c r="J163" s="46">
        <v>23</v>
      </c>
      <c r="K163" s="165"/>
      <c r="L163" s="304"/>
      <c r="M163" s="601"/>
      <c r="N163" s="165"/>
      <c r="O163" s="165"/>
      <c r="P163" s="190"/>
      <c r="Q163" s="166"/>
      <c r="R163" s="166"/>
      <c r="S163" s="169"/>
      <c r="T163" s="165"/>
      <c r="U163" s="165"/>
      <c r="V163" s="168"/>
      <c r="W163" s="169"/>
      <c r="X163" s="173"/>
      <c r="Y163" s="190"/>
      <c r="Z163" s="167"/>
      <c r="AA163" s="165"/>
      <c r="AB163" s="166"/>
      <c r="AC163" s="169"/>
      <c r="AD163" s="165"/>
      <c r="AE163" s="165"/>
      <c r="AF163" s="167"/>
      <c r="AG163" s="168"/>
      <c r="AH163" s="165"/>
      <c r="AI163" s="167"/>
      <c r="AJ163" s="165"/>
      <c r="AK163" s="173"/>
      <c r="AL163" s="167"/>
      <c r="AM163" s="165"/>
      <c r="AN163" s="173"/>
      <c r="AO163" s="173"/>
      <c r="AP163" s="168"/>
      <c r="AQ163" s="165"/>
      <c r="AR163" s="168"/>
      <c r="AS163" s="165"/>
      <c r="AT163" s="190"/>
      <c r="AU163" s="167"/>
      <c r="AV163" s="165"/>
      <c r="AW163" s="173"/>
      <c r="AX163" s="173"/>
      <c r="AY163" s="190"/>
      <c r="AZ163" s="167"/>
      <c r="BA163" s="165"/>
      <c r="BB163" s="165"/>
      <c r="BC163" s="168"/>
      <c r="BD163" s="165"/>
      <c r="BE163" s="165"/>
      <c r="BF163" s="173"/>
      <c r="BG163" s="304"/>
      <c r="BH163" s="601"/>
      <c r="BI163" s="45"/>
      <c r="BJ163" s="46"/>
      <c r="BK163" s="45"/>
      <c r="BL163" s="53"/>
      <c r="BM163" s="200"/>
      <c r="BN163" s="165"/>
      <c r="BO163" s="173"/>
      <c r="BP163" s="190"/>
      <c r="BQ163" s="173"/>
      <c r="BR163" s="168"/>
      <c r="BS163" s="165"/>
      <c r="BT163" s="167"/>
      <c r="BU163" s="165"/>
      <c r="BV163" s="190"/>
      <c r="BW163" s="173"/>
      <c r="BX163" s="173"/>
      <c r="BY163" s="167"/>
      <c r="BZ163" s="199"/>
      <c r="CA163" s="201"/>
      <c r="CB163" s="202"/>
      <c r="CC163" s="200"/>
      <c r="CD163" s="165"/>
      <c r="CE163" s="173"/>
      <c r="CF163" s="173"/>
      <c r="CG163" s="168"/>
      <c r="CH163" s="165"/>
      <c r="CI163" s="167"/>
    </row>
    <row r="164" spans="1:87" x14ac:dyDescent="0.3">
      <c r="A164" s="10">
        <v>2502</v>
      </c>
      <c r="B164" s="11" t="s">
        <v>294</v>
      </c>
      <c r="C164" s="471">
        <v>1183</v>
      </c>
      <c r="D164" s="54">
        <v>224</v>
      </c>
      <c r="E164" s="367">
        <f t="shared" si="2"/>
        <v>0.1893491124260355</v>
      </c>
      <c r="F164" s="45">
        <v>104</v>
      </c>
      <c r="G164" s="45">
        <v>65</v>
      </c>
      <c r="H164" s="45">
        <v>72</v>
      </c>
      <c r="I164" s="45">
        <v>101</v>
      </c>
      <c r="J164" s="46">
        <v>38</v>
      </c>
      <c r="K164" s="165"/>
      <c r="L164" s="304"/>
      <c r="M164" s="601"/>
      <c r="N164" s="165"/>
      <c r="O164" s="165"/>
      <c r="P164" s="190"/>
      <c r="Q164" s="166"/>
      <c r="R164" s="166"/>
      <c r="S164" s="169"/>
      <c r="T164" s="165"/>
      <c r="U164" s="165"/>
      <c r="V164" s="168"/>
      <c r="W164" s="169"/>
      <c r="X164" s="173"/>
      <c r="Y164" s="190"/>
      <c r="Z164" s="167"/>
      <c r="AA164" s="165"/>
      <c r="AB164" s="166"/>
      <c r="AC164" s="169"/>
      <c r="AD164" s="165"/>
      <c r="AE164" s="165"/>
      <c r="AF164" s="167"/>
      <c r="AG164" s="168"/>
      <c r="AH164" s="165"/>
      <c r="AI164" s="167"/>
      <c r="AJ164" s="165"/>
      <c r="AK164" s="173"/>
      <c r="AL164" s="167"/>
      <c r="AM164" s="165"/>
      <c r="AN164" s="173"/>
      <c r="AO164" s="173"/>
      <c r="AP164" s="168"/>
      <c r="AQ164" s="165"/>
      <c r="AR164" s="168"/>
      <c r="AS164" s="165"/>
      <c r="AT164" s="190"/>
      <c r="AU164" s="167"/>
      <c r="AV164" s="165"/>
      <c r="AW164" s="173"/>
      <c r="AX164" s="173"/>
      <c r="AY164" s="190"/>
      <c r="AZ164" s="167"/>
      <c r="BA164" s="165"/>
      <c r="BB164" s="165"/>
      <c r="BC164" s="168"/>
      <c r="BD164" s="165"/>
      <c r="BE164" s="165"/>
      <c r="BF164" s="173"/>
      <c r="BG164" s="304"/>
      <c r="BH164" s="601"/>
      <c r="BI164" s="45"/>
      <c r="BJ164" s="46"/>
      <c r="BK164" s="45"/>
      <c r="BL164" s="53"/>
      <c r="BM164" s="200"/>
      <c r="BN164" s="165"/>
      <c r="BO164" s="173"/>
      <c r="BP164" s="190"/>
      <c r="BQ164" s="173"/>
      <c r="BR164" s="168"/>
      <c r="BS164" s="165"/>
      <c r="BT164" s="167"/>
      <c r="BU164" s="165"/>
      <c r="BV164" s="190"/>
      <c r="BW164" s="173"/>
      <c r="BX164" s="173"/>
      <c r="BY164" s="167"/>
      <c r="BZ164" s="199"/>
      <c r="CA164" s="201"/>
      <c r="CB164" s="202"/>
      <c r="CC164" s="200"/>
      <c r="CD164" s="165"/>
      <c r="CE164" s="173"/>
      <c r="CF164" s="173"/>
      <c r="CG164" s="168"/>
      <c r="CH164" s="165"/>
      <c r="CI164" s="167"/>
    </row>
    <row r="165" spans="1:87" x14ac:dyDescent="0.3">
      <c r="A165" s="10">
        <v>2503</v>
      </c>
      <c r="B165" s="11" t="s">
        <v>295</v>
      </c>
      <c r="C165" s="471">
        <v>1113</v>
      </c>
      <c r="D165" s="54">
        <v>622</v>
      </c>
      <c r="E165" s="367">
        <f t="shared" si="2"/>
        <v>0.55884995507637014</v>
      </c>
      <c r="F165" s="45">
        <v>251</v>
      </c>
      <c r="G165" s="45">
        <v>105</v>
      </c>
      <c r="H165" s="45">
        <v>205</v>
      </c>
      <c r="I165" s="45">
        <v>228</v>
      </c>
      <c r="J165" s="46">
        <v>114</v>
      </c>
      <c r="K165" s="165"/>
      <c r="L165" s="304"/>
      <c r="M165" s="601"/>
      <c r="N165" s="165"/>
      <c r="O165" s="165"/>
      <c r="P165" s="190"/>
      <c r="Q165" s="166"/>
      <c r="R165" s="166"/>
      <c r="S165" s="169"/>
      <c r="T165" s="165"/>
      <c r="U165" s="165"/>
      <c r="V165" s="168"/>
      <c r="W165" s="169"/>
      <c r="X165" s="173"/>
      <c r="Y165" s="190"/>
      <c r="Z165" s="167"/>
      <c r="AA165" s="165"/>
      <c r="AB165" s="166"/>
      <c r="AC165" s="169"/>
      <c r="AD165" s="165"/>
      <c r="AE165" s="165"/>
      <c r="AF165" s="167"/>
      <c r="AG165" s="168"/>
      <c r="AH165" s="165"/>
      <c r="AI165" s="167"/>
      <c r="AJ165" s="165"/>
      <c r="AK165" s="173"/>
      <c r="AL165" s="167"/>
      <c r="AM165" s="165"/>
      <c r="AN165" s="173"/>
      <c r="AO165" s="173"/>
      <c r="AP165" s="168"/>
      <c r="AQ165" s="165"/>
      <c r="AR165" s="168"/>
      <c r="AS165" s="165"/>
      <c r="AT165" s="190"/>
      <c r="AU165" s="167"/>
      <c r="AV165" s="165"/>
      <c r="AW165" s="173"/>
      <c r="AX165" s="173"/>
      <c r="AY165" s="190"/>
      <c r="AZ165" s="167"/>
      <c r="BA165" s="165"/>
      <c r="BB165" s="165"/>
      <c r="BC165" s="168"/>
      <c r="BD165" s="165"/>
      <c r="BE165" s="165"/>
      <c r="BF165" s="173"/>
      <c r="BG165" s="304"/>
      <c r="BH165" s="601"/>
      <c r="BI165" s="45"/>
      <c r="BJ165" s="46"/>
      <c r="BK165" s="45"/>
      <c r="BL165" s="53"/>
      <c r="BM165" s="200"/>
      <c r="BN165" s="165"/>
      <c r="BO165" s="173"/>
      <c r="BP165" s="190"/>
      <c r="BQ165" s="173"/>
      <c r="BR165" s="168"/>
      <c r="BS165" s="165"/>
      <c r="BT165" s="167"/>
      <c r="BU165" s="165"/>
      <c r="BV165" s="190"/>
      <c r="BW165" s="173"/>
      <c r="BX165" s="173"/>
      <c r="BY165" s="167"/>
      <c r="BZ165" s="199"/>
      <c r="CA165" s="201"/>
      <c r="CB165" s="202"/>
      <c r="CC165" s="200"/>
      <c r="CD165" s="165"/>
      <c r="CE165" s="173"/>
      <c r="CF165" s="173"/>
      <c r="CG165" s="168"/>
      <c r="CH165" s="165"/>
      <c r="CI165" s="167"/>
    </row>
    <row r="166" spans="1:87" x14ac:dyDescent="0.3">
      <c r="A166" s="10">
        <v>2504</v>
      </c>
      <c r="B166" s="11" t="s">
        <v>296</v>
      </c>
      <c r="C166" s="471">
        <v>1130</v>
      </c>
      <c r="D166" s="54">
        <v>383</v>
      </c>
      <c r="E166" s="367">
        <f t="shared" si="2"/>
        <v>0.33893805309734515</v>
      </c>
      <c r="F166" s="45">
        <v>166</v>
      </c>
      <c r="G166" s="45">
        <v>74</v>
      </c>
      <c r="H166" s="45">
        <v>126</v>
      </c>
      <c r="I166" s="45">
        <v>153</v>
      </c>
      <c r="J166" s="46">
        <v>97</v>
      </c>
      <c r="K166" s="165"/>
      <c r="L166" s="304"/>
      <c r="M166" s="601"/>
      <c r="N166" s="165"/>
      <c r="O166" s="165"/>
      <c r="P166" s="190"/>
      <c r="Q166" s="166"/>
      <c r="R166" s="166"/>
      <c r="S166" s="169"/>
      <c r="T166" s="165"/>
      <c r="U166" s="165"/>
      <c r="V166" s="168"/>
      <c r="W166" s="169"/>
      <c r="X166" s="173"/>
      <c r="Y166" s="190"/>
      <c r="Z166" s="167"/>
      <c r="AA166" s="165"/>
      <c r="AB166" s="166"/>
      <c r="AC166" s="169"/>
      <c r="AD166" s="165"/>
      <c r="AE166" s="165"/>
      <c r="AF166" s="167"/>
      <c r="AG166" s="168"/>
      <c r="AH166" s="165"/>
      <c r="AI166" s="167"/>
      <c r="AJ166" s="165"/>
      <c r="AK166" s="173"/>
      <c r="AL166" s="167"/>
      <c r="AM166" s="165"/>
      <c r="AN166" s="173"/>
      <c r="AO166" s="173"/>
      <c r="AP166" s="168"/>
      <c r="AQ166" s="165"/>
      <c r="AR166" s="168"/>
      <c r="AS166" s="165"/>
      <c r="AT166" s="190"/>
      <c r="AU166" s="167"/>
      <c r="AV166" s="165"/>
      <c r="AW166" s="173"/>
      <c r="AX166" s="173"/>
      <c r="AY166" s="190"/>
      <c r="AZ166" s="167"/>
      <c r="BA166" s="165"/>
      <c r="BB166" s="165"/>
      <c r="BC166" s="168"/>
      <c r="BD166" s="165"/>
      <c r="BE166" s="165"/>
      <c r="BF166" s="173"/>
      <c r="BG166" s="304"/>
      <c r="BH166" s="601"/>
      <c r="BI166" s="45"/>
      <c r="BJ166" s="46"/>
      <c r="BK166" s="45"/>
      <c r="BL166" s="53"/>
      <c r="BM166" s="200"/>
      <c r="BN166" s="165"/>
      <c r="BO166" s="173"/>
      <c r="BP166" s="190"/>
      <c r="BQ166" s="173"/>
      <c r="BR166" s="168"/>
      <c r="BS166" s="165"/>
      <c r="BT166" s="167"/>
      <c r="BU166" s="165"/>
      <c r="BV166" s="190"/>
      <c r="BW166" s="173"/>
      <c r="BX166" s="173"/>
      <c r="BY166" s="167"/>
      <c r="BZ166" s="199"/>
      <c r="CA166" s="201"/>
      <c r="CB166" s="202"/>
      <c r="CC166" s="200"/>
      <c r="CD166" s="165"/>
      <c r="CE166" s="173"/>
      <c r="CF166" s="173"/>
      <c r="CG166" s="168"/>
      <c r="CH166" s="165"/>
      <c r="CI166" s="167"/>
    </row>
    <row r="167" spans="1:87" x14ac:dyDescent="0.3">
      <c r="A167" s="10">
        <v>2505</v>
      </c>
      <c r="B167" s="11" t="s">
        <v>297</v>
      </c>
      <c r="C167" s="471">
        <v>1235</v>
      </c>
      <c r="D167" s="54">
        <v>560</v>
      </c>
      <c r="E167" s="367">
        <f t="shared" si="2"/>
        <v>0.45344129554655871</v>
      </c>
      <c r="F167" s="45">
        <v>252</v>
      </c>
      <c r="G167" s="45">
        <v>97</v>
      </c>
      <c r="H167" s="45">
        <v>194</v>
      </c>
      <c r="I167" s="45">
        <v>231</v>
      </c>
      <c r="J167" s="46">
        <v>160</v>
      </c>
      <c r="K167" s="165"/>
      <c r="L167" s="304"/>
      <c r="M167" s="601"/>
      <c r="N167" s="165"/>
      <c r="O167" s="165"/>
      <c r="P167" s="190"/>
      <c r="Q167" s="166"/>
      <c r="R167" s="166"/>
      <c r="S167" s="169"/>
      <c r="T167" s="165"/>
      <c r="U167" s="165"/>
      <c r="V167" s="168"/>
      <c r="W167" s="169"/>
      <c r="X167" s="173"/>
      <c r="Y167" s="190"/>
      <c r="Z167" s="167"/>
      <c r="AA167" s="165"/>
      <c r="AB167" s="166"/>
      <c r="AC167" s="169"/>
      <c r="AD167" s="165"/>
      <c r="AE167" s="165"/>
      <c r="AF167" s="167"/>
      <c r="AG167" s="168"/>
      <c r="AH167" s="165"/>
      <c r="AI167" s="167"/>
      <c r="AJ167" s="165"/>
      <c r="AK167" s="173"/>
      <c r="AL167" s="167"/>
      <c r="AM167" s="165"/>
      <c r="AN167" s="173"/>
      <c r="AO167" s="173"/>
      <c r="AP167" s="168"/>
      <c r="AQ167" s="165"/>
      <c r="AR167" s="168"/>
      <c r="AS167" s="165"/>
      <c r="AT167" s="190"/>
      <c r="AU167" s="167"/>
      <c r="AV167" s="165"/>
      <c r="AW167" s="173"/>
      <c r="AX167" s="173"/>
      <c r="AY167" s="190"/>
      <c r="AZ167" s="167"/>
      <c r="BA167" s="165"/>
      <c r="BB167" s="165"/>
      <c r="BC167" s="168"/>
      <c r="BD167" s="165"/>
      <c r="BE167" s="165"/>
      <c r="BF167" s="173"/>
      <c r="BG167" s="304"/>
      <c r="BH167" s="601"/>
      <c r="BI167" s="45"/>
      <c r="BJ167" s="46"/>
      <c r="BK167" s="45"/>
      <c r="BL167" s="53"/>
      <c r="BM167" s="200"/>
      <c r="BN167" s="165"/>
      <c r="BO167" s="173"/>
      <c r="BP167" s="190"/>
      <c r="BQ167" s="173"/>
      <c r="BR167" s="168"/>
      <c r="BS167" s="165"/>
      <c r="BT167" s="167"/>
      <c r="BU167" s="165"/>
      <c r="BV167" s="190"/>
      <c r="BW167" s="173"/>
      <c r="BX167" s="173"/>
      <c r="BY167" s="167"/>
      <c r="BZ167" s="199"/>
      <c r="CA167" s="201"/>
      <c r="CB167" s="202"/>
      <c r="CC167" s="200"/>
      <c r="CD167" s="165"/>
      <c r="CE167" s="173"/>
      <c r="CF167" s="173"/>
      <c r="CG167" s="168"/>
      <c r="CH167" s="165"/>
      <c r="CI167" s="167"/>
    </row>
    <row r="168" spans="1:87" x14ac:dyDescent="0.3">
      <c r="A168" s="10">
        <v>2506</v>
      </c>
      <c r="B168" s="11" t="s">
        <v>298</v>
      </c>
      <c r="C168" s="471">
        <v>1255</v>
      </c>
      <c r="D168" s="54">
        <v>443</v>
      </c>
      <c r="E168" s="367">
        <f t="shared" si="2"/>
        <v>0.35298804780876492</v>
      </c>
      <c r="F168" s="45">
        <v>197</v>
      </c>
      <c r="G168" s="45">
        <v>81</v>
      </c>
      <c r="H168" s="45">
        <v>160</v>
      </c>
      <c r="I168" s="45">
        <v>213</v>
      </c>
      <c r="J168" s="46">
        <v>90</v>
      </c>
      <c r="K168" s="165"/>
      <c r="L168" s="304"/>
      <c r="M168" s="601"/>
      <c r="N168" s="165"/>
      <c r="O168" s="165"/>
      <c r="P168" s="190"/>
      <c r="Q168" s="166"/>
      <c r="R168" s="166"/>
      <c r="S168" s="169"/>
      <c r="T168" s="165"/>
      <c r="U168" s="165"/>
      <c r="V168" s="168"/>
      <c r="W168" s="169"/>
      <c r="X168" s="173"/>
      <c r="Y168" s="190"/>
      <c r="Z168" s="167"/>
      <c r="AA168" s="165"/>
      <c r="AB168" s="166"/>
      <c r="AC168" s="169"/>
      <c r="AD168" s="165"/>
      <c r="AE168" s="165"/>
      <c r="AF168" s="167"/>
      <c r="AG168" s="168"/>
      <c r="AH168" s="165"/>
      <c r="AI168" s="167"/>
      <c r="AJ168" s="165"/>
      <c r="AK168" s="173"/>
      <c r="AL168" s="167"/>
      <c r="AM168" s="165"/>
      <c r="AN168" s="173"/>
      <c r="AO168" s="173"/>
      <c r="AP168" s="168"/>
      <c r="AQ168" s="165"/>
      <c r="AR168" s="168"/>
      <c r="AS168" s="165"/>
      <c r="AT168" s="190"/>
      <c r="AU168" s="167"/>
      <c r="AV168" s="165"/>
      <c r="AW168" s="173"/>
      <c r="AX168" s="173"/>
      <c r="AY168" s="190"/>
      <c r="AZ168" s="167"/>
      <c r="BA168" s="165"/>
      <c r="BB168" s="165"/>
      <c r="BC168" s="168"/>
      <c r="BD168" s="165"/>
      <c r="BE168" s="165"/>
      <c r="BF168" s="173"/>
      <c r="BG168" s="304"/>
      <c r="BH168" s="601"/>
      <c r="BI168" s="45"/>
      <c r="BJ168" s="46"/>
      <c r="BK168" s="45"/>
      <c r="BL168" s="53"/>
      <c r="BM168" s="200"/>
      <c r="BN168" s="165"/>
      <c r="BO168" s="173"/>
      <c r="BP168" s="190"/>
      <c r="BQ168" s="173"/>
      <c r="BR168" s="168"/>
      <c r="BS168" s="165"/>
      <c r="BT168" s="167"/>
      <c r="BU168" s="165"/>
      <c r="BV168" s="190"/>
      <c r="BW168" s="173"/>
      <c r="BX168" s="173"/>
      <c r="BY168" s="167"/>
      <c r="BZ168" s="199"/>
      <c r="CA168" s="201"/>
      <c r="CB168" s="202"/>
      <c r="CC168" s="200"/>
      <c r="CD168" s="165"/>
      <c r="CE168" s="173"/>
      <c r="CF168" s="173"/>
      <c r="CG168" s="168"/>
      <c r="CH168" s="165"/>
      <c r="CI168" s="167"/>
    </row>
    <row r="169" spans="1:87" x14ac:dyDescent="0.3">
      <c r="A169" s="10">
        <v>2507</v>
      </c>
      <c r="B169" s="11" t="s">
        <v>299</v>
      </c>
      <c r="C169" s="471">
        <v>621</v>
      </c>
      <c r="D169" s="54">
        <v>223</v>
      </c>
      <c r="E169" s="367">
        <f t="shared" si="2"/>
        <v>0.35909822866344604</v>
      </c>
      <c r="F169" s="45">
        <v>107</v>
      </c>
      <c r="G169" s="45">
        <v>42</v>
      </c>
      <c r="H169" s="45">
        <v>77</v>
      </c>
      <c r="I169" s="45">
        <v>90</v>
      </c>
      <c r="J169" s="46">
        <v>53</v>
      </c>
      <c r="K169" s="165"/>
      <c r="L169" s="304"/>
      <c r="M169" s="601"/>
      <c r="N169" s="165"/>
      <c r="O169" s="165"/>
      <c r="P169" s="190"/>
      <c r="Q169" s="166"/>
      <c r="R169" s="166"/>
      <c r="S169" s="169"/>
      <c r="T169" s="165"/>
      <c r="U169" s="165"/>
      <c r="V169" s="168"/>
      <c r="W169" s="169"/>
      <c r="X169" s="173"/>
      <c r="Y169" s="190"/>
      <c r="Z169" s="167"/>
      <c r="AA169" s="165"/>
      <c r="AB169" s="166"/>
      <c r="AC169" s="169"/>
      <c r="AD169" s="165"/>
      <c r="AE169" s="165"/>
      <c r="AF169" s="167"/>
      <c r="AG169" s="168"/>
      <c r="AH169" s="165"/>
      <c r="AI169" s="167"/>
      <c r="AJ169" s="165"/>
      <c r="AK169" s="173"/>
      <c r="AL169" s="167"/>
      <c r="AM169" s="165"/>
      <c r="AN169" s="173"/>
      <c r="AO169" s="173"/>
      <c r="AP169" s="168"/>
      <c r="AQ169" s="165"/>
      <c r="AR169" s="168"/>
      <c r="AS169" s="165"/>
      <c r="AT169" s="190"/>
      <c r="AU169" s="167"/>
      <c r="AV169" s="165"/>
      <c r="AW169" s="173"/>
      <c r="AX169" s="173"/>
      <c r="AY169" s="190"/>
      <c r="AZ169" s="167"/>
      <c r="BA169" s="165"/>
      <c r="BB169" s="165"/>
      <c r="BC169" s="168"/>
      <c r="BD169" s="165"/>
      <c r="BE169" s="165"/>
      <c r="BF169" s="173"/>
      <c r="BG169" s="304"/>
      <c r="BH169" s="601"/>
      <c r="BI169" s="45"/>
      <c r="BJ169" s="46"/>
      <c r="BK169" s="45"/>
      <c r="BL169" s="53"/>
      <c r="BM169" s="200"/>
      <c r="BN169" s="165"/>
      <c r="BO169" s="173"/>
      <c r="BP169" s="190"/>
      <c r="BQ169" s="173"/>
      <c r="BR169" s="168"/>
      <c r="BS169" s="165"/>
      <c r="BT169" s="167"/>
      <c r="BU169" s="165"/>
      <c r="BV169" s="190"/>
      <c r="BW169" s="173"/>
      <c r="BX169" s="173"/>
      <c r="BY169" s="167"/>
      <c r="BZ169" s="199"/>
      <c r="CA169" s="201"/>
      <c r="CB169" s="202"/>
      <c r="CC169" s="200"/>
      <c r="CD169" s="165"/>
      <c r="CE169" s="173"/>
      <c r="CF169" s="173"/>
      <c r="CG169" s="168"/>
      <c r="CH169" s="165"/>
      <c r="CI169" s="167"/>
    </row>
    <row r="170" spans="1:87" x14ac:dyDescent="0.3">
      <c r="A170" s="10">
        <v>2508</v>
      </c>
      <c r="B170" s="11" t="s">
        <v>300</v>
      </c>
      <c r="C170" s="471">
        <v>1379</v>
      </c>
      <c r="D170" s="54">
        <v>528</v>
      </c>
      <c r="E170" s="367">
        <f t="shared" si="2"/>
        <v>0.38288614938361132</v>
      </c>
      <c r="F170" s="45">
        <v>240</v>
      </c>
      <c r="G170" s="45">
        <v>132</v>
      </c>
      <c r="H170" s="45">
        <v>178</v>
      </c>
      <c r="I170" s="45">
        <v>248</v>
      </c>
      <c r="J170" s="46">
        <v>92</v>
      </c>
      <c r="K170" s="165"/>
      <c r="L170" s="304"/>
      <c r="M170" s="601"/>
      <c r="N170" s="165"/>
      <c r="O170" s="165"/>
      <c r="P170" s="190"/>
      <c r="Q170" s="166"/>
      <c r="R170" s="166"/>
      <c r="S170" s="169"/>
      <c r="T170" s="165"/>
      <c r="U170" s="165"/>
      <c r="V170" s="168"/>
      <c r="W170" s="169"/>
      <c r="X170" s="173"/>
      <c r="Y170" s="190"/>
      <c r="Z170" s="167"/>
      <c r="AA170" s="165"/>
      <c r="AB170" s="166"/>
      <c r="AC170" s="169"/>
      <c r="AD170" s="165"/>
      <c r="AE170" s="165"/>
      <c r="AF170" s="167"/>
      <c r="AG170" s="168"/>
      <c r="AH170" s="165"/>
      <c r="AI170" s="167"/>
      <c r="AJ170" s="165"/>
      <c r="AK170" s="173"/>
      <c r="AL170" s="167"/>
      <c r="AM170" s="165"/>
      <c r="AN170" s="173"/>
      <c r="AO170" s="173"/>
      <c r="AP170" s="168"/>
      <c r="AQ170" s="165"/>
      <c r="AR170" s="168"/>
      <c r="AS170" s="165"/>
      <c r="AT170" s="190"/>
      <c r="AU170" s="167"/>
      <c r="AV170" s="165"/>
      <c r="AW170" s="173"/>
      <c r="AX170" s="173"/>
      <c r="AY170" s="190"/>
      <c r="AZ170" s="167"/>
      <c r="BA170" s="165"/>
      <c r="BB170" s="165"/>
      <c r="BC170" s="168"/>
      <c r="BD170" s="165"/>
      <c r="BE170" s="165"/>
      <c r="BF170" s="173"/>
      <c r="BG170" s="304"/>
      <c r="BH170" s="601"/>
      <c r="BI170" s="45"/>
      <c r="BJ170" s="46"/>
      <c r="BK170" s="45"/>
      <c r="BL170" s="53"/>
      <c r="BM170" s="200"/>
      <c r="BN170" s="165"/>
      <c r="BO170" s="173"/>
      <c r="BP170" s="190"/>
      <c r="BQ170" s="173"/>
      <c r="BR170" s="168"/>
      <c r="BS170" s="165"/>
      <c r="BT170" s="167"/>
      <c r="BU170" s="165"/>
      <c r="BV170" s="190"/>
      <c r="BW170" s="173"/>
      <c r="BX170" s="173"/>
      <c r="BY170" s="167"/>
      <c r="BZ170" s="199"/>
      <c r="CA170" s="201"/>
      <c r="CB170" s="202"/>
      <c r="CC170" s="200"/>
      <c r="CD170" s="165"/>
      <c r="CE170" s="173"/>
      <c r="CF170" s="173"/>
      <c r="CG170" s="168"/>
      <c r="CH170" s="165"/>
      <c r="CI170" s="167"/>
    </row>
    <row r="171" spans="1:87" x14ac:dyDescent="0.3">
      <c r="A171" s="10">
        <v>2509</v>
      </c>
      <c r="B171" s="11" t="s">
        <v>301</v>
      </c>
      <c r="C171" s="471">
        <v>1227</v>
      </c>
      <c r="D171" s="54">
        <v>463</v>
      </c>
      <c r="E171" s="367">
        <f t="shared" si="2"/>
        <v>0.3773431132844336</v>
      </c>
      <c r="F171" s="45">
        <v>192</v>
      </c>
      <c r="G171" s="45">
        <v>108</v>
      </c>
      <c r="H171" s="45">
        <v>157</v>
      </c>
      <c r="I171" s="45">
        <v>180</v>
      </c>
      <c r="J171" s="46">
        <v>116</v>
      </c>
      <c r="K171" s="165"/>
      <c r="L171" s="304"/>
      <c r="M171" s="601"/>
      <c r="N171" s="165"/>
      <c r="O171" s="165"/>
      <c r="P171" s="190"/>
      <c r="Q171" s="166"/>
      <c r="R171" s="166"/>
      <c r="S171" s="169"/>
      <c r="T171" s="165"/>
      <c r="U171" s="165"/>
      <c r="V171" s="168"/>
      <c r="W171" s="169"/>
      <c r="X171" s="173"/>
      <c r="Y171" s="190"/>
      <c r="Z171" s="167"/>
      <c r="AA171" s="165"/>
      <c r="AB171" s="166"/>
      <c r="AC171" s="169"/>
      <c r="AD171" s="165"/>
      <c r="AE171" s="165"/>
      <c r="AF171" s="167"/>
      <c r="AG171" s="168"/>
      <c r="AH171" s="165"/>
      <c r="AI171" s="167"/>
      <c r="AJ171" s="165"/>
      <c r="AK171" s="173"/>
      <c r="AL171" s="167"/>
      <c r="AM171" s="165"/>
      <c r="AN171" s="173"/>
      <c r="AO171" s="173"/>
      <c r="AP171" s="168"/>
      <c r="AQ171" s="165"/>
      <c r="AR171" s="168"/>
      <c r="AS171" s="165"/>
      <c r="AT171" s="190"/>
      <c r="AU171" s="167"/>
      <c r="AV171" s="165"/>
      <c r="AW171" s="173"/>
      <c r="AX171" s="173"/>
      <c r="AY171" s="190"/>
      <c r="AZ171" s="167"/>
      <c r="BA171" s="165"/>
      <c r="BB171" s="165"/>
      <c r="BC171" s="168"/>
      <c r="BD171" s="165"/>
      <c r="BE171" s="165"/>
      <c r="BF171" s="173"/>
      <c r="BG171" s="304"/>
      <c r="BH171" s="601"/>
      <c r="BI171" s="45"/>
      <c r="BJ171" s="46"/>
      <c r="BK171" s="45"/>
      <c r="BL171" s="53"/>
      <c r="BM171" s="200"/>
      <c r="BN171" s="165"/>
      <c r="BO171" s="173"/>
      <c r="BP171" s="190"/>
      <c r="BQ171" s="173"/>
      <c r="BR171" s="168"/>
      <c r="BS171" s="165"/>
      <c r="BT171" s="167"/>
      <c r="BU171" s="165"/>
      <c r="BV171" s="190"/>
      <c r="BW171" s="173"/>
      <c r="BX171" s="173"/>
      <c r="BY171" s="167"/>
      <c r="BZ171" s="45"/>
      <c r="CA171" s="54"/>
      <c r="CB171" s="53"/>
      <c r="CC171" s="200"/>
      <c r="CD171" s="165"/>
      <c r="CE171" s="173"/>
      <c r="CF171" s="173"/>
      <c r="CG171" s="168"/>
      <c r="CH171" s="165"/>
      <c r="CI171" s="167"/>
    </row>
    <row r="172" spans="1:87" x14ac:dyDescent="0.3">
      <c r="A172" s="10">
        <v>2510</v>
      </c>
      <c r="B172" s="11" t="s">
        <v>302</v>
      </c>
      <c r="C172" s="471">
        <v>1213</v>
      </c>
      <c r="D172" s="54">
        <v>341</v>
      </c>
      <c r="E172" s="367">
        <f t="shared" si="2"/>
        <v>0.28112118713932399</v>
      </c>
      <c r="F172" s="45">
        <v>189</v>
      </c>
      <c r="G172" s="45">
        <v>69</v>
      </c>
      <c r="H172" s="45">
        <v>137</v>
      </c>
      <c r="I172" s="45">
        <v>207</v>
      </c>
      <c r="J172" s="46">
        <v>46</v>
      </c>
      <c r="K172" s="165"/>
      <c r="L172" s="304"/>
      <c r="M172" s="601"/>
      <c r="N172" s="165"/>
      <c r="O172" s="165"/>
      <c r="P172" s="190"/>
      <c r="Q172" s="166"/>
      <c r="R172" s="166"/>
      <c r="S172" s="169"/>
      <c r="T172" s="165"/>
      <c r="U172" s="165"/>
      <c r="V172" s="168"/>
      <c r="W172" s="169"/>
      <c r="X172" s="173"/>
      <c r="Y172" s="190"/>
      <c r="Z172" s="167"/>
      <c r="AA172" s="165"/>
      <c r="AB172" s="166"/>
      <c r="AC172" s="169"/>
      <c r="AD172" s="165"/>
      <c r="AE172" s="165"/>
      <c r="AF172" s="167"/>
      <c r="AG172" s="168"/>
      <c r="AH172" s="165"/>
      <c r="AI172" s="167"/>
      <c r="AJ172" s="165"/>
      <c r="AK172" s="173"/>
      <c r="AL172" s="167"/>
      <c r="AM172" s="165"/>
      <c r="AN172" s="173"/>
      <c r="AO172" s="173"/>
      <c r="AP172" s="168"/>
      <c r="AQ172" s="165"/>
      <c r="AR172" s="168"/>
      <c r="AS172" s="165"/>
      <c r="AT172" s="190"/>
      <c r="AU172" s="167"/>
      <c r="AV172" s="165"/>
      <c r="AW172" s="173"/>
      <c r="AX172" s="173"/>
      <c r="AY172" s="190"/>
      <c r="AZ172" s="167"/>
      <c r="BA172" s="165"/>
      <c r="BB172" s="165"/>
      <c r="BC172" s="168"/>
      <c r="BD172" s="165"/>
      <c r="BE172" s="165"/>
      <c r="BF172" s="173"/>
      <c r="BG172" s="304"/>
      <c r="BH172" s="601"/>
      <c r="BI172" s="45"/>
      <c r="BJ172" s="46"/>
      <c r="BK172" s="45"/>
      <c r="BL172" s="53"/>
      <c r="BM172" s="200"/>
      <c r="BN172" s="165"/>
      <c r="BO172" s="173"/>
      <c r="BP172" s="190"/>
      <c r="BQ172" s="173"/>
      <c r="BR172" s="168"/>
      <c r="BS172" s="165"/>
      <c r="BT172" s="167"/>
      <c r="BU172" s="165"/>
      <c r="BV172" s="190"/>
      <c r="BW172" s="173"/>
      <c r="BX172" s="173"/>
      <c r="BY172" s="167"/>
      <c r="BZ172" s="45"/>
      <c r="CA172" s="54"/>
      <c r="CB172" s="53"/>
      <c r="CC172" s="200"/>
      <c r="CD172" s="165"/>
      <c r="CE172" s="173"/>
      <c r="CF172" s="173"/>
      <c r="CG172" s="168"/>
      <c r="CH172" s="165"/>
      <c r="CI172" s="167"/>
    </row>
    <row r="173" spans="1:87" x14ac:dyDescent="0.3">
      <c r="A173" s="10">
        <v>2511</v>
      </c>
      <c r="B173" s="11" t="s">
        <v>303</v>
      </c>
      <c r="C173" s="471">
        <v>1530</v>
      </c>
      <c r="D173" s="54">
        <v>392</v>
      </c>
      <c r="E173" s="367">
        <f t="shared" si="2"/>
        <v>0.25620915032679736</v>
      </c>
      <c r="F173" s="45">
        <v>203</v>
      </c>
      <c r="G173" s="45">
        <v>90</v>
      </c>
      <c r="H173" s="45">
        <v>164</v>
      </c>
      <c r="I173" s="45">
        <v>211</v>
      </c>
      <c r="J173" s="46">
        <v>67</v>
      </c>
      <c r="K173" s="165"/>
      <c r="L173" s="304"/>
      <c r="M173" s="601"/>
      <c r="N173" s="165"/>
      <c r="O173" s="165"/>
      <c r="P173" s="190"/>
      <c r="Q173" s="166"/>
      <c r="R173" s="166"/>
      <c r="S173" s="169"/>
      <c r="T173" s="165"/>
      <c r="U173" s="165"/>
      <c r="V173" s="168"/>
      <c r="W173" s="169"/>
      <c r="X173" s="173"/>
      <c r="Y173" s="190"/>
      <c r="Z173" s="167"/>
      <c r="AA173" s="165"/>
      <c r="AB173" s="166"/>
      <c r="AC173" s="169"/>
      <c r="AD173" s="165"/>
      <c r="AE173" s="165"/>
      <c r="AF173" s="167"/>
      <c r="AG173" s="168"/>
      <c r="AH173" s="165"/>
      <c r="AI173" s="167"/>
      <c r="AJ173" s="165"/>
      <c r="AK173" s="173"/>
      <c r="AL173" s="167"/>
      <c r="AM173" s="165"/>
      <c r="AN173" s="173"/>
      <c r="AO173" s="173"/>
      <c r="AP173" s="168"/>
      <c r="AQ173" s="165"/>
      <c r="AR173" s="168"/>
      <c r="AS173" s="165"/>
      <c r="AT173" s="190"/>
      <c r="AU173" s="167"/>
      <c r="AV173" s="165"/>
      <c r="AW173" s="173"/>
      <c r="AX173" s="173"/>
      <c r="AY173" s="190"/>
      <c r="AZ173" s="167"/>
      <c r="BA173" s="165"/>
      <c r="BB173" s="165"/>
      <c r="BC173" s="168"/>
      <c r="BD173" s="165"/>
      <c r="BE173" s="165"/>
      <c r="BF173" s="173"/>
      <c r="BG173" s="304"/>
      <c r="BH173" s="601"/>
      <c r="BI173" s="45"/>
      <c r="BJ173" s="46"/>
      <c r="BK173" s="45"/>
      <c r="BL173" s="53"/>
      <c r="BM173" s="200"/>
      <c r="BN173" s="165"/>
      <c r="BO173" s="173"/>
      <c r="BP173" s="190"/>
      <c r="BQ173" s="173"/>
      <c r="BR173" s="168"/>
      <c r="BS173" s="165"/>
      <c r="BT173" s="167"/>
      <c r="BU173" s="165"/>
      <c r="BV173" s="190"/>
      <c r="BW173" s="173"/>
      <c r="BX173" s="173"/>
      <c r="BY173" s="167"/>
      <c r="BZ173" s="45"/>
      <c r="CA173" s="54"/>
      <c r="CB173" s="53"/>
      <c r="CC173" s="200"/>
      <c r="CD173" s="165"/>
      <c r="CE173" s="173"/>
      <c r="CF173" s="173"/>
      <c r="CG173" s="168"/>
      <c r="CH173" s="165"/>
      <c r="CI173" s="167"/>
    </row>
    <row r="174" spans="1:87" x14ac:dyDescent="0.3">
      <c r="A174" s="10">
        <v>2512</v>
      </c>
      <c r="B174" s="11" t="s">
        <v>748</v>
      </c>
      <c r="C174" s="471">
        <v>914</v>
      </c>
      <c r="D174" s="54">
        <v>144</v>
      </c>
      <c r="E174" s="367">
        <f t="shared" si="2"/>
        <v>0.1575492341356674</v>
      </c>
      <c r="F174" s="45">
        <v>101</v>
      </c>
      <c r="G174" s="45">
        <v>35</v>
      </c>
      <c r="H174" s="45">
        <v>61</v>
      </c>
      <c r="I174" s="45">
        <v>93</v>
      </c>
      <c r="J174" s="46">
        <v>10</v>
      </c>
      <c r="K174" s="165"/>
      <c r="L174" s="304"/>
      <c r="M174" s="601"/>
      <c r="N174" s="165"/>
      <c r="O174" s="165"/>
      <c r="P174" s="190"/>
      <c r="Q174" s="166"/>
      <c r="R174" s="166"/>
      <c r="S174" s="169"/>
      <c r="T174" s="165"/>
      <c r="U174" s="165"/>
      <c r="V174" s="168"/>
      <c r="W174" s="169"/>
      <c r="X174" s="173"/>
      <c r="Y174" s="190"/>
      <c r="Z174" s="167"/>
      <c r="AA174" s="165"/>
      <c r="AB174" s="166"/>
      <c r="AC174" s="169"/>
      <c r="AD174" s="165"/>
      <c r="AE174" s="165"/>
      <c r="AF174" s="167"/>
      <c r="AG174" s="168"/>
      <c r="AH174" s="165"/>
      <c r="AI174" s="167"/>
      <c r="AJ174" s="165"/>
      <c r="AK174" s="173"/>
      <c r="AL174" s="167"/>
      <c r="AM174" s="165"/>
      <c r="AN174" s="173"/>
      <c r="AO174" s="173"/>
      <c r="AP174" s="168"/>
      <c r="AQ174" s="165"/>
      <c r="AR174" s="168"/>
      <c r="AS174" s="165"/>
      <c r="AT174" s="190"/>
      <c r="AU174" s="167"/>
      <c r="AV174" s="165"/>
      <c r="AW174" s="173"/>
      <c r="AX174" s="173"/>
      <c r="AY174" s="190"/>
      <c r="AZ174" s="167"/>
      <c r="BA174" s="165"/>
      <c r="BB174" s="165"/>
      <c r="BC174" s="168"/>
      <c r="BD174" s="165"/>
      <c r="BE174" s="165"/>
      <c r="BF174" s="173"/>
      <c r="BG174" s="304"/>
      <c r="BH174" s="601"/>
      <c r="BI174" s="45"/>
      <c r="BJ174" s="46"/>
      <c r="BK174" s="45"/>
      <c r="BL174" s="53"/>
      <c r="BM174" s="200"/>
      <c r="BN174" s="165"/>
      <c r="BO174" s="173"/>
      <c r="BP174" s="190"/>
      <c r="BQ174" s="173"/>
      <c r="BR174" s="168"/>
      <c r="BS174" s="165"/>
      <c r="BT174" s="167"/>
      <c r="BU174" s="165"/>
      <c r="BV174" s="190"/>
      <c r="BW174" s="173"/>
      <c r="BX174" s="173"/>
      <c r="BY174" s="167"/>
      <c r="BZ174" s="45"/>
      <c r="CA174" s="54"/>
      <c r="CB174" s="53"/>
      <c r="CC174" s="200"/>
      <c r="CD174" s="165"/>
      <c r="CE174" s="173"/>
      <c r="CF174" s="173"/>
      <c r="CG174" s="168"/>
      <c r="CH174" s="165"/>
      <c r="CI174" s="167"/>
    </row>
    <row r="175" spans="1:87" x14ac:dyDescent="0.3">
      <c r="A175" s="10">
        <v>2601</v>
      </c>
      <c r="B175" s="11" t="s">
        <v>304</v>
      </c>
      <c r="C175" s="471">
        <v>1272</v>
      </c>
      <c r="D175" s="54">
        <v>670</v>
      </c>
      <c r="E175" s="367">
        <f t="shared" si="2"/>
        <v>0.52672955974842772</v>
      </c>
      <c r="F175" s="45">
        <v>307</v>
      </c>
      <c r="G175" s="45">
        <v>118</v>
      </c>
      <c r="H175" s="45">
        <v>273</v>
      </c>
      <c r="I175" s="45">
        <v>273</v>
      </c>
      <c r="J175" s="46">
        <v>113</v>
      </c>
      <c r="K175" s="165"/>
      <c r="L175" s="304"/>
      <c r="M175" s="601"/>
      <c r="N175" s="165"/>
      <c r="O175" s="165"/>
      <c r="P175" s="190"/>
      <c r="Q175" s="166"/>
      <c r="R175" s="166"/>
      <c r="S175" s="169"/>
      <c r="T175" s="165"/>
      <c r="U175" s="165"/>
      <c r="V175" s="168"/>
      <c r="W175" s="169"/>
      <c r="X175" s="173"/>
      <c r="Y175" s="190"/>
      <c r="Z175" s="167"/>
      <c r="AA175" s="165"/>
      <c r="AB175" s="166"/>
      <c r="AC175" s="169"/>
      <c r="AD175" s="165"/>
      <c r="AE175" s="165"/>
      <c r="AF175" s="167"/>
      <c r="AG175" s="168"/>
      <c r="AH175" s="165"/>
      <c r="AI175" s="167"/>
      <c r="AJ175" s="165"/>
      <c r="AK175" s="173"/>
      <c r="AL175" s="167"/>
      <c r="AM175" s="165"/>
      <c r="AN175" s="173"/>
      <c r="AO175" s="173"/>
      <c r="AP175" s="168"/>
      <c r="AQ175" s="165"/>
      <c r="AR175" s="168"/>
      <c r="AS175" s="165"/>
      <c r="AT175" s="190"/>
      <c r="AU175" s="167"/>
      <c r="AV175" s="165"/>
      <c r="AW175" s="173"/>
      <c r="AX175" s="173"/>
      <c r="AY175" s="190"/>
      <c r="AZ175" s="167"/>
      <c r="BA175" s="165"/>
      <c r="BB175" s="165"/>
      <c r="BC175" s="168"/>
      <c r="BD175" s="165"/>
      <c r="BE175" s="165"/>
      <c r="BF175" s="173"/>
      <c r="BG175" s="304"/>
      <c r="BH175" s="601"/>
      <c r="BI175" s="45"/>
      <c r="BJ175" s="46"/>
      <c r="BK175" s="45"/>
      <c r="BL175" s="53"/>
      <c r="BM175" s="200"/>
      <c r="BN175" s="165"/>
      <c r="BO175" s="173"/>
      <c r="BP175" s="190"/>
      <c r="BQ175" s="173"/>
      <c r="BR175" s="168"/>
      <c r="BS175" s="165"/>
      <c r="BT175" s="167"/>
      <c r="BU175" s="165"/>
      <c r="BV175" s="190"/>
      <c r="BW175" s="173"/>
      <c r="BX175" s="173"/>
      <c r="BY175" s="167"/>
      <c r="BZ175" s="45"/>
      <c r="CA175" s="54"/>
      <c r="CB175" s="53"/>
      <c r="CC175" s="200"/>
      <c r="CD175" s="165"/>
      <c r="CE175" s="173"/>
      <c r="CF175" s="173"/>
      <c r="CG175" s="168"/>
      <c r="CH175" s="165"/>
      <c r="CI175" s="167"/>
    </row>
    <row r="176" spans="1:87" x14ac:dyDescent="0.3">
      <c r="A176" s="10">
        <v>2602</v>
      </c>
      <c r="B176" s="11" t="s">
        <v>305</v>
      </c>
      <c r="C176" s="471">
        <v>1077</v>
      </c>
      <c r="D176" s="54">
        <v>397</v>
      </c>
      <c r="E176" s="367">
        <f t="shared" si="2"/>
        <v>0.36861652739090067</v>
      </c>
      <c r="F176" s="45">
        <v>245</v>
      </c>
      <c r="G176" s="45">
        <v>87</v>
      </c>
      <c r="H176" s="45">
        <v>200</v>
      </c>
      <c r="I176" s="45">
        <v>231</v>
      </c>
      <c r="J176" s="46">
        <v>42</v>
      </c>
      <c r="K176" s="165"/>
      <c r="L176" s="304"/>
      <c r="M176" s="601"/>
      <c r="N176" s="165"/>
      <c r="O176" s="165"/>
      <c r="P176" s="190"/>
      <c r="Q176" s="166"/>
      <c r="R176" s="166"/>
      <c r="S176" s="169"/>
      <c r="T176" s="165"/>
      <c r="U176" s="165"/>
      <c r="V176" s="168"/>
      <c r="W176" s="169"/>
      <c r="X176" s="173"/>
      <c r="Y176" s="190"/>
      <c r="Z176" s="167"/>
      <c r="AA176" s="165"/>
      <c r="AB176" s="166"/>
      <c r="AC176" s="169"/>
      <c r="AD176" s="165"/>
      <c r="AE176" s="165"/>
      <c r="AF176" s="167"/>
      <c r="AG176" s="168"/>
      <c r="AH176" s="165"/>
      <c r="AI176" s="167"/>
      <c r="AJ176" s="165"/>
      <c r="AK176" s="173"/>
      <c r="AL176" s="167"/>
      <c r="AM176" s="165"/>
      <c r="AN176" s="173"/>
      <c r="AO176" s="173"/>
      <c r="AP176" s="168"/>
      <c r="AQ176" s="165"/>
      <c r="AR176" s="168"/>
      <c r="AS176" s="165"/>
      <c r="AT176" s="190"/>
      <c r="AU176" s="167"/>
      <c r="AV176" s="165"/>
      <c r="AW176" s="173"/>
      <c r="AX176" s="173"/>
      <c r="AY176" s="190"/>
      <c r="AZ176" s="167"/>
      <c r="BA176" s="165"/>
      <c r="BB176" s="165"/>
      <c r="BC176" s="168"/>
      <c r="BD176" s="165"/>
      <c r="BE176" s="165"/>
      <c r="BF176" s="173"/>
      <c r="BG176" s="304"/>
      <c r="BH176" s="601"/>
      <c r="BI176" s="45"/>
      <c r="BJ176" s="46"/>
      <c r="BK176" s="45"/>
      <c r="BL176" s="53"/>
      <c r="BM176" s="200"/>
      <c r="BN176" s="165"/>
      <c r="BO176" s="173"/>
      <c r="BP176" s="190"/>
      <c r="BQ176" s="173"/>
      <c r="BR176" s="168"/>
      <c r="BS176" s="165"/>
      <c r="BT176" s="167"/>
      <c r="BU176" s="165"/>
      <c r="BV176" s="190"/>
      <c r="BW176" s="173"/>
      <c r="BX176" s="173"/>
      <c r="BY176" s="167"/>
      <c r="BZ176" s="45"/>
      <c r="CA176" s="54"/>
      <c r="CB176" s="53"/>
      <c r="CC176" s="200"/>
      <c r="CD176" s="165"/>
      <c r="CE176" s="173"/>
      <c r="CF176" s="173"/>
      <c r="CG176" s="168"/>
      <c r="CH176" s="165"/>
      <c r="CI176" s="167"/>
    </row>
    <row r="177" spans="1:87" x14ac:dyDescent="0.3">
      <c r="A177" s="10">
        <v>2603</v>
      </c>
      <c r="B177" s="11" t="s">
        <v>306</v>
      </c>
      <c r="C177" s="471">
        <v>677</v>
      </c>
      <c r="D177" s="54">
        <v>269</v>
      </c>
      <c r="E177" s="367">
        <f t="shared" si="2"/>
        <v>0.39734121122599703</v>
      </c>
      <c r="F177" s="45">
        <v>140</v>
      </c>
      <c r="G177" s="45">
        <v>58</v>
      </c>
      <c r="H177" s="45">
        <v>102</v>
      </c>
      <c r="I177" s="45">
        <v>137</v>
      </c>
      <c r="J177" s="46">
        <v>40</v>
      </c>
      <c r="K177" s="165"/>
      <c r="L177" s="304"/>
      <c r="M177" s="601"/>
      <c r="N177" s="165"/>
      <c r="O177" s="165"/>
      <c r="P177" s="190"/>
      <c r="Q177" s="166"/>
      <c r="R177" s="166"/>
      <c r="S177" s="169"/>
      <c r="T177" s="165"/>
      <c r="U177" s="165"/>
      <c r="V177" s="168"/>
      <c r="W177" s="169"/>
      <c r="X177" s="173"/>
      <c r="Y177" s="190"/>
      <c r="Z177" s="167"/>
      <c r="AA177" s="165"/>
      <c r="AB177" s="166"/>
      <c r="AC177" s="169"/>
      <c r="AD177" s="165"/>
      <c r="AE177" s="165"/>
      <c r="AF177" s="167"/>
      <c r="AG177" s="168"/>
      <c r="AH177" s="165"/>
      <c r="AI177" s="167"/>
      <c r="AJ177" s="165"/>
      <c r="AK177" s="173"/>
      <c r="AL177" s="167"/>
      <c r="AM177" s="165"/>
      <c r="AN177" s="173"/>
      <c r="AO177" s="173"/>
      <c r="AP177" s="168"/>
      <c r="AQ177" s="165"/>
      <c r="AR177" s="168"/>
      <c r="AS177" s="165"/>
      <c r="AT177" s="190"/>
      <c r="AU177" s="167"/>
      <c r="AV177" s="165"/>
      <c r="AW177" s="173"/>
      <c r="AX177" s="173"/>
      <c r="AY177" s="190"/>
      <c r="AZ177" s="167"/>
      <c r="BA177" s="165"/>
      <c r="BB177" s="165"/>
      <c r="BC177" s="168"/>
      <c r="BD177" s="165"/>
      <c r="BE177" s="165"/>
      <c r="BF177" s="173"/>
      <c r="BG177" s="304"/>
      <c r="BH177" s="601"/>
      <c r="BI177" s="45"/>
      <c r="BJ177" s="46"/>
      <c r="BK177" s="45"/>
      <c r="BL177" s="53"/>
      <c r="BM177" s="200"/>
      <c r="BN177" s="165"/>
      <c r="BO177" s="173"/>
      <c r="BP177" s="190"/>
      <c r="BQ177" s="173"/>
      <c r="BR177" s="168"/>
      <c r="BS177" s="165"/>
      <c r="BT177" s="167"/>
      <c r="BU177" s="165"/>
      <c r="BV177" s="190"/>
      <c r="BW177" s="173"/>
      <c r="BX177" s="173"/>
      <c r="BY177" s="167"/>
      <c r="BZ177" s="45"/>
      <c r="CA177" s="54"/>
      <c r="CB177" s="53"/>
      <c r="CC177" s="200"/>
      <c r="CD177" s="165"/>
      <c r="CE177" s="173"/>
      <c r="CF177" s="173"/>
      <c r="CG177" s="168"/>
      <c r="CH177" s="165"/>
      <c r="CI177" s="167"/>
    </row>
    <row r="178" spans="1:87" x14ac:dyDescent="0.3">
      <c r="A178" s="10">
        <v>2604</v>
      </c>
      <c r="B178" s="11" t="s">
        <v>307</v>
      </c>
      <c r="C178" s="471">
        <v>1070</v>
      </c>
      <c r="D178" s="54">
        <v>226</v>
      </c>
      <c r="E178" s="367">
        <f t="shared" si="2"/>
        <v>0.21121495327102804</v>
      </c>
      <c r="F178" s="45">
        <v>127</v>
      </c>
      <c r="G178" s="45">
        <v>39</v>
      </c>
      <c r="H178" s="45">
        <v>78</v>
      </c>
      <c r="I178" s="45">
        <v>144</v>
      </c>
      <c r="J178" s="46">
        <v>27</v>
      </c>
      <c r="K178" s="165"/>
      <c r="L178" s="304"/>
      <c r="M178" s="601"/>
      <c r="N178" s="165"/>
      <c r="O178" s="165"/>
      <c r="P178" s="190"/>
      <c r="Q178" s="166"/>
      <c r="R178" s="166"/>
      <c r="S178" s="169"/>
      <c r="T178" s="165"/>
      <c r="U178" s="165"/>
      <c r="V178" s="168"/>
      <c r="W178" s="169"/>
      <c r="X178" s="173"/>
      <c r="Y178" s="190"/>
      <c r="Z178" s="167"/>
      <c r="AA178" s="165"/>
      <c r="AB178" s="166"/>
      <c r="AC178" s="169"/>
      <c r="AD178" s="165"/>
      <c r="AE178" s="165"/>
      <c r="AF178" s="167"/>
      <c r="AG178" s="168"/>
      <c r="AH178" s="165"/>
      <c r="AI178" s="167"/>
      <c r="AJ178" s="165"/>
      <c r="AK178" s="173"/>
      <c r="AL178" s="167"/>
      <c r="AM178" s="165"/>
      <c r="AN178" s="173"/>
      <c r="AO178" s="173"/>
      <c r="AP178" s="168"/>
      <c r="AQ178" s="165"/>
      <c r="AR178" s="168"/>
      <c r="AS178" s="165"/>
      <c r="AT178" s="190"/>
      <c r="AU178" s="167"/>
      <c r="AV178" s="165"/>
      <c r="AW178" s="173"/>
      <c r="AX178" s="173"/>
      <c r="AY178" s="190"/>
      <c r="AZ178" s="167"/>
      <c r="BA178" s="165"/>
      <c r="BB178" s="165"/>
      <c r="BC178" s="168"/>
      <c r="BD178" s="165"/>
      <c r="BE178" s="165"/>
      <c r="BF178" s="173"/>
      <c r="BG178" s="304"/>
      <c r="BH178" s="601"/>
      <c r="BI178" s="45"/>
      <c r="BJ178" s="46"/>
      <c r="BK178" s="45"/>
      <c r="BL178" s="53"/>
      <c r="BM178" s="200"/>
      <c r="BN178" s="165"/>
      <c r="BO178" s="173"/>
      <c r="BP178" s="190"/>
      <c r="BQ178" s="173"/>
      <c r="BR178" s="168"/>
      <c r="BS178" s="165"/>
      <c r="BT178" s="167"/>
      <c r="BU178" s="165"/>
      <c r="BV178" s="190"/>
      <c r="BW178" s="173"/>
      <c r="BX178" s="173"/>
      <c r="BY178" s="167"/>
      <c r="BZ178" s="45"/>
      <c r="CA178" s="54"/>
      <c r="CB178" s="53"/>
      <c r="CC178" s="200"/>
      <c r="CD178" s="165"/>
      <c r="CE178" s="173"/>
      <c r="CF178" s="173"/>
      <c r="CG178" s="168"/>
      <c r="CH178" s="165"/>
      <c r="CI178" s="167"/>
    </row>
    <row r="179" spans="1:87" x14ac:dyDescent="0.3">
      <c r="A179" s="10">
        <v>2605</v>
      </c>
      <c r="B179" s="11" t="s">
        <v>308</v>
      </c>
      <c r="C179" s="471">
        <v>1276</v>
      </c>
      <c r="D179" s="54">
        <v>297</v>
      </c>
      <c r="E179" s="367">
        <f t="shared" si="2"/>
        <v>0.23275862068965517</v>
      </c>
      <c r="F179" s="45">
        <v>173</v>
      </c>
      <c r="G179" s="45">
        <v>62</v>
      </c>
      <c r="H179" s="45">
        <v>116</v>
      </c>
      <c r="I179" s="45">
        <v>192</v>
      </c>
      <c r="J179" s="46">
        <v>29</v>
      </c>
      <c r="K179" s="165"/>
      <c r="L179" s="304"/>
      <c r="M179" s="601"/>
      <c r="N179" s="165"/>
      <c r="O179" s="165"/>
      <c r="P179" s="190"/>
      <c r="Q179" s="166"/>
      <c r="R179" s="166"/>
      <c r="S179" s="169"/>
      <c r="T179" s="165"/>
      <c r="U179" s="165"/>
      <c r="V179" s="168"/>
      <c r="W179" s="169"/>
      <c r="X179" s="173"/>
      <c r="Y179" s="190"/>
      <c r="Z179" s="167"/>
      <c r="AA179" s="165"/>
      <c r="AB179" s="166"/>
      <c r="AC179" s="169"/>
      <c r="AD179" s="165"/>
      <c r="AE179" s="165"/>
      <c r="AF179" s="167"/>
      <c r="AG179" s="168"/>
      <c r="AH179" s="165"/>
      <c r="AI179" s="167"/>
      <c r="AJ179" s="165"/>
      <c r="AK179" s="173"/>
      <c r="AL179" s="167"/>
      <c r="AM179" s="165"/>
      <c r="AN179" s="173"/>
      <c r="AO179" s="173"/>
      <c r="AP179" s="168"/>
      <c r="AQ179" s="165"/>
      <c r="AR179" s="168"/>
      <c r="AS179" s="165"/>
      <c r="AT179" s="190"/>
      <c r="AU179" s="167"/>
      <c r="AV179" s="165"/>
      <c r="AW179" s="173"/>
      <c r="AX179" s="173"/>
      <c r="AY179" s="190"/>
      <c r="AZ179" s="167"/>
      <c r="BA179" s="165"/>
      <c r="BB179" s="165"/>
      <c r="BC179" s="168"/>
      <c r="BD179" s="165"/>
      <c r="BE179" s="165"/>
      <c r="BF179" s="173"/>
      <c r="BG179" s="304"/>
      <c r="BH179" s="601"/>
      <c r="BI179" s="45"/>
      <c r="BJ179" s="46"/>
      <c r="BK179" s="45"/>
      <c r="BL179" s="53"/>
      <c r="BM179" s="200"/>
      <c r="BN179" s="165"/>
      <c r="BO179" s="173"/>
      <c r="BP179" s="190"/>
      <c r="BQ179" s="173"/>
      <c r="BR179" s="168"/>
      <c r="BS179" s="165"/>
      <c r="BT179" s="167"/>
      <c r="BU179" s="165"/>
      <c r="BV179" s="190"/>
      <c r="BW179" s="173"/>
      <c r="BX179" s="173"/>
      <c r="BY179" s="167"/>
      <c r="BZ179" s="45"/>
      <c r="CA179" s="54"/>
      <c r="CB179" s="53"/>
      <c r="CC179" s="200"/>
      <c r="CD179" s="165"/>
      <c r="CE179" s="173"/>
      <c r="CF179" s="173"/>
      <c r="CG179" s="168"/>
      <c r="CH179" s="165"/>
      <c r="CI179" s="167"/>
    </row>
    <row r="180" spans="1:87" x14ac:dyDescent="0.3">
      <c r="A180" s="10">
        <v>2606</v>
      </c>
      <c r="B180" s="11" t="s">
        <v>309</v>
      </c>
      <c r="C180" s="471">
        <v>897</v>
      </c>
      <c r="D180" s="54">
        <v>226</v>
      </c>
      <c r="E180" s="367">
        <f t="shared" si="2"/>
        <v>0.25195094760312153</v>
      </c>
      <c r="F180" s="45">
        <v>131</v>
      </c>
      <c r="G180" s="45">
        <v>62</v>
      </c>
      <c r="H180" s="45">
        <v>86</v>
      </c>
      <c r="I180" s="45">
        <v>154</v>
      </c>
      <c r="J180" s="46">
        <v>10</v>
      </c>
      <c r="K180" s="165"/>
      <c r="L180" s="304"/>
      <c r="M180" s="601"/>
      <c r="N180" s="165"/>
      <c r="O180" s="165"/>
      <c r="P180" s="190"/>
      <c r="Q180" s="166"/>
      <c r="R180" s="166"/>
      <c r="S180" s="169"/>
      <c r="T180" s="165"/>
      <c r="U180" s="165"/>
      <c r="V180" s="168"/>
      <c r="W180" s="169"/>
      <c r="X180" s="173"/>
      <c r="Y180" s="190"/>
      <c r="Z180" s="167"/>
      <c r="AA180" s="165"/>
      <c r="AB180" s="166"/>
      <c r="AC180" s="169"/>
      <c r="AD180" s="165"/>
      <c r="AE180" s="165"/>
      <c r="AF180" s="167"/>
      <c r="AG180" s="168"/>
      <c r="AH180" s="165"/>
      <c r="AI180" s="167"/>
      <c r="AJ180" s="165"/>
      <c r="AK180" s="173"/>
      <c r="AL180" s="167"/>
      <c r="AM180" s="165"/>
      <c r="AN180" s="173"/>
      <c r="AO180" s="173"/>
      <c r="AP180" s="168"/>
      <c r="AQ180" s="165"/>
      <c r="AR180" s="168"/>
      <c r="AS180" s="165"/>
      <c r="AT180" s="190"/>
      <c r="AU180" s="167"/>
      <c r="AV180" s="165"/>
      <c r="AW180" s="173"/>
      <c r="AX180" s="173"/>
      <c r="AY180" s="190"/>
      <c r="AZ180" s="167"/>
      <c r="BA180" s="165"/>
      <c r="BB180" s="165"/>
      <c r="BC180" s="168"/>
      <c r="BD180" s="165"/>
      <c r="BE180" s="165"/>
      <c r="BF180" s="173"/>
      <c r="BG180" s="304"/>
      <c r="BH180" s="601"/>
      <c r="BI180" s="45"/>
      <c r="BJ180" s="46"/>
      <c r="BK180" s="45"/>
      <c r="BL180" s="53"/>
      <c r="BM180" s="200"/>
      <c r="BN180" s="165"/>
      <c r="BO180" s="173"/>
      <c r="BP180" s="190"/>
      <c r="BQ180" s="173"/>
      <c r="BR180" s="168"/>
      <c r="BS180" s="165"/>
      <c r="BT180" s="167"/>
      <c r="BU180" s="165"/>
      <c r="BV180" s="190"/>
      <c r="BW180" s="173"/>
      <c r="BX180" s="173"/>
      <c r="BY180" s="167"/>
      <c r="BZ180" s="45"/>
      <c r="CA180" s="54"/>
      <c r="CB180" s="53"/>
      <c r="CC180" s="200"/>
      <c r="CD180" s="165"/>
      <c r="CE180" s="173"/>
      <c r="CF180" s="173"/>
      <c r="CG180" s="168"/>
      <c r="CH180" s="165"/>
      <c r="CI180" s="167"/>
    </row>
    <row r="181" spans="1:87" x14ac:dyDescent="0.3">
      <c r="A181" s="10">
        <v>2607</v>
      </c>
      <c r="B181" s="11" t="s">
        <v>310</v>
      </c>
      <c r="C181" s="471">
        <v>1023</v>
      </c>
      <c r="D181" s="54">
        <v>323</v>
      </c>
      <c r="E181" s="367">
        <f t="shared" si="2"/>
        <v>0.31573802541544477</v>
      </c>
      <c r="F181" s="45">
        <v>154</v>
      </c>
      <c r="G181" s="45">
        <v>71</v>
      </c>
      <c r="H181" s="45">
        <v>125</v>
      </c>
      <c r="I181" s="45">
        <v>137</v>
      </c>
      <c r="J181" s="46">
        <v>58</v>
      </c>
      <c r="K181" s="165"/>
      <c r="L181" s="304"/>
      <c r="M181" s="601"/>
      <c r="N181" s="165"/>
      <c r="O181" s="165"/>
      <c r="P181" s="190"/>
      <c r="Q181" s="166"/>
      <c r="R181" s="166"/>
      <c r="S181" s="169"/>
      <c r="T181" s="165"/>
      <c r="U181" s="165"/>
      <c r="V181" s="168"/>
      <c r="W181" s="169"/>
      <c r="X181" s="173"/>
      <c r="Y181" s="190"/>
      <c r="Z181" s="167"/>
      <c r="AA181" s="165"/>
      <c r="AB181" s="166"/>
      <c r="AC181" s="169"/>
      <c r="AD181" s="165"/>
      <c r="AE181" s="165"/>
      <c r="AF181" s="167"/>
      <c r="AG181" s="168"/>
      <c r="AH181" s="165"/>
      <c r="AI181" s="167"/>
      <c r="AJ181" s="165"/>
      <c r="AK181" s="173"/>
      <c r="AL181" s="167"/>
      <c r="AM181" s="165"/>
      <c r="AN181" s="173"/>
      <c r="AO181" s="173"/>
      <c r="AP181" s="168"/>
      <c r="AQ181" s="165"/>
      <c r="AR181" s="168"/>
      <c r="AS181" s="165"/>
      <c r="AT181" s="190"/>
      <c r="AU181" s="167"/>
      <c r="AV181" s="165"/>
      <c r="AW181" s="173"/>
      <c r="AX181" s="173"/>
      <c r="AY181" s="190"/>
      <c r="AZ181" s="167"/>
      <c r="BA181" s="165"/>
      <c r="BB181" s="165"/>
      <c r="BC181" s="168"/>
      <c r="BD181" s="165"/>
      <c r="BE181" s="165"/>
      <c r="BF181" s="173"/>
      <c r="BG181" s="304"/>
      <c r="BH181" s="601"/>
      <c r="BI181" s="45"/>
      <c r="BJ181" s="46"/>
      <c r="BK181" s="45"/>
      <c r="BL181" s="53"/>
      <c r="BM181" s="200"/>
      <c r="BN181" s="165"/>
      <c r="BO181" s="173"/>
      <c r="BP181" s="190"/>
      <c r="BQ181" s="173"/>
      <c r="BR181" s="168"/>
      <c r="BS181" s="165"/>
      <c r="BT181" s="167"/>
      <c r="BU181" s="165"/>
      <c r="BV181" s="190"/>
      <c r="BW181" s="173"/>
      <c r="BX181" s="173"/>
      <c r="BY181" s="167"/>
      <c r="BZ181" s="45"/>
      <c r="CA181" s="54"/>
      <c r="CB181" s="53"/>
      <c r="CC181" s="200"/>
      <c r="CD181" s="165"/>
      <c r="CE181" s="173"/>
      <c r="CF181" s="173"/>
      <c r="CG181" s="168"/>
      <c r="CH181" s="165"/>
      <c r="CI181" s="167"/>
    </row>
    <row r="182" spans="1:87" x14ac:dyDescent="0.3">
      <c r="A182" s="10">
        <v>2608</v>
      </c>
      <c r="B182" s="11" t="s">
        <v>311</v>
      </c>
      <c r="C182" s="471">
        <v>921</v>
      </c>
      <c r="D182" s="54">
        <v>92</v>
      </c>
      <c r="E182" s="367">
        <f t="shared" si="2"/>
        <v>9.9891422366992402E-2</v>
      </c>
      <c r="F182" s="45">
        <v>41</v>
      </c>
      <c r="G182" s="45">
        <v>23</v>
      </c>
      <c r="H182" s="45">
        <v>15</v>
      </c>
      <c r="I182" s="45">
        <v>64</v>
      </c>
      <c r="J182" s="46">
        <v>8</v>
      </c>
      <c r="K182" s="165"/>
      <c r="L182" s="304"/>
      <c r="M182" s="601"/>
      <c r="N182" s="165"/>
      <c r="O182" s="165"/>
      <c r="P182" s="190"/>
      <c r="Q182" s="166"/>
      <c r="R182" s="166"/>
      <c r="S182" s="169"/>
      <c r="T182" s="165"/>
      <c r="U182" s="165"/>
      <c r="V182" s="168"/>
      <c r="W182" s="169"/>
      <c r="X182" s="173"/>
      <c r="Y182" s="190"/>
      <c r="Z182" s="167"/>
      <c r="AA182" s="165"/>
      <c r="AB182" s="166"/>
      <c r="AC182" s="169"/>
      <c r="AD182" s="165"/>
      <c r="AE182" s="165"/>
      <c r="AF182" s="167"/>
      <c r="AG182" s="168"/>
      <c r="AH182" s="165"/>
      <c r="AI182" s="167"/>
      <c r="AJ182" s="165"/>
      <c r="AK182" s="173"/>
      <c r="AL182" s="167"/>
      <c r="AM182" s="165"/>
      <c r="AN182" s="173"/>
      <c r="AO182" s="173"/>
      <c r="AP182" s="168"/>
      <c r="AQ182" s="165"/>
      <c r="AR182" s="168"/>
      <c r="AS182" s="165"/>
      <c r="AT182" s="190"/>
      <c r="AU182" s="167"/>
      <c r="AV182" s="165"/>
      <c r="AW182" s="173"/>
      <c r="AX182" s="173"/>
      <c r="AY182" s="190"/>
      <c r="AZ182" s="167"/>
      <c r="BA182" s="165"/>
      <c r="BB182" s="165"/>
      <c r="BC182" s="168"/>
      <c r="BD182" s="165"/>
      <c r="BE182" s="165"/>
      <c r="BF182" s="173"/>
      <c r="BG182" s="304"/>
      <c r="BH182" s="601"/>
      <c r="BI182" s="45"/>
      <c r="BJ182" s="46"/>
      <c r="BK182" s="45"/>
      <c r="BL182" s="53"/>
      <c r="BM182" s="200"/>
      <c r="BN182" s="165"/>
      <c r="BO182" s="173"/>
      <c r="BP182" s="190"/>
      <c r="BQ182" s="173"/>
      <c r="BR182" s="168"/>
      <c r="BS182" s="165"/>
      <c r="BT182" s="167"/>
      <c r="BU182" s="165"/>
      <c r="BV182" s="190"/>
      <c r="BW182" s="173"/>
      <c r="BX182" s="173"/>
      <c r="BY182" s="167"/>
      <c r="BZ182" s="45"/>
      <c r="CA182" s="54"/>
      <c r="CB182" s="53"/>
      <c r="CC182" s="200"/>
      <c r="CD182" s="165"/>
      <c r="CE182" s="173"/>
      <c r="CF182" s="173"/>
      <c r="CG182" s="168"/>
      <c r="CH182" s="165"/>
      <c r="CI182" s="167"/>
    </row>
    <row r="183" spans="1:87" x14ac:dyDescent="0.3">
      <c r="A183" s="10">
        <v>2609</v>
      </c>
      <c r="B183" s="11" t="s">
        <v>312</v>
      </c>
      <c r="C183" s="471">
        <v>1113</v>
      </c>
      <c r="D183" s="54">
        <v>494</v>
      </c>
      <c r="E183" s="367">
        <f t="shared" si="2"/>
        <v>0.44384546271338726</v>
      </c>
      <c r="F183" s="45">
        <v>255</v>
      </c>
      <c r="G183" s="45">
        <v>70</v>
      </c>
      <c r="H183" s="45">
        <v>184</v>
      </c>
      <c r="I183" s="45">
        <v>211</v>
      </c>
      <c r="J183" s="46">
        <v>80</v>
      </c>
      <c r="K183" s="165"/>
      <c r="L183" s="304"/>
      <c r="M183" s="601"/>
      <c r="N183" s="165"/>
      <c r="O183" s="165"/>
      <c r="P183" s="190"/>
      <c r="Q183" s="166"/>
      <c r="R183" s="166"/>
      <c r="S183" s="169"/>
      <c r="T183" s="165"/>
      <c r="U183" s="165"/>
      <c r="V183" s="168"/>
      <c r="W183" s="169"/>
      <c r="X183" s="173"/>
      <c r="Y183" s="190"/>
      <c r="Z183" s="167"/>
      <c r="AA183" s="165"/>
      <c r="AB183" s="166"/>
      <c r="AC183" s="169"/>
      <c r="AD183" s="165"/>
      <c r="AE183" s="165"/>
      <c r="AF183" s="167"/>
      <c r="AG183" s="168"/>
      <c r="AH183" s="165"/>
      <c r="AI183" s="167"/>
      <c r="AJ183" s="165"/>
      <c r="AK183" s="173"/>
      <c r="AL183" s="167"/>
      <c r="AM183" s="165"/>
      <c r="AN183" s="173"/>
      <c r="AO183" s="173"/>
      <c r="AP183" s="168"/>
      <c r="AQ183" s="165"/>
      <c r="AR183" s="168"/>
      <c r="AS183" s="165"/>
      <c r="AT183" s="190"/>
      <c r="AU183" s="167"/>
      <c r="AV183" s="165"/>
      <c r="AW183" s="173"/>
      <c r="AX183" s="173"/>
      <c r="AY183" s="190"/>
      <c r="AZ183" s="167"/>
      <c r="BA183" s="165"/>
      <c r="BB183" s="165"/>
      <c r="BC183" s="168"/>
      <c r="BD183" s="165"/>
      <c r="BE183" s="165"/>
      <c r="BF183" s="173"/>
      <c r="BG183" s="304"/>
      <c r="BH183" s="601"/>
      <c r="BI183" s="45"/>
      <c r="BJ183" s="46"/>
      <c r="BK183" s="45"/>
      <c r="BL183" s="53"/>
      <c r="BM183" s="200"/>
      <c r="BN183" s="165"/>
      <c r="BO183" s="173"/>
      <c r="BP183" s="190"/>
      <c r="BQ183" s="173"/>
      <c r="BR183" s="168"/>
      <c r="BS183" s="165"/>
      <c r="BT183" s="167"/>
      <c r="BU183" s="165"/>
      <c r="BV183" s="190"/>
      <c r="BW183" s="173"/>
      <c r="BX183" s="173"/>
      <c r="BY183" s="167"/>
      <c r="BZ183" s="45"/>
      <c r="CA183" s="54"/>
      <c r="CB183" s="53"/>
      <c r="CC183" s="200"/>
      <c r="CD183" s="165"/>
      <c r="CE183" s="173"/>
      <c r="CF183" s="173"/>
      <c r="CG183" s="168"/>
      <c r="CH183" s="165"/>
      <c r="CI183" s="167"/>
    </row>
    <row r="184" spans="1:87" x14ac:dyDescent="0.3">
      <c r="A184" s="10">
        <v>2610</v>
      </c>
      <c r="B184" s="11" t="s">
        <v>313</v>
      </c>
      <c r="C184" s="471">
        <v>1302</v>
      </c>
      <c r="D184" s="54">
        <v>416</v>
      </c>
      <c r="E184" s="367">
        <f t="shared" si="2"/>
        <v>0.31950844854070659</v>
      </c>
      <c r="F184" s="45">
        <v>230</v>
      </c>
      <c r="G184" s="45">
        <v>114</v>
      </c>
      <c r="H184" s="45">
        <v>146</v>
      </c>
      <c r="I184" s="45">
        <v>279</v>
      </c>
      <c r="J184" s="46">
        <v>36</v>
      </c>
      <c r="K184" s="165"/>
      <c r="L184" s="304"/>
      <c r="M184" s="601"/>
      <c r="N184" s="165"/>
      <c r="O184" s="165"/>
      <c r="P184" s="190"/>
      <c r="Q184" s="166"/>
      <c r="R184" s="166"/>
      <c r="S184" s="169"/>
      <c r="T184" s="165"/>
      <c r="U184" s="165"/>
      <c r="V184" s="168"/>
      <c r="W184" s="169"/>
      <c r="X184" s="173"/>
      <c r="Y184" s="190"/>
      <c r="Z184" s="167"/>
      <c r="AA184" s="165"/>
      <c r="AB184" s="166"/>
      <c r="AC184" s="169"/>
      <c r="AD184" s="165"/>
      <c r="AE184" s="165"/>
      <c r="AF184" s="167"/>
      <c r="AG184" s="168"/>
      <c r="AH184" s="165"/>
      <c r="AI184" s="167"/>
      <c r="AJ184" s="165"/>
      <c r="AK184" s="173"/>
      <c r="AL184" s="167"/>
      <c r="AM184" s="165"/>
      <c r="AN184" s="173"/>
      <c r="AO184" s="173"/>
      <c r="AP184" s="168"/>
      <c r="AQ184" s="165"/>
      <c r="AR184" s="168"/>
      <c r="AS184" s="165"/>
      <c r="AT184" s="190"/>
      <c r="AU184" s="167"/>
      <c r="AV184" s="165"/>
      <c r="AW184" s="173"/>
      <c r="AX184" s="173"/>
      <c r="AY184" s="190"/>
      <c r="AZ184" s="167"/>
      <c r="BA184" s="165"/>
      <c r="BB184" s="165"/>
      <c r="BC184" s="168"/>
      <c r="BD184" s="165"/>
      <c r="BE184" s="165"/>
      <c r="BF184" s="173"/>
      <c r="BG184" s="304"/>
      <c r="BH184" s="601"/>
      <c r="BI184" s="45"/>
      <c r="BJ184" s="46"/>
      <c r="BK184" s="45"/>
      <c r="BL184" s="53"/>
      <c r="BM184" s="200"/>
      <c r="BN184" s="165"/>
      <c r="BO184" s="173"/>
      <c r="BP184" s="190"/>
      <c r="BQ184" s="173"/>
      <c r="BR184" s="168"/>
      <c r="BS184" s="165"/>
      <c r="BT184" s="167"/>
      <c r="BU184" s="165"/>
      <c r="BV184" s="190"/>
      <c r="BW184" s="173"/>
      <c r="BX184" s="173"/>
      <c r="BY184" s="167"/>
      <c r="BZ184" s="45"/>
      <c r="CA184" s="54"/>
      <c r="CB184" s="53"/>
      <c r="CC184" s="200"/>
      <c r="CD184" s="165"/>
      <c r="CE184" s="173"/>
      <c r="CF184" s="173"/>
      <c r="CG184" s="168"/>
      <c r="CH184" s="165"/>
      <c r="CI184" s="167"/>
    </row>
    <row r="185" spans="1:87" x14ac:dyDescent="0.3">
      <c r="A185" s="10">
        <v>2611</v>
      </c>
      <c r="B185" s="11" t="s">
        <v>314</v>
      </c>
      <c r="C185" s="471">
        <v>1309</v>
      </c>
      <c r="D185" s="54">
        <v>570</v>
      </c>
      <c r="E185" s="367">
        <f t="shared" si="2"/>
        <v>0.43544690603514136</v>
      </c>
      <c r="F185" s="45">
        <v>265</v>
      </c>
      <c r="G185" s="45">
        <v>122</v>
      </c>
      <c r="H185" s="45">
        <v>212</v>
      </c>
      <c r="I185" s="45">
        <v>262</v>
      </c>
      <c r="J185" s="46">
        <v>83</v>
      </c>
      <c r="K185" s="165"/>
      <c r="L185" s="304"/>
      <c r="M185" s="601"/>
      <c r="N185" s="165"/>
      <c r="O185" s="165"/>
      <c r="P185" s="190"/>
      <c r="Q185" s="166"/>
      <c r="R185" s="166"/>
      <c r="S185" s="169"/>
      <c r="T185" s="165"/>
      <c r="U185" s="165"/>
      <c r="V185" s="168"/>
      <c r="W185" s="169"/>
      <c r="X185" s="173"/>
      <c r="Y185" s="190"/>
      <c r="Z185" s="167"/>
      <c r="AA185" s="165"/>
      <c r="AB185" s="166"/>
      <c r="AC185" s="169"/>
      <c r="AD185" s="165"/>
      <c r="AE185" s="165"/>
      <c r="AF185" s="167"/>
      <c r="AG185" s="168"/>
      <c r="AH185" s="165"/>
      <c r="AI185" s="167"/>
      <c r="AJ185" s="165"/>
      <c r="AK185" s="173"/>
      <c r="AL185" s="167"/>
      <c r="AM185" s="165"/>
      <c r="AN185" s="173"/>
      <c r="AO185" s="173"/>
      <c r="AP185" s="168"/>
      <c r="AQ185" s="165"/>
      <c r="AR185" s="168"/>
      <c r="AS185" s="165"/>
      <c r="AT185" s="190"/>
      <c r="AU185" s="167"/>
      <c r="AV185" s="165"/>
      <c r="AW185" s="173"/>
      <c r="AX185" s="173"/>
      <c r="AY185" s="190"/>
      <c r="AZ185" s="167"/>
      <c r="BA185" s="165"/>
      <c r="BB185" s="165"/>
      <c r="BC185" s="168"/>
      <c r="BD185" s="165"/>
      <c r="BE185" s="165"/>
      <c r="BF185" s="173"/>
      <c r="BG185" s="304"/>
      <c r="BH185" s="601"/>
      <c r="BI185" s="45"/>
      <c r="BJ185" s="46"/>
      <c r="BK185" s="45"/>
      <c r="BL185" s="53"/>
      <c r="BM185" s="200"/>
      <c r="BN185" s="165"/>
      <c r="BO185" s="173"/>
      <c r="BP185" s="190"/>
      <c r="BQ185" s="173"/>
      <c r="BR185" s="168"/>
      <c r="BS185" s="165"/>
      <c r="BT185" s="167"/>
      <c r="BU185" s="165"/>
      <c r="BV185" s="190"/>
      <c r="BW185" s="173"/>
      <c r="BX185" s="173"/>
      <c r="BY185" s="167"/>
      <c r="BZ185" s="45"/>
      <c r="CA185" s="54"/>
      <c r="CB185" s="53"/>
      <c r="CC185" s="200"/>
      <c r="CD185" s="165"/>
      <c r="CE185" s="173"/>
      <c r="CF185" s="173"/>
      <c r="CG185" s="168"/>
      <c r="CH185" s="165"/>
      <c r="CI185" s="167"/>
    </row>
    <row r="186" spans="1:87" x14ac:dyDescent="0.3">
      <c r="A186" s="10">
        <v>2612</v>
      </c>
      <c r="B186" s="11" t="s">
        <v>315</v>
      </c>
      <c r="C186" s="471">
        <v>882</v>
      </c>
      <c r="D186" s="54">
        <v>269</v>
      </c>
      <c r="E186" s="367">
        <f t="shared" si="2"/>
        <v>0.30498866213151926</v>
      </c>
      <c r="F186" s="45">
        <v>145</v>
      </c>
      <c r="G186" s="45">
        <v>42</v>
      </c>
      <c r="H186" s="45">
        <v>128</v>
      </c>
      <c r="I186" s="45">
        <v>149</v>
      </c>
      <c r="J186" s="46">
        <v>38</v>
      </c>
      <c r="K186" s="165"/>
      <c r="L186" s="304"/>
      <c r="M186" s="601"/>
      <c r="N186" s="165"/>
      <c r="O186" s="165"/>
      <c r="P186" s="190"/>
      <c r="Q186" s="166"/>
      <c r="R186" s="166"/>
      <c r="S186" s="169"/>
      <c r="T186" s="165"/>
      <c r="U186" s="165"/>
      <c r="V186" s="168"/>
      <c r="W186" s="169"/>
      <c r="X186" s="173"/>
      <c r="Y186" s="190"/>
      <c r="Z186" s="167"/>
      <c r="AA186" s="165"/>
      <c r="AB186" s="166"/>
      <c r="AC186" s="169"/>
      <c r="AD186" s="165"/>
      <c r="AE186" s="165"/>
      <c r="AF186" s="167"/>
      <c r="AG186" s="168"/>
      <c r="AH186" s="165"/>
      <c r="AI186" s="167"/>
      <c r="AJ186" s="165"/>
      <c r="AK186" s="173"/>
      <c r="AL186" s="167"/>
      <c r="AM186" s="165"/>
      <c r="AN186" s="173"/>
      <c r="AO186" s="173"/>
      <c r="AP186" s="168"/>
      <c r="AQ186" s="165"/>
      <c r="AR186" s="168"/>
      <c r="AS186" s="165"/>
      <c r="AT186" s="190"/>
      <c r="AU186" s="167"/>
      <c r="AV186" s="165"/>
      <c r="AW186" s="173"/>
      <c r="AX186" s="173"/>
      <c r="AY186" s="190"/>
      <c r="AZ186" s="167"/>
      <c r="BA186" s="165"/>
      <c r="BB186" s="165"/>
      <c r="BC186" s="168"/>
      <c r="BD186" s="165"/>
      <c r="BE186" s="165"/>
      <c r="BF186" s="173"/>
      <c r="BG186" s="304"/>
      <c r="BH186" s="601"/>
      <c r="BI186" s="45"/>
      <c r="BJ186" s="46"/>
      <c r="BK186" s="45"/>
      <c r="BL186" s="53"/>
      <c r="BM186" s="200"/>
      <c r="BN186" s="165"/>
      <c r="BO186" s="173"/>
      <c r="BP186" s="190"/>
      <c r="BQ186" s="173"/>
      <c r="BR186" s="168"/>
      <c r="BS186" s="165"/>
      <c r="BT186" s="167"/>
      <c r="BU186" s="165"/>
      <c r="BV186" s="190"/>
      <c r="BW186" s="173"/>
      <c r="BX186" s="173"/>
      <c r="BY186" s="167"/>
      <c r="BZ186" s="45"/>
      <c r="CA186" s="54"/>
      <c r="CB186" s="53"/>
      <c r="CC186" s="200"/>
      <c r="CD186" s="165"/>
      <c r="CE186" s="173"/>
      <c r="CF186" s="173"/>
      <c r="CG186" s="168"/>
      <c r="CH186" s="165"/>
      <c r="CI186" s="167"/>
    </row>
    <row r="187" spans="1:87" x14ac:dyDescent="0.3">
      <c r="A187" s="10">
        <v>2613</v>
      </c>
      <c r="B187" s="11" t="s">
        <v>316</v>
      </c>
      <c r="C187" s="471">
        <v>674</v>
      </c>
      <c r="D187" s="54">
        <v>163</v>
      </c>
      <c r="E187" s="367">
        <f t="shared" si="2"/>
        <v>0.24183976261127596</v>
      </c>
      <c r="F187" s="45">
        <v>84</v>
      </c>
      <c r="G187" s="45">
        <v>27</v>
      </c>
      <c r="H187" s="45">
        <v>67</v>
      </c>
      <c r="I187" s="45">
        <v>98</v>
      </c>
      <c r="J187" s="46">
        <v>21</v>
      </c>
      <c r="K187" s="165"/>
      <c r="L187" s="304"/>
      <c r="M187" s="601"/>
      <c r="N187" s="165"/>
      <c r="O187" s="165"/>
      <c r="P187" s="190"/>
      <c r="Q187" s="166"/>
      <c r="R187" s="166"/>
      <c r="S187" s="169"/>
      <c r="T187" s="165"/>
      <c r="U187" s="165"/>
      <c r="V187" s="168"/>
      <c r="W187" s="169"/>
      <c r="X187" s="173"/>
      <c r="Y187" s="190"/>
      <c r="Z187" s="167"/>
      <c r="AA187" s="165"/>
      <c r="AB187" s="166"/>
      <c r="AC187" s="169"/>
      <c r="AD187" s="165"/>
      <c r="AE187" s="165"/>
      <c r="AF187" s="167"/>
      <c r="AG187" s="168"/>
      <c r="AH187" s="165"/>
      <c r="AI187" s="167"/>
      <c r="AJ187" s="165"/>
      <c r="AK187" s="173"/>
      <c r="AL187" s="167"/>
      <c r="AM187" s="165"/>
      <c r="AN187" s="173"/>
      <c r="AO187" s="173"/>
      <c r="AP187" s="168"/>
      <c r="AQ187" s="165"/>
      <c r="AR187" s="168"/>
      <c r="AS187" s="165"/>
      <c r="AT187" s="190"/>
      <c r="AU187" s="167"/>
      <c r="AV187" s="165"/>
      <c r="AW187" s="173"/>
      <c r="AX187" s="173"/>
      <c r="AY187" s="190"/>
      <c r="AZ187" s="167"/>
      <c r="BA187" s="165"/>
      <c r="BB187" s="165"/>
      <c r="BC187" s="168"/>
      <c r="BD187" s="165"/>
      <c r="BE187" s="165"/>
      <c r="BF187" s="173"/>
      <c r="BG187" s="304"/>
      <c r="BH187" s="601"/>
      <c r="BI187" s="45"/>
      <c r="BJ187" s="46"/>
      <c r="BK187" s="45"/>
      <c r="BL187" s="53"/>
      <c r="BM187" s="200"/>
      <c r="BN187" s="165"/>
      <c r="BO187" s="173"/>
      <c r="BP187" s="190"/>
      <c r="BQ187" s="173"/>
      <c r="BR187" s="168"/>
      <c r="BS187" s="165"/>
      <c r="BT187" s="167"/>
      <c r="BU187" s="165"/>
      <c r="BV187" s="190"/>
      <c r="BW187" s="173"/>
      <c r="BX187" s="173"/>
      <c r="BY187" s="167"/>
      <c r="BZ187" s="45"/>
      <c r="CA187" s="54"/>
      <c r="CB187" s="53"/>
      <c r="CC187" s="200"/>
      <c r="CD187" s="165"/>
      <c r="CE187" s="173"/>
      <c r="CF187" s="173"/>
      <c r="CG187" s="168"/>
      <c r="CH187" s="165"/>
      <c r="CI187" s="167"/>
    </row>
    <row r="188" spans="1:87" x14ac:dyDescent="0.3">
      <c r="A188" s="10">
        <v>2614</v>
      </c>
      <c r="B188" s="11" t="s">
        <v>317</v>
      </c>
      <c r="C188" s="471">
        <v>1219</v>
      </c>
      <c r="D188" s="54">
        <v>366</v>
      </c>
      <c r="E188" s="367">
        <f t="shared" si="2"/>
        <v>0.30024610336341262</v>
      </c>
      <c r="F188" s="45">
        <v>183</v>
      </c>
      <c r="G188" s="45">
        <v>56</v>
      </c>
      <c r="H188" s="45">
        <v>143</v>
      </c>
      <c r="I188" s="45">
        <v>203</v>
      </c>
      <c r="J188" s="46">
        <v>53</v>
      </c>
      <c r="K188" s="165"/>
      <c r="L188" s="304"/>
      <c r="M188" s="601"/>
      <c r="N188" s="165"/>
      <c r="O188" s="165"/>
      <c r="P188" s="190"/>
      <c r="Q188" s="166"/>
      <c r="R188" s="166"/>
      <c r="S188" s="169"/>
      <c r="T188" s="165"/>
      <c r="U188" s="165"/>
      <c r="V188" s="168"/>
      <c r="W188" s="169"/>
      <c r="X188" s="173"/>
      <c r="Y188" s="190"/>
      <c r="Z188" s="167"/>
      <c r="AA188" s="165"/>
      <c r="AB188" s="166"/>
      <c r="AC188" s="169"/>
      <c r="AD188" s="165"/>
      <c r="AE188" s="165"/>
      <c r="AF188" s="167"/>
      <c r="AG188" s="168"/>
      <c r="AH188" s="165"/>
      <c r="AI188" s="167"/>
      <c r="AJ188" s="165"/>
      <c r="AK188" s="173"/>
      <c r="AL188" s="167"/>
      <c r="AM188" s="165"/>
      <c r="AN188" s="173"/>
      <c r="AO188" s="173"/>
      <c r="AP188" s="168"/>
      <c r="AQ188" s="165"/>
      <c r="AR188" s="168"/>
      <c r="AS188" s="165"/>
      <c r="AT188" s="190"/>
      <c r="AU188" s="167"/>
      <c r="AV188" s="165"/>
      <c r="AW188" s="173"/>
      <c r="AX188" s="173"/>
      <c r="AY188" s="190"/>
      <c r="AZ188" s="167"/>
      <c r="BA188" s="165"/>
      <c r="BB188" s="165"/>
      <c r="BC188" s="168"/>
      <c r="BD188" s="165"/>
      <c r="BE188" s="165"/>
      <c r="BF188" s="173"/>
      <c r="BG188" s="304"/>
      <c r="BH188" s="601"/>
      <c r="BI188" s="45"/>
      <c r="BJ188" s="46"/>
      <c r="BK188" s="45"/>
      <c r="BL188" s="53"/>
      <c r="BM188" s="200"/>
      <c r="BN188" s="165"/>
      <c r="BO188" s="173"/>
      <c r="BP188" s="190"/>
      <c r="BQ188" s="173"/>
      <c r="BR188" s="168"/>
      <c r="BS188" s="165"/>
      <c r="BT188" s="167"/>
      <c r="BU188" s="165"/>
      <c r="BV188" s="190"/>
      <c r="BW188" s="173"/>
      <c r="BX188" s="173"/>
      <c r="BY188" s="167"/>
      <c r="BZ188" s="45"/>
      <c r="CA188" s="54"/>
      <c r="CB188" s="53"/>
      <c r="CC188" s="200"/>
      <c r="CD188" s="165"/>
      <c r="CE188" s="173"/>
      <c r="CF188" s="173"/>
      <c r="CG188" s="168"/>
      <c r="CH188" s="165"/>
      <c r="CI188" s="167"/>
    </row>
    <row r="189" spans="1:87" x14ac:dyDescent="0.3">
      <c r="A189" s="10">
        <v>2615</v>
      </c>
      <c r="B189" s="11" t="s">
        <v>318</v>
      </c>
      <c r="C189" s="471">
        <v>1162</v>
      </c>
      <c r="D189" s="54">
        <v>597</v>
      </c>
      <c r="E189" s="367">
        <f t="shared" si="2"/>
        <v>0.51376936316695354</v>
      </c>
      <c r="F189" s="45">
        <v>322</v>
      </c>
      <c r="G189" s="45">
        <v>107</v>
      </c>
      <c r="H189" s="45">
        <v>236</v>
      </c>
      <c r="I189" s="45">
        <v>305</v>
      </c>
      <c r="J189" s="46">
        <v>87</v>
      </c>
      <c r="K189" s="165"/>
      <c r="L189" s="304"/>
      <c r="M189" s="601"/>
      <c r="N189" s="165"/>
      <c r="O189" s="165"/>
      <c r="P189" s="190"/>
      <c r="Q189" s="166"/>
      <c r="R189" s="166"/>
      <c r="S189" s="169"/>
      <c r="T189" s="165"/>
      <c r="U189" s="165"/>
      <c r="V189" s="168"/>
      <c r="W189" s="169"/>
      <c r="X189" s="173"/>
      <c r="Y189" s="190"/>
      <c r="Z189" s="167"/>
      <c r="AA189" s="165"/>
      <c r="AB189" s="166"/>
      <c r="AC189" s="169"/>
      <c r="AD189" s="165"/>
      <c r="AE189" s="165"/>
      <c r="AF189" s="167"/>
      <c r="AG189" s="168"/>
      <c r="AH189" s="165"/>
      <c r="AI189" s="167"/>
      <c r="AJ189" s="165"/>
      <c r="AK189" s="173"/>
      <c r="AL189" s="167"/>
      <c r="AM189" s="165"/>
      <c r="AN189" s="173"/>
      <c r="AO189" s="173"/>
      <c r="AP189" s="168"/>
      <c r="AQ189" s="165"/>
      <c r="AR189" s="168"/>
      <c r="AS189" s="165"/>
      <c r="AT189" s="190"/>
      <c r="AU189" s="167"/>
      <c r="AV189" s="165"/>
      <c r="AW189" s="173"/>
      <c r="AX189" s="173"/>
      <c r="AY189" s="190"/>
      <c r="AZ189" s="167"/>
      <c r="BA189" s="165"/>
      <c r="BB189" s="165"/>
      <c r="BC189" s="168"/>
      <c r="BD189" s="165"/>
      <c r="BE189" s="165"/>
      <c r="BF189" s="173"/>
      <c r="BG189" s="304"/>
      <c r="BH189" s="601"/>
      <c r="BI189" s="45"/>
      <c r="BJ189" s="46"/>
      <c r="BK189" s="45"/>
      <c r="BL189" s="53"/>
      <c r="BM189" s="200"/>
      <c r="BN189" s="165"/>
      <c r="BO189" s="173"/>
      <c r="BP189" s="190"/>
      <c r="BQ189" s="173"/>
      <c r="BR189" s="168"/>
      <c r="BS189" s="165"/>
      <c r="BT189" s="167"/>
      <c r="BU189" s="165"/>
      <c r="BV189" s="190"/>
      <c r="BW189" s="173"/>
      <c r="BX189" s="173"/>
      <c r="BY189" s="167"/>
      <c r="BZ189" s="45"/>
      <c r="CA189" s="54"/>
      <c r="CB189" s="53"/>
      <c r="CC189" s="200"/>
      <c r="CD189" s="165"/>
      <c r="CE189" s="173"/>
      <c r="CF189" s="173"/>
      <c r="CG189" s="168"/>
      <c r="CH189" s="165"/>
      <c r="CI189" s="167"/>
    </row>
    <row r="190" spans="1:87" x14ac:dyDescent="0.3">
      <c r="A190" s="10">
        <v>2616</v>
      </c>
      <c r="B190" s="11" t="s">
        <v>319</v>
      </c>
      <c r="C190" s="471">
        <v>1287</v>
      </c>
      <c r="D190" s="54">
        <v>442</v>
      </c>
      <c r="E190" s="367">
        <f t="shared" si="2"/>
        <v>0.34343434343434343</v>
      </c>
      <c r="F190" s="45">
        <v>257</v>
      </c>
      <c r="G190" s="45">
        <v>107</v>
      </c>
      <c r="H190" s="45">
        <v>198</v>
      </c>
      <c r="I190" s="45">
        <v>266</v>
      </c>
      <c r="J190" s="46">
        <v>43</v>
      </c>
      <c r="K190" s="165"/>
      <c r="L190" s="304"/>
      <c r="M190" s="601"/>
      <c r="N190" s="165"/>
      <c r="O190" s="165"/>
      <c r="P190" s="190"/>
      <c r="Q190" s="166"/>
      <c r="R190" s="166"/>
      <c r="S190" s="169"/>
      <c r="T190" s="165"/>
      <c r="U190" s="165"/>
      <c r="V190" s="168"/>
      <c r="W190" s="169"/>
      <c r="X190" s="173"/>
      <c r="Y190" s="190"/>
      <c r="Z190" s="167"/>
      <c r="AA190" s="165"/>
      <c r="AB190" s="166"/>
      <c r="AC190" s="169"/>
      <c r="AD190" s="165"/>
      <c r="AE190" s="165"/>
      <c r="AF190" s="167"/>
      <c r="AG190" s="168"/>
      <c r="AH190" s="165"/>
      <c r="AI190" s="167"/>
      <c r="AJ190" s="165"/>
      <c r="AK190" s="173"/>
      <c r="AL190" s="167"/>
      <c r="AM190" s="165"/>
      <c r="AN190" s="173"/>
      <c r="AO190" s="173"/>
      <c r="AP190" s="168"/>
      <c r="AQ190" s="165"/>
      <c r="AR190" s="168"/>
      <c r="AS190" s="165"/>
      <c r="AT190" s="190"/>
      <c r="AU190" s="167"/>
      <c r="AV190" s="165"/>
      <c r="AW190" s="173"/>
      <c r="AX190" s="173"/>
      <c r="AY190" s="190"/>
      <c r="AZ190" s="167"/>
      <c r="BA190" s="165"/>
      <c r="BB190" s="165"/>
      <c r="BC190" s="168"/>
      <c r="BD190" s="165"/>
      <c r="BE190" s="165"/>
      <c r="BF190" s="173"/>
      <c r="BG190" s="304"/>
      <c r="BH190" s="601"/>
      <c r="BI190" s="45"/>
      <c r="BJ190" s="46"/>
      <c r="BK190" s="45"/>
      <c r="BL190" s="53"/>
      <c r="BM190" s="200"/>
      <c r="BN190" s="165"/>
      <c r="BO190" s="173"/>
      <c r="BP190" s="190"/>
      <c r="BQ190" s="173"/>
      <c r="BR190" s="168"/>
      <c r="BS190" s="165"/>
      <c r="BT190" s="167"/>
      <c r="BU190" s="165"/>
      <c r="BV190" s="190"/>
      <c r="BW190" s="173"/>
      <c r="BX190" s="173"/>
      <c r="BY190" s="167"/>
      <c r="BZ190" s="45"/>
      <c r="CA190" s="54"/>
      <c r="CB190" s="53"/>
      <c r="CC190" s="200"/>
      <c r="CD190" s="165"/>
      <c r="CE190" s="173"/>
      <c r="CF190" s="173"/>
      <c r="CG190" s="168"/>
      <c r="CH190" s="165"/>
      <c r="CI190" s="167"/>
    </row>
    <row r="191" spans="1:87" x14ac:dyDescent="0.3">
      <c r="A191" s="10">
        <v>2617</v>
      </c>
      <c r="B191" s="11" t="s">
        <v>749</v>
      </c>
      <c r="C191" s="471">
        <v>1259</v>
      </c>
      <c r="D191" s="54">
        <v>196</v>
      </c>
      <c r="E191" s="367">
        <f t="shared" si="2"/>
        <v>0.15567911040508339</v>
      </c>
      <c r="F191" s="45">
        <v>102</v>
      </c>
      <c r="G191" s="45">
        <v>41</v>
      </c>
      <c r="H191" s="45">
        <v>76</v>
      </c>
      <c r="I191" s="45">
        <v>137</v>
      </c>
      <c r="J191" s="46">
        <v>23</v>
      </c>
      <c r="K191" s="165"/>
      <c r="L191" s="304"/>
      <c r="M191" s="601"/>
      <c r="N191" s="165"/>
      <c r="O191" s="165"/>
      <c r="P191" s="190"/>
      <c r="Q191" s="166"/>
      <c r="R191" s="166"/>
      <c r="S191" s="169"/>
      <c r="T191" s="165"/>
      <c r="U191" s="165"/>
      <c r="V191" s="168"/>
      <c r="W191" s="169"/>
      <c r="X191" s="173"/>
      <c r="Y191" s="190"/>
      <c r="Z191" s="167"/>
      <c r="AA191" s="165"/>
      <c r="AB191" s="166"/>
      <c r="AC191" s="169"/>
      <c r="AD191" s="165"/>
      <c r="AE191" s="165"/>
      <c r="AF191" s="167"/>
      <c r="AG191" s="168"/>
      <c r="AH191" s="165"/>
      <c r="AI191" s="167"/>
      <c r="AJ191" s="165"/>
      <c r="AK191" s="173"/>
      <c r="AL191" s="167"/>
      <c r="AM191" s="165"/>
      <c r="AN191" s="173"/>
      <c r="AO191" s="173"/>
      <c r="AP191" s="168"/>
      <c r="AQ191" s="165"/>
      <c r="AR191" s="168"/>
      <c r="AS191" s="165"/>
      <c r="AT191" s="190"/>
      <c r="AU191" s="167"/>
      <c r="AV191" s="165"/>
      <c r="AW191" s="173"/>
      <c r="AX191" s="173"/>
      <c r="AY191" s="190"/>
      <c r="AZ191" s="167"/>
      <c r="BA191" s="165"/>
      <c r="BB191" s="165"/>
      <c r="BC191" s="168"/>
      <c r="BD191" s="165"/>
      <c r="BE191" s="165"/>
      <c r="BF191" s="173"/>
      <c r="BG191" s="304"/>
      <c r="BH191" s="601"/>
      <c r="BI191" s="45"/>
      <c r="BJ191" s="46"/>
      <c r="BK191" s="45"/>
      <c r="BL191" s="53"/>
      <c r="BM191" s="200"/>
      <c r="BN191" s="165"/>
      <c r="BO191" s="173"/>
      <c r="BP191" s="190"/>
      <c r="BQ191" s="173"/>
      <c r="BR191" s="168"/>
      <c r="BS191" s="165"/>
      <c r="BT191" s="167"/>
      <c r="BU191" s="165"/>
      <c r="BV191" s="190"/>
      <c r="BW191" s="173"/>
      <c r="BX191" s="173"/>
      <c r="BY191" s="167"/>
      <c r="BZ191" s="45"/>
      <c r="CA191" s="54"/>
      <c r="CB191" s="53"/>
      <c r="CC191" s="200"/>
      <c r="CD191" s="165"/>
      <c r="CE191" s="173"/>
      <c r="CF191" s="173"/>
      <c r="CG191" s="168"/>
      <c r="CH191" s="165"/>
      <c r="CI191" s="167"/>
    </row>
    <row r="192" spans="1:87" x14ac:dyDescent="0.3">
      <c r="A192" s="10">
        <v>2618</v>
      </c>
      <c r="B192" s="11" t="s">
        <v>750</v>
      </c>
      <c r="C192" s="471">
        <v>778</v>
      </c>
      <c r="D192" s="54">
        <v>172</v>
      </c>
      <c r="E192" s="367">
        <f t="shared" si="2"/>
        <v>0.2210796915167095</v>
      </c>
      <c r="F192" s="45">
        <v>103</v>
      </c>
      <c r="G192" s="45">
        <v>44</v>
      </c>
      <c r="H192" s="45">
        <v>66</v>
      </c>
      <c r="I192" s="45">
        <v>106</v>
      </c>
      <c r="J192" s="46">
        <v>13</v>
      </c>
      <c r="K192" s="165"/>
      <c r="L192" s="304"/>
      <c r="M192" s="601"/>
      <c r="N192" s="165"/>
      <c r="O192" s="165"/>
      <c r="P192" s="190"/>
      <c r="Q192" s="166"/>
      <c r="R192" s="166"/>
      <c r="S192" s="169"/>
      <c r="T192" s="165"/>
      <c r="U192" s="165"/>
      <c r="V192" s="168"/>
      <c r="W192" s="169"/>
      <c r="X192" s="173"/>
      <c r="Y192" s="190"/>
      <c r="Z192" s="167"/>
      <c r="AA192" s="165"/>
      <c r="AB192" s="166"/>
      <c r="AC192" s="169"/>
      <c r="AD192" s="165"/>
      <c r="AE192" s="165"/>
      <c r="AF192" s="167"/>
      <c r="AG192" s="168"/>
      <c r="AH192" s="165"/>
      <c r="AI192" s="167"/>
      <c r="AJ192" s="165"/>
      <c r="AK192" s="173"/>
      <c r="AL192" s="167"/>
      <c r="AM192" s="165"/>
      <c r="AN192" s="173"/>
      <c r="AO192" s="173"/>
      <c r="AP192" s="168"/>
      <c r="AQ192" s="165"/>
      <c r="AR192" s="168"/>
      <c r="AS192" s="165"/>
      <c r="AT192" s="190"/>
      <c r="AU192" s="167"/>
      <c r="AV192" s="165"/>
      <c r="AW192" s="173"/>
      <c r="AX192" s="173"/>
      <c r="AY192" s="190"/>
      <c r="AZ192" s="167"/>
      <c r="BA192" s="165"/>
      <c r="BB192" s="165"/>
      <c r="BC192" s="168"/>
      <c r="BD192" s="165"/>
      <c r="BE192" s="165"/>
      <c r="BF192" s="173"/>
      <c r="BG192" s="304"/>
      <c r="BH192" s="601"/>
      <c r="BI192" s="45"/>
      <c r="BJ192" s="46"/>
      <c r="BK192" s="45"/>
      <c r="BL192" s="53"/>
      <c r="BM192" s="200"/>
      <c r="BN192" s="165"/>
      <c r="BO192" s="173"/>
      <c r="BP192" s="190"/>
      <c r="BQ192" s="173"/>
      <c r="BR192" s="168"/>
      <c r="BS192" s="165"/>
      <c r="BT192" s="167"/>
      <c r="BU192" s="165"/>
      <c r="BV192" s="190"/>
      <c r="BW192" s="173"/>
      <c r="BX192" s="173"/>
      <c r="BY192" s="167"/>
      <c r="BZ192" s="45"/>
      <c r="CA192" s="54"/>
      <c r="CB192" s="53"/>
      <c r="CC192" s="200"/>
      <c r="CD192" s="165"/>
      <c r="CE192" s="173"/>
      <c r="CF192" s="173"/>
      <c r="CG192" s="168"/>
      <c r="CH192" s="165"/>
      <c r="CI192" s="167"/>
    </row>
    <row r="193" spans="1:87" x14ac:dyDescent="0.3">
      <c r="A193" s="10">
        <v>2619</v>
      </c>
      <c r="B193" s="11" t="s">
        <v>751</v>
      </c>
      <c r="C193" s="471">
        <v>989</v>
      </c>
      <c r="D193" s="54">
        <v>333</v>
      </c>
      <c r="E193" s="367">
        <f t="shared" si="2"/>
        <v>0.33670374115267948</v>
      </c>
      <c r="F193" s="45">
        <v>161</v>
      </c>
      <c r="G193" s="45">
        <v>69</v>
      </c>
      <c r="H193" s="45">
        <v>132</v>
      </c>
      <c r="I193" s="45">
        <v>168</v>
      </c>
      <c r="J193" s="46">
        <v>67</v>
      </c>
      <c r="K193" s="165"/>
      <c r="L193" s="304"/>
      <c r="M193" s="601"/>
      <c r="N193" s="165"/>
      <c r="O193" s="165"/>
      <c r="P193" s="190"/>
      <c r="Q193" s="166"/>
      <c r="R193" s="166"/>
      <c r="S193" s="169"/>
      <c r="T193" s="165"/>
      <c r="U193" s="165"/>
      <c r="V193" s="168"/>
      <c r="W193" s="169"/>
      <c r="X193" s="173"/>
      <c r="Y193" s="190"/>
      <c r="Z193" s="167"/>
      <c r="AA193" s="165"/>
      <c r="AB193" s="166"/>
      <c r="AC193" s="169"/>
      <c r="AD193" s="165"/>
      <c r="AE193" s="165"/>
      <c r="AF193" s="167"/>
      <c r="AG193" s="168"/>
      <c r="AH193" s="165"/>
      <c r="AI193" s="167"/>
      <c r="AJ193" s="165"/>
      <c r="AK193" s="173"/>
      <c r="AL193" s="167"/>
      <c r="AM193" s="165"/>
      <c r="AN193" s="173"/>
      <c r="AO193" s="173"/>
      <c r="AP193" s="168"/>
      <c r="AQ193" s="165"/>
      <c r="AR193" s="168"/>
      <c r="AS193" s="165"/>
      <c r="AT193" s="190"/>
      <c r="AU193" s="167"/>
      <c r="AV193" s="165"/>
      <c r="AW193" s="173"/>
      <c r="AX193" s="173"/>
      <c r="AY193" s="190"/>
      <c r="AZ193" s="167"/>
      <c r="BA193" s="165"/>
      <c r="BB193" s="165"/>
      <c r="BC193" s="168"/>
      <c r="BD193" s="165"/>
      <c r="BE193" s="165"/>
      <c r="BF193" s="173"/>
      <c r="BG193" s="304"/>
      <c r="BH193" s="601"/>
      <c r="BI193" s="45"/>
      <c r="BJ193" s="46"/>
      <c r="BK193" s="45"/>
      <c r="BL193" s="53"/>
      <c r="BM193" s="200"/>
      <c r="BN193" s="165"/>
      <c r="BO193" s="173"/>
      <c r="BP193" s="190"/>
      <c r="BQ193" s="173"/>
      <c r="BR193" s="168"/>
      <c r="BS193" s="165"/>
      <c r="BT193" s="167"/>
      <c r="BU193" s="165"/>
      <c r="BV193" s="190"/>
      <c r="BW193" s="173"/>
      <c r="BX193" s="173"/>
      <c r="BY193" s="167"/>
      <c r="BZ193" s="45"/>
      <c r="CA193" s="54"/>
      <c r="CB193" s="53"/>
      <c r="CC193" s="200"/>
      <c r="CD193" s="165"/>
      <c r="CE193" s="173"/>
      <c r="CF193" s="173"/>
      <c r="CG193" s="168"/>
      <c r="CH193" s="165"/>
      <c r="CI193" s="167"/>
    </row>
    <row r="194" spans="1:87" x14ac:dyDescent="0.3">
      <c r="A194" s="10">
        <v>2811</v>
      </c>
      <c r="B194" s="11" t="s">
        <v>320</v>
      </c>
      <c r="C194" s="471">
        <v>862</v>
      </c>
      <c r="D194" s="54">
        <v>557</v>
      </c>
      <c r="E194" s="367">
        <f t="shared" si="2"/>
        <v>0.64617169373549888</v>
      </c>
      <c r="F194" s="45"/>
      <c r="G194" s="45"/>
      <c r="H194" s="45"/>
      <c r="I194" s="45"/>
      <c r="J194" s="46"/>
      <c r="K194" s="165"/>
      <c r="L194" s="304"/>
      <c r="M194" s="601"/>
      <c r="N194" s="165"/>
      <c r="O194" s="165"/>
      <c r="P194" s="190"/>
      <c r="Q194" s="166"/>
      <c r="R194" s="166"/>
      <c r="S194" s="169"/>
      <c r="T194" s="165"/>
      <c r="U194" s="165"/>
      <c r="V194" s="168"/>
      <c r="W194" s="169"/>
      <c r="X194" s="173"/>
      <c r="Y194" s="190"/>
      <c r="Z194" s="167"/>
      <c r="AA194" s="165"/>
      <c r="AB194" s="166"/>
      <c r="AC194" s="169"/>
      <c r="AD194" s="165"/>
      <c r="AE194" s="165"/>
      <c r="AF194" s="167"/>
      <c r="AG194" s="168"/>
      <c r="AH194" s="165"/>
      <c r="AI194" s="167"/>
      <c r="AJ194" s="165"/>
      <c r="AK194" s="173"/>
      <c r="AL194" s="167"/>
      <c r="AM194" s="165"/>
      <c r="AN194" s="173"/>
      <c r="AO194" s="173"/>
      <c r="AP194" s="168"/>
      <c r="AQ194" s="165"/>
      <c r="AR194" s="168"/>
      <c r="AS194" s="165"/>
      <c r="AT194" s="190"/>
      <c r="AU194" s="167"/>
      <c r="AV194" s="45">
        <v>193</v>
      </c>
      <c r="AW194" s="54">
        <v>182</v>
      </c>
      <c r="AX194" s="54">
        <v>255</v>
      </c>
      <c r="AY194" s="53">
        <v>83</v>
      </c>
      <c r="AZ194" s="46">
        <v>81</v>
      </c>
      <c r="BA194" s="165"/>
      <c r="BB194" s="165"/>
      <c r="BC194" s="168"/>
      <c r="BD194" s="165"/>
      <c r="BE194" s="165"/>
      <c r="BF194" s="173"/>
      <c r="BG194" s="304"/>
      <c r="BH194" s="601"/>
      <c r="BI194" s="45"/>
      <c r="BJ194" s="46"/>
      <c r="BK194" s="45"/>
      <c r="BL194" s="53"/>
      <c r="BM194" s="200"/>
      <c r="BN194" s="165"/>
      <c r="BO194" s="173"/>
      <c r="BP194" s="190"/>
      <c r="BQ194" s="173"/>
      <c r="BR194" s="168"/>
      <c r="BS194" s="165"/>
      <c r="BT194" s="167"/>
      <c r="BU194" s="165"/>
      <c r="BV194" s="190"/>
      <c r="BW194" s="173"/>
      <c r="BX194" s="173"/>
      <c r="BY194" s="167"/>
      <c r="BZ194" s="45"/>
      <c r="CA194" s="54"/>
      <c r="CB194" s="53"/>
      <c r="CC194" s="200"/>
      <c r="CD194" s="165"/>
      <c r="CE194" s="173"/>
      <c r="CF194" s="173"/>
      <c r="CG194" s="168"/>
      <c r="CH194" s="165"/>
      <c r="CI194" s="167"/>
    </row>
    <row r="195" spans="1:87" x14ac:dyDescent="0.3">
      <c r="A195" s="10">
        <v>2812</v>
      </c>
      <c r="B195" s="11" t="s">
        <v>321</v>
      </c>
      <c r="C195" s="471">
        <v>1043</v>
      </c>
      <c r="D195" s="54">
        <v>490</v>
      </c>
      <c r="E195" s="367">
        <f t="shared" si="2"/>
        <v>0.46979865771812079</v>
      </c>
      <c r="F195" s="45"/>
      <c r="G195" s="45"/>
      <c r="H195" s="45"/>
      <c r="I195" s="45"/>
      <c r="J195" s="46"/>
      <c r="K195" s="165"/>
      <c r="L195" s="304"/>
      <c r="M195" s="601"/>
      <c r="N195" s="165"/>
      <c r="O195" s="165"/>
      <c r="P195" s="190"/>
      <c r="Q195" s="166"/>
      <c r="R195" s="166"/>
      <c r="S195" s="169"/>
      <c r="T195" s="165"/>
      <c r="U195" s="165"/>
      <c r="V195" s="168"/>
      <c r="W195" s="169"/>
      <c r="X195" s="173"/>
      <c r="Y195" s="190"/>
      <c r="Z195" s="167"/>
      <c r="AA195" s="165"/>
      <c r="AB195" s="166"/>
      <c r="AC195" s="169"/>
      <c r="AD195" s="165"/>
      <c r="AE195" s="165"/>
      <c r="AF195" s="167"/>
      <c r="AG195" s="168"/>
      <c r="AH195" s="165"/>
      <c r="AI195" s="167"/>
      <c r="AJ195" s="165"/>
      <c r="AK195" s="173"/>
      <c r="AL195" s="167"/>
      <c r="AM195" s="165"/>
      <c r="AN195" s="173"/>
      <c r="AO195" s="173"/>
      <c r="AP195" s="168"/>
      <c r="AQ195" s="165"/>
      <c r="AR195" s="168"/>
      <c r="AS195" s="165"/>
      <c r="AT195" s="190"/>
      <c r="AU195" s="167"/>
      <c r="AV195" s="45">
        <v>103</v>
      </c>
      <c r="AW195" s="54">
        <v>160</v>
      </c>
      <c r="AX195" s="54">
        <v>209</v>
      </c>
      <c r="AY195" s="53">
        <v>91</v>
      </c>
      <c r="AZ195" s="46">
        <v>78</v>
      </c>
      <c r="BA195" s="165"/>
      <c r="BB195" s="165"/>
      <c r="BC195" s="168"/>
      <c r="BD195" s="165"/>
      <c r="BE195" s="165"/>
      <c r="BF195" s="173"/>
      <c r="BG195" s="304"/>
      <c r="BH195" s="601"/>
      <c r="BI195" s="45"/>
      <c r="BJ195" s="46"/>
      <c r="BK195" s="45"/>
      <c r="BL195" s="53"/>
      <c r="BM195" s="200"/>
      <c r="BN195" s="165"/>
      <c r="BO195" s="173"/>
      <c r="BP195" s="190"/>
      <c r="BQ195" s="173"/>
      <c r="BR195" s="168"/>
      <c r="BS195" s="165"/>
      <c r="BT195" s="167"/>
      <c r="BU195" s="165"/>
      <c r="BV195" s="190"/>
      <c r="BW195" s="173"/>
      <c r="BX195" s="173"/>
      <c r="BY195" s="167"/>
      <c r="BZ195" s="45"/>
      <c r="CA195" s="54"/>
      <c r="CB195" s="53"/>
      <c r="CC195" s="200"/>
      <c r="CD195" s="165"/>
      <c r="CE195" s="173"/>
      <c r="CF195" s="173"/>
      <c r="CG195" s="168"/>
      <c r="CH195" s="165"/>
      <c r="CI195" s="167"/>
    </row>
    <row r="196" spans="1:87" x14ac:dyDescent="0.3">
      <c r="A196" s="10">
        <v>2821</v>
      </c>
      <c r="B196" s="11" t="s">
        <v>322</v>
      </c>
      <c r="C196" s="471">
        <v>715</v>
      </c>
      <c r="D196" s="54">
        <v>439</v>
      </c>
      <c r="E196" s="367">
        <f t="shared" si="2"/>
        <v>0.61398601398601393</v>
      </c>
      <c r="F196" s="45"/>
      <c r="G196" s="45"/>
      <c r="H196" s="45"/>
      <c r="I196" s="45"/>
      <c r="J196" s="46"/>
      <c r="K196" s="165"/>
      <c r="L196" s="304"/>
      <c r="M196" s="601"/>
      <c r="N196" s="165"/>
      <c r="O196" s="165"/>
      <c r="P196" s="190"/>
      <c r="Q196" s="166"/>
      <c r="R196" s="166"/>
      <c r="S196" s="169"/>
      <c r="T196" s="165"/>
      <c r="U196" s="165"/>
      <c r="V196" s="168"/>
      <c r="W196" s="169"/>
      <c r="X196" s="173"/>
      <c r="Y196" s="190"/>
      <c r="Z196" s="167"/>
      <c r="AA196" s="165"/>
      <c r="AB196" s="166"/>
      <c r="AC196" s="169"/>
      <c r="AD196" s="165"/>
      <c r="AE196" s="165"/>
      <c r="AF196" s="167"/>
      <c r="AG196" s="168"/>
      <c r="AH196" s="165"/>
      <c r="AI196" s="167"/>
      <c r="AJ196" s="165"/>
      <c r="AK196" s="173"/>
      <c r="AL196" s="167"/>
      <c r="AM196" s="165"/>
      <c r="AN196" s="173"/>
      <c r="AO196" s="173"/>
      <c r="AP196" s="168"/>
      <c r="AQ196" s="165"/>
      <c r="AR196" s="168"/>
      <c r="AS196" s="165"/>
      <c r="AT196" s="190"/>
      <c r="AU196" s="167"/>
      <c r="AV196" s="45">
        <v>144</v>
      </c>
      <c r="AW196" s="54">
        <v>179</v>
      </c>
      <c r="AX196" s="54">
        <v>194</v>
      </c>
      <c r="AY196" s="53">
        <v>70</v>
      </c>
      <c r="AZ196" s="46">
        <v>87</v>
      </c>
      <c r="BA196" s="165"/>
      <c r="BB196" s="165"/>
      <c r="BC196" s="168"/>
      <c r="BD196" s="165"/>
      <c r="BE196" s="165"/>
      <c r="BF196" s="173"/>
      <c r="BG196" s="304"/>
      <c r="BH196" s="601"/>
      <c r="BI196" s="45"/>
      <c r="BJ196" s="46"/>
      <c r="BK196" s="45"/>
      <c r="BL196" s="53"/>
      <c r="BM196" s="200"/>
      <c r="BN196" s="165"/>
      <c r="BO196" s="173"/>
      <c r="BP196" s="190"/>
      <c r="BQ196" s="173"/>
      <c r="BR196" s="168"/>
      <c r="BS196" s="165"/>
      <c r="BT196" s="167"/>
      <c r="BU196" s="165"/>
      <c r="BV196" s="190"/>
      <c r="BW196" s="173"/>
      <c r="BX196" s="173"/>
      <c r="BY196" s="167"/>
      <c r="BZ196" s="45"/>
      <c r="CA196" s="54"/>
      <c r="CB196" s="53"/>
      <c r="CC196" s="200"/>
      <c r="CD196" s="165"/>
      <c r="CE196" s="173"/>
      <c r="CF196" s="173"/>
      <c r="CG196" s="168"/>
      <c r="CH196" s="165"/>
      <c r="CI196" s="167"/>
    </row>
    <row r="197" spans="1:87" x14ac:dyDescent="0.3">
      <c r="A197" s="10">
        <v>2822</v>
      </c>
      <c r="B197" s="11" t="s">
        <v>323</v>
      </c>
      <c r="C197" s="471">
        <v>679</v>
      </c>
      <c r="D197" s="54">
        <v>409</v>
      </c>
      <c r="E197" s="367">
        <f t="shared" si="2"/>
        <v>0.60235640648011779</v>
      </c>
      <c r="F197" s="45"/>
      <c r="G197" s="45"/>
      <c r="H197" s="45"/>
      <c r="I197" s="45"/>
      <c r="J197" s="46"/>
      <c r="K197" s="165"/>
      <c r="L197" s="304"/>
      <c r="M197" s="601"/>
      <c r="N197" s="165"/>
      <c r="O197" s="165"/>
      <c r="P197" s="190"/>
      <c r="Q197" s="166"/>
      <c r="R197" s="166"/>
      <c r="S197" s="169"/>
      <c r="T197" s="165"/>
      <c r="U197" s="165"/>
      <c r="V197" s="168"/>
      <c r="W197" s="169"/>
      <c r="X197" s="173"/>
      <c r="Y197" s="190"/>
      <c r="Z197" s="167"/>
      <c r="AA197" s="165"/>
      <c r="AB197" s="166"/>
      <c r="AC197" s="169"/>
      <c r="AD197" s="165"/>
      <c r="AE197" s="165"/>
      <c r="AF197" s="167"/>
      <c r="AG197" s="168"/>
      <c r="AH197" s="165"/>
      <c r="AI197" s="167"/>
      <c r="AJ197" s="165"/>
      <c r="AK197" s="173"/>
      <c r="AL197" s="167"/>
      <c r="AM197" s="165"/>
      <c r="AN197" s="173"/>
      <c r="AO197" s="173"/>
      <c r="AP197" s="168"/>
      <c r="AQ197" s="165"/>
      <c r="AR197" s="168"/>
      <c r="AS197" s="165"/>
      <c r="AT197" s="190"/>
      <c r="AU197" s="167"/>
      <c r="AV197" s="45">
        <v>157</v>
      </c>
      <c r="AW197" s="54">
        <v>182</v>
      </c>
      <c r="AX197" s="54">
        <v>173</v>
      </c>
      <c r="AY197" s="53">
        <v>47</v>
      </c>
      <c r="AZ197" s="46">
        <v>65</v>
      </c>
      <c r="BA197" s="165"/>
      <c r="BB197" s="165"/>
      <c r="BC197" s="168"/>
      <c r="BD197" s="165"/>
      <c r="BE197" s="165"/>
      <c r="BF197" s="173"/>
      <c r="BG197" s="304"/>
      <c r="BH197" s="601"/>
      <c r="BI197" s="45"/>
      <c r="BJ197" s="46"/>
      <c r="BK197" s="45"/>
      <c r="BL197" s="53"/>
      <c r="BM197" s="200"/>
      <c r="BN197" s="165"/>
      <c r="BO197" s="173"/>
      <c r="BP197" s="190"/>
      <c r="BQ197" s="173"/>
      <c r="BR197" s="168"/>
      <c r="BS197" s="165"/>
      <c r="BT197" s="167"/>
      <c r="BU197" s="165"/>
      <c r="BV197" s="190"/>
      <c r="BW197" s="173"/>
      <c r="BX197" s="173"/>
      <c r="BY197" s="167"/>
      <c r="BZ197" s="45"/>
      <c r="CA197" s="54"/>
      <c r="CB197" s="53"/>
      <c r="CC197" s="200"/>
      <c r="CD197" s="165"/>
      <c r="CE197" s="173"/>
      <c r="CF197" s="173"/>
      <c r="CG197" s="168"/>
      <c r="CH197" s="165"/>
      <c r="CI197" s="167"/>
    </row>
    <row r="198" spans="1:87" x14ac:dyDescent="0.3">
      <c r="A198" s="10">
        <v>2823</v>
      </c>
      <c r="B198" s="11" t="s">
        <v>324</v>
      </c>
      <c r="C198" s="471">
        <v>1337</v>
      </c>
      <c r="D198" s="54">
        <v>707</v>
      </c>
      <c r="E198" s="367">
        <f t="shared" si="2"/>
        <v>0.52879581151832455</v>
      </c>
      <c r="F198" s="45"/>
      <c r="G198" s="45"/>
      <c r="H198" s="45"/>
      <c r="I198" s="45"/>
      <c r="J198" s="46"/>
      <c r="K198" s="165"/>
      <c r="L198" s="304"/>
      <c r="M198" s="601"/>
      <c r="N198" s="165"/>
      <c r="O198" s="165"/>
      <c r="P198" s="190"/>
      <c r="Q198" s="166"/>
      <c r="R198" s="166"/>
      <c r="S198" s="169"/>
      <c r="T198" s="165"/>
      <c r="U198" s="165"/>
      <c r="V198" s="168"/>
      <c r="W198" s="169"/>
      <c r="X198" s="173"/>
      <c r="Y198" s="190"/>
      <c r="Z198" s="167"/>
      <c r="AA198" s="165"/>
      <c r="AB198" s="166"/>
      <c r="AC198" s="169"/>
      <c r="AD198" s="165"/>
      <c r="AE198" s="165"/>
      <c r="AF198" s="167"/>
      <c r="AG198" s="168"/>
      <c r="AH198" s="165"/>
      <c r="AI198" s="167"/>
      <c r="AJ198" s="165"/>
      <c r="AK198" s="173"/>
      <c r="AL198" s="167"/>
      <c r="AM198" s="45">
        <v>7</v>
      </c>
      <c r="AN198" s="54">
        <v>5</v>
      </c>
      <c r="AO198" s="54">
        <v>8</v>
      </c>
      <c r="AP198" s="73">
        <v>12</v>
      </c>
      <c r="AQ198" s="165"/>
      <c r="AR198" s="168"/>
      <c r="AS198" s="165"/>
      <c r="AT198" s="190"/>
      <c r="AU198" s="167"/>
      <c r="AV198" s="45">
        <v>164</v>
      </c>
      <c r="AW198" s="54">
        <v>299</v>
      </c>
      <c r="AX198" s="54">
        <v>325</v>
      </c>
      <c r="AY198" s="53">
        <v>115</v>
      </c>
      <c r="AZ198" s="46">
        <v>108</v>
      </c>
      <c r="BA198" s="165"/>
      <c r="BB198" s="165"/>
      <c r="BC198" s="168"/>
      <c r="BD198" s="165"/>
      <c r="BE198" s="165"/>
      <c r="BF198" s="173"/>
      <c r="BG198" s="304"/>
      <c r="BH198" s="601"/>
      <c r="BI198" s="45"/>
      <c r="BJ198" s="46"/>
      <c r="BK198" s="45"/>
      <c r="BL198" s="53"/>
      <c r="BM198" s="200"/>
      <c r="BN198" s="165"/>
      <c r="BO198" s="173"/>
      <c r="BP198" s="190"/>
      <c r="BQ198" s="173"/>
      <c r="BR198" s="168"/>
      <c r="BS198" s="165"/>
      <c r="BT198" s="167"/>
      <c r="BU198" s="165"/>
      <c r="BV198" s="190"/>
      <c r="BW198" s="173"/>
      <c r="BX198" s="173"/>
      <c r="BY198" s="167"/>
      <c r="BZ198" s="45"/>
      <c r="CA198" s="54"/>
      <c r="CB198" s="53"/>
      <c r="CC198" s="200"/>
      <c r="CD198" s="165"/>
      <c r="CE198" s="173"/>
      <c r="CF198" s="173"/>
      <c r="CG198" s="168"/>
      <c r="CH198" s="165"/>
      <c r="CI198" s="167"/>
    </row>
    <row r="199" spans="1:87" x14ac:dyDescent="0.3">
      <c r="A199" s="10">
        <v>2831</v>
      </c>
      <c r="B199" s="11" t="s">
        <v>325</v>
      </c>
      <c r="C199" s="471">
        <v>1033</v>
      </c>
      <c r="D199" s="54">
        <v>588</v>
      </c>
      <c r="E199" s="367">
        <f t="shared" si="2"/>
        <v>0.56921587608906099</v>
      </c>
      <c r="F199" s="45"/>
      <c r="G199" s="45"/>
      <c r="H199" s="45"/>
      <c r="I199" s="45"/>
      <c r="J199" s="46"/>
      <c r="K199" s="165"/>
      <c r="L199" s="304"/>
      <c r="M199" s="601"/>
      <c r="N199" s="165"/>
      <c r="O199" s="165"/>
      <c r="P199" s="190"/>
      <c r="Q199" s="166"/>
      <c r="R199" s="166"/>
      <c r="S199" s="169"/>
      <c r="T199" s="165"/>
      <c r="U199" s="165"/>
      <c r="V199" s="168"/>
      <c r="W199" s="169"/>
      <c r="X199" s="173"/>
      <c r="Y199" s="190"/>
      <c r="Z199" s="167"/>
      <c r="AA199" s="165"/>
      <c r="AB199" s="166"/>
      <c r="AC199" s="169"/>
      <c r="AD199" s="165"/>
      <c r="AE199" s="165"/>
      <c r="AF199" s="167"/>
      <c r="AG199" s="168"/>
      <c r="AH199" s="165"/>
      <c r="AI199" s="167"/>
      <c r="AJ199" s="165"/>
      <c r="AK199" s="173"/>
      <c r="AL199" s="167"/>
      <c r="AM199" s="45"/>
      <c r="AN199" s="54"/>
      <c r="AO199" s="54"/>
      <c r="AP199" s="73"/>
      <c r="AQ199" s="165"/>
      <c r="AR199" s="168"/>
      <c r="AS199" s="165"/>
      <c r="AT199" s="190"/>
      <c r="AU199" s="167"/>
      <c r="AV199" s="45">
        <v>172</v>
      </c>
      <c r="AW199" s="54">
        <v>215</v>
      </c>
      <c r="AX199" s="54">
        <v>257</v>
      </c>
      <c r="AY199" s="53">
        <v>86</v>
      </c>
      <c r="AZ199" s="46">
        <v>103</v>
      </c>
      <c r="BA199" s="165"/>
      <c r="BB199" s="165"/>
      <c r="BC199" s="168"/>
      <c r="BD199" s="165"/>
      <c r="BE199" s="165"/>
      <c r="BF199" s="173"/>
      <c r="BG199" s="304"/>
      <c r="BH199" s="601"/>
      <c r="BI199" s="45"/>
      <c r="BJ199" s="46"/>
      <c r="BK199" s="45"/>
      <c r="BL199" s="53"/>
      <c r="BM199" s="200"/>
      <c r="BN199" s="165"/>
      <c r="BO199" s="173"/>
      <c r="BP199" s="190"/>
      <c r="BQ199" s="173"/>
      <c r="BR199" s="168"/>
      <c r="BS199" s="165"/>
      <c r="BT199" s="167"/>
      <c r="BU199" s="165"/>
      <c r="BV199" s="190"/>
      <c r="BW199" s="173"/>
      <c r="BX199" s="173"/>
      <c r="BY199" s="167"/>
      <c r="BZ199" s="45"/>
      <c r="CA199" s="54"/>
      <c r="CB199" s="53"/>
      <c r="CC199" s="200"/>
      <c r="CD199" s="165"/>
      <c r="CE199" s="173"/>
      <c r="CF199" s="173"/>
      <c r="CG199" s="168"/>
      <c r="CH199" s="165"/>
      <c r="CI199" s="167"/>
    </row>
    <row r="200" spans="1:87" x14ac:dyDescent="0.3">
      <c r="A200" s="10">
        <v>2832</v>
      </c>
      <c r="B200" s="11" t="s">
        <v>326</v>
      </c>
      <c r="C200" s="471">
        <v>812</v>
      </c>
      <c r="D200" s="54">
        <v>545</v>
      </c>
      <c r="E200" s="367">
        <f t="shared" si="2"/>
        <v>0.6711822660098522</v>
      </c>
      <c r="F200" s="45"/>
      <c r="G200" s="45"/>
      <c r="H200" s="45"/>
      <c r="I200" s="45"/>
      <c r="J200" s="46"/>
      <c r="K200" s="165"/>
      <c r="L200" s="304"/>
      <c r="M200" s="601"/>
      <c r="N200" s="165"/>
      <c r="O200" s="165"/>
      <c r="P200" s="190"/>
      <c r="Q200" s="166"/>
      <c r="R200" s="166"/>
      <c r="S200" s="169"/>
      <c r="T200" s="165"/>
      <c r="U200" s="165"/>
      <c r="V200" s="168"/>
      <c r="W200" s="169"/>
      <c r="X200" s="173"/>
      <c r="Y200" s="190"/>
      <c r="Z200" s="167"/>
      <c r="AA200" s="165"/>
      <c r="AB200" s="166"/>
      <c r="AC200" s="169"/>
      <c r="AD200" s="165"/>
      <c r="AE200" s="165"/>
      <c r="AF200" s="167"/>
      <c r="AG200" s="168"/>
      <c r="AH200" s="165"/>
      <c r="AI200" s="167"/>
      <c r="AJ200" s="165"/>
      <c r="AK200" s="173"/>
      <c r="AL200" s="167"/>
      <c r="AM200" s="199"/>
      <c r="AN200" s="201"/>
      <c r="AO200" s="201"/>
      <c r="AP200" s="106"/>
      <c r="AQ200" s="165"/>
      <c r="AR200" s="168"/>
      <c r="AS200" s="165"/>
      <c r="AT200" s="190"/>
      <c r="AU200" s="167"/>
      <c r="AV200" s="45">
        <v>166</v>
      </c>
      <c r="AW200" s="54">
        <v>207</v>
      </c>
      <c r="AX200" s="54">
        <v>319</v>
      </c>
      <c r="AY200" s="53">
        <v>101</v>
      </c>
      <c r="AZ200" s="46">
        <v>71</v>
      </c>
      <c r="BA200" s="165"/>
      <c r="BB200" s="165"/>
      <c r="BC200" s="168"/>
      <c r="BD200" s="165"/>
      <c r="BE200" s="165"/>
      <c r="BF200" s="173"/>
      <c r="BG200" s="304"/>
      <c r="BH200" s="601"/>
      <c r="BI200" s="45"/>
      <c r="BJ200" s="46"/>
      <c r="BK200" s="45"/>
      <c r="BL200" s="53"/>
      <c r="BM200" s="200"/>
      <c r="BN200" s="165"/>
      <c r="BO200" s="173"/>
      <c r="BP200" s="190"/>
      <c r="BQ200" s="173"/>
      <c r="BR200" s="168"/>
      <c r="BS200" s="165"/>
      <c r="BT200" s="167"/>
      <c r="BU200" s="165"/>
      <c r="BV200" s="190"/>
      <c r="BW200" s="173"/>
      <c r="BX200" s="173"/>
      <c r="BY200" s="167"/>
      <c r="BZ200" s="45"/>
      <c r="CA200" s="54"/>
      <c r="CB200" s="53"/>
      <c r="CC200" s="200"/>
      <c r="CD200" s="165"/>
      <c r="CE200" s="173"/>
      <c r="CF200" s="173"/>
      <c r="CG200" s="168"/>
      <c r="CH200" s="165"/>
      <c r="CI200" s="167"/>
    </row>
    <row r="201" spans="1:87" x14ac:dyDescent="0.3">
      <c r="A201" s="10">
        <v>2841</v>
      </c>
      <c r="B201" s="11" t="s">
        <v>327</v>
      </c>
      <c r="C201" s="471">
        <v>1038</v>
      </c>
      <c r="D201" s="54">
        <v>500</v>
      </c>
      <c r="E201" s="367">
        <f t="shared" si="2"/>
        <v>0.48169556840077071</v>
      </c>
      <c r="F201" s="45"/>
      <c r="G201" s="45"/>
      <c r="H201" s="45"/>
      <c r="I201" s="45"/>
      <c r="J201" s="46"/>
      <c r="K201" s="165"/>
      <c r="L201" s="304"/>
      <c r="M201" s="601"/>
      <c r="N201" s="165"/>
      <c r="O201" s="165"/>
      <c r="P201" s="190"/>
      <c r="Q201" s="166"/>
      <c r="R201" s="166"/>
      <c r="S201" s="169"/>
      <c r="T201" s="165"/>
      <c r="U201" s="165"/>
      <c r="V201" s="168"/>
      <c r="W201" s="169"/>
      <c r="X201" s="173"/>
      <c r="Y201" s="190"/>
      <c r="Z201" s="167"/>
      <c r="AA201" s="165"/>
      <c r="AB201" s="166"/>
      <c r="AC201" s="169"/>
      <c r="AD201" s="165"/>
      <c r="AE201" s="165"/>
      <c r="AF201" s="167"/>
      <c r="AG201" s="168"/>
      <c r="AH201" s="165"/>
      <c r="AI201" s="167"/>
      <c r="AJ201" s="165"/>
      <c r="AK201" s="173"/>
      <c r="AL201" s="167"/>
      <c r="AM201" s="199"/>
      <c r="AN201" s="201"/>
      <c r="AO201" s="201"/>
      <c r="AP201" s="106"/>
      <c r="AQ201" s="165"/>
      <c r="AR201" s="168"/>
      <c r="AS201" s="165"/>
      <c r="AT201" s="190"/>
      <c r="AU201" s="167"/>
      <c r="AV201" s="45">
        <v>102</v>
      </c>
      <c r="AW201" s="54">
        <v>180</v>
      </c>
      <c r="AX201" s="54">
        <v>221</v>
      </c>
      <c r="AY201" s="53">
        <v>98</v>
      </c>
      <c r="AZ201" s="46">
        <v>80</v>
      </c>
      <c r="BA201" s="165"/>
      <c r="BB201" s="165"/>
      <c r="BC201" s="168"/>
      <c r="BD201" s="165"/>
      <c r="BE201" s="165"/>
      <c r="BF201" s="173"/>
      <c r="BG201" s="304"/>
      <c r="BH201" s="601"/>
      <c r="BI201" s="45"/>
      <c r="BJ201" s="46"/>
      <c r="BK201" s="45"/>
      <c r="BL201" s="53"/>
      <c r="BM201" s="200"/>
      <c r="BN201" s="165"/>
      <c r="BO201" s="173"/>
      <c r="BP201" s="190"/>
      <c r="BQ201" s="173"/>
      <c r="BR201" s="168"/>
      <c r="BS201" s="165"/>
      <c r="BT201" s="167"/>
      <c r="BU201" s="165"/>
      <c r="BV201" s="190"/>
      <c r="BW201" s="173"/>
      <c r="BX201" s="173"/>
      <c r="BY201" s="167"/>
      <c r="BZ201" s="45"/>
      <c r="CA201" s="54"/>
      <c r="CB201" s="53"/>
      <c r="CC201" s="200"/>
      <c r="CD201" s="165"/>
      <c r="CE201" s="173"/>
      <c r="CF201" s="173"/>
      <c r="CG201" s="168"/>
      <c r="CH201" s="165"/>
      <c r="CI201" s="167"/>
    </row>
    <row r="202" spans="1:87" x14ac:dyDescent="0.3">
      <c r="A202" s="10">
        <v>2842</v>
      </c>
      <c r="B202" s="11" t="s">
        <v>782</v>
      </c>
      <c r="C202" s="471">
        <v>1000</v>
      </c>
      <c r="D202" s="54">
        <v>635</v>
      </c>
      <c r="E202" s="367">
        <f>SUM(D202/C202)</f>
        <v>0.63500000000000001</v>
      </c>
      <c r="F202" s="45"/>
      <c r="G202" s="45"/>
      <c r="H202" s="45"/>
      <c r="I202" s="45"/>
      <c r="J202" s="46"/>
      <c r="K202" s="165"/>
      <c r="L202" s="304"/>
      <c r="M202" s="601"/>
      <c r="N202" s="165"/>
      <c r="O202" s="165"/>
      <c r="P202" s="190"/>
      <c r="Q202" s="166"/>
      <c r="R202" s="166"/>
      <c r="S202" s="169"/>
      <c r="T202" s="165"/>
      <c r="U202" s="165"/>
      <c r="V202" s="168"/>
      <c r="W202" s="169"/>
      <c r="X202" s="173"/>
      <c r="Y202" s="190"/>
      <c r="Z202" s="167"/>
      <c r="AA202" s="165"/>
      <c r="AB202" s="166"/>
      <c r="AC202" s="169"/>
      <c r="AD202" s="165"/>
      <c r="AE202" s="165"/>
      <c r="AF202" s="167"/>
      <c r="AG202" s="168"/>
      <c r="AH202" s="165"/>
      <c r="AI202" s="167"/>
      <c r="AJ202" s="165"/>
      <c r="AK202" s="173"/>
      <c r="AL202" s="167"/>
      <c r="AM202" s="199"/>
      <c r="AN202" s="201"/>
      <c r="AO202" s="201"/>
      <c r="AP202" s="106"/>
      <c r="AQ202" s="165"/>
      <c r="AR202" s="168"/>
      <c r="AS202" s="165"/>
      <c r="AT202" s="190"/>
      <c r="AU202" s="167"/>
      <c r="AV202" s="45">
        <v>168</v>
      </c>
      <c r="AW202" s="54">
        <v>268</v>
      </c>
      <c r="AX202" s="54">
        <v>334</v>
      </c>
      <c r="AY202" s="53">
        <v>114</v>
      </c>
      <c r="AZ202" s="46">
        <v>81</v>
      </c>
      <c r="BA202" s="165"/>
      <c r="BB202" s="165"/>
      <c r="BC202" s="168"/>
      <c r="BD202" s="165"/>
      <c r="BE202" s="165"/>
      <c r="BF202" s="173"/>
      <c r="BG202" s="304"/>
      <c r="BH202" s="601"/>
      <c r="BI202" s="45"/>
      <c r="BJ202" s="46"/>
      <c r="BK202" s="45"/>
      <c r="BL202" s="53"/>
      <c r="BM202" s="200"/>
      <c r="BN202" s="165"/>
      <c r="BO202" s="173"/>
      <c r="BP202" s="190"/>
      <c r="BQ202" s="173"/>
      <c r="BR202" s="168"/>
      <c r="BS202" s="165"/>
      <c r="BT202" s="167"/>
      <c r="BU202" s="165"/>
      <c r="BV202" s="190"/>
      <c r="BW202" s="173"/>
      <c r="BX202" s="173"/>
      <c r="BY202" s="167"/>
      <c r="BZ202" s="45"/>
      <c r="CA202" s="54"/>
      <c r="CB202" s="53"/>
      <c r="CC202" s="200"/>
      <c r="CD202" s="165"/>
      <c r="CE202" s="173"/>
      <c r="CF202" s="173"/>
      <c r="CG202" s="168"/>
      <c r="CH202" s="165"/>
      <c r="CI202" s="167"/>
    </row>
    <row r="203" spans="1:87" x14ac:dyDescent="0.3">
      <c r="A203" s="10">
        <v>2851</v>
      </c>
      <c r="B203" s="11" t="s">
        <v>328</v>
      </c>
      <c r="C203" s="471">
        <v>1059</v>
      </c>
      <c r="D203" s="54">
        <v>739</v>
      </c>
      <c r="E203" s="367">
        <f t="shared" si="2"/>
        <v>0.69782813975448532</v>
      </c>
      <c r="F203" s="45"/>
      <c r="G203" s="45"/>
      <c r="H203" s="45"/>
      <c r="I203" s="45"/>
      <c r="J203" s="46"/>
      <c r="K203" s="165"/>
      <c r="L203" s="304"/>
      <c r="M203" s="601"/>
      <c r="N203" s="165"/>
      <c r="O203" s="165"/>
      <c r="P203" s="190"/>
      <c r="Q203" s="166"/>
      <c r="R203" s="166"/>
      <c r="S203" s="169"/>
      <c r="T203" s="165"/>
      <c r="U203" s="165"/>
      <c r="V203" s="168"/>
      <c r="W203" s="169"/>
      <c r="X203" s="173"/>
      <c r="Y203" s="190"/>
      <c r="Z203" s="167"/>
      <c r="AA203" s="165"/>
      <c r="AB203" s="166"/>
      <c r="AC203" s="169"/>
      <c r="AD203" s="165"/>
      <c r="AE203" s="165"/>
      <c r="AF203" s="167"/>
      <c r="AG203" s="168"/>
      <c r="AH203" s="165"/>
      <c r="AI203" s="167"/>
      <c r="AJ203" s="165"/>
      <c r="AK203" s="173"/>
      <c r="AL203" s="167"/>
      <c r="AM203" s="199"/>
      <c r="AN203" s="201"/>
      <c r="AO203" s="201"/>
      <c r="AP203" s="106"/>
      <c r="AQ203" s="165"/>
      <c r="AR203" s="168"/>
      <c r="AS203" s="165"/>
      <c r="AT203" s="190"/>
      <c r="AU203" s="167"/>
      <c r="AV203" s="45">
        <v>250</v>
      </c>
      <c r="AW203" s="54">
        <v>258</v>
      </c>
      <c r="AX203" s="54">
        <v>377</v>
      </c>
      <c r="AY203" s="53">
        <v>92</v>
      </c>
      <c r="AZ203" s="46">
        <v>153</v>
      </c>
      <c r="BA203" s="165"/>
      <c r="BB203" s="165"/>
      <c r="BC203" s="168"/>
      <c r="BD203" s="165"/>
      <c r="BE203" s="165"/>
      <c r="BF203" s="173"/>
      <c r="BG203" s="304"/>
      <c r="BH203" s="601"/>
      <c r="BI203" s="45"/>
      <c r="BJ203" s="46"/>
      <c r="BK203" s="45"/>
      <c r="BL203" s="53"/>
      <c r="BM203" s="200"/>
      <c r="BN203" s="165"/>
      <c r="BO203" s="173"/>
      <c r="BP203" s="190"/>
      <c r="BQ203" s="173"/>
      <c r="BR203" s="168"/>
      <c r="BS203" s="165"/>
      <c r="BT203" s="167"/>
      <c r="BU203" s="165"/>
      <c r="BV203" s="190"/>
      <c r="BW203" s="173"/>
      <c r="BX203" s="173"/>
      <c r="BY203" s="167"/>
      <c r="BZ203" s="45"/>
      <c r="CA203" s="54"/>
      <c r="CB203" s="53"/>
      <c r="CC203" s="200"/>
      <c r="CD203" s="165"/>
      <c r="CE203" s="173"/>
      <c r="CF203" s="173"/>
      <c r="CG203" s="168"/>
      <c r="CH203" s="165"/>
      <c r="CI203" s="167"/>
    </row>
    <row r="204" spans="1:87" x14ac:dyDescent="0.3">
      <c r="A204" s="10">
        <v>2852</v>
      </c>
      <c r="B204" s="11" t="s">
        <v>329</v>
      </c>
      <c r="C204" s="471">
        <v>926</v>
      </c>
      <c r="D204" s="54">
        <v>513</v>
      </c>
      <c r="E204" s="367">
        <f t="shared" si="2"/>
        <v>0.55399568034557234</v>
      </c>
      <c r="F204" s="45"/>
      <c r="G204" s="45"/>
      <c r="H204" s="45"/>
      <c r="I204" s="45"/>
      <c r="J204" s="46"/>
      <c r="K204" s="165"/>
      <c r="L204" s="304"/>
      <c r="M204" s="601"/>
      <c r="N204" s="165"/>
      <c r="O204" s="165"/>
      <c r="P204" s="190"/>
      <c r="Q204" s="166"/>
      <c r="R204" s="166"/>
      <c r="S204" s="169"/>
      <c r="T204" s="165"/>
      <c r="U204" s="165"/>
      <c r="V204" s="168"/>
      <c r="W204" s="169"/>
      <c r="X204" s="173"/>
      <c r="Y204" s="190"/>
      <c r="Z204" s="167"/>
      <c r="AA204" s="165"/>
      <c r="AB204" s="166"/>
      <c r="AC204" s="169"/>
      <c r="AD204" s="165"/>
      <c r="AE204" s="165"/>
      <c r="AF204" s="167"/>
      <c r="AG204" s="168"/>
      <c r="AH204" s="165"/>
      <c r="AI204" s="167"/>
      <c r="AJ204" s="165"/>
      <c r="AK204" s="173"/>
      <c r="AL204" s="167"/>
      <c r="AM204" s="199"/>
      <c r="AN204" s="201"/>
      <c r="AO204" s="201"/>
      <c r="AP204" s="106"/>
      <c r="AQ204" s="165"/>
      <c r="AR204" s="168"/>
      <c r="AS204" s="165"/>
      <c r="AT204" s="190"/>
      <c r="AU204" s="167"/>
      <c r="AV204" s="45">
        <v>156</v>
      </c>
      <c r="AW204" s="54">
        <v>168</v>
      </c>
      <c r="AX204" s="54">
        <v>241</v>
      </c>
      <c r="AY204" s="53">
        <v>91</v>
      </c>
      <c r="AZ204" s="46">
        <v>98</v>
      </c>
      <c r="BA204" s="165"/>
      <c r="BB204" s="165"/>
      <c r="BC204" s="168"/>
      <c r="BD204" s="165"/>
      <c r="BE204" s="165"/>
      <c r="BF204" s="173"/>
      <c r="BG204" s="304"/>
      <c r="BH204" s="601"/>
      <c r="BI204" s="45"/>
      <c r="BJ204" s="46"/>
      <c r="BK204" s="45"/>
      <c r="BL204" s="53"/>
      <c r="BM204" s="200"/>
      <c r="BN204" s="165"/>
      <c r="BO204" s="173"/>
      <c r="BP204" s="190"/>
      <c r="BQ204" s="173"/>
      <c r="BR204" s="168"/>
      <c r="BS204" s="165"/>
      <c r="BT204" s="167"/>
      <c r="BU204" s="165"/>
      <c r="BV204" s="190"/>
      <c r="BW204" s="173"/>
      <c r="BX204" s="173"/>
      <c r="BY204" s="167"/>
      <c r="BZ204" s="45"/>
      <c r="CA204" s="54"/>
      <c r="CB204" s="53"/>
      <c r="CC204" s="200"/>
      <c r="CD204" s="165"/>
      <c r="CE204" s="173"/>
      <c r="CF204" s="173"/>
      <c r="CG204" s="168"/>
      <c r="CH204" s="165"/>
      <c r="CI204" s="167"/>
    </row>
    <row r="205" spans="1:87" x14ac:dyDescent="0.3">
      <c r="A205" s="10">
        <v>2911</v>
      </c>
      <c r="B205" s="11" t="s">
        <v>330</v>
      </c>
      <c r="C205" s="471">
        <v>1545</v>
      </c>
      <c r="D205" s="54">
        <v>654</v>
      </c>
      <c r="E205" s="367">
        <f t="shared" si="2"/>
        <v>0.42330097087378643</v>
      </c>
      <c r="F205" s="45">
        <v>312</v>
      </c>
      <c r="G205" s="45">
        <v>121</v>
      </c>
      <c r="H205" s="45">
        <v>233</v>
      </c>
      <c r="I205" s="45">
        <v>248</v>
      </c>
      <c r="J205" s="46">
        <v>197</v>
      </c>
      <c r="K205" s="165"/>
      <c r="L205" s="304"/>
      <c r="M205" s="601"/>
      <c r="N205" s="165"/>
      <c r="O205" s="165"/>
      <c r="P205" s="190"/>
      <c r="Q205" s="166"/>
      <c r="R205" s="166"/>
      <c r="S205" s="169"/>
      <c r="T205" s="165"/>
      <c r="U205" s="165"/>
      <c r="V205" s="168"/>
      <c r="W205" s="169"/>
      <c r="X205" s="173"/>
      <c r="Y205" s="190"/>
      <c r="Z205" s="167"/>
      <c r="AA205" s="165"/>
      <c r="AB205" s="166"/>
      <c r="AC205" s="169"/>
      <c r="AD205" s="165"/>
      <c r="AE205" s="165"/>
      <c r="AF205" s="167"/>
      <c r="AG205" s="168"/>
      <c r="AH205" s="165"/>
      <c r="AI205" s="167"/>
      <c r="AJ205" s="165"/>
      <c r="AK205" s="173"/>
      <c r="AL205" s="167"/>
      <c r="AM205" s="199"/>
      <c r="AN205" s="201"/>
      <c r="AO205" s="201"/>
      <c r="AP205" s="106"/>
      <c r="AQ205" s="165"/>
      <c r="AR205" s="168"/>
      <c r="AS205" s="165"/>
      <c r="AT205" s="190"/>
      <c r="AU205" s="167"/>
      <c r="AV205" s="199"/>
      <c r="AW205" s="201"/>
      <c r="AX205" s="201"/>
      <c r="AY205" s="202"/>
      <c r="AZ205" s="200"/>
      <c r="BA205" s="165"/>
      <c r="BB205" s="165"/>
      <c r="BC205" s="168"/>
      <c r="BD205" s="165"/>
      <c r="BE205" s="165"/>
      <c r="BF205" s="173"/>
      <c r="BG205" s="304"/>
      <c r="BH205" s="601"/>
      <c r="BI205" s="45"/>
      <c r="BJ205" s="46"/>
      <c r="BK205" s="45"/>
      <c r="BL205" s="53"/>
      <c r="BM205" s="200"/>
      <c r="BN205" s="165"/>
      <c r="BO205" s="173"/>
      <c r="BP205" s="190"/>
      <c r="BQ205" s="173"/>
      <c r="BR205" s="168"/>
      <c r="BS205" s="165"/>
      <c r="BT205" s="167"/>
      <c r="BU205" s="165"/>
      <c r="BV205" s="190"/>
      <c r="BW205" s="173"/>
      <c r="BX205" s="173"/>
      <c r="BY205" s="167"/>
      <c r="BZ205" s="45"/>
      <c r="CA205" s="54"/>
      <c r="CB205" s="53"/>
      <c r="CC205" s="200"/>
      <c r="CD205" s="165"/>
      <c r="CE205" s="173"/>
      <c r="CF205" s="173"/>
      <c r="CG205" s="168"/>
      <c r="CH205" s="165"/>
      <c r="CI205" s="167"/>
    </row>
    <row r="206" spans="1:87" x14ac:dyDescent="0.3">
      <c r="A206" s="10">
        <v>2921</v>
      </c>
      <c r="B206" s="11" t="s">
        <v>331</v>
      </c>
      <c r="C206" s="471">
        <v>1476</v>
      </c>
      <c r="D206" s="54">
        <v>660</v>
      </c>
      <c r="E206" s="367">
        <f t="shared" si="2"/>
        <v>0.44715447154471544</v>
      </c>
      <c r="F206" s="45">
        <v>266</v>
      </c>
      <c r="G206" s="45">
        <v>148</v>
      </c>
      <c r="H206" s="45">
        <v>206</v>
      </c>
      <c r="I206" s="45">
        <v>237</v>
      </c>
      <c r="J206" s="46">
        <v>202</v>
      </c>
      <c r="K206" s="165"/>
      <c r="L206" s="304"/>
      <c r="M206" s="601"/>
      <c r="N206" s="165"/>
      <c r="O206" s="165"/>
      <c r="P206" s="190"/>
      <c r="Q206" s="166"/>
      <c r="R206" s="166"/>
      <c r="S206" s="169"/>
      <c r="T206" s="165"/>
      <c r="U206" s="165"/>
      <c r="V206" s="168"/>
      <c r="W206" s="169"/>
      <c r="X206" s="173"/>
      <c r="Y206" s="190"/>
      <c r="Z206" s="167"/>
      <c r="AA206" s="165"/>
      <c r="AB206" s="166"/>
      <c r="AC206" s="169"/>
      <c r="AD206" s="165"/>
      <c r="AE206" s="165"/>
      <c r="AF206" s="167"/>
      <c r="AG206" s="168"/>
      <c r="AH206" s="165"/>
      <c r="AI206" s="167"/>
      <c r="AJ206" s="165"/>
      <c r="AK206" s="173"/>
      <c r="AL206" s="167"/>
      <c r="AM206" s="199"/>
      <c r="AN206" s="201"/>
      <c r="AO206" s="201"/>
      <c r="AP206" s="106"/>
      <c r="AQ206" s="165"/>
      <c r="AR206" s="168"/>
      <c r="AS206" s="165"/>
      <c r="AT206" s="190"/>
      <c r="AU206" s="167"/>
      <c r="AV206" s="199"/>
      <c r="AW206" s="201"/>
      <c r="AX206" s="201"/>
      <c r="AY206" s="202"/>
      <c r="AZ206" s="200"/>
      <c r="BA206" s="165"/>
      <c r="BB206" s="165"/>
      <c r="BC206" s="168"/>
      <c r="BD206" s="165"/>
      <c r="BE206" s="165"/>
      <c r="BF206" s="173"/>
      <c r="BG206" s="304"/>
      <c r="BH206" s="601"/>
      <c r="BI206" s="45"/>
      <c r="BJ206" s="46"/>
      <c r="BK206" s="45"/>
      <c r="BL206" s="53"/>
      <c r="BM206" s="200"/>
      <c r="BN206" s="165"/>
      <c r="BO206" s="173"/>
      <c r="BP206" s="190"/>
      <c r="BQ206" s="173"/>
      <c r="BR206" s="168"/>
      <c r="BS206" s="165"/>
      <c r="BT206" s="167"/>
      <c r="BU206" s="165"/>
      <c r="BV206" s="190"/>
      <c r="BW206" s="173"/>
      <c r="BX206" s="173"/>
      <c r="BY206" s="167"/>
      <c r="BZ206" s="45"/>
      <c r="CA206" s="54"/>
      <c r="CB206" s="53"/>
      <c r="CC206" s="200"/>
      <c r="CD206" s="165"/>
      <c r="CE206" s="173"/>
      <c r="CF206" s="173"/>
      <c r="CG206" s="168"/>
      <c r="CH206" s="165"/>
      <c r="CI206" s="167"/>
    </row>
    <row r="207" spans="1:87" x14ac:dyDescent="0.3">
      <c r="A207" s="10">
        <v>2931</v>
      </c>
      <c r="B207" s="11" t="s">
        <v>332</v>
      </c>
      <c r="C207" s="471">
        <v>1456</v>
      </c>
      <c r="D207" s="54">
        <v>543</v>
      </c>
      <c r="E207" s="367">
        <f t="shared" si="2"/>
        <v>0.37293956043956045</v>
      </c>
      <c r="F207" s="45">
        <v>261</v>
      </c>
      <c r="G207" s="45">
        <v>97</v>
      </c>
      <c r="H207" s="45">
        <v>207</v>
      </c>
      <c r="I207" s="45">
        <v>250</v>
      </c>
      <c r="J207" s="46">
        <v>127</v>
      </c>
      <c r="K207" s="165"/>
      <c r="L207" s="304"/>
      <c r="M207" s="601"/>
      <c r="N207" s="165"/>
      <c r="O207" s="165"/>
      <c r="P207" s="190"/>
      <c r="Q207" s="166"/>
      <c r="R207" s="166"/>
      <c r="S207" s="169"/>
      <c r="T207" s="165"/>
      <c r="U207" s="165"/>
      <c r="V207" s="168"/>
      <c r="W207" s="169"/>
      <c r="X207" s="173"/>
      <c r="Y207" s="190"/>
      <c r="Z207" s="167"/>
      <c r="AA207" s="165"/>
      <c r="AB207" s="166"/>
      <c r="AC207" s="169"/>
      <c r="AD207" s="165"/>
      <c r="AE207" s="165"/>
      <c r="AF207" s="167"/>
      <c r="AG207" s="168"/>
      <c r="AH207" s="165"/>
      <c r="AI207" s="167"/>
      <c r="AJ207" s="165"/>
      <c r="AK207" s="173"/>
      <c r="AL207" s="167"/>
      <c r="AM207" s="199"/>
      <c r="AN207" s="201"/>
      <c r="AO207" s="201"/>
      <c r="AP207" s="106"/>
      <c r="AQ207" s="165"/>
      <c r="AR207" s="168"/>
      <c r="AS207" s="165"/>
      <c r="AT207" s="190"/>
      <c r="AU207" s="167"/>
      <c r="AV207" s="199"/>
      <c r="AW207" s="201"/>
      <c r="AX207" s="201"/>
      <c r="AY207" s="202"/>
      <c r="AZ207" s="200"/>
      <c r="BA207" s="165"/>
      <c r="BB207" s="165"/>
      <c r="BC207" s="168"/>
      <c r="BD207" s="165"/>
      <c r="BE207" s="165"/>
      <c r="BF207" s="173"/>
      <c r="BG207" s="304"/>
      <c r="BH207" s="601"/>
      <c r="BI207" s="45"/>
      <c r="BJ207" s="46"/>
      <c r="BK207" s="45"/>
      <c r="BL207" s="53"/>
      <c r="BM207" s="200"/>
      <c r="BN207" s="165"/>
      <c r="BO207" s="173"/>
      <c r="BP207" s="190"/>
      <c r="BQ207" s="173"/>
      <c r="BR207" s="168"/>
      <c r="BS207" s="165"/>
      <c r="BT207" s="167"/>
      <c r="BU207" s="165"/>
      <c r="BV207" s="190"/>
      <c r="BW207" s="173"/>
      <c r="BX207" s="173"/>
      <c r="BY207" s="167"/>
      <c r="BZ207" s="45"/>
      <c r="CA207" s="54"/>
      <c r="CB207" s="53"/>
      <c r="CC207" s="200"/>
      <c r="CD207" s="165"/>
      <c r="CE207" s="173"/>
      <c r="CF207" s="173"/>
      <c r="CG207" s="168"/>
      <c r="CH207" s="165"/>
      <c r="CI207" s="167"/>
    </row>
    <row r="208" spans="1:87" x14ac:dyDescent="0.3">
      <c r="A208" s="10">
        <v>2941</v>
      </c>
      <c r="B208" s="11" t="s">
        <v>333</v>
      </c>
      <c r="C208" s="471">
        <v>1444</v>
      </c>
      <c r="D208" s="54">
        <v>716</v>
      </c>
      <c r="E208" s="367">
        <f t="shared" si="2"/>
        <v>0.49584487534626037</v>
      </c>
      <c r="F208" s="45">
        <v>344</v>
      </c>
      <c r="G208" s="45">
        <v>153</v>
      </c>
      <c r="H208" s="45">
        <v>262</v>
      </c>
      <c r="I208" s="45">
        <v>299</v>
      </c>
      <c r="J208" s="46">
        <v>186</v>
      </c>
      <c r="K208" s="165"/>
      <c r="L208" s="304"/>
      <c r="M208" s="601"/>
      <c r="N208" s="165"/>
      <c r="O208" s="165"/>
      <c r="P208" s="190"/>
      <c r="Q208" s="166"/>
      <c r="R208" s="166"/>
      <c r="S208" s="169"/>
      <c r="T208" s="165"/>
      <c r="U208" s="165"/>
      <c r="V208" s="168"/>
      <c r="W208" s="169"/>
      <c r="X208" s="173"/>
      <c r="Y208" s="190"/>
      <c r="Z208" s="167"/>
      <c r="AA208" s="165"/>
      <c r="AB208" s="166"/>
      <c r="AC208" s="169"/>
      <c r="AD208" s="165"/>
      <c r="AE208" s="165"/>
      <c r="AF208" s="167"/>
      <c r="AG208" s="168"/>
      <c r="AH208" s="165"/>
      <c r="AI208" s="167"/>
      <c r="AJ208" s="165"/>
      <c r="AK208" s="173"/>
      <c r="AL208" s="167"/>
      <c r="AM208" s="199"/>
      <c r="AN208" s="201"/>
      <c r="AO208" s="201"/>
      <c r="AP208" s="106"/>
      <c r="AQ208" s="165"/>
      <c r="AR208" s="168"/>
      <c r="AS208" s="165"/>
      <c r="AT208" s="190"/>
      <c r="AU208" s="167"/>
      <c r="AV208" s="199"/>
      <c r="AW208" s="201"/>
      <c r="AX208" s="201"/>
      <c r="AY208" s="202"/>
      <c r="AZ208" s="200"/>
      <c r="BA208" s="165"/>
      <c r="BB208" s="165"/>
      <c r="BC208" s="168"/>
      <c r="BD208" s="165"/>
      <c r="BE208" s="165"/>
      <c r="BF208" s="173"/>
      <c r="BG208" s="304"/>
      <c r="BH208" s="601"/>
      <c r="BI208" s="45">
        <v>4</v>
      </c>
      <c r="BJ208" s="46">
        <v>5</v>
      </c>
      <c r="BK208" s="45"/>
      <c r="BL208" s="53"/>
      <c r="BM208" s="200"/>
      <c r="BN208" s="165"/>
      <c r="BO208" s="173"/>
      <c r="BP208" s="190"/>
      <c r="BQ208" s="173"/>
      <c r="BR208" s="168"/>
      <c r="BS208" s="165"/>
      <c r="BT208" s="167"/>
      <c r="BU208" s="165"/>
      <c r="BV208" s="190"/>
      <c r="BW208" s="173"/>
      <c r="BX208" s="173"/>
      <c r="BY208" s="167"/>
      <c r="BZ208" s="45">
        <v>4</v>
      </c>
      <c r="CA208" s="54">
        <v>4</v>
      </c>
      <c r="CB208" s="53">
        <v>2</v>
      </c>
      <c r="CC208" s="200">
        <v>3</v>
      </c>
      <c r="CD208" s="165"/>
      <c r="CE208" s="173"/>
      <c r="CF208" s="173"/>
      <c r="CG208" s="168"/>
      <c r="CH208" s="165"/>
      <c r="CI208" s="167"/>
    </row>
    <row r="209" spans="1:87" x14ac:dyDescent="0.3">
      <c r="A209" s="10">
        <v>3111</v>
      </c>
      <c r="B209" s="11" t="s">
        <v>334</v>
      </c>
      <c r="C209" s="471">
        <v>980</v>
      </c>
      <c r="D209" s="54">
        <v>532</v>
      </c>
      <c r="E209" s="367">
        <f t="shared" si="2"/>
        <v>0.54285714285714282</v>
      </c>
      <c r="F209" s="45"/>
      <c r="G209" s="45"/>
      <c r="H209" s="45"/>
      <c r="I209" s="45"/>
      <c r="J209" s="46"/>
      <c r="K209" s="45">
        <v>261</v>
      </c>
      <c r="L209" s="107">
        <v>272</v>
      </c>
      <c r="M209" s="541">
        <v>331</v>
      </c>
      <c r="N209" s="165"/>
      <c r="O209" s="165"/>
      <c r="P209" s="190"/>
      <c r="Q209" s="166"/>
      <c r="R209" s="166"/>
      <c r="S209" s="169"/>
      <c r="T209" s="165"/>
      <c r="U209" s="165"/>
      <c r="V209" s="168"/>
      <c r="W209" s="169"/>
      <c r="X209" s="173"/>
      <c r="Y209" s="190"/>
      <c r="Z209" s="167"/>
      <c r="AA209" s="165"/>
      <c r="AB209" s="166"/>
      <c r="AC209" s="169"/>
      <c r="AD209" s="165"/>
      <c r="AE209" s="165"/>
      <c r="AF209" s="167"/>
      <c r="AG209" s="168"/>
      <c r="AH209" s="165"/>
      <c r="AI209" s="167"/>
      <c r="AJ209" s="165"/>
      <c r="AK209" s="173"/>
      <c r="AL209" s="167"/>
      <c r="AM209" s="199"/>
      <c r="AN209" s="201"/>
      <c r="AO209" s="201"/>
      <c r="AP209" s="106"/>
      <c r="AQ209" s="165"/>
      <c r="AR209" s="168"/>
      <c r="AS209" s="165"/>
      <c r="AT209" s="190"/>
      <c r="AU209" s="167"/>
      <c r="AV209" s="199"/>
      <c r="AW209" s="201"/>
      <c r="AX209" s="201"/>
      <c r="AY209" s="202"/>
      <c r="AZ209" s="200"/>
      <c r="BA209" s="165"/>
      <c r="BB209" s="165"/>
      <c r="BC209" s="168"/>
      <c r="BD209" s="165"/>
      <c r="BE209" s="165"/>
      <c r="BF209" s="173"/>
      <c r="BG209" s="304"/>
      <c r="BH209" s="601"/>
      <c r="BI209" s="45"/>
      <c r="BJ209" s="46"/>
      <c r="BK209" s="45"/>
      <c r="BL209" s="53"/>
      <c r="BM209" s="200"/>
      <c r="BN209" s="165"/>
      <c r="BO209" s="173"/>
      <c r="BP209" s="190"/>
      <c r="BQ209" s="173"/>
      <c r="BR209" s="168"/>
      <c r="BS209" s="165"/>
      <c r="BT209" s="167"/>
      <c r="BU209" s="165"/>
      <c r="BV209" s="190"/>
      <c r="BW209" s="173"/>
      <c r="BX209" s="173"/>
      <c r="BY209" s="167"/>
      <c r="BZ209" s="45"/>
      <c r="CA209" s="54"/>
      <c r="CB209" s="53"/>
      <c r="CC209" s="200"/>
      <c r="CD209" s="165"/>
      <c r="CE209" s="173"/>
      <c r="CF209" s="173"/>
      <c r="CG209" s="168"/>
      <c r="CH209" s="165"/>
      <c r="CI209" s="167"/>
    </row>
    <row r="210" spans="1:87" x14ac:dyDescent="0.3">
      <c r="A210" s="10">
        <v>3121</v>
      </c>
      <c r="B210" s="11" t="s">
        <v>335</v>
      </c>
      <c r="C210" s="471">
        <v>965</v>
      </c>
      <c r="D210" s="54">
        <v>599</v>
      </c>
      <c r="E210" s="367">
        <f t="shared" si="2"/>
        <v>0.62072538860103632</v>
      </c>
      <c r="F210" s="45"/>
      <c r="G210" s="45"/>
      <c r="H210" s="45"/>
      <c r="I210" s="45"/>
      <c r="J210" s="46"/>
      <c r="K210" s="45">
        <v>297</v>
      </c>
      <c r="L210" s="107">
        <v>326</v>
      </c>
      <c r="M210" s="541">
        <v>374</v>
      </c>
      <c r="N210" s="165"/>
      <c r="O210" s="165"/>
      <c r="P210" s="190"/>
      <c r="Q210" s="166"/>
      <c r="R210" s="166"/>
      <c r="S210" s="169"/>
      <c r="T210" s="165"/>
      <c r="U210" s="165"/>
      <c r="V210" s="168"/>
      <c r="W210" s="169"/>
      <c r="X210" s="173"/>
      <c r="Y210" s="190"/>
      <c r="Z210" s="167"/>
      <c r="AA210" s="165"/>
      <c r="AB210" s="166"/>
      <c r="AC210" s="169"/>
      <c r="AD210" s="165"/>
      <c r="AE210" s="165"/>
      <c r="AF210" s="167"/>
      <c r="AG210" s="168"/>
      <c r="AH210" s="165"/>
      <c r="AI210" s="167"/>
      <c r="AJ210" s="165"/>
      <c r="AK210" s="173"/>
      <c r="AL210" s="167"/>
      <c r="AM210" s="199"/>
      <c r="AN210" s="201"/>
      <c r="AO210" s="201"/>
      <c r="AP210" s="106"/>
      <c r="AQ210" s="165"/>
      <c r="AR210" s="168"/>
      <c r="AS210" s="165"/>
      <c r="AT210" s="190"/>
      <c r="AU210" s="167"/>
      <c r="AV210" s="199"/>
      <c r="AW210" s="201"/>
      <c r="AX210" s="201"/>
      <c r="AY210" s="202"/>
      <c r="AZ210" s="200"/>
      <c r="BA210" s="165"/>
      <c r="BB210" s="165"/>
      <c r="BC210" s="168"/>
      <c r="BD210" s="165"/>
      <c r="BE210" s="165"/>
      <c r="BF210" s="173"/>
      <c r="BG210" s="304"/>
      <c r="BH210" s="601"/>
      <c r="BI210" s="45"/>
      <c r="BJ210" s="46"/>
      <c r="BK210" s="45"/>
      <c r="BL210" s="53"/>
      <c r="BM210" s="200"/>
      <c r="BN210" s="165"/>
      <c r="BO210" s="173"/>
      <c r="BP210" s="190"/>
      <c r="BQ210" s="173"/>
      <c r="BR210" s="168"/>
      <c r="BS210" s="165"/>
      <c r="BT210" s="167"/>
      <c r="BU210" s="165"/>
      <c r="BV210" s="190"/>
      <c r="BW210" s="173"/>
      <c r="BX210" s="173"/>
      <c r="BY210" s="167"/>
      <c r="BZ210" s="45"/>
      <c r="CA210" s="54"/>
      <c r="CB210" s="53"/>
      <c r="CC210" s="200"/>
      <c r="CD210" s="165"/>
      <c r="CE210" s="173"/>
      <c r="CF210" s="173"/>
      <c r="CG210" s="168"/>
      <c r="CH210" s="165"/>
      <c r="CI210" s="167"/>
    </row>
    <row r="211" spans="1:87" x14ac:dyDescent="0.3">
      <c r="A211" s="10">
        <v>3131</v>
      </c>
      <c r="B211" s="11" t="s">
        <v>336</v>
      </c>
      <c r="C211" s="471">
        <v>950</v>
      </c>
      <c r="D211" s="54">
        <v>550</v>
      </c>
      <c r="E211" s="367">
        <f t="shared" si="2"/>
        <v>0.57894736842105265</v>
      </c>
      <c r="F211" s="45"/>
      <c r="G211" s="45"/>
      <c r="H211" s="45"/>
      <c r="I211" s="45"/>
      <c r="J211" s="46"/>
      <c r="K211" s="45">
        <v>258</v>
      </c>
      <c r="L211" s="107">
        <v>281</v>
      </c>
      <c r="M211" s="541">
        <v>328</v>
      </c>
      <c r="N211" s="165"/>
      <c r="O211" s="165"/>
      <c r="P211" s="190"/>
      <c r="Q211" s="166"/>
      <c r="R211" s="166"/>
      <c r="S211" s="169"/>
      <c r="T211" s="165"/>
      <c r="U211" s="165"/>
      <c r="V211" s="168"/>
      <c r="W211" s="169"/>
      <c r="X211" s="173"/>
      <c r="Y211" s="190"/>
      <c r="Z211" s="167"/>
      <c r="AA211" s="165"/>
      <c r="AB211" s="166"/>
      <c r="AC211" s="169"/>
      <c r="AD211" s="165"/>
      <c r="AE211" s="165"/>
      <c r="AF211" s="167"/>
      <c r="AG211" s="168"/>
      <c r="AH211" s="165"/>
      <c r="AI211" s="167"/>
      <c r="AJ211" s="165"/>
      <c r="AK211" s="173"/>
      <c r="AL211" s="167"/>
      <c r="AM211" s="199"/>
      <c r="AN211" s="201"/>
      <c r="AO211" s="201"/>
      <c r="AP211" s="106"/>
      <c r="AQ211" s="165"/>
      <c r="AR211" s="168"/>
      <c r="AS211" s="165"/>
      <c r="AT211" s="190"/>
      <c r="AU211" s="167"/>
      <c r="AV211" s="199"/>
      <c r="AW211" s="201"/>
      <c r="AX211" s="201"/>
      <c r="AY211" s="202"/>
      <c r="AZ211" s="200"/>
      <c r="BA211" s="165"/>
      <c r="BB211" s="165"/>
      <c r="BC211" s="168"/>
      <c r="BD211" s="165"/>
      <c r="BE211" s="165"/>
      <c r="BF211" s="173"/>
      <c r="BG211" s="304"/>
      <c r="BH211" s="601"/>
      <c r="BI211" s="45"/>
      <c r="BJ211" s="46"/>
      <c r="BK211" s="45"/>
      <c r="BL211" s="53"/>
      <c r="BM211" s="200"/>
      <c r="BN211" s="165"/>
      <c r="BO211" s="173"/>
      <c r="BP211" s="190"/>
      <c r="BQ211" s="173"/>
      <c r="BR211" s="168"/>
      <c r="BS211" s="165"/>
      <c r="BT211" s="167"/>
      <c r="BU211" s="165"/>
      <c r="BV211" s="190"/>
      <c r="BW211" s="173"/>
      <c r="BX211" s="173"/>
      <c r="BY211" s="167"/>
      <c r="BZ211" s="45"/>
      <c r="CA211" s="54"/>
      <c r="CB211" s="53"/>
      <c r="CC211" s="200"/>
      <c r="CD211" s="165"/>
      <c r="CE211" s="173"/>
      <c r="CF211" s="173"/>
      <c r="CG211" s="168"/>
      <c r="CH211" s="165"/>
      <c r="CI211" s="167"/>
    </row>
    <row r="212" spans="1:87" x14ac:dyDescent="0.3">
      <c r="A212" s="10">
        <v>3141</v>
      </c>
      <c r="B212" s="11" t="s">
        <v>337</v>
      </c>
      <c r="C212" s="471">
        <v>1098</v>
      </c>
      <c r="D212" s="54">
        <v>576</v>
      </c>
      <c r="E212" s="367">
        <f t="shared" si="2"/>
        <v>0.52459016393442626</v>
      </c>
      <c r="F212" s="45"/>
      <c r="G212" s="45"/>
      <c r="H212" s="45"/>
      <c r="I212" s="45"/>
      <c r="J212" s="46"/>
      <c r="K212" s="45">
        <v>288</v>
      </c>
      <c r="L212" s="107">
        <v>338</v>
      </c>
      <c r="M212" s="541">
        <v>384</v>
      </c>
      <c r="N212" s="165"/>
      <c r="O212" s="165"/>
      <c r="P212" s="190"/>
      <c r="Q212" s="166"/>
      <c r="R212" s="166"/>
      <c r="S212" s="169"/>
      <c r="T212" s="165"/>
      <c r="U212" s="165"/>
      <c r="V212" s="168"/>
      <c r="W212" s="169"/>
      <c r="X212" s="173"/>
      <c r="Y212" s="190"/>
      <c r="Z212" s="167"/>
      <c r="AA212" s="165"/>
      <c r="AB212" s="166"/>
      <c r="AC212" s="169"/>
      <c r="AD212" s="165"/>
      <c r="AE212" s="165"/>
      <c r="AF212" s="167"/>
      <c r="AG212" s="168"/>
      <c r="AH212" s="165"/>
      <c r="AI212" s="167"/>
      <c r="AJ212" s="165"/>
      <c r="AK212" s="173"/>
      <c r="AL212" s="167"/>
      <c r="AM212" s="199"/>
      <c r="AN212" s="201"/>
      <c r="AO212" s="201"/>
      <c r="AP212" s="106"/>
      <c r="AQ212" s="165"/>
      <c r="AR212" s="168"/>
      <c r="AS212" s="165"/>
      <c r="AT212" s="190"/>
      <c r="AU212" s="167"/>
      <c r="AV212" s="199"/>
      <c r="AW212" s="201"/>
      <c r="AX212" s="201"/>
      <c r="AY212" s="202"/>
      <c r="AZ212" s="200"/>
      <c r="BA212" s="165"/>
      <c r="BB212" s="165"/>
      <c r="BC212" s="168"/>
      <c r="BD212" s="165"/>
      <c r="BE212" s="165"/>
      <c r="BF212" s="173"/>
      <c r="BG212" s="304"/>
      <c r="BH212" s="601"/>
      <c r="BI212" s="45"/>
      <c r="BJ212" s="46"/>
      <c r="BK212" s="45"/>
      <c r="BL212" s="53"/>
      <c r="BM212" s="200"/>
      <c r="BN212" s="165"/>
      <c r="BO212" s="173"/>
      <c r="BP212" s="190"/>
      <c r="BQ212" s="173"/>
      <c r="BR212" s="168"/>
      <c r="BS212" s="165"/>
      <c r="BT212" s="167"/>
      <c r="BU212" s="165"/>
      <c r="BV212" s="190"/>
      <c r="BW212" s="173"/>
      <c r="BX212" s="173"/>
      <c r="BY212" s="167"/>
      <c r="BZ212" s="45"/>
      <c r="CA212" s="54"/>
      <c r="CB212" s="53"/>
      <c r="CC212" s="200"/>
      <c r="CD212" s="165"/>
      <c r="CE212" s="173"/>
      <c r="CF212" s="173"/>
      <c r="CG212" s="168"/>
      <c r="CH212" s="165"/>
      <c r="CI212" s="167"/>
    </row>
    <row r="213" spans="1:87" x14ac:dyDescent="0.3">
      <c r="A213" s="10">
        <v>3201</v>
      </c>
      <c r="B213" s="11" t="s">
        <v>338</v>
      </c>
      <c r="C213" s="471">
        <v>998</v>
      </c>
      <c r="D213" s="54">
        <v>352</v>
      </c>
      <c r="E213" s="367">
        <f t="shared" ref="E213:E280" si="3">SUM(D213/C213)</f>
        <v>0.35270541082164331</v>
      </c>
      <c r="F213" s="45"/>
      <c r="G213" s="45"/>
      <c r="H213" s="45"/>
      <c r="I213" s="45"/>
      <c r="J213" s="46"/>
      <c r="K213" s="199"/>
      <c r="L213" s="316"/>
      <c r="M213" s="602"/>
      <c r="N213" s="165"/>
      <c r="O213" s="165"/>
      <c r="P213" s="190"/>
      <c r="Q213" s="166"/>
      <c r="R213" s="166"/>
      <c r="S213" s="169"/>
      <c r="T213" s="165"/>
      <c r="U213" s="165"/>
      <c r="V213" s="168"/>
      <c r="W213" s="169"/>
      <c r="X213" s="173"/>
      <c r="Y213" s="190"/>
      <c r="Z213" s="167"/>
      <c r="AA213" s="165"/>
      <c r="AB213" s="166"/>
      <c r="AC213" s="169"/>
      <c r="AD213" s="165"/>
      <c r="AE213" s="165"/>
      <c r="AF213" s="167"/>
      <c r="AG213" s="168"/>
      <c r="AH213" s="165"/>
      <c r="AI213" s="167"/>
      <c r="AJ213" s="165"/>
      <c r="AK213" s="173"/>
      <c r="AL213" s="167"/>
      <c r="AM213" s="199"/>
      <c r="AN213" s="201"/>
      <c r="AO213" s="201"/>
      <c r="AP213" s="106"/>
      <c r="AQ213" s="165"/>
      <c r="AR213" s="168"/>
      <c r="AS213" s="165"/>
      <c r="AT213" s="190"/>
      <c r="AU213" s="167"/>
      <c r="AV213" s="199"/>
      <c r="AW213" s="201"/>
      <c r="AX213" s="201"/>
      <c r="AY213" s="202"/>
      <c r="AZ213" s="200"/>
      <c r="BA213" s="45">
        <v>211</v>
      </c>
      <c r="BB213" s="45">
        <v>144</v>
      </c>
      <c r="BC213" s="73">
        <v>84</v>
      </c>
      <c r="BD213" s="165"/>
      <c r="BE213" s="165"/>
      <c r="BF213" s="173"/>
      <c r="BG213" s="304"/>
      <c r="BH213" s="601"/>
      <c r="BI213" s="45"/>
      <c r="BJ213" s="46"/>
      <c r="BK213" s="45"/>
      <c r="BL213" s="53"/>
      <c r="BM213" s="200"/>
      <c r="BN213" s="165"/>
      <c r="BO213" s="173"/>
      <c r="BP213" s="190"/>
      <c r="BQ213" s="173"/>
      <c r="BR213" s="168"/>
      <c r="BS213" s="165"/>
      <c r="BT213" s="167"/>
      <c r="BU213" s="165"/>
      <c r="BV213" s="190"/>
      <c r="BW213" s="173"/>
      <c r="BX213" s="173"/>
      <c r="BY213" s="167"/>
      <c r="BZ213" s="45"/>
      <c r="CA213" s="54"/>
      <c r="CB213" s="53"/>
      <c r="CC213" s="200"/>
      <c r="CD213" s="165"/>
      <c r="CE213" s="173"/>
      <c r="CF213" s="173"/>
      <c r="CG213" s="168"/>
      <c r="CH213" s="165"/>
      <c r="CI213" s="167"/>
    </row>
    <row r="214" spans="1:87" x14ac:dyDescent="0.3">
      <c r="A214" s="10">
        <v>3202</v>
      </c>
      <c r="B214" s="11" t="s">
        <v>339</v>
      </c>
      <c r="C214" s="471">
        <v>989</v>
      </c>
      <c r="D214" s="54">
        <v>449</v>
      </c>
      <c r="E214" s="367">
        <f t="shared" si="3"/>
        <v>0.45399393326592519</v>
      </c>
      <c r="F214" s="45"/>
      <c r="G214" s="45"/>
      <c r="H214" s="45"/>
      <c r="I214" s="45"/>
      <c r="J214" s="46"/>
      <c r="K214" s="199"/>
      <c r="L214" s="316"/>
      <c r="M214" s="602"/>
      <c r="N214" s="165"/>
      <c r="O214" s="165"/>
      <c r="P214" s="190"/>
      <c r="Q214" s="166"/>
      <c r="R214" s="166"/>
      <c r="S214" s="169"/>
      <c r="T214" s="165"/>
      <c r="U214" s="165"/>
      <c r="V214" s="168"/>
      <c r="W214" s="169"/>
      <c r="X214" s="173"/>
      <c r="Y214" s="190"/>
      <c r="Z214" s="167"/>
      <c r="AA214" s="165"/>
      <c r="AB214" s="166"/>
      <c r="AC214" s="169"/>
      <c r="AD214" s="165"/>
      <c r="AE214" s="165"/>
      <c r="AF214" s="167"/>
      <c r="AG214" s="168"/>
      <c r="AH214" s="165"/>
      <c r="AI214" s="167"/>
      <c r="AJ214" s="165"/>
      <c r="AK214" s="173"/>
      <c r="AL214" s="167"/>
      <c r="AM214" s="199"/>
      <c r="AN214" s="201"/>
      <c r="AO214" s="201"/>
      <c r="AP214" s="106"/>
      <c r="AQ214" s="165"/>
      <c r="AR214" s="168"/>
      <c r="AS214" s="165"/>
      <c r="AT214" s="190"/>
      <c r="AU214" s="167"/>
      <c r="AV214" s="199"/>
      <c r="AW214" s="201"/>
      <c r="AX214" s="201"/>
      <c r="AY214" s="202"/>
      <c r="AZ214" s="200"/>
      <c r="BA214" s="45">
        <v>211</v>
      </c>
      <c r="BB214" s="45">
        <v>154</v>
      </c>
      <c r="BC214" s="73">
        <v>169</v>
      </c>
      <c r="BD214" s="165"/>
      <c r="BE214" s="165"/>
      <c r="BF214" s="173"/>
      <c r="BG214" s="304"/>
      <c r="BH214" s="601"/>
      <c r="BI214" s="45"/>
      <c r="BJ214" s="46"/>
      <c r="BK214" s="45"/>
      <c r="BL214" s="53"/>
      <c r="BM214" s="200"/>
      <c r="BN214" s="165"/>
      <c r="BO214" s="173"/>
      <c r="BP214" s="190"/>
      <c r="BQ214" s="173"/>
      <c r="BR214" s="168"/>
      <c r="BS214" s="165"/>
      <c r="BT214" s="167"/>
      <c r="BU214" s="165"/>
      <c r="BV214" s="190"/>
      <c r="BW214" s="173"/>
      <c r="BX214" s="173"/>
      <c r="BY214" s="167"/>
      <c r="BZ214" s="45"/>
      <c r="CA214" s="54"/>
      <c r="CB214" s="53"/>
      <c r="CC214" s="200"/>
      <c r="CD214" s="165"/>
      <c r="CE214" s="173"/>
      <c r="CF214" s="173"/>
      <c r="CG214" s="168"/>
      <c r="CH214" s="165"/>
      <c r="CI214" s="167"/>
    </row>
    <row r="215" spans="1:87" x14ac:dyDescent="0.3">
      <c r="A215" s="10">
        <v>3203</v>
      </c>
      <c r="B215" s="11" t="s">
        <v>340</v>
      </c>
      <c r="C215" s="471">
        <v>987</v>
      </c>
      <c r="D215" s="54">
        <v>365</v>
      </c>
      <c r="E215" s="367">
        <f t="shared" si="3"/>
        <v>0.36980749746707192</v>
      </c>
      <c r="F215" s="45"/>
      <c r="G215" s="45"/>
      <c r="H215" s="45"/>
      <c r="I215" s="45"/>
      <c r="J215" s="46"/>
      <c r="K215" s="199"/>
      <c r="L215" s="316"/>
      <c r="M215" s="602"/>
      <c r="N215" s="165"/>
      <c r="O215" s="165"/>
      <c r="P215" s="190"/>
      <c r="Q215" s="166"/>
      <c r="R215" s="166"/>
      <c r="S215" s="169"/>
      <c r="T215" s="165"/>
      <c r="U215" s="165"/>
      <c r="V215" s="168"/>
      <c r="W215" s="169"/>
      <c r="X215" s="173"/>
      <c r="Y215" s="190"/>
      <c r="Z215" s="167"/>
      <c r="AA215" s="165"/>
      <c r="AB215" s="166"/>
      <c r="AC215" s="169"/>
      <c r="AD215" s="165"/>
      <c r="AE215" s="165"/>
      <c r="AF215" s="167"/>
      <c r="AG215" s="168"/>
      <c r="AH215" s="165"/>
      <c r="AI215" s="167"/>
      <c r="AJ215" s="165"/>
      <c r="AK215" s="173"/>
      <c r="AL215" s="167"/>
      <c r="AM215" s="199"/>
      <c r="AN215" s="201"/>
      <c r="AO215" s="201"/>
      <c r="AP215" s="106"/>
      <c r="AQ215" s="165"/>
      <c r="AR215" s="168"/>
      <c r="AS215" s="165"/>
      <c r="AT215" s="190"/>
      <c r="AU215" s="167"/>
      <c r="AV215" s="199"/>
      <c r="AW215" s="201"/>
      <c r="AX215" s="201"/>
      <c r="AY215" s="202"/>
      <c r="AZ215" s="200"/>
      <c r="BA215" s="45">
        <v>229</v>
      </c>
      <c r="BB215" s="45">
        <v>114</v>
      </c>
      <c r="BC215" s="73">
        <v>135</v>
      </c>
      <c r="BD215" s="165"/>
      <c r="BE215" s="165"/>
      <c r="BF215" s="173"/>
      <c r="BG215" s="304"/>
      <c r="BH215" s="601"/>
      <c r="BI215" s="45"/>
      <c r="BJ215" s="46"/>
      <c r="BK215" s="45"/>
      <c r="BL215" s="53"/>
      <c r="BM215" s="200"/>
      <c r="BN215" s="165"/>
      <c r="BO215" s="173"/>
      <c r="BP215" s="190"/>
      <c r="BQ215" s="173"/>
      <c r="BR215" s="168"/>
      <c r="BS215" s="165"/>
      <c r="BT215" s="167"/>
      <c r="BU215" s="165"/>
      <c r="BV215" s="190"/>
      <c r="BW215" s="173"/>
      <c r="BX215" s="173"/>
      <c r="BY215" s="167"/>
      <c r="BZ215" s="45"/>
      <c r="CA215" s="54"/>
      <c r="CB215" s="53"/>
      <c r="CC215" s="200"/>
      <c r="CD215" s="165"/>
      <c r="CE215" s="173"/>
      <c r="CF215" s="173"/>
      <c r="CG215" s="168"/>
      <c r="CH215" s="165"/>
      <c r="CI215" s="167"/>
    </row>
    <row r="216" spans="1:87" x14ac:dyDescent="0.3">
      <c r="A216" s="10">
        <v>3204</v>
      </c>
      <c r="B216" s="11" t="s">
        <v>341</v>
      </c>
      <c r="C216" s="471">
        <v>995</v>
      </c>
      <c r="D216" s="54">
        <v>353</v>
      </c>
      <c r="E216" s="367">
        <f t="shared" si="3"/>
        <v>0.35477386934673366</v>
      </c>
      <c r="F216" s="45"/>
      <c r="G216" s="45"/>
      <c r="H216" s="45"/>
      <c r="I216" s="45"/>
      <c r="J216" s="46"/>
      <c r="K216" s="199"/>
      <c r="L216" s="316"/>
      <c r="M216" s="602"/>
      <c r="N216" s="165"/>
      <c r="O216" s="165"/>
      <c r="P216" s="190"/>
      <c r="Q216" s="166"/>
      <c r="R216" s="166"/>
      <c r="S216" s="169"/>
      <c r="T216" s="165"/>
      <c r="U216" s="165"/>
      <c r="V216" s="168"/>
      <c r="W216" s="169"/>
      <c r="X216" s="173"/>
      <c r="Y216" s="190"/>
      <c r="Z216" s="167"/>
      <c r="AA216" s="165"/>
      <c r="AB216" s="166"/>
      <c r="AC216" s="169"/>
      <c r="AD216" s="165"/>
      <c r="AE216" s="165"/>
      <c r="AF216" s="167"/>
      <c r="AG216" s="168"/>
      <c r="AH216" s="165"/>
      <c r="AI216" s="167"/>
      <c r="AJ216" s="165"/>
      <c r="AK216" s="173"/>
      <c r="AL216" s="167"/>
      <c r="AM216" s="199"/>
      <c r="AN216" s="201"/>
      <c r="AO216" s="201"/>
      <c r="AP216" s="106"/>
      <c r="AQ216" s="165"/>
      <c r="AR216" s="168"/>
      <c r="AS216" s="165"/>
      <c r="AT216" s="190"/>
      <c r="AU216" s="167"/>
      <c r="AV216" s="199"/>
      <c r="AW216" s="201"/>
      <c r="AX216" s="201"/>
      <c r="AY216" s="202"/>
      <c r="AZ216" s="200"/>
      <c r="BA216" s="45">
        <v>202</v>
      </c>
      <c r="BB216" s="45">
        <v>125</v>
      </c>
      <c r="BC216" s="73">
        <v>103</v>
      </c>
      <c r="BD216" s="165"/>
      <c r="BE216" s="165"/>
      <c r="BF216" s="173"/>
      <c r="BG216" s="304"/>
      <c r="BH216" s="601"/>
      <c r="BI216" s="45"/>
      <c r="BJ216" s="46"/>
      <c r="BK216" s="45"/>
      <c r="BL216" s="53"/>
      <c r="BM216" s="200"/>
      <c r="BN216" s="165"/>
      <c r="BO216" s="173"/>
      <c r="BP216" s="190"/>
      <c r="BQ216" s="173"/>
      <c r="BR216" s="168"/>
      <c r="BS216" s="165"/>
      <c r="BT216" s="167"/>
      <c r="BU216" s="165"/>
      <c r="BV216" s="190"/>
      <c r="BW216" s="173"/>
      <c r="BX216" s="173"/>
      <c r="BY216" s="167"/>
      <c r="BZ216" s="45"/>
      <c r="CA216" s="54"/>
      <c r="CB216" s="53"/>
      <c r="CC216" s="200"/>
      <c r="CD216" s="165"/>
      <c r="CE216" s="173"/>
      <c r="CF216" s="173"/>
      <c r="CG216" s="168"/>
      <c r="CH216" s="165"/>
      <c r="CI216" s="167"/>
    </row>
    <row r="217" spans="1:87" x14ac:dyDescent="0.3">
      <c r="A217" s="10">
        <v>3205</v>
      </c>
      <c r="B217" s="11" t="s">
        <v>342</v>
      </c>
      <c r="C217" s="471">
        <v>941</v>
      </c>
      <c r="D217" s="54">
        <v>331</v>
      </c>
      <c r="E217" s="367">
        <f t="shared" si="3"/>
        <v>0.35175345377258238</v>
      </c>
      <c r="F217" s="45"/>
      <c r="G217" s="45"/>
      <c r="H217" s="45"/>
      <c r="I217" s="45"/>
      <c r="J217" s="46"/>
      <c r="K217" s="199"/>
      <c r="L217" s="316"/>
      <c r="M217" s="602"/>
      <c r="N217" s="165"/>
      <c r="O217" s="165"/>
      <c r="P217" s="190"/>
      <c r="Q217" s="166"/>
      <c r="R217" s="166"/>
      <c r="S217" s="169"/>
      <c r="T217" s="165"/>
      <c r="U217" s="165"/>
      <c r="V217" s="168"/>
      <c r="W217" s="169"/>
      <c r="X217" s="173"/>
      <c r="Y217" s="190"/>
      <c r="Z217" s="167"/>
      <c r="AA217" s="165"/>
      <c r="AB217" s="166"/>
      <c r="AC217" s="169"/>
      <c r="AD217" s="165"/>
      <c r="AE217" s="165"/>
      <c r="AF217" s="167"/>
      <c r="AG217" s="168"/>
      <c r="AH217" s="165"/>
      <c r="AI217" s="167"/>
      <c r="AJ217" s="165"/>
      <c r="AK217" s="173"/>
      <c r="AL217" s="167"/>
      <c r="AM217" s="199"/>
      <c r="AN217" s="201"/>
      <c r="AO217" s="201"/>
      <c r="AP217" s="106"/>
      <c r="AQ217" s="165"/>
      <c r="AR217" s="168"/>
      <c r="AS217" s="165"/>
      <c r="AT217" s="190"/>
      <c r="AU217" s="167"/>
      <c r="AV217" s="199"/>
      <c r="AW217" s="201"/>
      <c r="AX217" s="201"/>
      <c r="AY217" s="202"/>
      <c r="AZ217" s="200"/>
      <c r="BA217" s="45">
        <v>207</v>
      </c>
      <c r="BB217" s="45">
        <v>130</v>
      </c>
      <c r="BC217" s="73">
        <v>102</v>
      </c>
      <c r="BD217" s="165"/>
      <c r="BE217" s="165"/>
      <c r="BF217" s="173"/>
      <c r="BG217" s="304"/>
      <c r="BH217" s="601"/>
      <c r="BI217" s="45"/>
      <c r="BJ217" s="46"/>
      <c r="BK217" s="45"/>
      <c r="BL217" s="53"/>
      <c r="BM217" s="200"/>
      <c r="BN217" s="165"/>
      <c r="BO217" s="173"/>
      <c r="BP217" s="190"/>
      <c r="BQ217" s="173"/>
      <c r="BR217" s="168"/>
      <c r="BS217" s="165"/>
      <c r="BT217" s="167"/>
      <c r="BU217" s="165"/>
      <c r="BV217" s="190"/>
      <c r="BW217" s="173"/>
      <c r="BX217" s="173"/>
      <c r="BY217" s="167"/>
      <c r="BZ217" s="45"/>
      <c r="CA217" s="54"/>
      <c r="CB217" s="53"/>
      <c r="CC217" s="200"/>
      <c r="CD217" s="165"/>
      <c r="CE217" s="173"/>
      <c r="CF217" s="173"/>
      <c r="CG217" s="168"/>
      <c r="CH217" s="165"/>
      <c r="CI217" s="167"/>
    </row>
    <row r="218" spans="1:87" x14ac:dyDescent="0.3">
      <c r="A218" s="10">
        <v>3206</v>
      </c>
      <c r="B218" s="11" t="s">
        <v>343</v>
      </c>
      <c r="C218" s="471">
        <v>563</v>
      </c>
      <c r="D218" s="54">
        <v>216</v>
      </c>
      <c r="E218" s="367">
        <f t="shared" si="3"/>
        <v>0.38365896980461811</v>
      </c>
      <c r="F218" s="45"/>
      <c r="G218" s="45"/>
      <c r="H218" s="45"/>
      <c r="I218" s="45"/>
      <c r="J218" s="46"/>
      <c r="K218" s="199"/>
      <c r="L218" s="316"/>
      <c r="M218" s="602"/>
      <c r="N218" s="165"/>
      <c r="O218" s="165"/>
      <c r="P218" s="190"/>
      <c r="Q218" s="166"/>
      <c r="R218" s="166"/>
      <c r="S218" s="169"/>
      <c r="T218" s="165"/>
      <c r="U218" s="165"/>
      <c r="V218" s="168"/>
      <c r="W218" s="169"/>
      <c r="X218" s="173"/>
      <c r="Y218" s="190"/>
      <c r="Z218" s="167"/>
      <c r="AA218" s="165"/>
      <c r="AB218" s="166"/>
      <c r="AC218" s="169"/>
      <c r="AD218" s="165"/>
      <c r="AE218" s="165"/>
      <c r="AF218" s="167"/>
      <c r="AG218" s="168"/>
      <c r="AH218" s="165"/>
      <c r="AI218" s="167"/>
      <c r="AJ218" s="165"/>
      <c r="AK218" s="173"/>
      <c r="AL218" s="167"/>
      <c r="AM218" s="199"/>
      <c r="AN218" s="201"/>
      <c r="AO218" s="201"/>
      <c r="AP218" s="106"/>
      <c r="AQ218" s="165"/>
      <c r="AR218" s="168"/>
      <c r="AS218" s="165"/>
      <c r="AT218" s="190"/>
      <c r="AU218" s="167"/>
      <c r="AV218" s="199"/>
      <c r="AW218" s="201"/>
      <c r="AX218" s="201"/>
      <c r="AY218" s="202"/>
      <c r="AZ218" s="200"/>
      <c r="BA218" s="45"/>
      <c r="BB218" s="45"/>
      <c r="BC218" s="73"/>
      <c r="BD218" s="165"/>
      <c r="BE218" s="165"/>
      <c r="BF218" s="173"/>
      <c r="BG218" s="304"/>
      <c r="BH218" s="601"/>
      <c r="BI218" s="45">
        <v>94</v>
      </c>
      <c r="BJ218" s="46">
        <v>114</v>
      </c>
      <c r="BK218" s="45"/>
      <c r="BL218" s="53"/>
      <c r="BM218" s="200"/>
      <c r="BN218" s="165"/>
      <c r="BO218" s="173"/>
      <c r="BP218" s="190"/>
      <c r="BQ218" s="173"/>
      <c r="BR218" s="168"/>
      <c r="BS218" s="165"/>
      <c r="BT218" s="167"/>
      <c r="BU218" s="45">
        <v>52</v>
      </c>
      <c r="BV218" s="53">
        <v>45</v>
      </c>
      <c r="BW218" s="54">
        <v>104</v>
      </c>
      <c r="BX218" s="54">
        <v>35</v>
      </c>
      <c r="BY218" s="46">
        <v>29</v>
      </c>
      <c r="BZ218" s="45"/>
      <c r="CA218" s="54"/>
      <c r="CB218" s="53"/>
      <c r="CC218" s="46"/>
      <c r="CD218" s="165"/>
      <c r="CE218" s="173"/>
      <c r="CF218" s="173"/>
      <c r="CG218" s="168"/>
      <c r="CH218" s="165"/>
      <c r="CI218" s="167"/>
    </row>
    <row r="219" spans="1:87" x14ac:dyDescent="0.3">
      <c r="A219" s="10">
        <v>3207</v>
      </c>
      <c r="B219" s="11" t="s">
        <v>344</v>
      </c>
      <c r="C219" s="471">
        <v>896</v>
      </c>
      <c r="D219" s="54">
        <v>316</v>
      </c>
      <c r="E219" s="367">
        <f t="shared" si="3"/>
        <v>0.35267857142857145</v>
      </c>
      <c r="F219" s="45"/>
      <c r="G219" s="45"/>
      <c r="H219" s="45"/>
      <c r="I219" s="45"/>
      <c r="J219" s="46"/>
      <c r="K219" s="45"/>
      <c r="L219" s="107"/>
      <c r="M219" s="541"/>
      <c r="N219" s="165"/>
      <c r="O219" s="165"/>
      <c r="P219" s="190"/>
      <c r="Q219" s="166"/>
      <c r="R219" s="166"/>
      <c r="S219" s="169"/>
      <c r="T219" s="165"/>
      <c r="U219" s="165"/>
      <c r="V219" s="168"/>
      <c r="W219" s="169"/>
      <c r="X219" s="173"/>
      <c r="Y219" s="190"/>
      <c r="Z219" s="167"/>
      <c r="AA219" s="165"/>
      <c r="AB219" s="166"/>
      <c r="AC219" s="169"/>
      <c r="AD219" s="165"/>
      <c r="AE219" s="165"/>
      <c r="AF219" s="167"/>
      <c r="AG219" s="168"/>
      <c r="AH219" s="165"/>
      <c r="AI219" s="167"/>
      <c r="AJ219" s="165"/>
      <c r="AK219" s="173"/>
      <c r="AL219" s="167"/>
      <c r="AM219" s="199"/>
      <c r="AN219" s="201"/>
      <c r="AO219" s="201"/>
      <c r="AP219" s="106"/>
      <c r="AQ219" s="165"/>
      <c r="AR219" s="168"/>
      <c r="AS219" s="165"/>
      <c r="AT219" s="190"/>
      <c r="AU219" s="167"/>
      <c r="AV219" s="199"/>
      <c r="AW219" s="201"/>
      <c r="AX219" s="201"/>
      <c r="AY219" s="202"/>
      <c r="AZ219" s="200"/>
      <c r="BA219" s="45">
        <v>228</v>
      </c>
      <c r="BB219" s="45">
        <v>110</v>
      </c>
      <c r="BC219" s="73">
        <v>74</v>
      </c>
      <c r="BD219" s="165"/>
      <c r="BE219" s="165"/>
      <c r="BF219" s="173"/>
      <c r="BG219" s="304"/>
      <c r="BH219" s="601"/>
      <c r="BI219" s="45"/>
      <c r="BJ219" s="46"/>
      <c r="BK219" s="45"/>
      <c r="BL219" s="53"/>
      <c r="BM219" s="200"/>
      <c r="BN219" s="165"/>
      <c r="BO219" s="173"/>
      <c r="BP219" s="190"/>
      <c r="BQ219" s="173"/>
      <c r="BR219" s="168"/>
      <c r="BS219" s="165"/>
      <c r="BT219" s="167"/>
      <c r="BU219" s="199"/>
      <c r="BV219" s="202"/>
      <c r="BW219" s="201"/>
      <c r="BX219" s="201"/>
      <c r="BY219" s="200"/>
      <c r="BZ219" s="199"/>
      <c r="CA219" s="201"/>
      <c r="CB219" s="202"/>
      <c r="CC219" s="200"/>
      <c r="CD219" s="165"/>
      <c r="CE219" s="173"/>
      <c r="CF219" s="173"/>
      <c r="CG219" s="168"/>
      <c r="CH219" s="165"/>
      <c r="CI219" s="167"/>
    </row>
    <row r="220" spans="1:87" x14ac:dyDescent="0.3">
      <c r="A220" s="10">
        <v>3208</v>
      </c>
      <c r="B220" s="11" t="s">
        <v>345</v>
      </c>
      <c r="C220" s="471">
        <v>762</v>
      </c>
      <c r="D220" s="54">
        <v>302</v>
      </c>
      <c r="E220" s="367">
        <f t="shared" si="3"/>
        <v>0.39632545931758528</v>
      </c>
      <c r="F220" s="45"/>
      <c r="G220" s="45"/>
      <c r="H220" s="45"/>
      <c r="I220" s="45"/>
      <c r="J220" s="46"/>
      <c r="K220" s="45"/>
      <c r="L220" s="107"/>
      <c r="M220" s="541"/>
      <c r="N220" s="165"/>
      <c r="O220" s="165"/>
      <c r="P220" s="190"/>
      <c r="Q220" s="166"/>
      <c r="R220" s="166"/>
      <c r="S220" s="169"/>
      <c r="T220" s="165"/>
      <c r="U220" s="165"/>
      <c r="V220" s="168"/>
      <c r="W220" s="169"/>
      <c r="X220" s="173"/>
      <c r="Y220" s="190"/>
      <c r="Z220" s="167"/>
      <c r="AA220" s="165"/>
      <c r="AB220" s="166"/>
      <c r="AC220" s="169"/>
      <c r="AD220" s="165"/>
      <c r="AE220" s="165"/>
      <c r="AF220" s="167"/>
      <c r="AG220" s="168"/>
      <c r="AH220" s="165"/>
      <c r="AI220" s="167"/>
      <c r="AJ220" s="165"/>
      <c r="AK220" s="173"/>
      <c r="AL220" s="167"/>
      <c r="AM220" s="199"/>
      <c r="AN220" s="201"/>
      <c r="AO220" s="201"/>
      <c r="AP220" s="106"/>
      <c r="AQ220" s="165"/>
      <c r="AR220" s="168"/>
      <c r="AS220" s="165"/>
      <c r="AT220" s="190"/>
      <c r="AU220" s="167"/>
      <c r="AV220" s="199"/>
      <c r="AW220" s="201"/>
      <c r="AX220" s="201"/>
      <c r="AY220" s="202"/>
      <c r="AZ220" s="200"/>
      <c r="BA220" s="45">
        <v>186</v>
      </c>
      <c r="BB220" s="45">
        <v>124</v>
      </c>
      <c r="BC220" s="73">
        <v>76</v>
      </c>
      <c r="BD220" s="165"/>
      <c r="BE220" s="165"/>
      <c r="BF220" s="173"/>
      <c r="BG220" s="304"/>
      <c r="BH220" s="601"/>
      <c r="BI220" s="45"/>
      <c r="BJ220" s="46"/>
      <c r="BK220" s="45"/>
      <c r="BL220" s="53"/>
      <c r="BM220" s="200"/>
      <c r="BN220" s="165"/>
      <c r="BO220" s="173"/>
      <c r="BP220" s="190"/>
      <c r="BQ220" s="173"/>
      <c r="BR220" s="168"/>
      <c r="BS220" s="165"/>
      <c r="BT220" s="167"/>
      <c r="BU220" s="199"/>
      <c r="BV220" s="202"/>
      <c r="BW220" s="201"/>
      <c r="BX220" s="201"/>
      <c r="BY220" s="200"/>
      <c r="BZ220" s="199"/>
      <c r="CA220" s="201"/>
      <c r="CB220" s="202"/>
      <c r="CC220" s="200"/>
      <c r="CD220" s="165"/>
      <c r="CE220" s="173"/>
      <c r="CF220" s="173"/>
      <c r="CG220" s="168"/>
      <c r="CH220" s="165"/>
      <c r="CI220" s="167"/>
    </row>
    <row r="221" spans="1:87" x14ac:dyDescent="0.3">
      <c r="A221" s="10">
        <v>3209</v>
      </c>
      <c r="B221" s="11" t="s">
        <v>346</v>
      </c>
      <c r="C221" s="471">
        <v>988</v>
      </c>
      <c r="D221" s="54">
        <v>462</v>
      </c>
      <c r="E221" s="367">
        <f t="shared" si="3"/>
        <v>0.46761133603238869</v>
      </c>
      <c r="F221" s="45"/>
      <c r="G221" s="45"/>
      <c r="H221" s="45"/>
      <c r="I221" s="45"/>
      <c r="J221" s="46"/>
      <c r="K221" s="45"/>
      <c r="L221" s="107"/>
      <c r="M221" s="541"/>
      <c r="N221" s="165"/>
      <c r="O221" s="165"/>
      <c r="P221" s="190"/>
      <c r="Q221" s="166"/>
      <c r="R221" s="166"/>
      <c r="S221" s="169"/>
      <c r="T221" s="165"/>
      <c r="U221" s="165"/>
      <c r="V221" s="168"/>
      <c r="W221" s="169"/>
      <c r="X221" s="173"/>
      <c r="Y221" s="190"/>
      <c r="Z221" s="167"/>
      <c r="AA221" s="165"/>
      <c r="AB221" s="166"/>
      <c r="AC221" s="169"/>
      <c r="AD221" s="165"/>
      <c r="AE221" s="165"/>
      <c r="AF221" s="167"/>
      <c r="AG221" s="168"/>
      <c r="AH221" s="165"/>
      <c r="AI221" s="167"/>
      <c r="AJ221" s="165"/>
      <c r="AK221" s="173"/>
      <c r="AL221" s="167"/>
      <c r="AM221" s="199"/>
      <c r="AN221" s="201"/>
      <c r="AO221" s="201"/>
      <c r="AP221" s="106"/>
      <c r="AQ221" s="165"/>
      <c r="AR221" s="168"/>
      <c r="AS221" s="165"/>
      <c r="AT221" s="190"/>
      <c r="AU221" s="167"/>
      <c r="AV221" s="199"/>
      <c r="AW221" s="201"/>
      <c r="AX221" s="201"/>
      <c r="AY221" s="202"/>
      <c r="AZ221" s="200"/>
      <c r="BA221" s="45">
        <v>283</v>
      </c>
      <c r="BB221" s="45">
        <v>198</v>
      </c>
      <c r="BC221" s="73">
        <v>155</v>
      </c>
      <c r="BD221" s="165"/>
      <c r="BE221" s="165"/>
      <c r="BF221" s="173"/>
      <c r="BG221" s="304"/>
      <c r="BH221" s="601"/>
      <c r="BI221" s="45"/>
      <c r="BJ221" s="46"/>
      <c r="BK221" s="45"/>
      <c r="BL221" s="53"/>
      <c r="BM221" s="200"/>
      <c r="BN221" s="165"/>
      <c r="BO221" s="173"/>
      <c r="BP221" s="190"/>
      <c r="BQ221" s="173"/>
      <c r="BR221" s="168"/>
      <c r="BS221" s="165"/>
      <c r="BT221" s="167"/>
      <c r="BU221" s="199"/>
      <c r="BV221" s="202"/>
      <c r="BW221" s="201"/>
      <c r="BX221" s="201"/>
      <c r="BY221" s="200"/>
      <c r="BZ221" s="199"/>
      <c r="CA221" s="201"/>
      <c r="CB221" s="202"/>
      <c r="CC221" s="200"/>
      <c r="CD221" s="165"/>
      <c r="CE221" s="173"/>
      <c r="CF221" s="173"/>
      <c r="CG221" s="168"/>
      <c r="CH221" s="165"/>
      <c r="CI221" s="167"/>
    </row>
    <row r="222" spans="1:87" x14ac:dyDescent="0.3">
      <c r="A222" s="10">
        <v>3210</v>
      </c>
      <c r="B222" s="11" t="s">
        <v>347</v>
      </c>
      <c r="C222" s="471">
        <v>869</v>
      </c>
      <c r="D222" s="54">
        <v>366</v>
      </c>
      <c r="E222" s="367">
        <f t="shared" si="3"/>
        <v>0.42117376294591485</v>
      </c>
      <c r="F222" s="45"/>
      <c r="G222" s="45"/>
      <c r="H222" s="45"/>
      <c r="I222" s="45"/>
      <c r="J222" s="46"/>
      <c r="K222" s="45"/>
      <c r="L222" s="107"/>
      <c r="M222" s="541"/>
      <c r="N222" s="165"/>
      <c r="O222" s="165"/>
      <c r="P222" s="190"/>
      <c r="Q222" s="166"/>
      <c r="R222" s="166"/>
      <c r="S222" s="169"/>
      <c r="T222" s="165"/>
      <c r="U222" s="165"/>
      <c r="V222" s="168"/>
      <c r="W222" s="169"/>
      <c r="X222" s="173"/>
      <c r="Y222" s="190"/>
      <c r="Z222" s="167"/>
      <c r="AA222" s="165"/>
      <c r="AB222" s="166"/>
      <c r="AC222" s="169"/>
      <c r="AD222" s="165"/>
      <c r="AE222" s="165"/>
      <c r="AF222" s="167"/>
      <c r="AG222" s="168"/>
      <c r="AH222" s="165"/>
      <c r="AI222" s="167"/>
      <c r="AJ222" s="165"/>
      <c r="AK222" s="173"/>
      <c r="AL222" s="167"/>
      <c r="AM222" s="199"/>
      <c r="AN222" s="201"/>
      <c r="AO222" s="201"/>
      <c r="AP222" s="106"/>
      <c r="AQ222" s="165"/>
      <c r="AR222" s="168"/>
      <c r="AS222" s="165"/>
      <c r="AT222" s="190"/>
      <c r="AU222" s="167"/>
      <c r="AV222" s="199"/>
      <c r="AW222" s="201"/>
      <c r="AX222" s="201"/>
      <c r="AY222" s="202"/>
      <c r="AZ222" s="200"/>
      <c r="BA222" s="45">
        <v>242</v>
      </c>
      <c r="BB222" s="45">
        <v>129</v>
      </c>
      <c r="BC222" s="73">
        <v>141</v>
      </c>
      <c r="BD222" s="165"/>
      <c r="BE222" s="165"/>
      <c r="BF222" s="173"/>
      <c r="BG222" s="304"/>
      <c r="BH222" s="601"/>
      <c r="BI222" s="45"/>
      <c r="BJ222" s="46"/>
      <c r="BK222" s="45"/>
      <c r="BL222" s="53"/>
      <c r="BM222" s="200"/>
      <c r="BN222" s="165"/>
      <c r="BO222" s="173"/>
      <c r="BP222" s="190"/>
      <c r="BQ222" s="173"/>
      <c r="BR222" s="168"/>
      <c r="BS222" s="165"/>
      <c r="BT222" s="167"/>
      <c r="BU222" s="199"/>
      <c r="BV222" s="202"/>
      <c r="BW222" s="201"/>
      <c r="BX222" s="201"/>
      <c r="BY222" s="200"/>
      <c r="BZ222" s="199"/>
      <c r="CA222" s="201"/>
      <c r="CB222" s="202"/>
      <c r="CC222" s="200"/>
      <c r="CD222" s="165"/>
      <c r="CE222" s="173"/>
      <c r="CF222" s="173"/>
      <c r="CG222" s="168"/>
      <c r="CH222" s="165"/>
      <c r="CI222" s="167"/>
    </row>
    <row r="223" spans="1:87" x14ac:dyDescent="0.3">
      <c r="A223" s="10">
        <v>3211</v>
      </c>
      <c r="B223" s="11" t="s">
        <v>348</v>
      </c>
      <c r="C223" s="471">
        <v>1145</v>
      </c>
      <c r="D223" s="54">
        <v>294</v>
      </c>
      <c r="E223" s="367">
        <f t="shared" si="3"/>
        <v>0.25676855895196504</v>
      </c>
      <c r="F223" s="45"/>
      <c r="G223" s="45"/>
      <c r="H223" s="45"/>
      <c r="I223" s="45"/>
      <c r="J223" s="46"/>
      <c r="K223" s="45"/>
      <c r="L223" s="107"/>
      <c r="M223" s="541"/>
      <c r="N223" s="165"/>
      <c r="O223" s="165"/>
      <c r="P223" s="190"/>
      <c r="Q223" s="166"/>
      <c r="R223" s="166"/>
      <c r="S223" s="169"/>
      <c r="T223" s="165"/>
      <c r="U223" s="165"/>
      <c r="V223" s="168"/>
      <c r="W223" s="169"/>
      <c r="X223" s="173"/>
      <c r="Y223" s="190"/>
      <c r="Z223" s="167"/>
      <c r="AA223" s="165"/>
      <c r="AB223" s="166"/>
      <c r="AC223" s="169"/>
      <c r="AD223" s="165"/>
      <c r="AE223" s="165"/>
      <c r="AF223" s="167"/>
      <c r="AG223" s="168"/>
      <c r="AH223" s="165"/>
      <c r="AI223" s="167"/>
      <c r="AJ223" s="165"/>
      <c r="AK223" s="173"/>
      <c r="AL223" s="167"/>
      <c r="AM223" s="199"/>
      <c r="AN223" s="201"/>
      <c r="AO223" s="201"/>
      <c r="AP223" s="106"/>
      <c r="AQ223" s="165"/>
      <c r="AR223" s="168"/>
      <c r="AS223" s="165"/>
      <c r="AT223" s="190"/>
      <c r="AU223" s="167"/>
      <c r="AV223" s="199"/>
      <c r="AW223" s="201"/>
      <c r="AX223" s="201"/>
      <c r="AY223" s="202"/>
      <c r="AZ223" s="200"/>
      <c r="BA223" s="45">
        <v>200</v>
      </c>
      <c r="BB223" s="45">
        <v>83</v>
      </c>
      <c r="BC223" s="73">
        <v>62</v>
      </c>
      <c r="BD223" s="165"/>
      <c r="BE223" s="165"/>
      <c r="BF223" s="173"/>
      <c r="BG223" s="304"/>
      <c r="BH223" s="601"/>
      <c r="BI223" s="45"/>
      <c r="BJ223" s="46"/>
      <c r="BK223" s="45"/>
      <c r="BL223" s="53"/>
      <c r="BM223" s="200"/>
      <c r="BN223" s="165"/>
      <c r="BO223" s="173"/>
      <c r="BP223" s="190"/>
      <c r="BQ223" s="173"/>
      <c r="BR223" s="168"/>
      <c r="BS223" s="165"/>
      <c r="BT223" s="167"/>
      <c r="BU223" s="199"/>
      <c r="BV223" s="202"/>
      <c r="BW223" s="201"/>
      <c r="BX223" s="201"/>
      <c r="BY223" s="200"/>
      <c r="BZ223" s="199"/>
      <c r="CA223" s="201"/>
      <c r="CB223" s="202"/>
      <c r="CC223" s="200"/>
      <c r="CD223" s="165"/>
      <c r="CE223" s="173"/>
      <c r="CF223" s="173"/>
      <c r="CG223" s="168"/>
      <c r="CH223" s="165"/>
      <c r="CI223" s="167"/>
    </row>
    <row r="224" spans="1:87" x14ac:dyDescent="0.3">
      <c r="A224" s="10">
        <v>3212</v>
      </c>
      <c r="B224" s="11" t="s">
        <v>349</v>
      </c>
      <c r="C224" s="471">
        <v>1060</v>
      </c>
      <c r="D224" s="54">
        <v>411</v>
      </c>
      <c r="E224" s="367">
        <f t="shared" si="3"/>
        <v>0.3877358490566038</v>
      </c>
      <c r="F224" s="45"/>
      <c r="G224" s="45"/>
      <c r="H224" s="45"/>
      <c r="I224" s="45"/>
      <c r="J224" s="46"/>
      <c r="K224" s="45"/>
      <c r="L224" s="107"/>
      <c r="M224" s="541"/>
      <c r="N224" s="165"/>
      <c r="O224" s="165"/>
      <c r="P224" s="190"/>
      <c r="Q224" s="166"/>
      <c r="R224" s="166"/>
      <c r="S224" s="169"/>
      <c r="T224" s="165"/>
      <c r="U224" s="165"/>
      <c r="V224" s="168"/>
      <c r="W224" s="169"/>
      <c r="X224" s="173"/>
      <c r="Y224" s="190"/>
      <c r="Z224" s="167"/>
      <c r="AA224" s="165"/>
      <c r="AB224" s="166"/>
      <c r="AC224" s="169"/>
      <c r="AD224" s="165"/>
      <c r="AE224" s="165"/>
      <c r="AF224" s="167"/>
      <c r="AG224" s="168"/>
      <c r="AH224" s="165"/>
      <c r="AI224" s="167"/>
      <c r="AJ224" s="165"/>
      <c r="AK224" s="173"/>
      <c r="AL224" s="167"/>
      <c r="AM224" s="199"/>
      <c r="AN224" s="201"/>
      <c r="AO224" s="201"/>
      <c r="AP224" s="106"/>
      <c r="AQ224" s="165"/>
      <c r="AR224" s="168"/>
      <c r="AS224" s="165"/>
      <c r="AT224" s="190"/>
      <c r="AU224" s="167"/>
      <c r="AV224" s="199"/>
      <c r="AW224" s="201"/>
      <c r="AX224" s="201"/>
      <c r="AY224" s="202"/>
      <c r="AZ224" s="200"/>
      <c r="BA224" s="45">
        <v>249</v>
      </c>
      <c r="BB224" s="45">
        <v>159</v>
      </c>
      <c r="BC224" s="73">
        <v>108</v>
      </c>
      <c r="BD224" s="165"/>
      <c r="BE224" s="165"/>
      <c r="BF224" s="173"/>
      <c r="BG224" s="304"/>
      <c r="BH224" s="601"/>
      <c r="BI224" s="45"/>
      <c r="BJ224" s="46"/>
      <c r="BK224" s="45"/>
      <c r="BL224" s="53"/>
      <c r="BM224" s="200"/>
      <c r="BN224" s="165"/>
      <c r="BO224" s="173"/>
      <c r="BP224" s="190"/>
      <c r="BQ224" s="173"/>
      <c r="BR224" s="168"/>
      <c r="BS224" s="165"/>
      <c r="BT224" s="167"/>
      <c r="BU224" s="199"/>
      <c r="BV224" s="202"/>
      <c r="BW224" s="201"/>
      <c r="BX224" s="201"/>
      <c r="BY224" s="200"/>
      <c r="BZ224" s="199"/>
      <c r="CA224" s="201"/>
      <c r="CB224" s="202"/>
      <c r="CC224" s="200"/>
      <c r="CD224" s="165"/>
      <c r="CE224" s="173"/>
      <c r="CF224" s="173"/>
      <c r="CG224" s="168"/>
      <c r="CH224" s="165"/>
      <c r="CI224" s="167"/>
    </row>
    <row r="225" spans="1:87" x14ac:dyDescent="0.3">
      <c r="A225" s="10">
        <v>3213</v>
      </c>
      <c r="B225" s="11" t="s">
        <v>350</v>
      </c>
      <c r="C225" s="471">
        <v>1118</v>
      </c>
      <c r="D225" s="54">
        <v>398</v>
      </c>
      <c r="E225" s="367">
        <f t="shared" si="3"/>
        <v>0.35599284436493739</v>
      </c>
      <c r="F225" s="45"/>
      <c r="G225" s="45"/>
      <c r="H225" s="45"/>
      <c r="I225" s="45"/>
      <c r="J225" s="46"/>
      <c r="K225" s="45"/>
      <c r="L225" s="107"/>
      <c r="M225" s="541"/>
      <c r="N225" s="165"/>
      <c r="O225" s="165"/>
      <c r="P225" s="190"/>
      <c r="Q225" s="166"/>
      <c r="R225" s="166"/>
      <c r="S225" s="169"/>
      <c r="T225" s="165"/>
      <c r="U225" s="165"/>
      <c r="V225" s="168"/>
      <c r="W225" s="169"/>
      <c r="X225" s="173"/>
      <c r="Y225" s="190"/>
      <c r="Z225" s="167"/>
      <c r="AA225" s="165"/>
      <c r="AB225" s="166"/>
      <c r="AC225" s="169"/>
      <c r="AD225" s="165"/>
      <c r="AE225" s="165"/>
      <c r="AF225" s="167"/>
      <c r="AG225" s="168"/>
      <c r="AH225" s="165"/>
      <c r="AI225" s="167"/>
      <c r="AJ225" s="165"/>
      <c r="AK225" s="173"/>
      <c r="AL225" s="167"/>
      <c r="AM225" s="199"/>
      <c r="AN225" s="201"/>
      <c r="AO225" s="201"/>
      <c r="AP225" s="106"/>
      <c r="AQ225" s="165"/>
      <c r="AR225" s="168"/>
      <c r="AS225" s="165"/>
      <c r="AT225" s="190"/>
      <c r="AU225" s="167"/>
      <c r="AV225" s="199"/>
      <c r="AW225" s="201"/>
      <c r="AX225" s="201"/>
      <c r="AY225" s="202"/>
      <c r="AZ225" s="200"/>
      <c r="BA225" s="45">
        <v>215</v>
      </c>
      <c r="BB225" s="45">
        <v>126</v>
      </c>
      <c r="BC225" s="73">
        <v>139</v>
      </c>
      <c r="BD225" s="165"/>
      <c r="BE225" s="165"/>
      <c r="BF225" s="173"/>
      <c r="BG225" s="304"/>
      <c r="BH225" s="601"/>
      <c r="BI225" s="45"/>
      <c r="BJ225" s="46"/>
      <c r="BK225" s="45"/>
      <c r="BL225" s="53"/>
      <c r="BM225" s="200"/>
      <c r="BN225" s="165"/>
      <c r="BO225" s="173"/>
      <c r="BP225" s="190"/>
      <c r="BQ225" s="173"/>
      <c r="BR225" s="168"/>
      <c r="BS225" s="165"/>
      <c r="BT225" s="167"/>
      <c r="BU225" s="199"/>
      <c r="BV225" s="202"/>
      <c r="BW225" s="201"/>
      <c r="BX225" s="201"/>
      <c r="BY225" s="200"/>
      <c r="BZ225" s="199"/>
      <c r="CA225" s="201"/>
      <c r="CB225" s="202"/>
      <c r="CC225" s="200"/>
      <c r="CD225" s="165"/>
      <c r="CE225" s="173"/>
      <c r="CF225" s="173"/>
      <c r="CG225" s="168"/>
      <c r="CH225" s="165"/>
      <c r="CI225" s="167"/>
    </row>
    <row r="226" spans="1:87" x14ac:dyDescent="0.3">
      <c r="A226" s="10">
        <v>3401</v>
      </c>
      <c r="B226" s="11" t="s">
        <v>351</v>
      </c>
      <c r="C226" s="471">
        <v>1454</v>
      </c>
      <c r="D226" s="54">
        <v>564</v>
      </c>
      <c r="E226" s="367">
        <f t="shared" si="3"/>
        <v>0.38789546079779919</v>
      </c>
      <c r="F226" s="45"/>
      <c r="G226" s="45"/>
      <c r="H226" s="45"/>
      <c r="I226" s="45"/>
      <c r="J226" s="46"/>
      <c r="K226" s="45"/>
      <c r="L226" s="107"/>
      <c r="M226" s="541"/>
      <c r="N226" s="165"/>
      <c r="O226" s="165"/>
      <c r="P226" s="190"/>
      <c r="Q226" s="166"/>
      <c r="R226" s="166"/>
      <c r="S226" s="169"/>
      <c r="T226" s="165"/>
      <c r="U226" s="165"/>
      <c r="V226" s="168"/>
      <c r="W226" s="169"/>
      <c r="X226" s="173"/>
      <c r="Y226" s="190"/>
      <c r="Z226" s="167"/>
      <c r="AA226" s="165"/>
      <c r="AB226" s="166"/>
      <c r="AC226" s="169"/>
      <c r="AD226" s="165"/>
      <c r="AE226" s="165"/>
      <c r="AF226" s="167"/>
      <c r="AG226" s="168"/>
      <c r="AH226" s="165"/>
      <c r="AI226" s="167"/>
      <c r="AJ226" s="165"/>
      <c r="AK226" s="173"/>
      <c r="AL226" s="167"/>
      <c r="AM226" s="199"/>
      <c r="AN226" s="201"/>
      <c r="AO226" s="201"/>
      <c r="AP226" s="106"/>
      <c r="AQ226" s="165"/>
      <c r="AR226" s="168"/>
      <c r="AS226" s="165"/>
      <c r="AT226" s="190"/>
      <c r="AU226" s="167"/>
      <c r="AV226" s="199"/>
      <c r="AW226" s="201"/>
      <c r="AX226" s="201"/>
      <c r="AY226" s="202"/>
      <c r="AZ226" s="200"/>
      <c r="BA226" s="199"/>
      <c r="BB226" s="199"/>
      <c r="BC226" s="106"/>
      <c r="BD226" s="165"/>
      <c r="BE226" s="165"/>
      <c r="BF226" s="173"/>
      <c r="BG226" s="304"/>
      <c r="BH226" s="601"/>
      <c r="BI226" s="45">
        <v>251</v>
      </c>
      <c r="BJ226" s="46">
        <v>244</v>
      </c>
      <c r="BK226" s="45"/>
      <c r="BL226" s="53"/>
      <c r="BM226" s="200"/>
      <c r="BN226" s="165"/>
      <c r="BO226" s="173"/>
      <c r="BP226" s="190"/>
      <c r="BQ226" s="173"/>
      <c r="BR226" s="168"/>
      <c r="BS226" s="165"/>
      <c r="BT226" s="167"/>
      <c r="BU226" s="199"/>
      <c r="BV226" s="202"/>
      <c r="BW226" s="201"/>
      <c r="BX226" s="201"/>
      <c r="BY226" s="200"/>
      <c r="BZ226" s="199"/>
      <c r="CA226" s="201"/>
      <c r="CB226" s="202"/>
      <c r="CC226" s="200"/>
      <c r="CD226" s="45">
        <v>309</v>
      </c>
      <c r="CE226" s="54">
        <v>179</v>
      </c>
      <c r="CF226" s="54">
        <v>221</v>
      </c>
      <c r="CG226" s="73">
        <v>185</v>
      </c>
      <c r="CH226" s="165"/>
      <c r="CI226" s="167"/>
    </row>
    <row r="227" spans="1:87" x14ac:dyDescent="0.3">
      <c r="A227" s="10">
        <v>3402</v>
      </c>
      <c r="B227" s="11" t="s">
        <v>352</v>
      </c>
      <c r="C227" s="471">
        <v>1466</v>
      </c>
      <c r="D227" s="54">
        <v>530</v>
      </c>
      <c r="E227" s="367">
        <f t="shared" si="3"/>
        <v>0.36152796725784447</v>
      </c>
      <c r="F227" s="45"/>
      <c r="G227" s="45"/>
      <c r="H227" s="45"/>
      <c r="I227" s="45"/>
      <c r="J227" s="46"/>
      <c r="K227" s="45"/>
      <c r="L227" s="107"/>
      <c r="M227" s="541"/>
      <c r="N227" s="165"/>
      <c r="O227" s="165"/>
      <c r="P227" s="190"/>
      <c r="Q227" s="166"/>
      <c r="R227" s="166"/>
      <c r="S227" s="169"/>
      <c r="T227" s="165"/>
      <c r="U227" s="165"/>
      <c r="V227" s="168"/>
      <c r="W227" s="169"/>
      <c r="X227" s="173"/>
      <c r="Y227" s="190"/>
      <c r="Z227" s="167"/>
      <c r="AA227" s="165"/>
      <c r="AB227" s="166"/>
      <c r="AC227" s="169"/>
      <c r="AD227" s="165"/>
      <c r="AE227" s="165"/>
      <c r="AF227" s="167"/>
      <c r="AG227" s="168"/>
      <c r="AH227" s="165"/>
      <c r="AI227" s="167"/>
      <c r="AJ227" s="165"/>
      <c r="AK227" s="173"/>
      <c r="AL227" s="167"/>
      <c r="AM227" s="199"/>
      <c r="AN227" s="201"/>
      <c r="AO227" s="201"/>
      <c r="AP227" s="106"/>
      <c r="AQ227" s="165"/>
      <c r="AR227" s="168"/>
      <c r="AS227" s="165"/>
      <c r="AT227" s="190"/>
      <c r="AU227" s="167"/>
      <c r="AV227" s="199"/>
      <c r="AW227" s="201"/>
      <c r="AX227" s="201"/>
      <c r="AY227" s="202"/>
      <c r="AZ227" s="200"/>
      <c r="BA227" s="199"/>
      <c r="BB227" s="199"/>
      <c r="BC227" s="106"/>
      <c r="BD227" s="165"/>
      <c r="BE227" s="165"/>
      <c r="BF227" s="173"/>
      <c r="BG227" s="304"/>
      <c r="BH227" s="601"/>
      <c r="BI227" s="45">
        <v>266</v>
      </c>
      <c r="BJ227" s="46">
        <v>255</v>
      </c>
      <c r="BK227" s="45"/>
      <c r="BL227" s="53"/>
      <c r="BM227" s="200"/>
      <c r="BN227" s="165"/>
      <c r="BO227" s="173"/>
      <c r="BP227" s="190"/>
      <c r="BQ227" s="173"/>
      <c r="BR227" s="168"/>
      <c r="BS227" s="165"/>
      <c r="BT227" s="167"/>
      <c r="BU227" s="199"/>
      <c r="BV227" s="202"/>
      <c r="BW227" s="201"/>
      <c r="BX227" s="201"/>
      <c r="BY227" s="200"/>
      <c r="BZ227" s="199"/>
      <c r="CA227" s="201"/>
      <c r="CB227" s="202"/>
      <c r="CC227" s="200"/>
      <c r="CD227" s="45">
        <v>274</v>
      </c>
      <c r="CE227" s="54">
        <v>188</v>
      </c>
      <c r="CF227" s="54">
        <v>228</v>
      </c>
      <c r="CG227" s="73">
        <v>147</v>
      </c>
      <c r="CH227" s="165"/>
      <c r="CI227" s="167"/>
    </row>
    <row r="228" spans="1:87" x14ac:dyDescent="0.3">
      <c r="A228" s="10">
        <v>3403</v>
      </c>
      <c r="B228" s="11" t="s">
        <v>353</v>
      </c>
      <c r="C228" s="471">
        <v>1661</v>
      </c>
      <c r="D228" s="54">
        <v>712</v>
      </c>
      <c r="E228" s="367">
        <f t="shared" si="3"/>
        <v>0.42865743527995182</v>
      </c>
      <c r="F228" s="45"/>
      <c r="G228" s="45"/>
      <c r="H228" s="45"/>
      <c r="I228" s="45"/>
      <c r="J228" s="46"/>
      <c r="K228" s="45"/>
      <c r="L228" s="107"/>
      <c r="M228" s="541"/>
      <c r="N228" s="165"/>
      <c r="O228" s="165"/>
      <c r="P228" s="190"/>
      <c r="Q228" s="166"/>
      <c r="R228" s="166"/>
      <c r="S228" s="169"/>
      <c r="T228" s="165"/>
      <c r="U228" s="165"/>
      <c r="V228" s="168"/>
      <c r="W228" s="169"/>
      <c r="X228" s="173"/>
      <c r="Y228" s="190"/>
      <c r="Z228" s="167"/>
      <c r="AA228" s="165"/>
      <c r="AB228" s="166"/>
      <c r="AC228" s="169"/>
      <c r="AD228" s="165"/>
      <c r="AE228" s="165"/>
      <c r="AF228" s="167"/>
      <c r="AG228" s="168"/>
      <c r="AH228" s="165"/>
      <c r="AI228" s="167"/>
      <c r="AJ228" s="165"/>
      <c r="AK228" s="173"/>
      <c r="AL228" s="167"/>
      <c r="AM228" s="45"/>
      <c r="AN228" s="54"/>
      <c r="AO228" s="54"/>
      <c r="AP228" s="73"/>
      <c r="AQ228" s="165"/>
      <c r="AR228" s="168"/>
      <c r="AS228" s="165"/>
      <c r="AT228" s="190"/>
      <c r="AU228" s="167"/>
      <c r="AV228" s="199"/>
      <c r="AW228" s="201"/>
      <c r="AX228" s="201"/>
      <c r="AY228" s="202"/>
      <c r="AZ228" s="200"/>
      <c r="BA228" s="199"/>
      <c r="BB228" s="199"/>
      <c r="BC228" s="106"/>
      <c r="BD228" s="165"/>
      <c r="BE228" s="165"/>
      <c r="BF228" s="173"/>
      <c r="BG228" s="304"/>
      <c r="BH228" s="601"/>
      <c r="BI228" s="45">
        <v>341</v>
      </c>
      <c r="BJ228" s="46">
        <v>324</v>
      </c>
      <c r="BK228" s="45"/>
      <c r="BL228" s="53"/>
      <c r="BM228" s="200"/>
      <c r="BN228" s="165"/>
      <c r="BO228" s="173"/>
      <c r="BP228" s="190"/>
      <c r="BQ228" s="173"/>
      <c r="BR228" s="168"/>
      <c r="BS228" s="165"/>
      <c r="BT228" s="167"/>
      <c r="BU228" s="199"/>
      <c r="BV228" s="202"/>
      <c r="BW228" s="201"/>
      <c r="BX228" s="201"/>
      <c r="BY228" s="200"/>
      <c r="BZ228" s="199"/>
      <c r="CA228" s="201"/>
      <c r="CB228" s="202"/>
      <c r="CC228" s="200"/>
      <c r="CD228" s="45">
        <v>381</v>
      </c>
      <c r="CE228" s="54">
        <v>255</v>
      </c>
      <c r="CF228" s="54">
        <v>305</v>
      </c>
      <c r="CG228" s="73">
        <v>186</v>
      </c>
      <c r="CH228" s="165"/>
      <c r="CI228" s="167"/>
    </row>
    <row r="229" spans="1:87" x14ac:dyDescent="0.3">
      <c r="A229" s="10">
        <v>3404</v>
      </c>
      <c r="B229" s="11" t="s">
        <v>354</v>
      </c>
      <c r="C229" s="471">
        <v>1359</v>
      </c>
      <c r="D229" s="54">
        <v>721</v>
      </c>
      <c r="E229" s="367">
        <f t="shared" si="3"/>
        <v>0.53053715967623249</v>
      </c>
      <c r="F229" s="45"/>
      <c r="G229" s="45"/>
      <c r="H229" s="45"/>
      <c r="I229" s="45"/>
      <c r="J229" s="46"/>
      <c r="K229" s="45"/>
      <c r="L229" s="107"/>
      <c r="M229" s="541"/>
      <c r="N229" s="165"/>
      <c r="O229" s="165"/>
      <c r="P229" s="190"/>
      <c r="Q229" s="166"/>
      <c r="R229" s="166"/>
      <c r="S229" s="169"/>
      <c r="T229" s="165"/>
      <c r="U229" s="165"/>
      <c r="V229" s="168"/>
      <c r="W229" s="169"/>
      <c r="X229" s="173"/>
      <c r="Y229" s="190"/>
      <c r="Z229" s="167"/>
      <c r="AA229" s="165"/>
      <c r="AB229" s="166"/>
      <c r="AC229" s="169"/>
      <c r="AD229" s="165"/>
      <c r="AE229" s="165"/>
      <c r="AF229" s="167"/>
      <c r="AG229" s="168"/>
      <c r="AH229" s="165"/>
      <c r="AI229" s="167"/>
      <c r="AJ229" s="165"/>
      <c r="AK229" s="173"/>
      <c r="AL229" s="167"/>
      <c r="AM229" s="45"/>
      <c r="AN229" s="54"/>
      <c r="AO229" s="54"/>
      <c r="AP229" s="73"/>
      <c r="AQ229" s="165"/>
      <c r="AR229" s="168"/>
      <c r="AS229" s="165"/>
      <c r="AT229" s="190"/>
      <c r="AU229" s="167"/>
      <c r="AV229" s="199"/>
      <c r="AW229" s="201"/>
      <c r="AX229" s="201"/>
      <c r="AY229" s="202"/>
      <c r="AZ229" s="200"/>
      <c r="BA229" s="199"/>
      <c r="BB229" s="199"/>
      <c r="BC229" s="106"/>
      <c r="BD229" s="165"/>
      <c r="BE229" s="165"/>
      <c r="BF229" s="173"/>
      <c r="BG229" s="304"/>
      <c r="BH229" s="601"/>
      <c r="BI229" s="45">
        <v>349</v>
      </c>
      <c r="BJ229" s="46">
        <v>356</v>
      </c>
      <c r="BK229" s="45"/>
      <c r="BL229" s="53"/>
      <c r="BM229" s="200"/>
      <c r="BN229" s="165"/>
      <c r="BO229" s="173"/>
      <c r="BP229" s="190"/>
      <c r="BQ229" s="173"/>
      <c r="BR229" s="168"/>
      <c r="BS229" s="165"/>
      <c r="BT229" s="167"/>
      <c r="BU229" s="199"/>
      <c r="BV229" s="202"/>
      <c r="BW229" s="201"/>
      <c r="BX229" s="201"/>
      <c r="BY229" s="200"/>
      <c r="BZ229" s="199"/>
      <c r="CA229" s="201"/>
      <c r="CB229" s="202"/>
      <c r="CC229" s="200"/>
      <c r="CD229" s="45">
        <v>395</v>
      </c>
      <c r="CE229" s="54">
        <v>254</v>
      </c>
      <c r="CF229" s="54">
        <v>322</v>
      </c>
      <c r="CG229" s="73">
        <v>206</v>
      </c>
      <c r="CH229" s="165"/>
      <c r="CI229" s="167"/>
    </row>
    <row r="230" spans="1:87" x14ac:dyDescent="0.3">
      <c r="A230" s="10">
        <v>3405</v>
      </c>
      <c r="B230" s="11" t="s">
        <v>355</v>
      </c>
      <c r="C230" s="471">
        <v>1441</v>
      </c>
      <c r="D230" s="54">
        <v>740</v>
      </c>
      <c r="E230" s="367">
        <f t="shared" si="3"/>
        <v>0.51353226925746009</v>
      </c>
      <c r="F230" s="45"/>
      <c r="G230" s="45"/>
      <c r="H230" s="45"/>
      <c r="I230" s="45"/>
      <c r="J230" s="46"/>
      <c r="K230" s="45"/>
      <c r="L230" s="107"/>
      <c r="M230" s="541"/>
      <c r="N230" s="165"/>
      <c r="O230" s="165"/>
      <c r="P230" s="190"/>
      <c r="Q230" s="166"/>
      <c r="R230" s="166"/>
      <c r="S230" s="169"/>
      <c r="T230" s="165"/>
      <c r="U230" s="165"/>
      <c r="V230" s="168"/>
      <c r="W230" s="169"/>
      <c r="X230" s="173"/>
      <c r="Y230" s="190"/>
      <c r="Z230" s="167"/>
      <c r="AA230" s="165"/>
      <c r="AB230" s="166"/>
      <c r="AC230" s="169"/>
      <c r="AD230" s="165"/>
      <c r="AE230" s="165"/>
      <c r="AF230" s="167"/>
      <c r="AG230" s="168"/>
      <c r="AH230" s="165"/>
      <c r="AI230" s="167"/>
      <c r="AJ230" s="165"/>
      <c r="AK230" s="173"/>
      <c r="AL230" s="167"/>
      <c r="AM230" s="45"/>
      <c r="AN230" s="54"/>
      <c r="AO230" s="54"/>
      <c r="AP230" s="73"/>
      <c r="AQ230" s="165"/>
      <c r="AR230" s="168"/>
      <c r="AS230" s="165"/>
      <c r="AT230" s="190"/>
      <c r="AU230" s="167"/>
      <c r="AV230" s="45"/>
      <c r="AW230" s="54"/>
      <c r="AX230" s="54"/>
      <c r="AY230" s="53"/>
      <c r="AZ230" s="46"/>
      <c r="BA230" s="199"/>
      <c r="BB230" s="199"/>
      <c r="BC230" s="106"/>
      <c r="BD230" s="165"/>
      <c r="BE230" s="165"/>
      <c r="BF230" s="173"/>
      <c r="BG230" s="304"/>
      <c r="BH230" s="601"/>
      <c r="BI230" s="45">
        <v>352</v>
      </c>
      <c r="BJ230" s="46">
        <v>323</v>
      </c>
      <c r="BK230" s="45"/>
      <c r="BL230" s="53"/>
      <c r="BM230" s="200"/>
      <c r="BN230" s="165"/>
      <c r="BO230" s="173"/>
      <c r="BP230" s="190"/>
      <c r="BQ230" s="173"/>
      <c r="BR230" s="168"/>
      <c r="BS230" s="165"/>
      <c r="BT230" s="167"/>
      <c r="BU230" s="199"/>
      <c r="BV230" s="202"/>
      <c r="BW230" s="201"/>
      <c r="BX230" s="201"/>
      <c r="BY230" s="200"/>
      <c r="BZ230" s="199"/>
      <c r="CA230" s="201"/>
      <c r="CB230" s="202"/>
      <c r="CC230" s="200"/>
      <c r="CD230" s="45">
        <v>362</v>
      </c>
      <c r="CE230" s="54">
        <v>263</v>
      </c>
      <c r="CF230" s="54">
        <v>318</v>
      </c>
      <c r="CG230" s="73">
        <v>215</v>
      </c>
      <c r="CH230" s="165"/>
      <c r="CI230" s="167"/>
    </row>
    <row r="231" spans="1:87" x14ac:dyDescent="0.3">
      <c r="A231" s="10">
        <v>3406</v>
      </c>
      <c r="B231" s="11" t="s">
        <v>752</v>
      </c>
      <c r="C231" s="471">
        <v>1455</v>
      </c>
      <c r="D231" s="54">
        <v>806</v>
      </c>
      <c r="E231" s="367">
        <f t="shared" si="3"/>
        <v>0.55395189003436429</v>
      </c>
      <c r="F231" s="45"/>
      <c r="G231" s="45"/>
      <c r="H231" s="45"/>
      <c r="I231" s="45"/>
      <c r="J231" s="46"/>
      <c r="K231" s="45"/>
      <c r="L231" s="107"/>
      <c r="M231" s="541"/>
      <c r="N231" s="165"/>
      <c r="O231" s="165"/>
      <c r="P231" s="190"/>
      <c r="Q231" s="166"/>
      <c r="R231" s="166"/>
      <c r="S231" s="169"/>
      <c r="T231" s="165"/>
      <c r="U231" s="165"/>
      <c r="V231" s="168"/>
      <c r="W231" s="169"/>
      <c r="X231" s="173"/>
      <c r="Y231" s="190"/>
      <c r="Z231" s="167"/>
      <c r="AA231" s="165"/>
      <c r="AB231" s="166"/>
      <c r="AC231" s="169"/>
      <c r="AD231" s="165"/>
      <c r="AE231" s="165"/>
      <c r="AF231" s="167"/>
      <c r="AG231" s="168"/>
      <c r="AH231" s="165"/>
      <c r="AI231" s="167"/>
      <c r="AJ231" s="165"/>
      <c r="AK231" s="173"/>
      <c r="AL231" s="167"/>
      <c r="AM231" s="45"/>
      <c r="AN231" s="54"/>
      <c r="AO231" s="54"/>
      <c r="AP231" s="73"/>
      <c r="AQ231" s="165"/>
      <c r="AR231" s="168"/>
      <c r="AS231" s="165"/>
      <c r="AT231" s="190"/>
      <c r="AU231" s="167"/>
      <c r="AV231" s="45"/>
      <c r="AW231" s="54"/>
      <c r="AX231" s="54"/>
      <c r="AY231" s="53"/>
      <c r="AZ231" s="46"/>
      <c r="BA231" s="199"/>
      <c r="BB231" s="199"/>
      <c r="BC231" s="106"/>
      <c r="BD231" s="165"/>
      <c r="BE231" s="165"/>
      <c r="BF231" s="173"/>
      <c r="BG231" s="304"/>
      <c r="BH231" s="601"/>
      <c r="BI231" s="45">
        <v>420</v>
      </c>
      <c r="BJ231" s="46">
        <v>428</v>
      </c>
      <c r="BK231" s="45"/>
      <c r="BL231" s="53"/>
      <c r="BM231" s="200"/>
      <c r="BN231" s="165"/>
      <c r="BO231" s="173"/>
      <c r="BP231" s="190"/>
      <c r="BQ231" s="173"/>
      <c r="BR231" s="168"/>
      <c r="BS231" s="165"/>
      <c r="BT231" s="167"/>
      <c r="BU231" s="199"/>
      <c r="BV231" s="202"/>
      <c r="BW231" s="201"/>
      <c r="BX231" s="201"/>
      <c r="BY231" s="200"/>
      <c r="BZ231" s="199"/>
      <c r="CA231" s="201"/>
      <c r="CB231" s="202"/>
      <c r="CC231" s="200"/>
      <c r="CD231" s="45">
        <v>366</v>
      </c>
      <c r="CE231" s="54">
        <v>396</v>
      </c>
      <c r="CF231" s="54">
        <v>413</v>
      </c>
      <c r="CG231" s="73">
        <v>224</v>
      </c>
      <c r="CH231" s="165"/>
      <c r="CI231" s="167"/>
    </row>
    <row r="232" spans="1:87" x14ac:dyDescent="0.3">
      <c r="A232" s="10">
        <v>3407</v>
      </c>
      <c r="B232" s="11" t="s">
        <v>803</v>
      </c>
      <c r="C232" s="471">
        <v>591</v>
      </c>
      <c r="D232" s="54">
        <v>307</v>
      </c>
      <c r="E232" s="367">
        <f t="shared" si="3"/>
        <v>0.51945854483925546</v>
      </c>
      <c r="F232" s="45"/>
      <c r="G232" s="45"/>
      <c r="H232" s="45"/>
      <c r="I232" s="45"/>
      <c r="J232" s="46"/>
      <c r="K232" s="45"/>
      <c r="L232" s="107"/>
      <c r="M232" s="541"/>
      <c r="N232" s="165"/>
      <c r="O232" s="165"/>
      <c r="P232" s="190"/>
      <c r="Q232" s="166"/>
      <c r="R232" s="166"/>
      <c r="S232" s="169"/>
      <c r="T232" s="165"/>
      <c r="U232" s="165"/>
      <c r="V232" s="168"/>
      <c r="W232" s="169"/>
      <c r="X232" s="173"/>
      <c r="Y232" s="190"/>
      <c r="Z232" s="167"/>
      <c r="AA232" s="165"/>
      <c r="AB232" s="166"/>
      <c r="AC232" s="169"/>
      <c r="AD232" s="165"/>
      <c r="AE232" s="165"/>
      <c r="AF232" s="167"/>
      <c r="AG232" s="168"/>
      <c r="AH232" s="165"/>
      <c r="AI232" s="167"/>
      <c r="AJ232" s="165"/>
      <c r="AK232" s="173"/>
      <c r="AL232" s="167"/>
      <c r="AM232" s="45"/>
      <c r="AN232" s="54"/>
      <c r="AO232" s="54"/>
      <c r="AP232" s="73"/>
      <c r="AQ232" s="165"/>
      <c r="AR232" s="168"/>
      <c r="AS232" s="165"/>
      <c r="AT232" s="190"/>
      <c r="AU232" s="167"/>
      <c r="AV232" s="45"/>
      <c r="AW232" s="54"/>
      <c r="AX232" s="54"/>
      <c r="AY232" s="53"/>
      <c r="AZ232" s="46"/>
      <c r="BA232" s="199"/>
      <c r="BB232" s="199"/>
      <c r="BC232" s="106"/>
      <c r="BD232" s="165"/>
      <c r="BE232" s="165"/>
      <c r="BF232" s="173"/>
      <c r="BG232" s="304"/>
      <c r="BH232" s="601"/>
      <c r="BI232" s="45">
        <v>156</v>
      </c>
      <c r="BJ232" s="46">
        <v>173</v>
      </c>
      <c r="BK232" s="45"/>
      <c r="BL232" s="53"/>
      <c r="BM232" s="200"/>
      <c r="BN232" s="165"/>
      <c r="BO232" s="173"/>
      <c r="BP232" s="190"/>
      <c r="BQ232" s="173"/>
      <c r="BR232" s="168"/>
      <c r="BS232" s="165"/>
      <c r="BT232" s="167"/>
      <c r="BU232" s="199"/>
      <c r="BV232" s="202"/>
      <c r="BW232" s="201"/>
      <c r="BX232" s="201"/>
      <c r="BY232" s="200"/>
      <c r="BZ232" s="199"/>
      <c r="CA232" s="201"/>
      <c r="CB232" s="202"/>
      <c r="CC232" s="200"/>
      <c r="CD232" s="45">
        <v>148</v>
      </c>
      <c r="CE232" s="54">
        <v>127</v>
      </c>
      <c r="CF232" s="54">
        <v>159</v>
      </c>
      <c r="CG232" s="73">
        <v>87</v>
      </c>
      <c r="CH232" s="165"/>
      <c r="CI232" s="167"/>
    </row>
    <row r="233" spans="1:87" x14ac:dyDescent="0.3">
      <c r="A233" s="10">
        <v>3501</v>
      </c>
      <c r="B233" s="11" t="s">
        <v>356</v>
      </c>
      <c r="C233" s="471">
        <v>703</v>
      </c>
      <c r="D233" s="54">
        <v>430</v>
      </c>
      <c r="E233" s="367">
        <f t="shared" si="3"/>
        <v>0.61166429587482218</v>
      </c>
      <c r="F233" s="45"/>
      <c r="G233" s="45"/>
      <c r="H233" s="45"/>
      <c r="I233" s="45"/>
      <c r="J233" s="46"/>
      <c r="K233" s="45"/>
      <c r="L233" s="107"/>
      <c r="M233" s="541"/>
      <c r="N233" s="45">
        <v>66</v>
      </c>
      <c r="O233" s="45">
        <v>135</v>
      </c>
      <c r="P233" s="53">
        <v>92</v>
      </c>
      <c r="Q233" s="57">
        <v>207</v>
      </c>
      <c r="R233" s="57">
        <v>157</v>
      </c>
      <c r="S233" s="169"/>
      <c r="T233" s="165"/>
      <c r="U233" s="165"/>
      <c r="V233" s="168"/>
      <c r="W233" s="169"/>
      <c r="X233" s="173"/>
      <c r="Y233" s="190"/>
      <c r="Z233" s="167"/>
      <c r="AA233" s="165"/>
      <c r="AB233" s="166"/>
      <c r="AC233" s="169"/>
      <c r="AD233" s="165"/>
      <c r="AE233" s="165"/>
      <c r="AF233" s="167"/>
      <c r="AG233" s="168"/>
      <c r="AH233" s="165"/>
      <c r="AI233" s="167"/>
      <c r="AJ233" s="165"/>
      <c r="AK233" s="173"/>
      <c r="AL233" s="167"/>
      <c r="AM233" s="45"/>
      <c r="AN233" s="54"/>
      <c r="AO233" s="54"/>
      <c r="AP233" s="73"/>
      <c r="AQ233" s="165"/>
      <c r="AR233" s="168"/>
      <c r="AS233" s="165"/>
      <c r="AT233" s="190"/>
      <c r="AU233" s="167"/>
      <c r="AV233" s="45"/>
      <c r="AW233" s="54"/>
      <c r="AX233" s="54"/>
      <c r="AY233" s="53"/>
      <c r="AZ233" s="46"/>
      <c r="BA233" s="199"/>
      <c r="BB233" s="199"/>
      <c r="BC233" s="106"/>
      <c r="BD233" s="165"/>
      <c r="BE233" s="165"/>
      <c r="BF233" s="173"/>
      <c r="BG233" s="304"/>
      <c r="BH233" s="601"/>
      <c r="BI233" s="45"/>
      <c r="BJ233" s="46"/>
      <c r="BK233" s="45"/>
      <c r="BL233" s="53"/>
      <c r="BM233" s="200"/>
      <c r="BN233" s="165"/>
      <c r="BO233" s="173"/>
      <c r="BP233" s="190"/>
      <c r="BQ233" s="173"/>
      <c r="BR233" s="168"/>
      <c r="BS233" s="165"/>
      <c r="BT233" s="167"/>
      <c r="BU233" s="199"/>
      <c r="BV233" s="202"/>
      <c r="BW233" s="201"/>
      <c r="BX233" s="201"/>
      <c r="BY233" s="200"/>
      <c r="BZ233" s="199"/>
      <c r="CA233" s="201"/>
      <c r="CB233" s="202"/>
      <c r="CC233" s="200"/>
      <c r="CD233" s="199"/>
      <c r="CE233" s="201"/>
      <c r="CF233" s="201"/>
      <c r="CG233" s="106"/>
      <c r="CH233" s="165"/>
      <c r="CI233" s="167"/>
    </row>
    <row r="234" spans="1:87" x14ac:dyDescent="0.3">
      <c r="A234" s="10">
        <v>3502</v>
      </c>
      <c r="B234" s="11" t="s">
        <v>357</v>
      </c>
      <c r="C234" s="471">
        <v>1179</v>
      </c>
      <c r="D234" s="54">
        <v>695</v>
      </c>
      <c r="E234" s="367">
        <f t="shared" si="3"/>
        <v>0.58948261238337574</v>
      </c>
      <c r="F234" s="45"/>
      <c r="G234" s="45"/>
      <c r="H234" s="45"/>
      <c r="I234" s="45"/>
      <c r="J234" s="46"/>
      <c r="K234" s="45"/>
      <c r="L234" s="107"/>
      <c r="M234" s="541"/>
      <c r="N234" s="45">
        <v>155</v>
      </c>
      <c r="O234" s="45">
        <v>212</v>
      </c>
      <c r="P234" s="53">
        <v>161</v>
      </c>
      <c r="Q234" s="57">
        <v>240</v>
      </c>
      <c r="R234" s="57">
        <v>218</v>
      </c>
      <c r="S234" s="169"/>
      <c r="T234" s="165"/>
      <c r="U234" s="165"/>
      <c r="V234" s="168"/>
      <c r="W234" s="169"/>
      <c r="X234" s="173"/>
      <c r="Y234" s="190"/>
      <c r="Z234" s="167"/>
      <c r="AA234" s="165"/>
      <c r="AB234" s="166"/>
      <c r="AC234" s="169"/>
      <c r="AD234" s="165"/>
      <c r="AE234" s="165"/>
      <c r="AF234" s="167"/>
      <c r="AG234" s="168"/>
      <c r="AH234" s="165"/>
      <c r="AI234" s="167"/>
      <c r="AJ234" s="165"/>
      <c r="AK234" s="173"/>
      <c r="AL234" s="167"/>
      <c r="AM234" s="45"/>
      <c r="AN234" s="54"/>
      <c r="AO234" s="54"/>
      <c r="AP234" s="73"/>
      <c r="AQ234" s="165"/>
      <c r="AR234" s="168"/>
      <c r="AS234" s="165"/>
      <c r="AT234" s="190"/>
      <c r="AU234" s="167"/>
      <c r="AV234" s="45"/>
      <c r="AW234" s="54"/>
      <c r="AX234" s="54"/>
      <c r="AY234" s="53"/>
      <c r="AZ234" s="46"/>
      <c r="BA234" s="199"/>
      <c r="BB234" s="199"/>
      <c r="BC234" s="106"/>
      <c r="BD234" s="165"/>
      <c r="BE234" s="165"/>
      <c r="BF234" s="173"/>
      <c r="BG234" s="304"/>
      <c r="BH234" s="601"/>
      <c r="BI234" s="45"/>
      <c r="BJ234" s="46"/>
      <c r="BK234" s="45"/>
      <c r="BL234" s="53"/>
      <c r="BM234" s="200"/>
      <c r="BN234" s="165"/>
      <c r="BO234" s="173"/>
      <c r="BP234" s="190"/>
      <c r="BQ234" s="173"/>
      <c r="BR234" s="168"/>
      <c r="BS234" s="165"/>
      <c r="BT234" s="167"/>
      <c r="BU234" s="199"/>
      <c r="BV234" s="202"/>
      <c r="BW234" s="201"/>
      <c r="BX234" s="201"/>
      <c r="BY234" s="200"/>
      <c r="BZ234" s="199"/>
      <c r="CA234" s="201"/>
      <c r="CB234" s="202"/>
      <c r="CC234" s="200"/>
      <c r="CD234" s="199"/>
      <c r="CE234" s="201"/>
      <c r="CF234" s="201"/>
      <c r="CG234" s="106"/>
      <c r="CH234" s="165"/>
      <c r="CI234" s="167"/>
    </row>
    <row r="235" spans="1:87" x14ac:dyDescent="0.3">
      <c r="A235" s="10">
        <v>3503</v>
      </c>
      <c r="B235" s="11" t="s">
        <v>358</v>
      </c>
      <c r="C235" s="471">
        <v>874</v>
      </c>
      <c r="D235" s="54">
        <v>521</v>
      </c>
      <c r="E235" s="367">
        <f t="shared" si="3"/>
        <v>0.59610983981693366</v>
      </c>
      <c r="F235" s="45"/>
      <c r="G235" s="45"/>
      <c r="H235" s="45"/>
      <c r="I235" s="45"/>
      <c r="J235" s="46"/>
      <c r="K235" s="45"/>
      <c r="L235" s="107"/>
      <c r="M235" s="541"/>
      <c r="N235" s="45">
        <v>121</v>
      </c>
      <c r="O235" s="45">
        <v>115</v>
      </c>
      <c r="P235" s="53">
        <v>144</v>
      </c>
      <c r="Q235" s="57">
        <v>229</v>
      </c>
      <c r="R235" s="57">
        <v>144</v>
      </c>
      <c r="S235" s="169"/>
      <c r="T235" s="165"/>
      <c r="U235" s="165"/>
      <c r="V235" s="168"/>
      <c r="W235" s="169"/>
      <c r="X235" s="173"/>
      <c r="Y235" s="190"/>
      <c r="Z235" s="167"/>
      <c r="AA235" s="45">
        <v>1</v>
      </c>
      <c r="AB235" s="57">
        <v>1</v>
      </c>
      <c r="AC235" s="169"/>
      <c r="AD235" s="165"/>
      <c r="AE235" s="165"/>
      <c r="AF235" s="167"/>
      <c r="AG235" s="168"/>
      <c r="AH235" s="165"/>
      <c r="AI235" s="167"/>
      <c r="AJ235" s="165"/>
      <c r="AK235" s="173"/>
      <c r="AL235" s="167"/>
      <c r="AM235" s="45"/>
      <c r="AN235" s="54"/>
      <c r="AO235" s="54"/>
      <c r="AP235" s="73"/>
      <c r="AQ235" s="165"/>
      <c r="AR235" s="168"/>
      <c r="AS235" s="165"/>
      <c r="AT235" s="190"/>
      <c r="AU235" s="167"/>
      <c r="AV235" s="45"/>
      <c r="AW235" s="54"/>
      <c r="AX235" s="54"/>
      <c r="AY235" s="53"/>
      <c r="AZ235" s="46"/>
      <c r="BA235" s="199"/>
      <c r="BB235" s="199"/>
      <c r="BC235" s="106"/>
      <c r="BD235" s="165"/>
      <c r="BE235" s="165"/>
      <c r="BF235" s="173"/>
      <c r="BG235" s="304"/>
      <c r="BH235" s="601"/>
      <c r="BI235" s="45"/>
      <c r="BJ235" s="46"/>
      <c r="BK235" s="45"/>
      <c r="BL235" s="53"/>
      <c r="BM235" s="200"/>
      <c r="BN235" s="165"/>
      <c r="BO235" s="173"/>
      <c r="BP235" s="190"/>
      <c r="BQ235" s="173"/>
      <c r="BR235" s="168"/>
      <c r="BS235" s="165"/>
      <c r="BT235" s="167"/>
      <c r="BU235" s="199"/>
      <c r="BV235" s="202"/>
      <c r="BW235" s="201"/>
      <c r="BX235" s="201"/>
      <c r="BY235" s="200"/>
      <c r="BZ235" s="199"/>
      <c r="CA235" s="201"/>
      <c r="CB235" s="202"/>
      <c r="CC235" s="200"/>
      <c r="CD235" s="199"/>
      <c r="CE235" s="201"/>
      <c r="CF235" s="201"/>
      <c r="CG235" s="106"/>
      <c r="CH235" s="165"/>
      <c r="CI235" s="167"/>
    </row>
    <row r="236" spans="1:87" x14ac:dyDescent="0.3">
      <c r="A236" s="10">
        <v>3504</v>
      </c>
      <c r="B236" s="11" t="s">
        <v>359</v>
      </c>
      <c r="C236" s="471">
        <v>721</v>
      </c>
      <c r="D236" s="54">
        <v>429</v>
      </c>
      <c r="E236" s="367">
        <f t="shared" si="3"/>
        <v>0.59500693481276001</v>
      </c>
      <c r="F236" s="45"/>
      <c r="G236" s="45"/>
      <c r="H236" s="45"/>
      <c r="I236" s="45"/>
      <c r="J236" s="46"/>
      <c r="K236" s="45"/>
      <c r="L236" s="107"/>
      <c r="M236" s="541"/>
      <c r="N236" s="45">
        <v>110</v>
      </c>
      <c r="O236" s="45">
        <v>102</v>
      </c>
      <c r="P236" s="53">
        <v>96</v>
      </c>
      <c r="Q236" s="57">
        <v>183</v>
      </c>
      <c r="R236" s="57">
        <v>121</v>
      </c>
      <c r="S236" s="169"/>
      <c r="T236" s="165"/>
      <c r="U236" s="165"/>
      <c r="V236" s="168"/>
      <c r="W236" s="74">
        <v>12</v>
      </c>
      <c r="X236" s="54">
        <v>7</v>
      </c>
      <c r="Y236" s="53">
        <v>4</v>
      </c>
      <c r="Z236" s="46">
        <v>13</v>
      </c>
      <c r="AA236" s="199"/>
      <c r="AB236" s="203"/>
      <c r="AC236" s="169"/>
      <c r="AD236" s="165"/>
      <c r="AE236" s="165"/>
      <c r="AF236" s="167"/>
      <c r="AG236" s="168"/>
      <c r="AH236" s="165"/>
      <c r="AI236" s="167"/>
      <c r="AJ236" s="165"/>
      <c r="AK236" s="173"/>
      <c r="AL236" s="167"/>
      <c r="AM236" s="199"/>
      <c r="AN236" s="201"/>
      <c r="AO236" s="201"/>
      <c r="AP236" s="106"/>
      <c r="AQ236" s="165"/>
      <c r="AR236" s="168"/>
      <c r="AS236" s="165"/>
      <c r="AT236" s="190"/>
      <c r="AU236" s="167"/>
      <c r="AV236" s="199"/>
      <c r="AW236" s="201"/>
      <c r="AX236" s="201"/>
      <c r="AY236" s="202"/>
      <c r="AZ236" s="46"/>
      <c r="BA236" s="199"/>
      <c r="BB236" s="199"/>
      <c r="BC236" s="106"/>
      <c r="BD236" s="165"/>
      <c r="BE236" s="165"/>
      <c r="BF236" s="173"/>
      <c r="BG236" s="304"/>
      <c r="BH236" s="601"/>
      <c r="BI236" s="45"/>
      <c r="BJ236" s="46"/>
      <c r="BK236" s="45"/>
      <c r="BL236" s="53"/>
      <c r="BM236" s="200"/>
      <c r="BN236" s="165"/>
      <c r="BO236" s="173"/>
      <c r="BP236" s="190"/>
      <c r="BQ236" s="173"/>
      <c r="BR236" s="168"/>
      <c r="BS236" s="165"/>
      <c r="BT236" s="167"/>
      <c r="BU236" s="199"/>
      <c r="BV236" s="202"/>
      <c r="BW236" s="201"/>
      <c r="BX236" s="201"/>
      <c r="BY236" s="200"/>
      <c r="BZ236" s="199"/>
      <c r="CA236" s="201"/>
      <c r="CB236" s="202"/>
      <c r="CC236" s="200"/>
      <c r="CD236" s="199"/>
      <c r="CE236" s="201"/>
      <c r="CF236" s="201"/>
      <c r="CG236" s="106"/>
      <c r="CH236" s="165"/>
      <c r="CI236" s="167"/>
    </row>
    <row r="237" spans="1:87" x14ac:dyDescent="0.3">
      <c r="A237" s="10">
        <v>3505</v>
      </c>
      <c r="B237" s="11" t="s">
        <v>360</v>
      </c>
      <c r="C237" s="471">
        <v>1073</v>
      </c>
      <c r="D237" s="54">
        <v>565</v>
      </c>
      <c r="E237" s="367">
        <f t="shared" si="3"/>
        <v>0.52656104380242308</v>
      </c>
      <c r="F237" s="45"/>
      <c r="G237" s="45"/>
      <c r="H237" s="45"/>
      <c r="I237" s="45"/>
      <c r="J237" s="46"/>
      <c r="K237" s="45"/>
      <c r="L237" s="107"/>
      <c r="M237" s="541"/>
      <c r="N237" s="45">
        <v>98</v>
      </c>
      <c r="O237" s="45">
        <v>146</v>
      </c>
      <c r="P237" s="53">
        <v>84</v>
      </c>
      <c r="Q237" s="57">
        <v>284</v>
      </c>
      <c r="R237" s="57">
        <v>145</v>
      </c>
      <c r="S237" s="169"/>
      <c r="T237" s="165"/>
      <c r="U237" s="165"/>
      <c r="V237" s="168"/>
      <c r="W237" s="98"/>
      <c r="X237" s="201"/>
      <c r="Y237" s="202"/>
      <c r="Z237" s="200"/>
      <c r="AA237" s="199"/>
      <c r="AB237" s="203"/>
      <c r="AC237" s="169"/>
      <c r="AD237" s="165"/>
      <c r="AE237" s="165"/>
      <c r="AF237" s="167"/>
      <c r="AG237" s="168"/>
      <c r="AH237" s="165"/>
      <c r="AI237" s="167"/>
      <c r="AJ237" s="165"/>
      <c r="AK237" s="173"/>
      <c r="AL237" s="167"/>
      <c r="AM237" s="199"/>
      <c r="AN237" s="201"/>
      <c r="AO237" s="201"/>
      <c r="AP237" s="106"/>
      <c r="AQ237" s="165"/>
      <c r="AR237" s="168"/>
      <c r="AS237" s="165"/>
      <c r="AT237" s="190"/>
      <c r="AU237" s="167"/>
      <c r="AV237" s="199"/>
      <c r="AW237" s="201"/>
      <c r="AX237" s="201"/>
      <c r="AY237" s="202"/>
      <c r="AZ237" s="46"/>
      <c r="BA237" s="199"/>
      <c r="BB237" s="199"/>
      <c r="BC237" s="106"/>
      <c r="BD237" s="165"/>
      <c r="BE237" s="165"/>
      <c r="BF237" s="173"/>
      <c r="BG237" s="304"/>
      <c r="BH237" s="601"/>
      <c r="BI237" s="45"/>
      <c r="BJ237" s="46"/>
      <c r="BK237" s="45"/>
      <c r="BL237" s="53"/>
      <c r="BM237" s="200"/>
      <c r="BN237" s="165"/>
      <c r="BO237" s="173"/>
      <c r="BP237" s="190"/>
      <c r="BQ237" s="173"/>
      <c r="BR237" s="168"/>
      <c r="BS237" s="165"/>
      <c r="BT237" s="167"/>
      <c r="BU237" s="199"/>
      <c r="BV237" s="202"/>
      <c r="BW237" s="201"/>
      <c r="BX237" s="201"/>
      <c r="BY237" s="200"/>
      <c r="BZ237" s="199"/>
      <c r="CA237" s="201"/>
      <c r="CB237" s="202"/>
      <c r="CC237" s="200"/>
      <c r="CD237" s="199"/>
      <c r="CE237" s="201"/>
      <c r="CF237" s="201"/>
      <c r="CG237" s="106"/>
      <c r="CH237" s="165"/>
      <c r="CI237" s="167"/>
    </row>
    <row r="238" spans="1:87" x14ac:dyDescent="0.3">
      <c r="A238" s="10">
        <v>3506</v>
      </c>
      <c r="B238" s="11" t="s">
        <v>361</v>
      </c>
      <c r="C238" s="471">
        <v>712</v>
      </c>
      <c r="D238" s="54">
        <v>439</v>
      </c>
      <c r="E238" s="367">
        <f t="shared" si="3"/>
        <v>0.6165730337078652</v>
      </c>
      <c r="F238" s="45"/>
      <c r="G238" s="45"/>
      <c r="H238" s="45"/>
      <c r="I238" s="45"/>
      <c r="J238" s="46"/>
      <c r="K238" s="45"/>
      <c r="L238" s="107"/>
      <c r="M238" s="541"/>
      <c r="N238" s="45">
        <v>108</v>
      </c>
      <c r="O238" s="45">
        <v>134</v>
      </c>
      <c r="P238" s="53">
        <v>140</v>
      </c>
      <c r="Q238" s="57">
        <v>186</v>
      </c>
      <c r="R238" s="57">
        <v>132</v>
      </c>
      <c r="S238" s="169"/>
      <c r="T238" s="165"/>
      <c r="U238" s="165"/>
      <c r="V238" s="168"/>
      <c r="W238" s="98"/>
      <c r="X238" s="201"/>
      <c r="Y238" s="202"/>
      <c r="Z238" s="200"/>
      <c r="AA238" s="199"/>
      <c r="AB238" s="203"/>
      <c r="AC238" s="169"/>
      <c r="AD238" s="165"/>
      <c r="AE238" s="165"/>
      <c r="AF238" s="167"/>
      <c r="AG238" s="168"/>
      <c r="AH238" s="165"/>
      <c r="AI238" s="167"/>
      <c r="AJ238" s="165"/>
      <c r="AK238" s="173"/>
      <c r="AL238" s="167"/>
      <c r="AM238" s="199"/>
      <c r="AN238" s="201"/>
      <c r="AO238" s="201"/>
      <c r="AP238" s="106"/>
      <c r="AQ238" s="165"/>
      <c r="AR238" s="168"/>
      <c r="AS238" s="165"/>
      <c r="AT238" s="190"/>
      <c r="AU238" s="167"/>
      <c r="AV238" s="199"/>
      <c r="AW238" s="201"/>
      <c r="AX238" s="201"/>
      <c r="AY238" s="202"/>
      <c r="AZ238" s="46"/>
      <c r="BA238" s="199"/>
      <c r="BB238" s="199"/>
      <c r="BC238" s="106"/>
      <c r="BD238" s="165"/>
      <c r="BE238" s="165"/>
      <c r="BF238" s="173"/>
      <c r="BG238" s="304"/>
      <c r="BH238" s="601"/>
      <c r="BI238" s="45"/>
      <c r="BJ238" s="46"/>
      <c r="BK238" s="45"/>
      <c r="BL238" s="53"/>
      <c r="BM238" s="200"/>
      <c r="BN238" s="165"/>
      <c r="BO238" s="173"/>
      <c r="BP238" s="190"/>
      <c r="BQ238" s="173"/>
      <c r="BR238" s="168"/>
      <c r="BS238" s="165"/>
      <c r="BT238" s="167"/>
      <c r="BU238" s="199"/>
      <c r="BV238" s="202"/>
      <c r="BW238" s="201"/>
      <c r="BX238" s="201"/>
      <c r="BY238" s="200"/>
      <c r="BZ238" s="199"/>
      <c r="CA238" s="201"/>
      <c r="CB238" s="202"/>
      <c r="CC238" s="200"/>
      <c r="CD238" s="199"/>
      <c r="CE238" s="201"/>
      <c r="CF238" s="201"/>
      <c r="CG238" s="106"/>
      <c r="CH238" s="165"/>
      <c r="CI238" s="167"/>
    </row>
    <row r="239" spans="1:87" x14ac:dyDescent="0.3">
      <c r="A239" s="10">
        <v>3701</v>
      </c>
      <c r="B239" s="11" t="s">
        <v>362</v>
      </c>
      <c r="C239" s="471">
        <v>742</v>
      </c>
      <c r="D239" s="54">
        <v>503</v>
      </c>
      <c r="E239" s="367">
        <f t="shared" si="3"/>
        <v>0.67789757412398921</v>
      </c>
      <c r="F239" s="45"/>
      <c r="G239" s="45"/>
      <c r="H239" s="45"/>
      <c r="I239" s="45"/>
      <c r="J239" s="46"/>
      <c r="K239" s="45"/>
      <c r="L239" s="107"/>
      <c r="M239" s="541"/>
      <c r="N239" s="199"/>
      <c r="O239" s="199"/>
      <c r="P239" s="202"/>
      <c r="Q239" s="203"/>
      <c r="R239" s="203"/>
      <c r="S239" s="74">
        <v>145</v>
      </c>
      <c r="T239" s="45">
        <v>235</v>
      </c>
      <c r="U239" s="45">
        <v>227</v>
      </c>
      <c r="V239" s="73">
        <v>86</v>
      </c>
      <c r="W239" s="98"/>
      <c r="X239" s="201"/>
      <c r="Y239" s="202"/>
      <c r="Z239" s="200"/>
      <c r="AA239" s="199"/>
      <c r="AB239" s="203"/>
      <c r="AC239" s="169"/>
      <c r="AD239" s="165"/>
      <c r="AE239" s="165"/>
      <c r="AF239" s="167"/>
      <c r="AG239" s="168"/>
      <c r="AH239" s="165"/>
      <c r="AI239" s="167"/>
      <c r="AJ239" s="165"/>
      <c r="AK239" s="173"/>
      <c r="AL239" s="167"/>
      <c r="AM239" s="199"/>
      <c r="AN239" s="201"/>
      <c r="AO239" s="201"/>
      <c r="AP239" s="106"/>
      <c r="AQ239" s="165"/>
      <c r="AR239" s="168"/>
      <c r="AS239" s="165"/>
      <c r="AT239" s="190"/>
      <c r="AU239" s="167"/>
      <c r="AV239" s="45">
        <v>21</v>
      </c>
      <c r="AW239" s="54">
        <v>17</v>
      </c>
      <c r="AX239" s="54">
        <v>30</v>
      </c>
      <c r="AY239" s="53">
        <v>15</v>
      </c>
      <c r="AZ239" s="46">
        <v>8</v>
      </c>
      <c r="BA239" s="199"/>
      <c r="BB239" s="199"/>
      <c r="BC239" s="106"/>
      <c r="BD239" s="165"/>
      <c r="BE239" s="165"/>
      <c r="BF239" s="173"/>
      <c r="BG239" s="304"/>
      <c r="BH239" s="601"/>
      <c r="BI239" s="45"/>
      <c r="BJ239" s="46"/>
      <c r="BK239" s="45"/>
      <c r="BL239" s="53"/>
      <c r="BM239" s="200"/>
      <c r="BN239" s="165"/>
      <c r="BO239" s="173"/>
      <c r="BP239" s="190"/>
      <c r="BQ239" s="173"/>
      <c r="BR239" s="168"/>
      <c r="BS239" s="165"/>
      <c r="BT239" s="167"/>
      <c r="BU239" s="199"/>
      <c r="BV239" s="202"/>
      <c r="BW239" s="201"/>
      <c r="BX239" s="201"/>
      <c r="BY239" s="200"/>
      <c r="BZ239" s="199"/>
      <c r="CA239" s="201"/>
      <c r="CB239" s="202"/>
      <c r="CC239" s="200"/>
      <c r="CD239" s="199"/>
      <c r="CE239" s="201"/>
      <c r="CF239" s="201"/>
      <c r="CG239" s="106"/>
      <c r="CH239" s="165"/>
      <c r="CI239" s="167"/>
    </row>
    <row r="240" spans="1:87" x14ac:dyDescent="0.3">
      <c r="A240" s="10">
        <v>3702</v>
      </c>
      <c r="B240" s="11" t="s">
        <v>363</v>
      </c>
      <c r="C240" s="471">
        <v>1507</v>
      </c>
      <c r="D240" s="54">
        <v>714</v>
      </c>
      <c r="E240" s="367">
        <f t="shared" si="3"/>
        <v>0.47378898473788983</v>
      </c>
      <c r="F240" s="45"/>
      <c r="G240" s="45"/>
      <c r="H240" s="45"/>
      <c r="I240" s="45"/>
      <c r="J240" s="46"/>
      <c r="K240" s="45"/>
      <c r="L240" s="107"/>
      <c r="M240" s="541"/>
      <c r="N240" s="199"/>
      <c r="O240" s="199"/>
      <c r="P240" s="202"/>
      <c r="Q240" s="203"/>
      <c r="R240" s="203"/>
      <c r="S240" s="74">
        <v>184</v>
      </c>
      <c r="T240" s="45">
        <v>337</v>
      </c>
      <c r="U240" s="45">
        <v>339</v>
      </c>
      <c r="V240" s="73">
        <v>104</v>
      </c>
      <c r="W240" s="98"/>
      <c r="X240" s="201"/>
      <c r="Y240" s="202"/>
      <c r="Z240" s="200"/>
      <c r="AA240" s="199"/>
      <c r="AB240" s="203"/>
      <c r="AC240" s="169"/>
      <c r="AD240" s="165"/>
      <c r="AE240" s="165"/>
      <c r="AF240" s="167"/>
      <c r="AG240" s="168"/>
      <c r="AH240" s="165"/>
      <c r="AI240" s="167"/>
      <c r="AJ240" s="165"/>
      <c r="AK240" s="173"/>
      <c r="AL240" s="167"/>
      <c r="AM240" s="199"/>
      <c r="AN240" s="201"/>
      <c r="AO240" s="201"/>
      <c r="AP240" s="106"/>
      <c r="AQ240" s="165"/>
      <c r="AR240" s="168"/>
      <c r="AS240" s="165"/>
      <c r="AT240" s="190"/>
      <c r="AU240" s="167"/>
      <c r="AV240" s="199"/>
      <c r="AW240" s="201"/>
      <c r="AX240" s="201"/>
      <c r="AY240" s="202"/>
      <c r="AZ240" s="200"/>
      <c r="BA240" s="45"/>
      <c r="BB240" s="45"/>
      <c r="BC240" s="73"/>
      <c r="BD240" s="165"/>
      <c r="BE240" s="165"/>
      <c r="BF240" s="173"/>
      <c r="BG240" s="304"/>
      <c r="BH240" s="601"/>
      <c r="BI240" s="45"/>
      <c r="BJ240" s="46"/>
      <c r="BK240" s="45"/>
      <c r="BL240" s="53"/>
      <c r="BM240" s="200"/>
      <c r="BN240" s="165"/>
      <c r="BO240" s="173"/>
      <c r="BP240" s="190"/>
      <c r="BQ240" s="173"/>
      <c r="BR240" s="168"/>
      <c r="BS240" s="165"/>
      <c r="BT240" s="167"/>
      <c r="BU240" s="199"/>
      <c r="BV240" s="202"/>
      <c r="BW240" s="201"/>
      <c r="BX240" s="201"/>
      <c r="BY240" s="200"/>
      <c r="BZ240" s="199"/>
      <c r="CA240" s="201"/>
      <c r="CB240" s="202"/>
      <c r="CC240" s="200"/>
      <c r="CD240" s="199"/>
      <c r="CE240" s="201"/>
      <c r="CF240" s="201"/>
      <c r="CG240" s="106"/>
      <c r="CH240" s="165"/>
      <c r="CI240" s="167"/>
    </row>
    <row r="241" spans="1:87" x14ac:dyDescent="0.3">
      <c r="A241" s="10">
        <v>3703</v>
      </c>
      <c r="B241" s="11" t="s">
        <v>364</v>
      </c>
      <c r="C241" s="471">
        <v>1089</v>
      </c>
      <c r="D241" s="54">
        <v>594</v>
      </c>
      <c r="E241" s="367">
        <f t="shared" si="3"/>
        <v>0.54545454545454541</v>
      </c>
      <c r="F241" s="45"/>
      <c r="G241" s="45"/>
      <c r="H241" s="45"/>
      <c r="I241" s="45"/>
      <c r="J241" s="46"/>
      <c r="K241" s="45"/>
      <c r="L241" s="107"/>
      <c r="M241" s="541"/>
      <c r="N241" s="199"/>
      <c r="O241" s="199"/>
      <c r="P241" s="202"/>
      <c r="Q241" s="203"/>
      <c r="R241" s="203"/>
      <c r="S241" s="74">
        <v>137</v>
      </c>
      <c r="T241" s="45">
        <v>205</v>
      </c>
      <c r="U241" s="45">
        <v>218</v>
      </c>
      <c r="V241" s="73">
        <v>86</v>
      </c>
      <c r="W241" s="98"/>
      <c r="X241" s="201"/>
      <c r="Y241" s="202"/>
      <c r="Z241" s="200"/>
      <c r="AA241" s="199"/>
      <c r="AB241" s="203"/>
      <c r="AC241" s="169"/>
      <c r="AD241" s="165"/>
      <c r="AE241" s="165"/>
      <c r="AF241" s="167"/>
      <c r="AG241" s="168"/>
      <c r="AH241" s="165"/>
      <c r="AI241" s="167"/>
      <c r="AJ241" s="165"/>
      <c r="AK241" s="173"/>
      <c r="AL241" s="167"/>
      <c r="AM241" s="199"/>
      <c r="AN241" s="201"/>
      <c r="AO241" s="201"/>
      <c r="AP241" s="106"/>
      <c r="AQ241" s="165"/>
      <c r="AR241" s="168"/>
      <c r="AS241" s="165"/>
      <c r="AT241" s="190"/>
      <c r="AU241" s="167"/>
      <c r="AV241" s="45">
        <v>42</v>
      </c>
      <c r="AW241" s="54">
        <v>39</v>
      </c>
      <c r="AX241" s="54">
        <v>53</v>
      </c>
      <c r="AY241" s="53">
        <v>39</v>
      </c>
      <c r="AZ241" s="46">
        <v>17</v>
      </c>
      <c r="BA241" s="199"/>
      <c r="BB241" s="199"/>
      <c r="BC241" s="106"/>
      <c r="BD241" s="165"/>
      <c r="BE241" s="165"/>
      <c r="BF241" s="173"/>
      <c r="BG241" s="304"/>
      <c r="BH241" s="601"/>
      <c r="BI241" s="45"/>
      <c r="BJ241" s="46"/>
      <c r="BK241" s="45"/>
      <c r="BL241" s="53"/>
      <c r="BM241" s="200"/>
      <c r="BN241" s="165"/>
      <c r="BO241" s="173"/>
      <c r="BP241" s="190"/>
      <c r="BQ241" s="173"/>
      <c r="BR241" s="168"/>
      <c r="BS241" s="165"/>
      <c r="BT241" s="167"/>
      <c r="BU241" s="199"/>
      <c r="BV241" s="202"/>
      <c r="BW241" s="201"/>
      <c r="BX241" s="201"/>
      <c r="BY241" s="200"/>
      <c r="BZ241" s="199"/>
      <c r="CA241" s="201"/>
      <c r="CB241" s="202"/>
      <c r="CC241" s="200"/>
      <c r="CD241" s="199"/>
      <c r="CE241" s="201"/>
      <c r="CF241" s="201"/>
      <c r="CG241" s="106"/>
      <c r="CH241" s="165"/>
      <c r="CI241" s="167"/>
    </row>
    <row r="242" spans="1:87" x14ac:dyDescent="0.3">
      <c r="A242" s="10">
        <v>3704</v>
      </c>
      <c r="B242" s="11" t="s">
        <v>365</v>
      </c>
      <c r="C242" s="471">
        <v>1008</v>
      </c>
      <c r="D242" s="54">
        <v>441</v>
      </c>
      <c r="E242" s="367">
        <f t="shared" si="3"/>
        <v>0.4375</v>
      </c>
      <c r="F242" s="45"/>
      <c r="G242" s="45"/>
      <c r="H242" s="45"/>
      <c r="I242" s="45"/>
      <c r="J242" s="46"/>
      <c r="K242" s="45"/>
      <c r="L242" s="107"/>
      <c r="M242" s="541"/>
      <c r="N242" s="199"/>
      <c r="O242" s="199"/>
      <c r="P242" s="202"/>
      <c r="Q242" s="203"/>
      <c r="R242" s="203"/>
      <c r="S242" s="74">
        <v>146</v>
      </c>
      <c r="T242" s="45">
        <v>193</v>
      </c>
      <c r="U242" s="45">
        <v>191</v>
      </c>
      <c r="V242" s="73">
        <v>81</v>
      </c>
      <c r="W242" s="98"/>
      <c r="X242" s="201"/>
      <c r="Y242" s="202"/>
      <c r="Z242" s="200"/>
      <c r="AA242" s="199"/>
      <c r="AB242" s="203"/>
      <c r="AC242" s="169"/>
      <c r="AD242" s="165"/>
      <c r="AE242" s="165"/>
      <c r="AF242" s="167"/>
      <c r="AG242" s="168"/>
      <c r="AH242" s="165"/>
      <c r="AI242" s="167"/>
      <c r="AJ242" s="165"/>
      <c r="AK242" s="173"/>
      <c r="AL242" s="167"/>
      <c r="AM242" s="199"/>
      <c r="AN242" s="201"/>
      <c r="AO242" s="201"/>
      <c r="AP242" s="106"/>
      <c r="AQ242" s="165"/>
      <c r="AR242" s="168"/>
      <c r="AS242" s="165"/>
      <c r="AT242" s="190"/>
      <c r="AU242" s="167"/>
      <c r="AV242" s="199"/>
      <c r="AW242" s="201"/>
      <c r="AX242" s="201"/>
      <c r="AY242" s="202"/>
      <c r="AZ242" s="200"/>
      <c r="BA242" s="45"/>
      <c r="BB242" s="45"/>
      <c r="BC242" s="73"/>
      <c r="BD242" s="165"/>
      <c r="BE242" s="165"/>
      <c r="BF242" s="173"/>
      <c r="BG242" s="304"/>
      <c r="BH242" s="601"/>
      <c r="BI242" s="45"/>
      <c r="BJ242" s="46"/>
      <c r="BK242" s="45"/>
      <c r="BL242" s="53"/>
      <c r="BM242" s="200"/>
      <c r="BN242" s="165"/>
      <c r="BO242" s="173"/>
      <c r="BP242" s="190"/>
      <c r="BQ242" s="173"/>
      <c r="BR242" s="168"/>
      <c r="BS242" s="165"/>
      <c r="BT242" s="167"/>
      <c r="BU242" s="199"/>
      <c r="BV242" s="202"/>
      <c r="BW242" s="201"/>
      <c r="BX242" s="201"/>
      <c r="BY242" s="200"/>
      <c r="BZ242" s="199"/>
      <c r="CA242" s="201"/>
      <c r="CB242" s="202"/>
      <c r="CC242" s="200"/>
      <c r="CD242" s="199"/>
      <c r="CE242" s="201"/>
      <c r="CF242" s="201"/>
      <c r="CG242" s="106"/>
      <c r="CH242" s="165"/>
      <c r="CI242" s="167"/>
    </row>
    <row r="243" spans="1:87" x14ac:dyDescent="0.3">
      <c r="A243" s="10">
        <v>3705</v>
      </c>
      <c r="B243" s="11" t="s">
        <v>366</v>
      </c>
      <c r="C243" s="471">
        <v>1008</v>
      </c>
      <c r="D243" s="54">
        <v>625</v>
      </c>
      <c r="E243" s="367">
        <f t="shared" si="3"/>
        <v>0.62003968253968256</v>
      </c>
      <c r="F243" s="45"/>
      <c r="G243" s="45"/>
      <c r="H243" s="45"/>
      <c r="I243" s="45"/>
      <c r="J243" s="46"/>
      <c r="K243" s="45"/>
      <c r="L243" s="107"/>
      <c r="M243" s="541"/>
      <c r="N243" s="199"/>
      <c r="O243" s="199"/>
      <c r="P243" s="202"/>
      <c r="Q243" s="203"/>
      <c r="R243" s="203"/>
      <c r="S243" s="74">
        <v>217</v>
      </c>
      <c r="T243" s="45">
        <v>286</v>
      </c>
      <c r="U243" s="45">
        <v>296</v>
      </c>
      <c r="V243" s="73">
        <v>130</v>
      </c>
      <c r="W243" s="98"/>
      <c r="X243" s="201"/>
      <c r="Y243" s="202"/>
      <c r="Z243" s="200"/>
      <c r="AA243" s="45"/>
      <c r="AB243" s="57"/>
      <c r="AC243" s="169"/>
      <c r="AD243" s="165"/>
      <c r="AE243" s="165"/>
      <c r="AF243" s="167"/>
      <c r="AG243" s="168"/>
      <c r="AH243" s="165"/>
      <c r="AI243" s="167"/>
      <c r="AJ243" s="165"/>
      <c r="AK243" s="173"/>
      <c r="AL243" s="167"/>
      <c r="AM243" s="45"/>
      <c r="AN243" s="54"/>
      <c r="AO243" s="54"/>
      <c r="AP243" s="73"/>
      <c r="AQ243" s="165"/>
      <c r="AR243" s="168"/>
      <c r="AS243" s="165"/>
      <c r="AT243" s="190"/>
      <c r="AU243" s="167"/>
      <c r="AV243" s="199"/>
      <c r="AW243" s="201"/>
      <c r="AX243" s="201"/>
      <c r="AY243" s="202"/>
      <c r="AZ243" s="200"/>
      <c r="BA243" s="199"/>
      <c r="BB243" s="199"/>
      <c r="BC243" s="106"/>
      <c r="BD243" s="165"/>
      <c r="BE243" s="165"/>
      <c r="BF243" s="173"/>
      <c r="BG243" s="304"/>
      <c r="BH243" s="601"/>
      <c r="BI243" s="45"/>
      <c r="BJ243" s="46"/>
      <c r="BK243" s="45"/>
      <c r="BL243" s="53"/>
      <c r="BM243" s="200"/>
      <c r="BN243" s="165"/>
      <c r="BO243" s="173"/>
      <c r="BP243" s="190"/>
      <c r="BQ243" s="173"/>
      <c r="BR243" s="168"/>
      <c r="BS243" s="165"/>
      <c r="BT243" s="167"/>
      <c r="BU243" s="199"/>
      <c r="BV243" s="202"/>
      <c r="BW243" s="201"/>
      <c r="BX243" s="201"/>
      <c r="BY243" s="200"/>
      <c r="BZ243" s="199"/>
      <c r="CA243" s="201"/>
      <c r="CB243" s="202"/>
      <c r="CC243" s="200"/>
      <c r="CD243" s="199"/>
      <c r="CE243" s="201"/>
      <c r="CF243" s="201"/>
      <c r="CG243" s="106"/>
      <c r="CH243" s="165"/>
      <c r="CI243" s="167"/>
    </row>
    <row r="244" spans="1:87" x14ac:dyDescent="0.3">
      <c r="A244" s="10">
        <v>3706</v>
      </c>
      <c r="B244" s="11" t="s">
        <v>367</v>
      </c>
      <c r="C244" s="471">
        <v>782</v>
      </c>
      <c r="D244" s="54">
        <v>454</v>
      </c>
      <c r="E244" s="367">
        <f t="shared" si="3"/>
        <v>0.58056265984654731</v>
      </c>
      <c r="F244" s="45"/>
      <c r="G244" s="45"/>
      <c r="H244" s="45"/>
      <c r="I244" s="45"/>
      <c r="J244" s="46"/>
      <c r="K244" s="45"/>
      <c r="L244" s="107"/>
      <c r="M244" s="541"/>
      <c r="N244" s="199"/>
      <c r="O244" s="199"/>
      <c r="P244" s="202"/>
      <c r="Q244" s="203"/>
      <c r="R244" s="203"/>
      <c r="S244" s="74">
        <v>130</v>
      </c>
      <c r="T244" s="45">
        <v>227</v>
      </c>
      <c r="U244" s="45">
        <v>226</v>
      </c>
      <c r="V244" s="73">
        <v>80</v>
      </c>
      <c r="W244" s="98"/>
      <c r="X244" s="201"/>
      <c r="Y244" s="202"/>
      <c r="Z244" s="200"/>
      <c r="AA244" s="45"/>
      <c r="AB244" s="57"/>
      <c r="AC244" s="169"/>
      <c r="AD244" s="165"/>
      <c r="AE244" s="165"/>
      <c r="AF244" s="167"/>
      <c r="AG244" s="168"/>
      <c r="AH244" s="165"/>
      <c r="AI244" s="167"/>
      <c r="AJ244" s="165"/>
      <c r="AK244" s="173"/>
      <c r="AL244" s="167"/>
      <c r="AM244" s="45"/>
      <c r="AN244" s="54"/>
      <c r="AO244" s="54"/>
      <c r="AP244" s="73"/>
      <c r="AQ244" s="165"/>
      <c r="AR244" s="168"/>
      <c r="AS244" s="165"/>
      <c r="AT244" s="190"/>
      <c r="AU244" s="167"/>
      <c r="AV244" s="199"/>
      <c r="AW244" s="201"/>
      <c r="AX244" s="201"/>
      <c r="AY244" s="202"/>
      <c r="AZ244" s="200"/>
      <c r="BA244" s="199"/>
      <c r="BB244" s="199"/>
      <c r="BC244" s="106"/>
      <c r="BD244" s="165"/>
      <c r="BE244" s="165"/>
      <c r="BF244" s="173"/>
      <c r="BG244" s="304"/>
      <c r="BH244" s="601"/>
      <c r="BI244" s="45"/>
      <c r="BJ244" s="46"/>
      <c r="BK244" s="45"/>
      <c r="BL244" s="53"/>
      <c r="BM244" s="200"/>
      <c r="BN244" s="165"/>
      <c r="BO244" s="173"/>
      <c r="BP244" s="190"/>
      <c r="BQ244" s="173"/>
      <c r="BR244" s="168"/>
      <c r="BS244" s="165"/>
      <c r="BT244" s="167"/>
      <c r="BU244" s="199"/>
      <c r="BV244" s="202"/>
      <c r="BW244" s="201"/>
      <c r="BX244" s="201"/>
      <c r="BY244" s="200"/>
      <c r="BZ244" s="199"/>
      <c r="CA244" s="201"/>
      <c r="CB244" s="202"/>
      <c r="CC244" s="200"/>
      <c r="CD244" s="199"/>
      <c r="CE244" s="201"/>
      <c r="CF244" s="201"/>
      <c r="CG244" s="106"/>
      <c r="CH244" s="165"/>
      <c r="CI244" s="167"/>
    </row>
    <row r="245" spans="1:87" x14ac:dyDescent="0.3">
      <c r="A245" s="10">
        <v>3707</v>
      </c>
      <c r="B245" s="11" t="s">
        <v>368</v>
      </c>
      <c r="C245" s="471">
        <v>626</v>
      </c>
      <c r="D245" s="54">
        <v>434</v>
      </c>
      <c r="E245" s="367">
        <f t="shared" si="3"/>
        <v>0.69329073482428116</v>
      </c>
      <c r="F245" s="45"/>
      <c r="G245" s="45"/>
      <c r="H245" s="45"/>
      <c r="I245" s="45"/>
      <c r="J245" s="46"/>
      <c r="K245" s="45"/>
      <c r="L245" s="107"/>
      <c r="M245" s="541"/>
      <c r="N245" s="199"/>
      <c r="O245" s="199"/>
      <c r="P245" s="202"/>
      <c r="Q245" s="203"/>
      <c r="R245" s="203"/>
      <c r="S245" s="74">
        <v>101</v>
      </c>
      <c r="T245" s="45">
        <v>264</v>
      </c>
      <c r="U245" s="45">
        <v>259</v>
      </c>
      <c r="V245" s="73">
        <v>62</v>
      </c>
      <c r="W245" s="74"/>
      <c r="X245" s="54"/>
      <c r="Y245" s="53"/>
      <c r="Z245" s="46"/>
      <c r="AA245" s="45"/>
      <c r="AB245" s="57"/>
      <c r="AC245" s="169"/>
      <c r="AD245" s="165"/>
      <c r="AE245" s="165"/>
      <c r="AF245" s="167"/>
      <c r="AG245" s="168"/>
      <c r="AH245" s="165"/>
      <c r="AI245" s="167"/>
      <c r="AJ245" s="165"/>
      <c r="AK245" s="173"/>
      <c r="AL245" s="167"/>
      <c r="AM245" s="45"/>
      <c r="AN245" s="54"/>
      <c r="AO245" s="54"/>
      <c r="AP245" s="73"/>
      <c r="AQ245" s="165"/>
      <c r="AR245" s="168"/>
      <c r="AS245" s="165"/>
      <c r="AT245" s="190"/>
      <c r="AU245" s="167"/>
      <c r="AV245" s="199"/>
      <c r="AW245" s="201"/>
      <c r="AX245" s="201"/>
      <c r="AY245" s="202"/>
      <c r="AZ245" s="200"/>
      <c r="BA245" s="199"/>
      <c r="BB245" s="199"/>
      <c r="BC245" s="106"/>
      <c r="BD245" s="165"/>
      <c r="BE245" s="165"/>
      <c r="BF245" s="173"/>
      <c r="BG245" s="304"/>
      <c r="BH245" s="601"/>
      <c r="BI245" s="45"/>
      <c r="BJ245" s="46"/>
      <c r="BK245" s="45"/>
      <c r="BL245" s="53"/>
      <c r="BM245" s="200"/>
      <c r="BN245" s="165"/>
      <c r="BO245" s="173"/>
      <c r="BP245" s="190"/>
      <c r="BQ245" s="173"/>
      <c r="BR245" s="168"/>
      <c r="BS245" s="165"/>
      <c r="BT245" s="167"/>
      <c r="BU245" s="199"/>
      <c r="BV245" s="202"/>
      <c r="BW245" s="201"/>
      <c r="BX245" s="201"/>
      <c r="BY245" s="200"/>
      <c r="BZ245" s="199"/>
      <c r="CA245" s="201"/>
      <c r="CB245" s="202"/>
      <c r="CC245" s="200"/>
      <c r="CD245" s="199"/>
      <c r="CE245" s="201"/>
      <c r="CF245" s="201"/>
      <c r="CG245" s="106"/>
      <c r="CH245" s="165"/>
      <c r="CI245" s="167"/>
    </row>
    <row r="246" spans="1:87" x14ac:dyDescent="0.3">
      <c r="A246" s="10">
        <v>3801</v>
      </c>
      <c r="B246" s="11" t="s">
        <v>369</v>
      </c>
      <c r="C246" s="471">
        <v>1130</v>
      </c>
      <c r="D246" s="54">
        <v>790</v>
      </c>
      <c r="E246" s="367">
        <f t="shared" si="3"/>
        <v>0.69911504424778759</v>
      </c>
      <c r="F246" s="45"/>
      <c r="G246" s="45"/>
      <c r="H246" s="45"/>
      <c r="I246" s="45"/>
      <c r="J246" s="46"/>
      <c r="K246" s="45"/>
      <c r="L246" s="107"/>
      <c r="M246" s="541"/>
      <c r="N246" s="199"/>
      <c r="O246" s="199"/>
      <c r="P246" s="202"/>
      <c r="Q246" s="203"/>
      <c r="R246" s="203"/>
      <c r="S246" s="98"/>
      <c r="T246" s="199"/>
      <c r="U246" s="199"/>
      <c r="V246" s="106"/>
      <c r="W246" s="74">
        <v>587</v>
      </c>
      <c r="X246" s="54">
        <v>144</v>
      </c>
      <c r="Y246" s="53">
        <v>149</v>
      </c>
      <c r="Z246" s="46">
        <v>571</v>
      </c>
      <c r="AA246" s="45"/>
      <c r="AB246" s="57"/>
      <c r="AC246" s="169"/>
      <c r="AD246" s="165"/>
      <c r="AE246" s="165"/>
      <c r="AF246" s="167"/>
      <c r="AG246" s="168"/>
      <c r="AH246" s="165"/>
      <c r="AI246" s="167"/>
      <c r="AJ246" s="165"/>
      <c r="AK246" s="173"/>
      <c r="AL246" s="167"/>
      <c r="AM246" s="45"/>
      <c r="AN246" s="54"/>
      <c r="AO246" s="54"/>
      <c r="AP246" s="73"/>
      <c r="AQ246" s="165"/>
      <c r="AR246" s="168"/>
      <c r="AS246" s="165"/>
      <c r="AT246" s="190"/>
      <c r="AU246" s="167"/>
      <c r="AV246" s="199"/>
      <c r="AW246" s="201"/>
      <c r="AX246" s="201"/>
      <c r="AY246" s="202"/>
      <c r="AZ246" s="200"/>
      <c r="BA246" s="199"/>
      <c r="BB246" s="199"/>
      <c r="BC246" s="106"/>
      <c r="BD246" s="165"/>
      <c r="BE246" s="165"/>
      <c r="BF246" s="173"/>
      <c r="BG246" s="304"/>
      <c r="BH246" s="601"/>
      <c r="BI246" s="45"/>
      <c r="BJ246" s="46"/>
      <c r="BK246" s="45"/>
      <c r="BL246" s="53"/>
      <c r="BM246" s="200"/>
      <c r="BN246" s="165"/>
      <c r="BO246" s="173"/>
      <c r="BP246" s="190"/>
      <c r="BQ246" s="173"/>
      <c r="BR246" s="168"/>
      <c r="BS246" s="165"/>
      <c r="BT246" s="167"/>
      <c r="BU246" s="199"/>
      <c r="BV246" s="202"/>
      <c r="BW246" s="201"/>
      <c r="BX246" s="201"/>
      <c r="BY246" s="200"/>
      <c r="BZ246" s="199"/>
      <c r="CA246" s="201"/>
      <c r="CB246" s="202"/>
      <c r="CC246" s="200"/>
      <c r="CD246" s="199"/>
      <c r="CE246" s="201"/>
      <c r="CF246" s="201"/>
      <c r="CG246" s="106"/>
      <c r="CH246" s="165"/>
      <c r="CI246" s="167"/>
    </row>
    <row r="247" spans="1:87" x14ac:dyDescent="0.3">
      <c r="A247" s="10">
        <v>3802</v>
      </c>
      <c r="B247" s="11" t="s">
        <v>370</v>
      </c>
      <c r="C247" s="471">
        <v>840</v>
      </c>
      <c r="D247" s="54">
        <v>531</v>
      </c>
      <c r="E247" s="367">
        <f t="shared" si="3"/>
        <v>0.63214285714285712</v>
      </c>
      <c r="F247" s="45"/>
      <c r="G247" s="45"/>
      <c r="H247" s="45"/>
      <c r="I247" s="45"/>
      <c r="J247" s="46"/>
      <c r="K247" s="45"/>
      <c r="L247" s="107"/>
      <c r="M247" s="541"/>
      <c r="N247" s="199"/>
      <c r="O247" s="199"/>
      <c r="P247" s="202"/>
      <c r="Q247" s="203"/>
      <c r="R247" s="203"/>
      <c r="S247" s="98"/>
      <c r="T247" s="199"/>
      <c r="U247" s="199"/>
      <c r="V247" s="106"/>
      <c r="W247" s="74">
        <v>330</v>
      </c>
      <c r="X247" s="54">
        <v>152</v>
      </c>
      <c r="Y247" s="53">
        <v>140</v>
      </c>
      <c r="Z247" s="46">
        <v>311</v>
      </c>
      <c r="AA247" s="45"/>
      <c r="AB247" s="57"/>
      <c r="AC247" s="169"/>
      <c r="AD247" s="165"/>
      <c r="AE247" s="165"/>
      <c r="AF247" s="167"/>
      <c r="AG247" s="168"/>
      <c r="AH247" s="165"/>
      <c r="AI247" s="167"/>
      <c r="AJ247" s="165"/>
      <c r="AK247" s="173"/>
      <c r="AL247" s="167"/>
      <c r="AM247" s="45"/>
      <c r="AN247" s="54"/>
      <c r="AO247" s="54"/>
      <c r="AP247" s="73"/>
      <c r="AQ247" s="165"/>
      <c r="AR247" s="168"/>
      <c r="AS247" s="165"/>
      <c r="AT247" s="190"/>
      <c r="AU247" s="167"/>
      <c r="AV247" s="199"/>
      <c r="AW247" s="201"/>
      <c r="AX247" s="201"/>
      <c r="AY247" s="202"/>
      <c r="AZ247" s="200"/>
      <c r="BA247" s="199"/>
      <c r="BB247" s="199"/>
      <c r="BC247" s="106"/>
      <c r="BD247" s="165"/>
      <c r="BE247" s="165"/>
      <c r="BF247" s="173"/>
      <c r="BG247" s="304"/>
      <c r="BH247" s="601"/>
      <c r="BI247" s="45"/>
      <c r="BJ247" s="46"/>
      <c r="BK247" s="45"/>
      <c r="BL247" s="53"/>
      <c r="BM247" s="200"/>
      <c r="BN247" s="165"/>
      <c r="BO247" s="173"/>
      <c r="BP247" s="190"/>
      <c r="BQ247" s="173"/>
      <c r="BR247" s="168"/>
      <c r="BS247" s="165"/>
      <c r="BT247" s="167"/>
      <c r="BU247" s="199"/>
      <c r="BV247" s="202"/>
      <c r="BW247" s="201"/>
      <c r="BX247" s="201"/>
      <c r="BY247" s="200"/>
      <c r="BZ247" s="199"/>
      <c r="CA247" s="201"/>
      <c r="CB247" s="202"/>
      <c r="CC247" s="200"/>
      <c r="CD247" s="199"/>
      <c r="CE247" s="201"/>
      <c r="CF247" s="201"/>
      <c r="CG247" s="106"/>
      <c r="CH247" s="165"/>
      <c r="CI247" s="167"/>
    </row>
    <row r="248" spans="1:87" x14ac:dyDescent="0.3">
      <c r="A248" s="10">
        <v>3803</v>
      </c>
      <c r="B248" s="11" t="s">
        <v>371</v>
      </c>
      <c r="C248" s="471">
        <v>823</v>
      </c>
      <c r="D248" s="54">
        <v>607</v>
      </c>
      <c r="E248" s="367">
        <f t="shared" si="3"/>
        <v>0.73754556500607538</v>
      </c>
      <c r="F248" s="45">
        <v>0</v>
      </c>
      <c r="G248" s="45">
        <v>0</v>
      </c>
      <c r="H248" s="45">
        <v>0</v>
      </c>
      <c r="I248" s="45">
        <v>0</v>
      </c>
      <c r="J248" s="46">
        <v>0</v>
      </c>
      <c r="K248" s="45"/>
      <c r="L248" s="107"/>
      <c r="M248" s="541"/>
      <c r="N248" s="199"/>
      <c r="O248" s="199"/>
      <c r="P248" s="202"/>
      <c r="Q248" s="203"/>
      <c r="R248" s="203"/>
      <c r="S248" s="98"/>
      <c r="T248" s="199"/>
      <c r="U248" s="199"/>
      <c r="V248" s="106"/>
      <c r="W248" s="74">
        <v>405</v>
      </c>
      <c r="X248" s="54">
        <v>140</v>
      </c>
      <c r="Y248" s="53">
        <v>126</v>
      </c>
      <c r="Z248" s="46">
        <v>400</v>
      </c>
      <c r="AA248" s="45"/>
      <c r="AB248" s="57"/>
      <c r="AC248" s="169"/>
      <c r="AD248" s="165"/>
      <c r="AE248" s="165"/>
      <c r="AF248" s="167"/>
      <c r="AG248" s="168"/>
      <c r="AH248" s="165"/>
      <c r="AI248" s="167"/>
      <c r="AJ248" s="165"/>
      <c r="AK248" s="173"/>
      <c r="AL248" s="167"/>
      <c r="AM248" s="45"/>
      <c r="AN248" s="54"/>
      <c r="AO248" s="54"/>
      <c r="AP248" s="73"/>
      <c r="AQ248" s="165"/>
      <c r="AR248" s="168"/>
      <c r="AS248" s="165"/>
      <c r="AT248" s="190"/>
      <c r="AU248" s="167"/>
      <c r="AV248" s="199"/>
      <c r="AW248" s="201"/>
      <c r="AX248" s="201"/>
      <c r="AY248" s="202"/>
      <c r="AZ248" s="200"/>
      <c r="BA248" s="199"/>
      <c r="BB248" s="199"/>
      <c r="BC248" s="106"/>
      <c r="BD248" s="165"/>
      <c r="BE248" s="165"/>
      <c r="BF248" s="173"/>
      <c r="BG248" s="304"/>
      <c r="BH248" s="601"/>
      <c r="BI248" s="45"/>
      <c r="BJ248" s="46"/>
      <c r="BK248" s="45"/>
      <c r="BL248" s="53"/>
      <c r="BM248" s="200"/>
      <c r="BN248" s="165"/>
      <c r="BO248" s="173"/>
      <c r="BP248" s="190"/>
      <c r="BQ248" s="173"/>
      <c r="BR248" s="168"/>
      <c r="BS248" s="165"/>
      <c r="BT248" s="167"/>
      <c r="BU248" s="199"/>
      <c r="BV248" s="202"/>
      <c r="BW248" s="201"/>
      <c r="BX248" s="201"/>
      <c r="BY248" s="200"/>
      <c r="BZ248" s="199"/>
      <c r="CA248" s="201"/>
      <c r="CB248" s="202"/>
      <c r="CC248" s="200"/>
      <c r="CD248" s="199"/>
      <c r="CE248" s="201"/>
      <c r="CF248" s="201"/>
      <c r="CG248" s="106"/>
      <c r="CH248" s="165"/>
      <c r="CI248" s="167"/>
    </row>
    <row r="249" spans="1:87" x14ac:dyDescent="0.3">
      <c r="A249" s="10">
        <v>3804</v>
      </c>
      <c r="B249" s="11" t="s">
        <v>372</v>
      </c>
      <c r="C249" s="471">
        <v>1215</v>
      </c>
      <c r="D249" s="54">
        <v>899</v>
      </c>
      <c r="E249" s="367">
        <f t="shared" si="3"/>
        <v>0.73991769547325104</v>
      </c>
      <c r="F249" s="45"/>
      <c r="G249" s="45"/>
      <c r="H249" s="45"/>
      <c r="I249" s="45"/>
      <c r="J249" s="46"/>
      <c r="K249" s="45"/>
      <c r="L249" s="107"/>
      <c r="M249" s="541"/>
      <c r="N249" s="45">
        <v>9</v>
      </c>
      <c r="O249" s="45">
        <v>13</v>
      </c>
      <c r="P249" s="53">
        <v>8</v>
      </c>
      <c r="Q249" s="57">
        <v>20</v>
      </c>
      <c r="R249" s="57">
        <v>12</v>
      </c>
      <c r="S249" s="98"/>
      <c r="T249" s="199"/>
      <c r="U249" s="199"/>
      <c r="V249" s="106"/>
      <c r="W249" s="74">
        <v>582</v>
      </c>
      <c r="X249" s="54">
        <v>202</v>
      </c>
      <c r="Y249" s="53">
        <v>183</v>
      </c>
      <c r="Z249" s="46">
        <v>570</v>
      </c>
      <c r="AA249" s="45"/>
      <c r="AB249" s="57"/>
      <c r="AC249" s="169"/>
      <c r="AD249" s="165"/>
      <c r="AE249" s="165"/>
      <c r="AF249" s="167"/>
      <c r="AG249" s="168"/>
      <c r="AH249" s="165"/>
      <c r="AI249" s="167"/>
      <c r="AJ249" s="165"/>
      <c r="AK249" s="173"/>
      <c r="AL249" s="167"/>
      <c r="AM249" s="45"/>
      <c r="AN249" s="54"/>
      <c r="AO249" s="54"/>
      <c r="AP249" s="73"/>
      <c r="AQ249" s="165"/>
      <c r="AR249" s="168"/>
      <c r="AS249" s="165"/>
      <c r="AT249" s="190"/>
      <c r="AU249" s="167"/>
      <c r="AV249" s="199"/>
      <c r="AW249" s="201"/>
      <c r="AX249" s="201"/>
      <c r="AY249" s="202"/>
      <c r="AZ249" s="200"/>
      <c r="BA249" s="199"/>
      <c r="BB249" s="199"/>
      <c r="BC249" s="106"/>
      <c r="BD249" s="165"/>
      <c r="BE249" s="165"/>
      <c r="BF249" s="173"/>
      <c r="BG249" s="304"/>
      <c r="BH249" s="601"/>
      <c r="BI249" s="45"/>
      <c r="BJ249" s="46"/>
      <c r="BK249" s="45"/>
      <c r="BL249" s="53"/>
      <c r="BM249" s="200"/>
      <c r="BN249" s="165"/>
      <c r="BO249" s="173"/>
      <c r="BP249" s="190"/>
      <c r="BQ249" s="173"/>
      <c r="BR249" s="168"/>
      <c r="BS249" s="165"/>
      <c r="BT249" s="167"/>
      <c r="BU249" s="199"/>
      <c r="BV249" s="202"/>
      <c r="BW249" s="201"/>
      <c r="BX249" s="201"/>
      <c r="BY249" s="200"/>
      <c r="BZ249" s="199"/>
      <c r="CA249" s="201"/>
      <c r="CB249" s="202"/>
      <c r="CC249" s="200"/>
      <c r="CD249" s="199"/>
      <c r="CE249" s="201"/>
      <c r="CF249" s="201"/>
      <c r="CG249" s="106"/>
      <c r="CH249" s="165"/>
      <c r="CI249" s="167"/>
    </row>
    <row r="250" spans="1:87" x14ac:dyDescent="0.3">
      <c r="A250" s="10">
        <v>3805</v>
      </c>
      <c r="B250" s="11" t="s">
        <v>373</v>
      </c>
      <c r="C250" s="471">
        <v>643</v>
      </c>
      <c r="D250" s="54">
        <v>420</v>
      </c>
      <c r="E250" s="367">
        <f t="shared" si="3"/>
        <v>0.65318818040435456</v>
      </c>
      <c r="F250" s="45"/>
      <c r="G250" s="45"/>
      <c r="H250" s="45"/>
      <c r="I250" s="45"/>
      <c r="J250" s="46"/>
      <c r="K250" s="45"/>
      <c r="L250" s="107"/>
      <c r="M250" s="541"/>
      <c r="N250" s="199"/>
      <c r="O250" s="199"/>
      <c r="P250" s="202"/>
      <c r="Q250" s="203"/>
      <c r="R250" s="203"/>
      <c r="S250" s="98"/>
      <c r="T250" s="199"/>
      <c r="U250" s="199"/>
      <c r="V250" s="106"/>
      <c r="W250" s="74">
        <v>300</v>
      </c>
      <c r="X250" s="54">
        <v>93</v>
      </c>
      <c r="Y250" s="53">
        <v>77</v>
      </c>
      <c r="Z250" s="46">
        <v>283</v>
      </c>
      <c r="AA250" s="45"/>
      <c r="AB250" s="57"/>
      <c r="AC250" s="169"/>
      <c r="AD250" s="165"/>
      <c r="AE250" s="165"/>
      <c r="AF250" s="167"/>
      <c r="AG250" s="168"/>
      <c r="AH250" s="165"/>
      <c r="AI250" s="167"/>
      <c r="AJ250" s="165"/>
      <c r="AK250" s="173"/>
      <c r="AL250" s="167"/>
      <c r="AM250" s="45"/>
      <c r="AN250" s="54"/>
      <c r="AO250" s="54"/>
      <c r="AP250" s="73"/>
      <c r="AQ250" s="165"/>
      <c r="AR250" s="168"/>
      <c r="AS250" s="165"/>
      <c r="AT250" s="190"/>
      <c r="AU250" s="167"/>
      <c r="AV250" s="199"/>
      <c r="AW250" s="201"/>
      <c r="AX250" s="201"/>
      <c r="AY250" s="202"/>
      <c r="AZ250" s="200"/>
      <c r="BA250" s="199"/>
      <c r="BB250" s="199"/>
      <c r="BC250" s="106"/>
      <c r="BD250" s="165"/>
      <c r="BE250" s="165"/>
      <c r="BF250" s="173"/>
      <c r="BG250" s="304"/>
      <c r="BH250" s="601"/>
      <c r="BI250" s="45"/>
      <c r="BJ250" s="46"/>
      <c r="BK250" s="45"/>
      <c r="BL250" s="53"/>
      <c r="BM250" s="200"/>
      <c r="BN250" s="165"/>
      <c r="BO250" s="173"/>
      <c r="BP250" s="190"/>
      <c r="BQ250" s="173"/>
      <c r="BR250" s="168"/>
      <c r="BS250" s="165"/>
      <c r="BT250" s="167"/>
      <c r="BU250" s="199"/>
      <c r="BV250" s="202"/>
      <c r="BW250" s="201"/>
      <c r="BX250" s="201"/>
      <c r="BY250" s="200"/>
      <c r="BZ250" s="199"/>
      <c r="CA250" s="201"/>
      <c r="CB250" s="202"/>
      <c r="CC250" s="200"/>
      <c r="CD250" s="199"/>
      <c r="CE250" s="201"/>
      <c r="CF250" s="201"/>
      <c r="CG250" s="106"/>
      <c r="CH250" s="165"/>
      <c r="CI250" s="167"/>
    </row>
    <row r="251" spans="1:87" x14ac:dyDescent="0.3">
      <c r="A251" s="10">
        <v>3806</v>
      </c>
      <c r="B251" s="11" t="s">
        <v>374</v>
      </c>
      <c r="C251" s="471">
        <v>1167</v>
      </c>
      <c r="D251" s="54">
        <v>793</v>
      </c>
      <c r="E251" s="367">
        <f t="shared" si="3"/>
        <v>0.67952013710368464</v>
      </c>
      <c r="F251" s="45"/>
      <c r="G251" s="45"/>
      <c r="H251" s="45"/>
      <c r="I251" s="45"/>
      <c r="J251" s="46"/>
      <c r="K251" s="45"/>
      <c r="L251" s="107"/>
      <c r="M251" s="541"/>
      <c r="N251" s="199"/>
      <c r="O251" s="199"/>
      <c r="P251" s="202"/>
      <c r="Q251" s="203"/>
      <c r="R251" s="203"/>
      <c r="S251" s="98"/>
      <c r="T251" s="199"/>
      <c r="U251" s="199"/>
      <c r="V251" s="106"/>
      <c r="W251" s="74">
        <v>536</v>
      </c>
      <c r="X251" s="54">
        <v>201</v>
      </c>
      <c r="Y251" s="53">
        <v>180</v>
      </c>
      <c r="Z251" s="46">
        <v>502</v>
      </c>
      <c r="AA251" s="45"/>
      <c r="AB251" s="57"/>
      <c r="AC251" s="169"/>
      <c r="AD251" s="165"/>
      <c r="AE251" s="165"/>
      <c r="AF251" s="167"/>
      <c r="AG251" s="168"/>
      <c r="AH251" s="165"/>
      <c r="AI251" s="167"/>
      <c r="AJ251" s="165"/>
      <c r="AK251" s="173"/>
      <c r="AL251" s="167"/>
      <c r="AM251" s="45"/>
      <c r="AN251" s="54"/>
      <c r="AO251" s="54"/>
      <c r="AP251" s="73"/>
      <c r="AQ251" s="165"/>
      <c r="AR251" s="168"/>
      <c r="AS251" s="165"/>
      <c r="AT251" s="190"/>
      <c r="AU251" s="167"/>
      <c r="AV251" s="199"/>
      <c r="AW251" s="201"/>
      <c r="AX251" s="201"/>
      <c r="AY251" s="202"/>
      <c r="AZ251" s="200"/>
      <c r="BA251" s="199"/>
      <c r="BB251" s="199"/>
      <c r="BC251" s="106"/>
      <c r="BD251" s="165"/>
      <c r="BE251" s="165"/>
      <c r="BF251" s="173"/>
      <c r="BG251" s="304"/>
      <c r="BH251" s="601"/>
      <c r="BI251" s="45"/>
      <c r="BJ251" s="46"/>
      <c r="BK251" s="45"/>
      <c r="BL251" s="53"/>
      <c r="BM251" s="200"/>
      <c r="BN251" s="165"/>
      <c r="BO251" s="173"/>
      <c r="BP251" s="190"/>
      <c r="BQ251" s="173"/>
      <c r="BR251" s="168"/>
      <c r="BS251" s="165"/>
      <c r="BT251" s="167"/>
      <c r="BU251" s="199"/>
      <c r="BV251" s="202"/>
      <c r="BW251" s="201"/>
      <c r="BX251" s="201"/>
      <c r="BY251" s="200"/>
      <c r="BZ251" s="199"/>
      <c r="CA251" s="201"/>
      <c r="CB251" s="202"/>
      <c r="CC251" s="200"/>
      <c r="CD251" s="199"/>
      <c r="CE251" s="201"/>
      <c r="CF251" s="201"/>
      <c r="CG251" s="106"/>
      <c r="CH251" s="165"/>
      <c r="CI251" s="167"/>
    </row>
    <row r="252" spans="1:87" x14ac:dyDescent="0.3">
      <c r="A252" s="10">
        <v>3807</v>
      </c>
      <c r="B252" s="11" t="s">
        <v>375</v>
      </c>
      <c r="C252" s="471">
        <v>684</v>
      </c>
      <c r="D252" s="54">
        <v>483</v>
      </c>
      <c r="E252" s="367">
        <f t="shared" si="3"/>
        <v>0.70614035087719296</v>
      </c>
      <c r="F252" s="45"/>
      <c r="G252" s="45"/>
      <c r="H252" s="45"/>
      <c r="I252" s="45"/>
      <c r="J252" s="46"/>
      <c r="K252" s="45"/>
      <c r="L252" s="107"/>
      <c r="M252" s="541"/>
      <c r="N252" s="199"/>
      <c r="O252" s="199"/>
      <c r="P252" s="202"/>
      <c r="Q252" s="203"/>
      <c r="R252" s="203"/>
      <c r="S252" s="98"/>
      <c r="T252" s="199"/>
      <c r="U252" s="199"/>
      <c r="V252" s="73"/>
      <c r="W252" s="74">
        <v>313</v>
      </c>
      <c r="X252" s="54">
        <v>109</v>
      </c>
      <c r="Y252" s="53">
        <v>120</v>
      </c>
      <c r="Z252" s="46">
        <v>319</v>
      </c>
      <c r="AA252" s="45"/>
      <c r="AB252" s="57"/>
      <c r="AC252" s="169"/>
      <c r="AD252" s="165"/>
      <c r="AE252" s="165"/>
      <c r="AF252" s="167"/>
      <c r="AG252" s="168"/>
      <c r="AH252" s="165"/>
      <c r="AI252" s="167"/>
      <c r="AJ252" s="165"/>
      <c r="AK252" s="173"/>
      <c r="AL252" s="167"/>
      <c r="AM252" s="45"/>
      <c r="AN252" s="54"/>
      <c r="AO252" s="54"/>
      <c r="AP252" s="73"/>
      <c r="AQ252" s="165"/>
      <c r="AR252" s="168"/>
      <c r="AS252" s="165"/>
      <c r="AT252" s="190"/>
      <c r="AU252" s="167"/>
      <c r="AV252" s="199"/>
      <c r="AW252" s="201"/>
      <c r="AX252" s="201"/>
      <c r="AY252" s="202"/>
      <c r="AZ252" s="200"/>
      <c r="BA252" s="199"/>
      <c r="BB252" s="199"/>
      <c r="BC252" s="106"/>
      <c r="BD252" s="165"/>
      <c r="BE252" s="165"/>
      <c r="BF252" s="173"/>
      <c r="BG252" s="304"/>
      <c r="BH252" s="601"/>
      <c r="BI252" s="45"/>
      <c r="BJ252" s="46"/>
      <c r="BK252" s="45"/>
      <c r="BL252" s="53"/>
      <c r="BM252" s="200"/>
      <c r="BN252" s="165"/>
      <c r="BO252" s="173"/>
      <c r="BP252" s="190"/>
      <c r="BQ252" s="173"/>
      <c r="BR252" s="168"/>
      <c r="BS252" s="165"/>
      <c r="BT252" s="167"/>
      <c r="BU252" s="199"/>
      <c r="BV252" s="202"/>
      <c r="BW252" s="201"/>
      <c r="BX252" s="201"/>
      <c r="BY252" s="200"/>
      <c r="BZ252" s="199"/>
      <c r="CA252" s="201"/>
      <c r="CB252" s="202"/>
      <c r="CC252" s="200"/>
      <c r="CD252" s="199"/>
      <c r="CE252" s="201"/>
      <c r="CF252" s="201"/>
      <c r="CG252" s="106"/>
      <c r="CH252" s="165"/>
      <c r="CI252" s="167"/>
    </row>
    <row r="253" spans="1:87" x14ac:dyDescent="0.3">
      <c r="A253" s="10">
        <v>3808</v>
      </c>
      <c r="B253" s="11" t="s">
        <v>376</v>
      </c>
      <c r="C253" s="471">
        <v>815</v>
      </c>
      <c r="D253" s="54">
        <v>574</v>
      </c>
      <c r="E253" s="367">
        <f t="shared" si="3"/>
        <v>0.7042944785276074</v>
      </c>
      <c r="F253" s="45">
        <v>5</v>
      </c>
      <c r="G253" s="45">
        <v>3</v>
      </c>
      <c r="H253" s="45">
        <v>4</v>
      </c>
      <c r="I253" s="45">
        <v>5</v>
      </c>
      <c r="J253" s="46">
        <v>3</v>
      </c>
      <c r="K253" s="45"/>
      <c r="L253" s="107"/>
      <c r="M253" s="541"/>
      <c r="N253" s="199"/>
      <c r="O253" s="199"/>
      <c r="P253" s="202"/>
      <c r="Q253" s="203"/>
      <c r="R253" s="203"/>
      <c r="S253" s="98"/>
      <c r="T253" s="199"/>
      <c r="U253" s="199"/>
      <c r="V253" s="73"/>
      <c r="W253" s="74">
        <v>382</v>
      </c>
      <c r="X253" s="54">
        <v>126</v>
      </c>
      <c r="Y253" s="53">
        <v>125</v>
      </c>
      <c r="Z253" s="46">
        <v>386</v>
      </c>
      <c r="AA253" s="45"/>
      <c r="AB253" s="57"/>
      <c r="AC253" s="169"/>
      <c r="AD253" s="165"/>
      <c r="AE253" s="165"/>
      <c r="AF253" s="167"/>
      <c r="AG253" s="168"/>
      <c r="AH253" s="165"/>
      <c r="AI253" s="167"/>
      <c r="AJ253" s="165"/>
      <c r="AK253" s="173"/>
      <c r="AL253" s="167"/>
      <c r="AM253" s="45"/>
      <c r="AN253" s="54"/>
      <c r="AO253" s="54"/>
      <c r="AP253" s="73"/>
      <c r="AQ253" s="165"/>
      <c r="AR253" s="168"/>
      <c r="AS253" s="165"/>
      <c r="AT253" s="190"/>
      <c r="AU253" s="167"/>
      <c r="AV253" s="199"/>
      <c r="AW253" s="201"/>
      <c r="AX253" s="201"/>
      <c r="AY253" s="202"/>
      <c r="AZ253" s="200"/>
      <c r="BA253" s="199"/>
      <c r="BB253" s="199"/>
      <c r="BC253" s="106"/>
      <c r="BD253" s="165"/>
      <c r="BE253" s="165"/>
      <c r="BF253" s="173"/>
      <c r="BG253" s="304"/>
      <c r="BH253" s="601"/>
      <c r="BI253" s="45"/>
      <c r="BJ253" s="46"/>
      <c r="BK253" s="45"/>
      <c r="BL253" s="53"/>
      <c r="BM253" s="200"/>
      <c r="BN253" s="165"/>
      <c r="BO253" s="173"/>
      <c r="BP253" s="190"/>
      <c r="BQ253" s="173"/>
      <c r="BR253" s="168"/>
      <c r="BS253" s="165"/>
      <c r="BT253" s="167"/>
      <c r="BU253" s="199"/>
      <c r="BV253" s="202"/>
      <c r="BW253" s="201"/>
      <c r="BX253" s="201"/>
      <c r="BY253" s="200"/>
      <c r="BZ253" s="199"/>
      <c r="CA253" s="201"/>
      <c r="CB253" s="202"/>
      <c r="CC253" s="200"/>
      <c r="CD253" s="199"/>
      <c r="CE253" s="201"/>
      <c r="CF253" s="201"/>
      <c r="CG253" s="106"/>
      <c r="CH253" s="165"/>
      <c r="CI253" s="167"/>
    </row>
    <row r="254" spans="1:87" x14ac:dyDescent="0.3">
      <c r="A254" s="10">
        <v>3901</v>
      </c>
      <c r="B254" s="11" t="s">
        <v>831</v>
      </c>
      <c r="C254" s="471">
        <v>19</v>
      </c>
      <c r="D254" s="54">
        <v>12</v>
      </c>
      <c r="E254" s="367">
        <f t="shared" ref="E254" si="4">SUM(D254/C254)</f>
        <v>0.63157894736842102</v>
      </c>
      <c r="F254" s="45"/>
      <c r="G254" s="45"/>
      <c r="H254" s="45"/>
      <c r="I254" s="45"/>
      <c r="J254" s="46"/>
      <c r="K254" s="45"/>
      <c r="L254" s="107"/>
      <c r="M254" s="541"/>
      <c r="N254" s="199">
        <v>1</v>
      </c>
      <c r="O254" s="199">
        <v>2</v>
      </c>
      <c r="P254" s="202">
        <v>2</v>
      </c>
      <c r="Q254" s="203">
        <v>5</v>
      </c>
      <c r="R254" s="203">
        <v>2</v>
      </c>
      <c r="S254" s="98"/>
      <c r="T254" s="199"/>
      <c r="U254" s="199"/>
      <c r="V254" s="73"/>
      <c r="W254" s="74"/>
      <c r="X254" s="54"/>
      <c r="Y254" s="53"/>
      <c r="Z254" s="46"/>
      <c r="AA254" s="45">
        <v>1</v>
      </c>
      <c r="AB254" s="57">
        <v>2</v>
      </c>
      <c r="AC254" s="169">
        <v>0</v>
      </c>
      <c r="AD254" s="165">
        <v>0</v>
      </c>
      <c r="AE254" s="165">
        <v>0</v>
      </c>
      <c r="AF254" s="167">
        <v>1</v>
      </c>
      <c r="AG254" s="168"/>
      <c r="AH254" s="165"/>
      <c r="AI254" s="167"/>
      <c r="AJ254" s="165"/>
      <c r="AK254" s="173"/>
      <c r="AL254" s="167"/>
      <c r="AM254" s="45"/>
      <c r="AN254" s="54"/>
      <c r="AO254" s="54"/>
      <c r="AP254" s="73"/>
      <c r="AQ254" s="165"/>
      <c r="AR254" s="168"/>
      <c r="AS254" s="165"/>
      <c r="AT254" s="190"/>
      <c r="AU254" s="167"/>
      <c r="AV254" s="199"/>
      <c r="AW254" s="201"/>
      <c r="AX254" s="201"/>
      <c r="AY254" s="202"/>
      <c r="AZ254" s="200"/>
      <c r="BA254" s="199"/>
      <c r="BB254" s="199"/>
      <c r="BC254" s="106"/>
      <c r="BD254" s="165"/>
      <c r="BE254" s="165"/>
      <c r="BF254" s="173"/>
      <c r="BG254" s="304"/>
      <c r="BH254" s="601"/>
      <c r="BI254" s="45"/>
      <c r="BJ254" s="46"/>
      <c r="BK254" s="45"/>
      <c r="BL254" s="53"/>
      <c r="BM254" s="200"/>
      <c r="BN254" s="165"/>
      <c r="BO254" s="173"/>
      <c r="BP254" s="190"/>
      <c r="BQ254" s="173"/>
      <c r="BR254" s="168"/>
      <c r="BS254" s="165"/>
      <c r="BT254" s="167"/>
      <c r="BU254" s="199"/>
      <c r="BV254" s="202"/>
      <c r="BW254" s="201"/>
      <c r="BX254" s="201"/>
      <c r="BY254" s="200"/>
      <c r="BZ254" s="199"/>
      <c r="CA254" s="201"/>
      <c r="CB254" s="202"/>
      <c r="CC254" s="200"/>
      <c r="CD254" s="199"/>
      <c r="CE254" s="201"/>
      <c r="CF254" s="201"/>
      <c r="CG254" s="106"/>
      <c r="CH254" s="165"/>
      <c r="CI254" s="167"/>
    </row>
    <row r="255" spans="1:87" x14ac:dyDescent="0.3">
      <c r="A255" s="10">
        <v>4001</v>
      </c>
      <c r="B255" s="11" t="s">
        <v>377</v>
      </c>
      <c r="C255" s="471">
        <v>1275</v>
      </c>
      <c r="D255" s="54">
        <v>854</v>
      </c>
      <c r="E255" s="367">
        <f t="shared" si="3"/>
        <v>0.66980392156862745</v>
      </c>
      <c r="F255" s="45"/>
      <c r="G255" s="45"/>
      <c r="H255" s="45"/>
      <c r="I255" s="45"/>
      <c r="J255" s="46"/>
      <c r="K255" s="45"/>
      <c r="L255" s="107"/>
      <c r="M255" s="541"/>
      <c r="N255" s="199"/>
      <c r="O255" s="199"/>
      <c r="P255" s="202"/>
      <c r="Q255" s="203"/>
      <c r="R255" s="203"/>
      <c r="S255" s="98"/>
      <c r="T255" s="199"/>
      <c r="U255" s="199"/>
      <c r="V255" s="73"/>
      <c r="W255" s="169"/>
      <c r="X255" s="173"/>
      <c r="Y255" s="190"/>
      <c r="Z255" s="167"/>
      <c r="AA255" s="45"/>
      <c r="AB255" s="57"/>
      <c r="AC255" s="169"/>
      <c r="AD255" s="165"/>
      <c r="AE255" s="165"/>
      <c r="AF255" s="167"/>
      <c r="AG255" s="168"/>
      <c r="AH255" s="165"/>
      <c r="AI255" s="167"/>
      <c r="AJ255" s="165"/>
      <c r="AK255" s="173"/>
      <c r="AL255" s="167"/>
      <c r="AM255" s="45"/>
      <c r="AN255" s="54"/>
      <c r="AO255" s="54"/>
      <c r="AP255" s="73"/>
      <c r="AQ255" s="165"/>
      <c r="AR255" s="168"/>
      <c r="AS255" s="165"/>
      <c r="AT255" s="190"/>
      <c r="AU255" s="167"/>
      <c r="AV255" s="45">
        <v>261</v>
      </c>
      <c r="AW255" s="54">
        <v>381</v>
      </c>
      <c r="AX255" s="54">
        <v>327</v>
      </c>
      <c r="AY255" s="53">
        <v>156</v>
      </c>
      <c r="AZ255" s="46">
        <v>111</v>
      </c>
      <c r="BA255" s="199"/>
      <c r="BB255" s="199"/>
      <c r="BC255" s="106"/>
      <c r="BD255" s="165"/>
      <c r="BE255" s="165"/>
      <c r="BF255" s="173"/>
      <c r="BG255" s="304"/>
      <c r="BH255" s="601"/>
      <c r="BI255" s="45"/>
      <c r="BJ255" s="46"/>
      <c r="BK255" s="45"/>
      <c r="BL255" s="53"/>
      <c r="BM255" s="200"/>
      <c r="BN255" s="165"/>
      <c r="BO255" s="173"/>
      <c r="BP255" s="190"/>
      <c r="BQ255" s="173"/>
      <c r="BR255" s="168"/>
      <c r="BS255" s="165"/>
      <c r="BT255" s="167"/>
      <c r="BU255" s="199"/>
      <c r="BV255" s="202"/>
      <c r="BW255" s="201"/>
      <c r="BX255" s="201"/>
      <c r="BY255" s="200"/>
      <c r="BZ255" s="199"/>
      <c r="CA255" s="201"/>
      <c r="CB255" s="202"/>
      <c r="CC255" s="200"/>
      <c r="CD255" s="199"/>
      <c r="CE255" s="201"/>
      <c r="CF255" s="201"/>
      <c r="CG255" s="106"/>
      <c r="CH255" s="165"/>
      <c r="CI255" s="167"/>
    </row>
    <row r="256" spans="1:87" x14ac:dyDescent="0.3">
      <c r="A256" s="10">
        <v>4002</v>
      </c>
      <c r="B256" s="11" t="s">
        <v>378</v>
      </c>
      <c r="C256" s="471">
        <v>1170</v>
      </c>
      <c r="D256" s="54">
        <v>794</v>
      </c>
      <c r="E256" s="367">
        <f t="shared" si="3"/>
        <v>0.67863247863247866</v>
      </c>
      <c r="F256" s="45"/>
      <c r="G256" s="45"/>
      <c r="H256" s="45"/>
      <c r="I256" s="45"/>
      <c r="J256" s="46"/>
      <c r="K256" s="45"/>
      <c r="L256" s="107"/>
      <c r="M256" s="541"/>
      <c r="N256" s="199"/>
      <c r="O256" s="199"/>
      <c r="P256" s="202"/>
      <c r="Q256" s="203"/>
      <c r="R256" s="203"/>
      <c r="S256" s="98"/>
      <c r="T256" s="199"/>
      <c r="U256" s="199"/>
      <c r="V256" s="73"/>
      <c r="W256" s="169"/>
      <c r="X256" s="173"/>
      <c r="Y256" s="190"/>
      <c r="Z256" s="167"/>
      <c r="AA256" s="45"/>
      <c r="AB256" s="57"/>
      <c r="AC256" s="169"/>
      <c r="AD256" s="165"/>
      <c r="AE256" s="165"/>
      <c r="AF256" s="167"/>
      <c r="AG256" s="168"/>
      <c r="AH256" s="165"/>
      <c r="AI256" s="167"/>
      <c r="AJ256" s="165"/>
      <c r="AK256" s="173"/>
      <c r="AL256" s="167"/>
      <c r="AM256" s="45"/>
      <c r="AN256" s="54"/>
      <c r="AO256" s="54"/>
      <c r="AP256" s="73"/>
      <c r="AQ256" s="165"/>
      <c r="AR256" s="168"/>
      <c r="AS256" s="165"/>
      <c r="AT256" s="190"/>
      <c r="AU256" s="167"/>
      <c r="AV256" s="45">
        <v>276</v>
      </c>
      <c r="AW256" s="54">
        <v>411</v>
      </c>
      <c r="AX256" s="54">
        <v>341</v>
      </c>
      <c r="AY256" s="53">
        <v>136</v>
      </c>
      <c r="AZ256" s="46">
        <v>86</v>
      </c>
      <c r="BA256" s="45"/>
      <c r="BB256" s="45"/>
      <c r="BC256" s="73"/>
      <c r="BD256" s="165"/>
      <c r="BE256" s="165"/>
      <c r="BF256" s="173"/>
      <c r="BG256" s="304"/>
      <c r="BH256" s="601"/>
      <c r="BI256" s="45"/>
      <c r="BJ256" s="46"/>
      <c r="BK256" s="45"/>
      <c r="BL256" s="53"/>
      <c r="BM256" s="200"/>
      <c r="BN256" s="165"/>
      <c r="BO256" s="173"/>
      <c r="BP256" s="190"/>
      <c r="BQ256" s="173"/>
      <c r="BR256" s="168"/>
      <c r="BS256" s="165"/>
      <c r="BT256" s="167"/>
      <c r="BU256" s="199"/>
      <c r="BV256" s="202"/>
      <c r="BW256" s="201"/>
      <c r="BX256" s="201"/>
      <c r="BY256" s="200"/>
      <c r="BZ256" s="199"/>
      <c r="CA256" s="201"/>
      <c r="CB256" s="202"/>
      <c r="CC256" s="200"/>
      <c r="CD256" s="199"/>
      <c r="CE256" s="201"/>
      <c r="CF256" s="201"/>
      <c r="CG256" s="106"/>
      <c r="CH256" s="165"/>
      <c r="CI256" s="167"/>
    </row>
    <row r="257" spans="1:87" x14ac:dyDescent="0.3">
      <c r="A257" s="10">
        <v>4003</v>
      </c>
      <c r="B257" s="11" t="s">
        <v>379</v>
      </c>
      <c r="C257" s="471">
        <v>1315</v>
      </c>
      <c r="D257" s="54">
        <v>866</v>
      </c>
      <c r="E257" s="367">
        <f t="shared" si="3"/>
        <v>0.65855513307984792</v>
      </c>
      <c r="F257" s="45"/>
      <c r="G257" s="45"/>
      <c r="H257" s="45"/>
      <c r="I257" s="45"/>
      <c r="J257" s="46"/>
      <c r="K257" s="45"/>
      <c r="L257" s="107"/>
      <c r="M257" s="541"/>
      <c r="N257" s="199"/>
      <c r="O257" s="199"/>
      <c r="P257" s="202"/>
      <c r="Q257" s="203"/>
      <c r="R257" s="203"/>
      <c r="S257" s="98"/>
      <c r="T257" s="199"/>
      <c r="U257" s="199"/>
      <c r="V257" s="73"/>
      <c r="W257" s="169"/>
      <c r="X257" s="173"/>
      <c r="Y257" s="190"/>
      <c r="Z257" s="167"/>
      <c r="AA257" s="45"/>
      <c r="AB257" s="57"/>
      <c r="AC257" s="169"/>
      <c r="AD257" s="165"/>
      <c r="AE257" s="165"/>
      <c r="AF257" s="167"/>
      <c r="AG257" s="168"/>
      <c r="AH257" s="165"/>
      <c r="AI257" s="167"/>
      <c r="AJ257" s="165"/>
      <c r="AK257" s="173"/>
      <c r="AL257" s="167"/>
      <c r="AM257" s="45"/>
      <c r="AN257" s="54"/>
      <c r="AO257" s="54"/>
      <c r="AP257" s="73"/>
      <c r="AQ257" s="165"/>
      <c r="AR257" s="168"/>
      <c r="AS257" s="165"/>
      <c r="AT257" s="190"/>
      <c r="AU257" s="167"/>
      <c r="AV257" s="45">
        <v>316</v>
      </c>
      <c r="AW257" s="54">
        <v>351</v>
      </c>
      <c r="AX257" s="54">
        <v>312</v>
      </c>
      <c r="AY257" s="53">
        <v>172</v>
      </c>
      <c r="AZ257" s="46">
        <v>110</v>
      </c>
      <c r="BA257" s="45"/>
      <c r="BB257" s="45"/>
      <c r="BC257" s="73"/>
      <c r="BD257" s="165"/>
      <c r="BE257" s="165"/>
      <c r="BF257" s="173"/>
      <c r="BG257" s="304"/>
      <c r="BH257" s="601"/>
      <c r="BI257" s="45"/>
      <c r="BJ257" s="46"/>
      <c r="BK257" s="45"/>
      <c r="BL257" s="53"/>
      <c r="BM257" s="200"/>
      <c r="BN257" s="165"/>
      <c r="BO257" s="173"/>
      <c r="BP257" s="190"/>
      <c r="BQ257" s="173"/>
      <c r="BR257" s="168"/>
      <c r="BS257" s="165"/>
      <c r="BT257" s="167"/>
      <c r="BU257" s="199"/>
      <c r="BV257" s="202"/>
      <c r="BW257" s="201"/>
      <c r="BX257" s="201"/>
      <c r="BY257" s="200"/>
      <c r="BZ257" s="199"/>
      <c r="CA257" s="201"/>
      <c r="CB257" s="202"/>
      <c r="CC257" s="200"/>
      <c r="CD257" s="199"/>
      <c r="CE257" s="201"/>
      <c r="CF257" s="201"/>
      <c r="CG257" s="106"/>
      <c r="CH257" s="165"/>
      <c r="CI257" s="167"/>
    </row>
    <row r="258" spans="1:87" x14ac:dyDescent="0.3">
      <c r="A258" s="10">
        <v>4004</v>
      </c>
      <c r="B258" s="11" t="s">
        <v>380</v>
      </c>
      <c r="C258" s="471">
        <v>641</v>
      </c>
      <c r="D258" s="54">
        <v>420</v>
      </c>
      <c r="E258" s="367">
        <f t="shared" si="3"/>
        <v>0.65522620904836193</v>
      </c>
      <c r="F258" s="45"/>
      <c r="G258" s="45"/>
      <c r="H258" s="45"/>
      <c r="I258" s="45"/>
      <c r="J258" s="46"/>
      <c r="K258" s="45"/>
      <c r="L258" s="107"/>
      <c r="M258" s="541"/>
      <c r="N258" s="199"/>
      <c r="O258" s="199"/>
      <c r="P258" s="202"/>
      <c r="Q258" s="203"/>
      <c r="R258" s="203"/>
      <c r="S258" s="98"/>
      <c r="T258" s="199"/>
      <c r="U258" s="199"/>
      <c r="V258" s="73"/>
      <c r="W258" s="169"/>
      <c r="X258" s="173"/>
      <c r="Y258" s="190"/>
      <c r="Z258" s="167"/>
      <c r="AA258" s="45"/>
      <c r="AB258" s="57"/>
      <c r="AC258" s="169"/>
      <c r="AD258" s="165"/>
      <c r="AE258" s="165"/>
      <c r="AF258" s="167"/>
      <c r="AG258" s="168"/>
      <c r="AH258" s="165"/>
      <c r="AI258" s="167"/>
      <c r="AJ258" s="165"/>
      <c r="AK258" s="173"/>
      <c r="AL258" s="167"/>
      <c r="AM258" s="45"/>
      <c r="AN258" s="54"/>
      <c r="AO258" s="54"/>
      <c r="AP258" s="73"/>
      <c r="AQ258" s="165"/>
      <c r="AR258" s="168"/>
      <c r="AS258" s="165"/>
      <c r="AT258" s="190"/>
      <c r="AU258" s="167"/>
      <c r="AV258" s="45">
        <v>126</v>
      </c>
      <c r="AW258" s="54">
        <v>202</v>
      </c>
      <c r="AX258" s="54">
        <v>173</v>
      </c>
      <c r="AY258" s="53">
        <v>87</v>
      </c>
      <c r="AZ258" s="46">
        <v>46</v>
      </c>
      <c r="BA258" s="45"/>
      <c r="BB258" s="45"/>
      <c r="BC258" s="73"/>
      <c r="BD258" s="165"/>
      <c r="BE258" s="165"/>
      <c r="BF258" s="173"/>
      <c r="BG258" s="304"/>
      <c r="BH258" s="601"/>
      <c r="BI258" s="45"/>
      <c r="BJ258" s="46"/>
      <c r="BK258" s="45"/>
      <c r="BL258" s="53"/>
      <c r="BM258" s="200"/>
      <c r="BN258" s="165"/>
      <c r="BO258" s="173"/>
      <c r="BP258" s="190"/>
      <c r="BQ258" s="173"/>
      <c r="BR258" s="168"/>
      <c r="BS258" s="165"/>
      <c r="BT258" s="167"/>
      <c r="BU258" s="199"/>
      <c r="BV258" s="202"/>
      <c r="BW258" s="201"/>
      <c r="BX258" s="201"/>
      <c r="BY258" s="200"/>
      <c r="BZ258" s="199"/>
      <c r="CA258" s="201"/>
      <c r="CB258" s="202"/>
      <c r="CC258" s="200"/>
      <c r="CD258" s="199"/>
      <c r="CE258" s="201"/>
      <c r="CF258" s="201"/>
      <c r="CG258" s="106"/>
      <c r="CH258" s="165"/>
      <c r="CI258" s="167"/>
    </row>
    <row r="259" spans="1:87" x14ac:dyDescent="0.3">
      <c r="A259" s="10">
        <v>4005</v>
      </c>
      <c r="B259" s="11" t="s">
        <v>381</v>
      </c>
      <c r="C259" s="471">
        <v>683</v>
      </c>
      <c r="D259" s="54">
        <v>422</v>
      </c>
      <c r="E259" s="367">
        <f t="shared" si="3"/>
        <v>0.61786237188872617</v>
      </c>
      <c r="F259" s="45"/>
      <c r="G259" s="45"/>
      <c r="H259" s="45"/>
      <c r="I259" s="45"/>
      <c r="J259" s="46"/>
      <c r="K259" s="45"/>
      <c r="L259" s="107"/>
      <c r="M259" s="541"/>
      <c r="N259" s="199"/>
      <c r="O259" s="199"/>
      <c r="P259" s="202"/>
      <c r="Q259" s="203"/>
      <c r="R259" s="203"/>
      <c r="S259" s="98"/>
      <c r="T259" s="199"/>
      <c r="U259" s="199"/>
      <c r="V259" s="73"/>
      <c r="W259" s="169"/>
      <c r="X259" s="173"/>
      <c r="Y259" s="190"/>
      <c r="Z259" s="167"/>
      <c r="AA259" s="45"/>
      <c r="AB259" s="57"/>
      <c r="AC259" s="169"/>
      <c r="AD259" s="165"/>
      <c r="AE259" s="165"/>
      <c r="AF259" s="167"/>
      <c r="AG259" s="168"/>
      <c r="AH259" s="165"/>
      <c r="AI259" s="167"/>
      <c r="AJ259" s="165"/>
      <c r="AK259" s="173"/>
      <c r="AL259" s="167"/>
      <c r="AM259" s="45"/>
      <c r="AN259" s="54"/>
      <c r="AO259" s="54"/>
      <c r="AP259" s="73"/>
      <c r="AQ259" s="165"/>
      <c r="AR259" s="168"/>
      <c r="AS259" s="165"/>
      <c r="AT259" s="190"/>
      <c r="AU259" s="167"/>
      <c r="AV259" s="45">
        <v>154</v>
      </c>
      <c r="AW259" s="54">
        <v>190</v>
      </c>
      <c r="AX259" s="54">
        <v>162</v>
      </c>
      <c r="AY259" s="53">
        <v>64</v>
      </c>
      <c r="AZ259" s="46">
        <v>51</v>
      </c>
      <c r="BA259" s="45"/>
      <c r="BB259" s="45"/>
      <c r="BC259" s="73"/>
      <c r="BD259" s="165"/>
      <c r="BE259" s="165"/>
      <c r="BF259" s="173"/>
      <c r="BG259" s="304"/>
      <c r="BH259" s="601"/>
      <c r="BI259" s="45"/>
      <c r="BJ259" s="46"/>
      <c r="BK259" s="45"/>
      <c r="BL259" s="53"/>
      <c r="BM259" s="200"/>
      <c r="BN259" s="165"/>
      <c r="BO259" s="173"/>
      <c r="BP259" s="190"/>
      <c r="BQ259" s="173"/>
      <c r="BR259" s="168"/>
      <c r="BS259" s="165"/>
      <c r="BT259" s="167"/>
      <c r="BU259" s="199"/>
      <c r="BV259" s="202"/>
      <c r="BW259" s="201"/>
      <c r="BX259" s="201"/>
      <c r="BY259" s="200"/>
      <c r="BZ259" s="199"/>
      <c r="CA259" s="201"/>
      <c r="CB259" s="202"/>
      <c r="CC259" s="200"/>
      <c r="CD259" s="199"/>
      <c r="CE259" s="201"/>
      <c r="CF259" s="201"/>
      <c r="CG259" s="106"/>
      <c r="CH259" s="165"/>
      <c r="CI259" s="167"/>
    </row>
    <row r="260" spans="1:87" x14ac:dyDescent="0.3">
      <c r="A260" s="10">
        <v>4006</v>
      </c>
      <c r="B260" s="11" t="s">
        <v>382</v>
      </c>
      <c r="C260" s="471">
        <v>1044</v>
      </c>
      <c r="D260" s="54">
        <v>683</v>
      </c>
      <c r="E260" s="367">
        <f t="shared" si="3"/>
        <v>0.65421455938697315</v>
      </c>
      <c r="F260" s="45"/>
      <c r="G260" s="45"/>
      <c r="H260" s="45"/>
      <c r="I260" s="45"/>
      <c r="J260" s="46"/>
      <c r="K260" s="45"/>
      <c r="L260" s="107"/>
      <c r="M260" s="541"/>
      <c r="N260" s="199"/>
      <c r="O260" s="199"/>
      <c r="P260" s="202"/>
      <c r="Q260" s="203"/>
      <c r="R260" s="203"/>
      <c r="S260" s="98"/>
      <c r="T260" s="199"/>
      <c r="U260" s="199"/>
      <c r="V260" s="73"/>
      <c r="W260" s="169"/>
      <c r="X260" s="173"/>
      <c r="Y260" s="190"/>
      <c r="Z260" s="167"/>
      <c r="AA260" s="45"/>
      <c r="AB260" s="57"/>
      <c r="AC260" s="169"/>
      <c r="AD260" s="165"/>
      <c r="AE260" s="165"/>
      <c r="AF260" s="167"/>
      <c r="AG260" s="168"/>
      <c r="AH260" s="165"/>
      <c r="AI260" s="167"/>
      <c r="AJ260" s="165"/>
      <c r="AK260" s="173"/>
      <c r="AL260" s="167"/>
      <c r="AM260" s="45"/>
      <c r="AN260" s="54"/>
      <c r="AO260" s="54"/>
      <c r="AP260" s="73"/>
      <c r="AQ260" s="165"/>
      <c r="AR260" s="168"/>
      <c r="AS260" s="165"/>
      <c r="AT260" s="190"/>
      <c r="AU260" s="167"/>
      <c r="AV260" s="45">
        <v>269</v>
      </c>
      <c r="AW260" s="54">
        <v>300</v>
      </c>
      <c r="AX260" s="54">
        <v>271</v>
      </c>
      <c r="AY260" s="53">
        <v>127</v>
      </c>
      <c r="AZ260" s="46">
        <v>67</v>
      </c>
      <c r="BA260" s="45"/>
      <c r="BB260" s="45"/>
      <c r="BC260" s="73"/>
      <c r="BD260" s="165"/>
      <c r="BE260" s="165"/>
      <c r="BF260" s="173"/>
      <c r="BG260" s="304"/>
      <c r="BH260" s="601"/>
      <c r="BI260" s="45"/>
      <c r="BJ260" s="46"/>
      <c r="BK260" s="45"/>
      <c r="BL260" s="53"/>
      <c r="BM260" s="200"/>
      <c r="BN260" s="165"/>
      <c r="BO260" s="173"/>
      <c r="BP260" s="190"/>
      <c r="BQ260" s="173"/>
      <c r="BR260" s="168"/>
      <c r="BS260" s="165"/>
      <c r="BT260" s="167"/>
      <c r="BU260" s="199"/>
      <c r="BV260" s="202"/>
      <c r="BW260" s="201"/>
      <c r="BX260" s="201"/>
      <c r="BY260" s="200"/>
      <c r="BZ260" s="199"/>
      <c r="CA260" s="201"/>
      <c r="CB260" s="202"/>
      <c r="CC260" s="200"/>
      <c r="CD260" s="199"/>
      <c r="CE260" s="201"/>
      <c r="CF260" s="201"/>
      <c r="CG260" s="106"/>
      <c r="CH260" s="165"/>
      <c r="CI260" s="167"/>
    </row>
    <row r="261" spans="1:87" x14ac:dyDescent="0.3">
      <c r="A261" s="10">
        <v>4007</v>
      </c>
      <c r="B261" s="11" t="s">
        <v>383</v>
      </c>
      <c r="C261" s="471">
        <v>630</v>
      </c>
      <c r="D261" s="54">
        <v>442</v>
      </c>
      <c r="E261" s="367">
        <f t="shared" si="3"/>
        <v>0.70158730158730154</v>
      </c>
      <c r="F261" s="45"/>
      <c r="G261" s="45"/>
      <c r="H261" s="45"/>
      <c r="I261" s="45"/>
      <c r="J261" s="46"/>
      <c r="K261" s="45"/>
      <c r="L261" s="107"/>
      <c r="M261" s="541"/>
      <c r="N261" s="45"/>
      <c r="O261" s="45"/>
      <c r="P261" s="53"/>
      <c r="Q261" s="57"/>
      <c r="R261" s="57"/>
      <c r="S261" s="74"/>
      <c r="T261" s="45"/>
      <c r="U261" s="45"/>
      <c r="V261" s="73"/>
      <c r="W261" s="169"/>
      <c r="X261" s="173"/>
      <c r="Y261" s="190"/>
      <c r="Z261" s="167"/>
      <c r="AA261" s="45"/>
      <c r="AB261" s="57"/>
      <c r="AC261" s="169"/>
      <c r="AD261" s="165"/>
      <c r="AE261" s="165"/>
      <c r="AF261" s="167"/>
      <c r="AG261" s="168"/>
      <c r="AH261" s="165"/>
      <c r="AI261" s="167"/>
      <c r="AJ261" s="165"/>
      <c r="AK261" s="173"/>
      <c r="AL261" s="167"/>
      <c r="AM261" s="45"/>
      <c r="AN261" s="54"/>
      <c r="AO261" s="54"/>
      <c r="AP261" s="73"/>
      <c r="AQ261" s="165"/>
      <c r="AR261" s="168"/>
      <c r="AS261" s="165"/>
      <c r="AT261" s="190"/>
      <c r="AU261" s="167"/>
      <c r="AV261" s="45">
        <v>151</v>
      </c>
      <c r="AW261" s="54">
        <v>179</v>
      </c>
      <c r="AX261" s="54">
        <v>204</v>
      </c>
      <c r="AY261" s="53">
        <v>61</v>
      </c>
      <c r="AZ261" s="46">
        <v>69</v>
      </c>
      <c r="BA261" s="45"/>
      <c r="BB261" s="45"/>
      <c r="BC261" s="73"/>
      <c r="BD261" s="165"/>
      <c r="BE261" s="165"/>
      <c r="BF261" s="173"/>
      <c r="BG261" s="304"/>
      <c r="BH261" s="601"/>
      <c r="BI261" s="45"/>
      <c r="BJ261" s="46"/>
      <c r="BK261" s="45"/>
      <c r="BL261" s="53"/>
      <c r="BM261" s="200"/>
      <c r="BN261" s="165"/>
      <c r="BO261" s="173"/>
      <c r="BP261" s="190"/>
      <c r="BQ261" s="173"/>
      <c r="BR261" s="168"/>
      <c r="BS261" s="165"/>
      <c r="BT261" s="167"/>
      <c r="BU261" s="199"/>
      <c r="BV261" s="202"/>
      <c r="BW261" s="201"/>
      <c r="BX261" s="201"/>
      <c r="BY261" s="200"/>
      <c r="BZ261" s="199"/>
      <c r="CA261" s="201"/>
      <c r="CB261" s="202"/>
      <c r="CC261" s="200"/>
      <c r="CD261" s="199"/>
      <c r="CE261" s="201"/>
      <c r="CF261" s="201"/>
      <c r="CG261" s="106"/>
      <c r="CH261" s="165"/>
      <c r="CI261" s="167"/>
    </row>
    <row r="262" spans="1:87" x14ac:dyDescent="0.3">
      <c r="A262" s="10">
        <v>4008</v>
      </c>
      <c r="B262" s="11" t="s">
        <v>384</v>
      </c>
      <c r="C262" s="471">
        <v>1079</v>
      </c>
      <c r="D262" s="54">
        <v>682</v>
      </c>
      <c r="E262" s="367">
        <f t="shared" si="3"/>
        <v>0.63206672845227063</v>
      </c>
      <c r="F262" s="45"/>
      <c r="G262" s="45"/>
      <c r="H262" s="45"/>
      <c r="I262" s="45"/>
      <c r="J262" s="46"/>
      <c r="K262" s="45"/>
      <c r="L262" s="107"/>
      <c r="M262" s="541"/>
      <c r="N262" s="45"/>
      <c r="O262" s="45"/>
      <c r="P262" s="53"/>
      <c r="Q262" s="57"/>
      <c r="R262" s="57"/>
      <c r="S262" s="74"/>
      <c r="T262" s="45"/>
      <c r="U262" s="45"/>
      <c r="V262" s="73"/>
      <c r="W262" s="169"/>
      <c r="X262" s="173"/>
      <c r="Y262" s="190"/>
      <c r="Z262" s="167"/>
      <c r="AA262" s="45"/>
      <c r="AB262" s="57"/>
      <c r="AC262" s="169"/>
      <c r="AD262" s="165"/>
      <c r="AE262" s="165"/>
      <c r="AF262" s="167"/>
      <c r="AG262" s="168"/>
      <c r="AH262" s="165"/>
      <c r="AI262" s="167"/>
      <c r="AJ262" s="165"/>
      <c r="AK262" s="173"/>
      <c r="AL262" s="167"/>
      <c r="AM262" s="45"/>
      <c r="AN262" s="54"/>
      <c r="AO262" s="54"/>
      <c r="AP262" s="73"/>
      <c r="AQ262" s="165"/>
      <c r="AR262" s="168"/>
      <c r="AS262" s="165"/>
      <c r="AT262" s="190"/>
      <c r="AU262" s="167"/>
      <c r="AV262" s="45">
        <v>276</v>
      </c>
      <c r="AW262" s="54">
        <v>265</v>
      </c>
      <c r="AX262" s="54">
        <v>275</v>
      </c>
      <c r="AY262" s="53">
        <v>192</v>
      </c>
      <c r="AZ262" s="46">
        <v>64</v>
      </c>
      <c r="BA262" s="45"/>
      <c r="BB262" s="45"/>
      <c r="BC262" s="73"/>
      <c r="BD262" s="165"/>
      <c r="BE262" s="165"/>
      <c r="BF262" s="173"/>
      <c r="BG262" s="304"/>
      <c r="BH262" s="601"/>
      <c r="BI262" s="45"/>
      <c r="BJ262" s="46"/>
      <c r="BK262" s="45"/>
      <c r="BL262" s="53"/>
      <c r="BM262" s="200"/>
      <c r="BN262" s="165"/>
      <c r="BO262" s="173"/>
      <c r="BP262" s="190"/>
      <c r="BQ262" s="173"/>
      <c r="BR262" s="168"/>
      <c r="BS262" s="165"/>
      <c r="BT262" s="167"/>
      <c r="BU262" s="199"/>
      <c r="BV262" s="202"/>
      <c r="BW262" s="201"/>
      <c r="BX262" s="201"/>
      <c r="BY262" s="200"/>
      <c r="BZ262" s="199"/>
      <c r="CA262" s="201"/>
      <c r="CB262" s="202"/>
      <c r="CC262" s="200"/>
      <c r="CD262" s="199"/>
      <c r="CE262" s="201"/>
      <c r="CF262" s="201"/>
      <c r="CG262" s="106"/>
      <c r="CH262" s="165"/>
      <c r="CI262" s="167"/>
    </row>
    <row r="263" spans="1:87" x14ac:dyDescent="0.3">
      <c r="A263" s="10">
        <v>4009</v>
      </c>
      <c r="B263" s="11" t="s">
        <v>385</v>
      </c>
      <c r="C263" s="471">
        <v>1102</v>
      </c>
      <c r="D263" s="54">
        <v>694</v>
      </c>
      <c r="E263" s="367">
        <f t="shared" si="3"/>
        <v>0.62976406533575313</v>
      </c>
      <c r="F263" s="45"/>
      <c r="G263" s="45"/>
      <c r="H263" s="45"/>
      <c r="I263" s="45"/>
      <c r="J263" s="46"/>
      <c r="K263" s="45"/>
      <c r="L263" s="107"/>
      <c r="M263" s="541"/>
      <c r="N263" s="45"/>
      <c r="O263" s="45"/>
      <c r="P263" s="53"/>
      <c r="Q263" s="57"/>
      <c r="R263" s="57"/>
      <c r="S263" s="74"/>
      <c r="T263" s="45"/>
      <c r="U263" s="45"/>
      <c r="V263" s="73"/>
      <c r="W263" s="169"/>
      <c r="X263" s="173"/>
      <c r="Y263" s="190"/>
      <c r="Z263" s="167"/>
      <c r="AA263" s="45"/>
      <c r="AB263" s="57"/>
      <c r="AC263" s="169"/>
      <c r="AD263" s="165"/>
      <c r="AE263" s="165"/>
      <c r="AF263" s="167"/>
      <c r="AG263" s="168"/>
      <c r="AH263" s="165"/>
      <c r="AI263" s="167"/>
      <c r="AJ263" s="165"/>
      <c r="AK263" s="173"/>
      <c r="AL263" s="167"/>
      <c r="AM263" s="45"/>
      <c r="AN263" s="54"/>
      <c r="AO263" s="54"/>
      <c r="AP263" s="73"/>
      <c r="AQ263" s="165"/>
      <c r="AR263" s="168"/>
      <c r="AS263" s="165"/>
      <c r="AT263" s="190"/>
      <c r="AU263" s="167"/>
      <c r="AV263" s="45">
        <v>245</v>
      </c>
      <c r="AW263" s="54">
        <v>297</v>
      </c>
      <c r="AX263" s="54">
        <v>253</v>
      </c>
      <c r="AY263" s="53">
        <v>163</v>
      </c>
      <c r="AZ263" s="46">
        <v>64</v>
      </c>
      <c r="BA263" s="45"/>
      <c r="BB263" s="45"/>
      <c r="BC263" s="73"/>
      <c r="BD263" s="165"/>
      <c r="BE263" s="165"/>
      <c r="BF263" s="173"/>
      <c r="BG263" s="304"/>
      <c r="BH263" s="601"/>
      <c r="BI263" s="45"/>
      <c r="BJ263" s="46"/>
      <c r="BK263" s="45"/>
      <c r="BL263" s="53"/>
      <c r="BM263" s="200"/>
      <c r="BN263" s="165"/>
      <c r="BO263" s="173"/>
      <c r="BP263" s="190"/>
      <c r="BQ263" s="173"/>
      <c r="BR263" s="168"/>
      <c r="BS263" s="165"/>
      <c r="BT263" s="167"/>
      <c r="BU263" s="199"/>
      <c r="BV263" s="202"/>
      <c r="BW263" s="201"/>
      <c r="BX263" s="201"/>
      <c r="BY263" s="200"/>
      <c r="BZ263" s="199"/>
      <c r="CA263" s="201"/>
      <c r="CB263" s="202"/>
      <c r="CC263" s="200"/>
      <c r="CD263" s="199"/>
      <c r="CE263" s="201"/>
      <c r="CF263" s="201"/>
      <c r="CG263" s="106"/>
      <c r="CH263" s="165"/>
      <c r="CI263" s="167"/>
    </row>
    <row r="264" spans="1:87" x14ac:dyDescent="0.3">
      <c r="A264" s="10">
        <v>4111</v>
      </c>
      <c r="B264" s="11" t="s">
        <v>386</v>
      </c>
      <c r="C264" s="471">
        <v>1482</v>
      </c>
      <c r="D264" s="54">
        <v>499</v>
      </c>
      <c r="E264" s="367">
        <f t="shared" si="3"/>
        <v>0.33670715249662619</v>
      </c>
      <c r="F264" s="45"/>
      <c r="G264" s="45"/>
      <c r="H264" s="45"/>
      <c r="I264" s="45"/>
      <c r="J264" s="46"/>
      <c r="K264" s="45"/>
      <c r="L264" s="107"/>
      <c r="M264" s="541"/>
      <c r="N264" s="45"/>
      <c r="O264" s="45"/>
      <c r="P264" s="53"/>
      <c r="Q264" s="57"/>
      <c r="R264" s="57"/>
      <c r="S264" s="74"/>
      <c r="T264" s="45"/>
      <c r="U264" s="45"/>
      <c r="V264" s="73"/>
      <c r="W264" s="169"/>
      <c r="X264" s="173"/>
      <c r="Y264" s="190"/>
      <c r="Z264" s="167"/>
      <c r="AA264" s="45"/>
      <c r="AB264" s="57"/>
      <c r="AC264" s="169"/>
      <c r="AD264" s="165"/>
      <c r="AE264" s="165"/>
      <c r="AF264" s="167"/>
      <c r="AG264" s="73">
        <v>342</v>
      </c>
      <c r="AH264" s="165"/>
      <c r="AI264" s="167"/>
      <c r="AJ264" s="165"/>
      <c r="AK264" s="173"/>
      <c r="AL264" s="167"/>
      <c r="AM264" s="45"/>
      <c r="AN264" s="54"/>
      <c r="AO264" s="54"/>
      <c r="AP264" s="73"/>
      <c r="AQ264" s="165"/>
      <c r="AR264" s="168"/>
      <c r="AS264" s="165"/>
      <c r="AT264" s="190"/>
      <c r="AU264" s="167"/>
      <c r="AV264" s="199"/>
      <c r="AW264" s="201"/>
      <c r="AX264" s="201"/>
      <c r="AY264" s="202"/>
      <c r="AZ264" s="200"/>
      <c r="BA264" s="45"/>
      <c r="BB264" s="45"/>
      <c r="BC264" s="73"/>
      <c r="BD264" s="165"/>
      <c r="BE264" s="165"/>
      <c r="BF264" s="173"/>
      <c r="BG264" s="304"/>
      <c r="BH264" s="601"/>
      <c r="BI264" s="45"/>
      <c r="BJ264" s="46"/>
      <c r="BK264" s="45"/>
      <c r="BL264" s="53"/>
      <c r="BM264" s="200"/>
      <c r="BN264" s="165"/>
      <c r="BO264" s="173"/>
      <c r="BP264" s="190"/>
      <c r="BQ264" s="173"/>
      <c r="BR264" s="168"/>
      <c r="BS264" s="165"/>
      <c r="BT264" s="167"/>
      <c r="BU264" s="199"/>
      <c r="BV264" s="202"/>
      <c r="BW264" s="201"/>
      <c r="BX264" s="201"/>
      <c r="BY264" s="200"/>
      <c r="BZ264" s="199"/>
      <c r="CA264" s="201"/>
      <c r="CB264" s="202"/>
      <c r="CC264" s="200"/>
      <c r="CD264" s="199"/>
      <c r="CE264" s="201"/>
      <c r="CF264" s="201"/>
      <c r="CG264" s="106"/>
      <c r="CH264" s="165"/>
      <c r="CI264" s="167"/>
    </row>
    <row r="265" spans="1:87" x14ac:dyDescent="0.3">
      <c r="A265" s="10">
        <v>4121</v>
      </c>
      <c r="B265" s="11" t="s">
        <v>387</v>
      </c>
      <c r="C265" s="471">
        <v>1023</v>
      </c>
      <c r="D265" s="54">
        <v>477</v>
      </c>
      <c r="E265" s="367">
        <f t="shared" si="3"/>
        <v>0.4662756598240469</v>
      </c>
      <c r="F265" s="45"/>
      <c r="G265" s="45"/>
      <c r="H265" s="45"/>
      <c r="I265" s="45"/>
      <c r="J265" s="46"/>
      <c r="K265" s="45"/>
      <c r="L265" s="107"/>
      <c r="M265" s="541"/>
      <c r="N265" s="45"/>
      <c r="O265" s="45"/>
      <c r="P265" s="53"/>
      <c r="Q265" s="57"/>
      <c r="R265" s="57"/>
      <c r="S265" s="74"/>
      <c r="T265" s="45"/>
      <c r="U265" s="45"/>
      <c r="V265" s="73"/>
      <c r="W265" s="169"/>
      <c r="X265" s="173"/>
      <c r="Y265" s="190"/>
      <c r="Z265" s="167"/>
      <c r="AA265" s="45"/>
      <c r="AB265" s="57"/>
      <c r="AC265" s="169"/>
      <c r="AD265" s="165"/>
      <c r="AE265" s="165"/>
      <c r="AF265" s="167"/>
      <c r="AG265" s="73">
        <v>314</v>
      </c>
      <c r="AH265" s="165"/>
      <c r="AI265" s="167"/>
      <c r="AJ265" s="165"/>
      <c r="AK265" s="173"/>
      <c r="AL265" s="167"/>
      <c r="AM265" s="45"/>
      <c r="AN265" s="54"/>
      <c r="AO265" s="54"/>
      <c r="AP265" s="73"/>
      <c r="AQ265" s="165"/>
      <c r="AR265" s="168"/>
      <c r="AS265" s="165"/>
      <c r="AT265" s="190"/>
      <c r="AU265" s="167"/>
      <c r="AV265" s="199"/>
      <c r="AW265" s="201"/>
      <c r="AX265" s="201"/>
      <c r="AY265" s="202"/>
      <c r="AZ265" s="200"/>
      <c r="BA265" s="199"/>
      <c r="BB265" s="199"/>
      <c r="BC265" s="106"/>
      <c r="BD265" s="165"/>
      <c r="BE265" s="165"/>
      <c r="BF265" s="173"/>
      <c r="BG265" s="304"/>
      <c r="BH265" s="601"/>
      <c r="BI265" s="45"/>
      <c r="BJ265" s="46"/>
      <c r="BK265" s="45"/>
      <c r="BL265" s="53"/>
      <c r="BM265" s="200"/>
      <c r="BN265" s="165"/>
      <c r="BO265" s="173"/>
      <c r="BP265" s="190"/>
      <c r="BQ265" s="173"/>
      <c r="BR265" s="168"/>
      <c r="BS265" s="165"/>
      <c r="BT265" s="167"/>
      <c r="BU265" s="199"/>
      <c r="BV265" s="202"/>
      <c r="BW265" s="201"/>
      <c r="BX265" s="201"/>
      <c r="BY265" s="200"/>
      <c r="BZ265" s="199"/>
      <c r="CA265" s="201"/>
      <c r="CB265" s="202"/>
      <c r="CC265" s="200"/>
      <c r="CD265" s="199"/>
      <c r="CE265" s="201"/>
      <c r="CF265" s="201"/>
      <c r="CG265" s="106"/>
      <c r="CH265" s="165"/>
      <c r="CI265" s="167"/>
    </row>
    <row r="266" spans="1:87" x14ac:dyDescent="0.3">
      <c r="A266" s="10">
        <v>4131</v>
      </c>
      <c r="B266" s="11" t="s">
        <v>388</v>
      </c>
      <c r="C266" s="471">
        <v>1086</v>
      </c>
      <c r="D266" s="54">
        <v>421</v>
      </c>
      <c r="E266" s="367">
        <f t="shared" si="3"/>
        <v>0.38766114180478822</v>
      </c>
      <c r="F266" s="45"/>
      <c r="G266" s="45"/>
      <c r="H266" s="45"/>
      <c r="I266" s="45"/>
      <c r="J266" s="46"/>
      <c r="K266" s="45"/>
      <c r="L266" s="107"/>
      <c r="M266" s="541"/>
      <c r="N266" s="45"/>
      <c r="O266" s="45"/>
      <c r="P266" s="53"/>
      <c r="Q266" s="57"/>
      <c r="R266" s="57"/>
      <c r="S266" s="74"/>
      <c r="T266" s="45"/>
      <c r="U266" s="45"/>
      <c r="V266" s="73"/>
      <c r="W266" s="169"/>
      <c r="X266" s="173"/>
      <c r="Y266" s="190"/>
      <c r="Z266" s="167"/>
      <c r="AA266" s="45"/>
      <c r="AB266" s="57"/>
      <c r="AC266" s="169"/>
      <c r="AD266" s="165"/>
      <c r="AE266" s="165"/>
      <c r="AF266" s="167"/>
      <c r="AG266" s="73">
        <v>289</v>
      </c>
      <c r="AH266" s="165"/>
      <c r="AI266" s="167"/>
      <c r="AJ266" s="165"/>
      <c r="AK266" s="173"/>
      <c r="AL266" s="167"/>
      <c r="AM266" s="45"/>
      <c r="AN266" s="54"/>
      <c r="AO266" s="54"/>
      <c r="AP266" s="73"/>
      <c r="AQ266" s="165"/>
      <c r="AR266" s="168"/>
      <c r="AS266" s="165"/>
      <c r="AT266" s="190"/>
      <c r="AU266" s="167"/>
      <c r="AV266" s="199"/>
      <c r="AW266" s="201"/>
      <c r="AX266" s="201"/>
      <c r="AY266" s="202"/>
      <c r="AZ266" s="200"/>
      <c r="BA266" s="199"/>
      <c r="BB266" s="199"/>
      <c r="BC266" s="106"/>
      <c r="BD266" s="165"/>
      <c r="BE266" s="165"/>
      <c r="BF266" s="173"/>
      <c r="BG266" s="304"/>
      <c r="BH266" s="601"/>
      <c r="BI266" s="45"/>
      <c r="BJ266" s="46"/>
      <c r="BK266" s="45"/>
      <c r="BL266" s="53"/>
      <c r="BM266" s="200"/>
      <c r="BN266" s="165"/>
      <c r="BO266" s="173"/>
      <c r="BP266" s="190"/>
      <c r="BQ266" s="173"/>
      <c r="BR266" s="168"/>
      <c r="BS266" s="165"/>
      <c r="BT266" s="167"/>
      <c r="BU266" s="199"/>
      <c r="BV266" s="202"/>
      <c r="BW266" s="201"/>
      <c r="BX266" s="201"/>
      <c r="BY266" s="200"/>
      <c r="BZ266" s="199"/>
      <c r="CA266" s="201"/>
      <c r="CB266" s="202"/>
      <c r="CC266" s="200"/>
      <c r="CD266" s="199"/>
      <c r="CE266" s="201"/>
      <c r="CF266" s="201"/>
      <c r="CG266" s="106"/>
      <c r="CH266" s="165"/>
      <c r="CI266" s="167"/>
    </row>
    <row r="267" spans="1:87" x14ac:dyDescent="0.3">
      <c r="A267" s="10">
        <v>4141</v>
      </c>
      <c r="B267" s="11" t="s">
        <v>389</v>
      </c>
      <c r="C267" s="471">
        <v>922</v>
      </c>
      <c r="D267" s="54">
        <v>364</v>
      </c>
      <c r="E267" s="367">
        <f t="shared" si="3"/>
        <v>0.39479392624728848</v>
      </c>
      <c r="F267" s="45"/>
      <c r="G267" s="45"/>
      <c r="H267" s="45"/>
      <c r="I267" s="45"/>
      <c r="J267" s="46"/>
      <c r="K267" s="45"/>
      <c r="L267" s="107"/>
      <c r="M267" s="541"/>
      <c r="N267" s="45"/>
      <c r="O267" s="45"/>
      <c r="P267" s="53"/>
      <c r="Q267" s="57"/>
      <c r="R267" s="57"/>
      <c r="S267" s="74"/>
      <c r="T267" s="45"/>
      <c r="U267" s="45"/>
      <c r="V267" s="73"/>
      <c r="W267" s="169"/>
      <c r="X267" s="173"/>
      <c r="Y267" s="190"/>
      <c r="Z267" s="167"/>
      <c r="AA267" s="45"/>
      <c r="AB267" s="57"/>
      <c r="AC267" s="169"/>
      <c r="AD267" s="165"/>
      <c r="AE267" s="165"/>
      <c r="AF267" s="167"/>
      <c r="AG267" s="73">
        <v>252</v>
      </c>
      <c r="AH267" s="165"/>
      <c r="AI267" s="167"/>
      <c r="AJ267" s="165"/>
      <c r="AK267" s="173"/>
      <c r="AL267" s="167"/>
      <c r="AM267" s="45"/>
      <c r="AN267" s="54"/>
      <c r="AO267" s="54"/>
      <c r="AP267" s="73"/>
      <c r="AQ267" s="165"/>
      <c r="AR267" s="168"/>
      <c r="AS267" s="165"/>
      <c r="AT267" s="190"/>
      <c r="AU267" s="167"/>
      <c r="AV267" s="199"/>
      <c r="AW267" s="201"/>
      <c r="AX267" s="201"/>
      <c r="AY267" s="202"/>
      <c r="AZ267" s="200"/>
      <c r="BA267" s="199"/>
      <c r="BB267" s="199"/>
      <c r="BC267" s="106"/>
      <c r="BD267" s="165"/>
      <c r="BE267" s="165"/>
      <c r="BF267" s="173"/>
      <c r="BG267" s="304"/>
      <c r="BH267" s="601"/>
      <c r="BI267" s="45"/>
      <c r="BJ267" s="46"/>
      <c r="BK267" s="45"/>
      <c r="BL267" s="53"/>
      <c r="BM267" s="200"/>
      <c r="BN267" s="165"/>
      <c r="BO267" s="173"/>
      <c r="BP267" s="190"/>
      <c r="BQ267" s="173"/>
      <c r="BR267" s="168"/>
      <c r="BS267" s="165"/>
      <c r="BT267" s="167"/>
      <c r="BU267" s="199"/>
      <c r="BV267" s="202"/>
      <c r="BW267" s="201"/>
      <c r="BX267" s="201"/>
      <c r="BY267" s="200"/>
      <c r="BZ267" s="199"/>
      <c r="CA267" s="201"/>
      <c r="CB267" s="202"/>
      <c r="CC267" s="200"/>
      <c r="CD267" s="199"/>
      <c r="CE267" s="201"/>
      <c r="CF267" s="201"/>
      <c r="CG267" s="106"/>
      <c r="CH267" s="165"/>
      <c r="CI267" s="167"/>
    </row>
    <row r="268" spans="1:87" x14ac:dyDescent="0.3">
      <c r="A268" s="10">
        <v>4311</v>
      </c>
      <c r="B268" s="11" t="s">
        <v>390</v>
      </c>
      <c r="C268" s="471">
        <v>581</v>
      </c>
      <c r="D268" s="54">
        <v>254</v>
      </c>
      <c r="E268" s="367">
        <f t="shared" si="3"/>
        <v>0.43717728055077454</v>
      </c>
      <c r="F268" s="45"/>
      <c r="G268" s="45"/>
      <c r="H268" s="45"/>
      <c r="I268" s="45"/>
      <c r="J268" s="46"/>
      <c r="K268" s="45"/>
      <c r="L268" s="107"/>
      <c r="M268" s="541"/>
      <c r="N268" s="45"/>
      <c r="O268" s="45"/>
      <c r="P268" s="53"/>
      <c r="Q268" s="57"/>
      <c r="R268" s="57"/>
      <c r="S268" s="74"/>
      <c r="T268" s="45"/>
      <c r="U268" s="45"/>
      <c r="V268" s="73"/>
      <c r="W268" s="169"/>
      <c r="X268" s="173"/>
      <c r="Y268" s="190"/>
      <c r="Z268" s="167"/>
      <c r="AA268" s="45"/>
      <c r="AB268" s="57"/>
      <c r="AC268" s="169"/>
      <c r="AD268" s="165"/>
      <c r="AE268" s="165"/>
      <c r="AF268" s="167"/>
      <c r="AG268" s="106"/>
      <c r="AH268" s="45">
        <v>145</v>
      </c>
      <c r="AI268" s="46">
        <v>89</v>
      </c>
      <c r="AJ268" s="165"/>
      <c r="AK268" s="173"/>
      <c r="AL268" s="167"/>
      <c r="AM268" s="45"/>
      <c r="AN268" s="54"/>
      <c r="AO268" s="54"/>
      <c r="AP268" s="73"/>
      <c r="AQ268" s="165"/>
      <c r="AR268" s="168"/>
      <c r="AS268" s="165"/>
      <c r="AT268" s="190"/>
      <c r="AU268" s="167"/>
      <c r="AV268" s="199"/>
      <c r="AW268" s="201"/>
      <c r="AX268" s="201"/>
      <c r="AY268" s="202"/>
      <c r="AZ268" s="200"/>
      <c r="BA268" s="199"/>
      <c r="BB268" s="199"/>
      <c r="BC268" s="106"/>
      <c r="BD268" s="165"/>
      <c r="BE268" s="165"/>
      <c r="BF268" s="173"/>
      <c r="BG268" s="304"/>
      <c r="BH268" s="601"/>
      <c r="BI268" s="45"/>
      <c r="BJ268" s="46"/>
      <c r="BK268" s="45"/>
      <c r="BL268" s="53"/>
      <c r="BM268" s="200"/>
      <c r="BN268" s="165"/>
      <c r="BO268" s="173"/>
      <c r="BP268" s="190"/>
      <c r="BQ268" s="173"/>
      <c r="BR268" s="168"/>
      <c r="BS268" s="165"/>
      <c r="BT268" s="167"/>
      <c r="BU268" s="199"/>
      <c r="BV268" s="202"/>
      <c r="BW268" s="201"/>
      <c r="BX268" s="201"/>
      <c r="BY268" s="200"/>
      <c r="BZ268" s="199"/>
      <c r="CA268" s="201"/>
      <c r="CB268" s="202"/>
      <c r="CC268" s="200"/>
      <c r="CD268" s="199"/>
      <c r="CE268" s="201"/>
      <c r="CF268" s="201"/>
      <c r="CG268" s="106"/>
      <c r="CH268" s="165"/>
      <c r="CI268" s="167"/>
    </row>
    <row r="269" spans="1:87" x14ac:dyDescent="0.3">
      <c r="A269" s="10">
        <v>4312</v>
      </c>
      <c r="B269" s="11" t="s">
        <v>391</v>
      </c>
      <c r="C269" s="471">
        <v>1188</v>
      </c>
      <c r="D269" s="54">
        <v>473</v>
      </c>
      <c r="E269" s="367">
        <f t="shared" si="3"/>
        <v>0.39814814814814814</v>
      </c>
      <c r="F269" s="45"/>
      <c r="G269" s="45"/>
      <c r="H269" s="45"/>
      <c r="I269" s="45"/>
      <c r="J269" s="46"/>
      <c r="K269" s="45"/>
      <c r="L269" s="107"/>
      <c r="M269" s="541"/>
      <c r="N269" s="45"/>
      <c r="O269" s="45"/>
      <c r="P269" s="53"/>
      <c r="Q269" s="57"/>
      <c r="R269" s="57"/>
      <c r="S269" s="74"/>
      <c r="T269" s="45"/>
      <c r="U269" s="45"/>
      <c r="V269" s="73"/>
      <c r="W269" s="169"/>
      <c r="X269" s="173"/>
      <c r="Y269" s="190"/>
      <c r="Z269" s="167"/>
      <c r="AA269" s="45"/>
      <c r="AB269" s="57"/>
      <c r="AC269" s="169"/>
      <c r="AD269" s="165"/>
      <c r="AE269" s="165"/>
      <c r="AF269" s="167"/>
      <c r="AG269" s="106"/>
      <c r="AH269" s="45">
        <v>288</v>
      </c>
      <c r="AI269" s="46">
        <v>191</v>
      </c>
      <c r="AJ269" s="165"/>
      <c r="AK269" s="173"/>
      <c r="AL269" s="167"/>
      <c r="AM269" s="45"/>
      <c r="AN269" s="54"/>
      <c r="AO269" s="54"/>
      <c r="AP269" s="73"/>
      <c r="AQ269" s="165"/>
      <c r="AR269" s="168"/>
      <c r="AS269" s="165"/>
      <c r="AT269" s="190"/>
      <c r="AU269" s="167"/>
      <c r="AV269" s="199"/>
      <c r="AW269" s="201"/>
      <c r="AX269" s="201"/>
      <c r="AY269" s="202"/>
      <c r="AZ269" s="200"/>
      <c r="BA269" s="199"/>
      <c r="BB269" s="199"/>
      <c r="BC269" s="106"/>
      <c r="BD269" s="165"/>
      <c r="BE269" s="165"/>
      <c r="BF269" s="173"/>
      <c r="BG269" s="304"/>
      <c r="BH269" s="601"/>
      <c r="BI269" s="45"/>
      <c r="BJ269" s="46"/>
      <c r="BK269" s="45"/>
      <c r="BL269" s="53"/>
      <c r="BM269" s="200"/>
      <c r="BN269" s="165"/>
      <c r="BO269" s="173"/>
      <c r="BP269" s="190"/>
      <c r="BQ269" s="173"/>
      <c r="BR269" s="168"/>
      <c r="BS269" s="165"/>
      <c r="BT269" s="167"/>
      <c r="BU269" s="199"/>
      <c r="BV269" s="202"/>
      <c r="BW269" s="201"/>
      <c r="BX269" s="201"/>
      <c r="BY269" s="200"/>
      <c r="BZ269" s="199"/>
      <c r="CA269" s="201"/>
      <c r="CB269" s="202"/>
      <c r="CC269" s="200"/>
      <c r="CD269" s="199"/>
      <c r="CE269" s="201"/>
      <c r="CF269" s="201"/>
      <c r="CG269" s="106"/>
      <c r="CH269" s="165"/>
      <c r="CI269" s="167"/>
    </row>
    <row r="270" spans="1:87" x14ac:dyDescent="0.3">
      <c r="A270" s="10">
        <v>4321</v>
      </c>
      <c r="B270" s="11" t="s">
        <v>392</v>
      </c>
      <c r="C270" s="471">
        <v>1069</v>
      </c>
      <c r="D270" s="54">
        <v>284</v>
      </c>
      <c r="E270" s="367">
        <f t="shared" si="3"/>
        <v>0.26566884939195512</v>
      </c>
      <c r="F270" s="45"/>
      <c r="G270" s="45"/>
      <c r="H270" s="45"/>
      <c r="I270" s="45"/>
      <c r="J270" s="46"/>
      <c r="K270" s="45"/>
      <c r="L270" s="107"/>
      <c r="M270" s="541"/>
      <c r="N270" s="45"/>
      <c r="O270" s="45"/>
      <c r="P270" s="53"/>
      <c r="Q270" s="57"/>
      <c r="R270" s="57"/>
      <c r="S270" s="74"/>
      <c r="T270" s="45"/>
      <c r="U270" s="45"/>
      <c r="V270" s="73"/>
      <c r="W270" s="169"/>
      <c r="X270" s="173"/>
      <c r="Y270" s="190"/>
      <c r="Z270" s="167"/>
      <c r="AA270" s="45"/>
      <c r="AB270" s="57"/>
      <c r="AC270" s="169"/>
      <c r="AD270" s="165"/>
      <c r="AE270" s="165"/>
      <c r="AF270" s="167"/>
      <c r="AG270" s="106"/>
      <c r="AH270" s="45">
        <v>190</v>
      </c>
      <c r="AI270" s="46">
        <v>88</v>
      </c>
      <c r="AJ270" s="165"/>
      <c r="AK270" s="173"/>
      <c r="AL270" s="167"/>
      <c r="AM270" s="45"/>
      <c r="AN270" s="54"/>
      <c r="AO270" s="54"/>
      <c r="AP270" s="73"/>
      <c r="AQ270" s="165"/>
      <c r="AR270" s="168"/>
      <c r="AS270" s="165"/>
      <c r="AT270" s="190"/>
      <c r="AU270" s="167"/>
      <c r="AV270" s="199"/>
      <c r="AW270" s="201"/>
      <c r="AX270" s="201"/>
      <c r="AY270" s="202"/>
      <c r="AZ270" s="200"/>
      <c r="BA270" s="199"/>
      <c r="BB270" s="199"/>
      <c r="BC270" s="106"/>
      <c r="BD270" s="165"/>
      <c r="BE270" s="165"/>
      <c r="BF270" s="173"/>
      <c r="BG270" s="304"/>
      <c r="BH270" s="601"/>
      <c r="BI270" s="45">
        <v>1</v>
      </c>
      <c r="BJ270" s="46">
        <v>2</v>
      </c>
      <c r="BK270" s="45"/>
      <c r="BL270" s="53"/>
      <c r="BM270" s="200"/>
      <c r="BN270" s="165"/>
      <c r="BO270" s="173"/>
      <c r="BP270" s="190"/>
      <c r="BQ270" s="173"/>
      <c r="BR270" s="168"/>
      <c r="BS270" s="165"/>
      <c r="BT270" s="167"/>
      <c r="BU270" s="45">
        <v>1</v>
      </c>
      <c r="BV270" s="53">
        <v>0</v>
      </c>
      <c r="BW270" s="54">
        <v>1</v>
      </c>
      <c r="BX270" s="54">
        <v>2</v>
      </c>
      <c r="BY270" s="46">
        <v>0</v>
      </c>
      <c r="BZ270" s="45"/>
      <c r="CA270" s="54"/>
      <c r="CB270" s="53"/>
      <c r="CC270" s="46"/>
      <c r="CD270" s="45"/>
      <c r="CE270" s="54"/>
      <c r="CF270" s="54"/>
      <c r="CG270" s="73"/>
      <c r="CH270" s="165"/>
      <c r="CI270" s="167"/>
    </row>
    <row r="271" spans="1:87" x14ac:dyDescent="0.3">
      <c r="A271" s="10">
        <v>4331</v>
      </c>
      <c r="B271" s="11" t="s">
        <v>393</v>
      </c>
      <c r="C271" s="471">
        <v>1163</v>
      </c>
      <c r="D271" s="54">
        <v>435</v>
      </c>
      <c r="E271" s="367">
        <f t="shared" si="3"/>
        <v>0.37403267411865865</v>
      </c>
      <c r="F271" s="45"/>
      <c r="G271" s="45"/>
      <c r="H271" s="45"/>
      <c r="I271" s="45"/>
      <c r="J271" s="46"/>
      <c r="K271" s="45"/>
      <c r="L271" s="107"/>
      <c r="M271" s="541"/>
      <c r="N271" s="45"/>
      <c r="O271" s="45"/>
      <c r="P271" s="53"/>
      <c r="Q271" s="57"/>
      <c r="R271" s="57"/>
      <c r="S271" s="74"/>
      <c r="T271" s="45"/>
      <c r="U271" s="45"/>
      <c r="V271" s="73"/>
      <c r="W271" s="169"/>
      <c r="X271" s="173"/>
      <c r="Y271" s="190"/>
      <c r="Z271" s="167"/>
      <c r="AA271" s="45"/>
      <c r="AB271" s="57"/>
      <c r="AC271" s="169"/>
      <c r="AD271" s="165"/>
      <c r="AE271" s="165"/>
      <c r="AF271" s="167"/>
      <c r="AG271" s="106"/>
      <c r="AH271" s="45">
        <v>237</v>
      </c>
      <c r="AI271" s="46">
        <v>177</v>
      </c>
      <c r="AJ271" s="165"/>
      <c r="AK271" s="173"/>
      <c r="AL271" s="167"/>
      <c r="AM271" s="45"/>
      <c r="AN271" s="54"/>
      <c r="AO271" s="54"/>
      <c r="AP271" s="73"/>
      <c r="AQ271" s="165"/>
      <c r="AR271" s="168"/>
      <c r="AS271" s="165"/>
      <c r="AT271" s="190"/>
      <c r="AU271" s="167"/>
      <c r="AV271" s="199"/>
      <c r="AW271" s="201"/>
      <c r="AX271" s="201"/>
      <c r="AY271" s="202"/>
      <c r="AZ271" s="200"/>
      <c r="BA271" s="199"/>
      <c r="BB271" s="199"/>
      <c r="BC271" s="106"/>
      <c r="BD271" s="165"/>
      <c r="BE271" s="165"/>
      <c r="BF271" s="173"/>
      <c r="BG271" s="304"/>
      <c r="BH271" s="601"/>
      <c r="BI271" s="45"/>
      <c r="BJ271" s="46"/>
      <c r="BK271" s="45"/>
      <c r="BL271" s="53"/>
      <c r="BM271" s="200"/>
      <c r="BN271" s="165"/>
      <c r="BO271" s="173"/>
      <c r="BP271" s="190"/>
      <c r="BQ271" s="173"/>
      <c r="BR271" s="168"/>
      <c r="BS271" s="165"/>
      <c r="BT271" s="167"/>
      <c r="BU271" s="45"/>
      <c r="BV271" s="53"/>
      <c r="BW271" s="54"/>
      <c r="BX271" s="54"/>
      <c r="BY271" s="200"/>
      <c r="BZ271" s="45"/>
      <c r="CA271" s="54"/>
      <c r="CB271" s="53"/>
      <c r="CC271" s="200"/>
      <c r="CD271" s="45"/>
      <c r="CE271" s="54"/>
      <c r="CF271" s="54"/>
      <c r="CG271" s="106"/>
      <c r="CH271" s="165"/>
      <c r="CI271" s="167"/>
    </row>
    <row r="272" spans="1:87" x14ac:dyDescent="0.3">
      <c r="A272" s="10">
        <v>4341</v>
      </c>
      <c r="B272" s="11" t="s">
        <v>394</v>
      </c>
      <c r="C272" s="471">
        <v>1140</v>
      </c>
      <c r="D272" s="54">
        <v>514</v>
      </c>
      <c r="E272" s="367">
        <f t="shared" si="3"/>
        <v>0.45087719298245615</v>
      </c>
      <c r="F272" s="45"/>
      <c r="G272" s="45"/>
      <c r="H272" s="45"/>
      <c r="I272" s="45"/>
      <c r="J272" s="46"/>
      <c r="K272" s="45"/>
      <c r="L272" s="107"/>
      <c r="M272" s="541"/>
      <c r="N272" s="45"/>
      <c r="O272" s="45"/>
      <c r="P272" s="53"/>
      <c r="Q272" s="57"/>
      <c r="R272" s="57"/>
      <c r="S272" s="74"/>
      <c r="T272" s="45"/>
      <c r="U272" s="45"/>
      <c r="V272" s="73"/>
      <c r="W272" s="169"/>
      <c r="X272" s="173"/>
      <c r="Y272" s="190"/>
      <c r="Z272" s="167"/>
      <c r="AA272" s="45"/>
      <c r="AB272" s="57"/>
      <c r="AC272" s="169"/>
      <c r="AD272" s="165"/>
      <c r="AE272" s="165"/>
      <c r="AF272" s="167"/>
      <c r="AG272" s="106"/>
      <c r="AH272" s="45">
        <v>280</v>
      </c>
      <c r="AI272" s="46">
        <v>237</v>
      </c>
      <c r="AJ272" s="165"/>
      <c r="AK272" s="173"/>
      <c r="AL272" s="167"/>
      <c r="AM272" s="45"/>
      <c r="AN272" s="54"/>
      <c r="AO272" s="54"/>
      <c r="AP272" s="73"/>
      <c r="AQ272" s="165"/>
      <c r="AR272" s="168"/>
      <c r="AS272" s="165"/>
      <c r="AT272" s="190"/>
      <c r="AU272" s="167"/>
      <c r="AV272" s="199"/>
      <c r="AW272" s="201"/>
      <c r="AX272" s="201"/>
      <c r="AY272" s="202"/>
      <c r="AZ272" s="200"/>
      <c r="BA272" s="199"/>
      <c r="BB272" s="199"/>
      <c r="BC272" s="106"/>
      <c r="BD272" s="165"/>
      <c r="BE272" s="165"/>
      <c r="BF272" s="173"/>
      <c r="BG272" s="304"/>
      <c r="BH272" s="601"/>
      <c r="BI272" s="45"/>
      <c r="BJ272" s="46"/>
      <c r="BK272" s="45"/>
      <c r="BL272" s="53"/>
      <c r="BM272" s="200"/>
      <c r="BN272" s="165"/>
      <c r="BO272" s="173"/>
      <c r="BP272" s="190"/>
      <c r="BQ272" s="173"/>
      <c r="BR272" s="168"/>
      <c r="BS272" s="165"/>
      <c r="BT272" s="167"/>
      <c r="BU272" s="45"/>
      <c r="BV272" s="53"/>
      <c r="BW272" s="54"/>
      <c r="BX272" s="54"/>
      <c r="BY272" s="200"/>
      <c r="BZ272" s="45"/>
      <c r="CA272" s="54"/>
      <c r="CB272" s="53"/>
      <c r="CC272" s="200"/>
      <c r="CD272" s="45"/>
      <c r="CE272" s="54"/>
      <c r="CF272" s="54"/>
      <c r="CG272" s="106"/>
      <c r="CH272" s="165"/>
      <c r="CI272" s="167"/>
    </row>
    <row r="273" spans="1:87" x14ac:dyDescent="0.3">
      <c r="A273" s="10">
        <v>4342</v>
      </c>
      <c r="B273" s="11" t="s">
        <v>395</v>
      </c>
      <c r="C273" s="471">
        <v>547</v>
      </c>
      <c r="D273" s="54">
        <v>273</v>
      </c>
      <c r="E273" s="367">
        <f t="shared" si="3"/>
        <v>0.4990859232175503</v>
      </c>
      <c r="F273" s="45"/>
      <c r="G273" s="45"/>
      <c r="H273" s="45"/>
      <c r="I273" s="45"/>
      <c r="J273" s="46"/>
      <c r="K273" s="45"/>
      <c r="L273" s="107"/>
      <c r="M273" s="541"/>
      <c r="N273" s="45"/>
      <c r="O273" s="45"/>
      <c r="P273" s="53"/>
      <c r="Q273" s="57"/>
      <c r="R273" s="57"/>
      <c r="S273" s="74"/>
      <c r="T273" s="45"/>
      <c r="U273" s="45"/>
      <c r="V273" s="73"/>
      <c r="W273" s="169"/>
      <c r="X273" s="173"/>
      <c r="Y273" s="190"/>
      <c r="Z273" s="167"/>
      <c r="AA273" s="45"/>
      <c r="AB273" s="57"/>
      <c r="AC273" s="169"/>
      <c r="AD273" s="165"/>
      <c r="AE273" s="165"/>
      <c r="AF273" s="167"/>
      <c r="AG273" s="106"/>
      <c r="AH273" s="45">
        <v>162</v>
      </c>
      <c r="AI273" s="46">
        <v>115</v>
      </c>
      <c r="AJ273" s="165"/>
      <c r="AK273" s="173"/>
      <c r="AL273" s="167"/>
      <c r="AM273" s="45"/>
      <c r="AN273" s="54"/>
      <c r="AO273" s="54"/>
      <c r="AP273" s="73"/>
      <c r="AQ273" s="165"/>
      <c r="AR273" s="168"/>
      <c r="AS273" s="165"/>
      <c r="AT273" s="190"/>
      <c r="AU273" s="167"/>
      <c r="AV273" s="199"/>
      <c r="AW273" s="201"/>
      <c r="AX273" s="201"/>
      <c r="AY273" s="202"/>
      <c r="AZ273" s="200"/>
      <c r="BA273" s="199"/>
      <c r="BB273" s="199"/>
      <c r="BC273" s="106"/>
      <c r="BD273" s="165"/>
      <c r="BE273" s="165"/>
      <c r="BF273" s="173"/>
      <c r="BG273" s="304"/>
      <c r="BH273" s="601"/>
      <c r="BI273" s="45"/>
      <c r="BJ273" s="46"/>
      <c r="BK273" s="45"/>
      <c r="BL273" s="53"/>
      <c r="BM273" s="200"/>
      <c r="BN273" s="165"/>
      <c r="BO273" s="173"/>
      <c r="BP273" s="190"/>
      <c r="BQ273" s="173"/>
      <c r="BR273" s="168"/>
      <c r="BS273" s="165"/>
      <c r="BT273" s="167"/>
      <c r="BU273" s="45"/>
      <c r="BV273" s="53"/>
      <c r="BW273" s="54"/>
      <c r="BX273" s="54"/>
      <c r="BY273" s="200"/>
      <c r="BZ273" s="45"/>
      <c r="CA273" s="54"/>
      <c r="CB273" s="53"/>
      <c r="CC273" s="200"/>
      <c r="CD273" s="45"/>
      <c r="CE273" s="54"/>
      <c r="CF273" s="54"/>
      <c r="CG273" s="106"/>
      <c r="CH273" s="165"/>
      <c r="CI273" s="167"/>
    </row>
    <row r="274" spans="1:87" x14ac:dyDescent="0.3">
      <c r="A274" s="10">
        <v>4343</v>
      </c>
      <c r="B274" s="11" t="s">
        <v>396</v>
      </c>
      <c r="C274" s="471">
        <v>802</v>
      </c>
      <c r="D274" s="54">
        <v>288</v>
      </c>
      <c r="E274" s="367">
        <f t="shared" si="3"/>
        <v>0.35910224438902744</v>
      </c>
      <c r="F274" s="45"/>
      <c r="G274" s="45"/>
      <c r="H274" s="45"/>
      <c r="I274" s="45"/>
      <c r="J274" s="46"/>
      <c r="K274" s="45"/>
      <c r="L274" s="107"/>
      <c r="M274" s="541"/>
      <c r="N274" s="45"/>
      <c r="O274" s="45"/>
      <c r="P274" s="53"/>
      <c r="Q274" s="57"/>
      <c r="R274" s="57"/>
      <c r="S274" s="74"/>
      <c r="T274" s="45"/>
      <c r="U274" s="45"/>
      <c r="V274" s="73"/>
      <c r="W274" s="169"/>
      <c r="X274" s="173"/>
      <c r="Y274" s="190"/>
      <c r="Z274" s="167"/>
      <c r="AA274" s="45"/>
      <c r="AB274" s="57"/>
      <c r="AC274" s="169"/>
      <c r="AD274" s="165"/>
      <c r="AE274" s="165"/>
      <c r="AF274" s="167"/>
      <c r="AG274" s="106"/>
      <c r="AH274" s="45">
        <v>192</v>
      </c>
      <c r="AI274" s="46">
        <v>100</v>
      </c>
      <c r="AJ274" s="165"/>
      <c r="AK274" s="173"/>
      <c r="AL274" s="167"/>
      <c r="AM274" s="45"/>
      <c r="AN274" s="54"/>
      <c r="AO274" s="54"/>
      <c r="AP274" s="73"/>
      <c r="AQ274" s="165"/>
      <c r="AR274" s="168"/>
      <c r="AS274" s="165"/>
      <c r="AT274" s="190"/>
      <c r="AU274" s="167"/>
      <c r="AV274" s="199"/>
      <c r="AW274" s="201"/>
      <c r="AX274" s="201"/>
      <c r="AY274" s="202"/>
      <c r="AZ274" s="200"/>
      <c r="BA274" s="199"/>
      <c r="BB274" s="199"/>
      <c r="BC274" s="106"/>
      <c r="BD274" s="165"/>
      <c r="BE274" s="165"/>
      <c r="BF274" s="173"/>
      <c r="BG274" s="304"/>
      <c r="BH274" s="601"/>
      <c r="BI274" s="45"/>
      <c r="BJ274" s="46"/>
      <c r="BK274" s="45"/>
      <c r="BL274" s="53"/>
      <c r="BM274" s="200"/>
      <c r="BN274" s="165"/>
      <c r="BO274" s="173"/>
      <c r="BP274" s="190"/>
      <c r="BQ274" s="173"/>
      <c r="BR274" s="168"/>
      <c r="BS274" s="165"/>
      <c r="BT274" s="167"/>
      <c r="BU274" s="45"/>
      <c r="BV274" s="53"/>
      <c r="BW274" s="54"/>
      <c r="BX274" s="54"/>
      <c r="BY274" s="200"/>
      <c r="BZ274" s="45"/>
      <c r="CA274" s="54"/>
      <c r="CB274" s="53"/>
      <c r="CC274" s="200"/>
      <c r="CD274" s="45"/>
      <c r="CE274" s="54"/>
      <c r="CF274" s="54"/>
      <c r="CG274" s="106"/>
      <c r="CH274" s="165"/>
      <c r="CI274" s="167"/>
    </row>
    <row r="275" spans="1:87" x14ac:dyDescent="0.3">
      <c r="A275" s="10">
        <v>4411</v>
      </c>
      <c r="B275" s="11" t="s">
        <v>397</v>
      </c>
      <c r="C275" s="471">
        <v>872</v>
      </c>
      <c r="D275" s="54">
        <v>299</v>
      </c>
      <c r="E275" s="367">
        <f t="shared" si="3"/>
        <v>0.34288990825688076</v>
      </c>
      <c r="F275" s="45"/>
      <c r="G275" s="45"/>
      <c r="H275" s="45"/>
      <c r="I275" s="45"/>
      <c r="J275" s="46"/>
      <c r="K275" s="45"/>
      <c r="L275" s="107"/>
      <c r="M275" s="541"/>
      <c r="N275" s="45"/>
      <c r="O275" s="45"/>
      <c r="P275" s="53"/>
      <c r="Q275" s="57"/>
      <c r="R275" s="57"/>
      <c r="S275" s="74"/>
      <c r="T275" s="45"/>
      <c r="U275" s="45"/>
      <c r="V275" s="73"/>
      <c r="W275" s="169"/>
      <c r="X275" s="173"/>
      <c r="Y275" s="190"/>
      <c r="Z275" s="167"/>
      <c r="AA275" s="45"/>
      <c r="AB275" s="57"/>
      <c r="AC275" s="169"/>
      <c r="AD275" s="165"/>
      <c r="AE275" s="165"/>
      <c r="AF275" s="167"/>
      <c r="AG275" s="106"/>
      <c r="AH275" s="199"/>
      <c r="AI275" s="200"/>
      <c r="AJ275" s="45">
        <v>102</v>
      </c>
      <c r="AK275" s="54">
        <v>97</v>
      </c>
      <c r="AL275" s="46">
        <v>127</v>
      </c>
      <c r="AM275" s="199"/>
      <c r="AN275" s="201"/>
      <c r="AO275" s="201"/>
      <c r="AP275" s="106"/>
      <c r="AQ275" s="165"/>
      <c r="AR275" s="168"/>
      <c r="AS275" s="165"/>
      <c r="AT275" s="190"/>
      <c r="AU275" s="167"/>
      <c r="AV275" s="199"/>
      <c r="AW275" s="201"/>
      <c r="AX275" s="201"/>
      <c r="AY275" s="202"/>
      <c r="AZ275" s="200"/>
      <c r="BA275" s="199"/>
      <c r="BB275" s="199"/>
      <c r="BC275" s="106"/>
      <c r="BD275" s="165"/>
      <c r="BE275" s="165"/>
      <c r="BF275" s="173"/>
      <c r="BG275" s="304"/>
      <c r="BH275" s="601"/>
      <c r="BI275" s="45"/>
      <c r="BJ275" s="46"/>
      <c r="BK275" s="45"/>
      <c r="BL275" s="53"/>
      <c r="BM275" s="200"/>
      <c r="BN275" s="165"/>
      <c r="BO275" s="173"/>
      <c r="BP275" s="190"/>
      <c r="BQ275" s="173"/>
      <c r="BR275" s="168"/>
      <c r="BS275" s="165"/>
      <c r="BT275" s="167"/>
      <c r="BU275" s="45"/>
      <c r="BV275" s="53"/>
      <c r="BW275" s="54"/>
      <c r="BX275" s="54"/>
      <c r="BY275" s="200"/>
      <c r="BZ275" s="45"/>
      <c r="CA275" s="54"/>
      <c r="CB275" s="53"/>
      <c r="CC275" s="200"/>
      <c r="CD275" s="45"/>
      <c r="CE275" s="54"/>
      <c r="CF275" s="54"/>
      <c r="CG275" s="106"/>
      <c r="CH275" s="165"/>
      <c r="CI275" s="167"/>
    </row>
    <row r="276" spans="1:87" x14ac:dyDescent="0.3">
      <c r="A276" s="10">
        <v>4412</v>
      </c>
      <c r="B276" s="11" t="s">
        <v>398</v>
      </c>
      <c r="C276" s="471">
        <v>1224</v>
      </c>
      <c r="D276" s="54">
        <v>433</v>
      </c>
      <c r="E276" s="367">
        <f t="shared" si="3"/>
        <v>0.35375816993464054</v>
      </c>
      <c r="F276" s="45"/>
      <c r="G276" s="45"/>
      <c r="H276" s="45"/>
      <c r="I276" s="45"/>
      <c r="J276" s="46"/>
      <c r="K276" s="45"/>
      <c r="L276" s="107"/>
      <c r="M276" s="541"/>
      <c r="N276" s="45"/>
      <c r="O276" s="45"/>
      <c r="P276" s="53"/>
      <c r="Q276" s="57"/>
      <c r="R276" s="57"/>
      <c r="S276" s="74"/>
      <c r="T276" s="45"/>
      <c r="U276" s="45"/>
      <c r="V276" s="73"/>
      <c r="W276" s="169"/>
      <c r="X276" s="173"/>
      <c r="Y276" s="190"/>
      <c r="Z276" s="167"/>
      <c r="AA276" s="45"/>
      <c r="AB276" s="57"/>
      <c r="AC276" s="169"/>
      <c r="AD276" s="165"/>
      <c r="AE276" s="165"/>
      <c r="AF276" s="167"/>
      <c r="AG276" s="106"/>
      <c r="AH276" s="199"/>
      <c r="AI276" s="200"/>
      <c r="AJ276" s="45">
        <v>197</v>
      </c>
      <c r="AK276" s="54">
        <v>159</v>
      </c>
      <c r="AL276" s="46">
        <v>165</v>
      </c>
      <c r="AM276" s="199"/>
      <c r="AN276" s="201"/>
      <c r="AO276" s="201"/>
      <c r="AP276" s="106"/>
      <c r="AQ276" s="165"/>
      <c r="AR276" s="168"/>
      <c r="AS276" s="165"/>
      <c r="AT276" s="190"/>
      <c r="AU276" s="167"/>
      <c r="AV276" s="199"/>
      <c r="AW276" s="201"/>
      <c r="AX276" s="201"/>
      <c r="AY276" s="202"/>
      <c r="AZ276" s="200"/>
      <c r="BA276" s="199"/>
      <c r="BB276" s="199"/>
      <c r="BC276" s="106"/>
      <c r="BD276" s="165"/>
      <c r="BE276" s="165"/>
      <c r="BF276" s="173"/>
      <c r="BG276" s="304"/>
      <c r="BH276" s="601"/>
      <c r="BI276" s="45"/>
      <c r="BJ276" s="46"/>
      <c r="BK276" s="45"/>
      <c r="BL276" s="53"/>
      <c r="BM276" s="200"/>
      <c r="BN276" s="165"/>
      <c r="BO276" s="173"/>
      <c r="BP276" s="190"/>
      <c r="BQ276" s="173"/>
      <c r="BR276" s="168"/>
      <c r="BS276" s="165"/>
      <c r="BT276" s="167"/>
      <c r="BU276" s="45"/>
      <c r="BV276" s="53"/>
      <c r="BW276" s="54"/>
      <c r="BX276" s="54"/>
      <c r="BY276" s="200"/>
      <c r="BZ276" s="45"/>
      <c r="CA276" s="54"/>
      <c r="CB276" s="53"/>
      <c r="CC276" s="200"/>
      <c r="CD276" s="45"/>
      <c r="CE276" s="54"/>
      <c r="CF276" s="54"/>
      <c r="CG276" s="106"/>
      <c r="CH276" s="165"/>
      <c r="CI276" s="167"/>
    </row>
    <row r="277" spans="1:87" x14ac:dyDescent="0.3">
      <c r="A277" s="10">
        <v>4413</v>
      </c>
      <c r="B277" s="11" t="s">
        <v>773</v>
      </c>
      <c r="C277" s="471">
        <v>1132</v>
      </c>
      <c r="D277" s="54">
        <v>495</v>
      </c>
      <c r="E277" s="367">
        <f>SUM(D277/C277)</f>
        <v>0.4372791519434629</v>
      </c>
      <c r="F277" s="45"/>
      <c r="G277" s="45"/>
      <c r="H277" s="45"/>
      <c r="I277" s="45"/>
      <c r="J277" s="46"/>
      <c r="K277" s="45"/>
      <c r="L277" s="107"/>
      <c r="M277" s="541"/>
      <c r="N277" s="45"/>
      <c r="O277" s="45"/>
      <c r="P277" s="53"/>
      <c r="Q277" s="57"/>
      <c r="R277" s="57"/>
      <c r="S277" s="74"/>
      <c r="T277" s="45"/>
      <c r="U277" s="45"/>
      <c r="V277" s="73"/>
      <c r="W277" s="169"/>
      <c r="X277" s="173"/>
      <c r="Y277" s="190"/>
      <c r="Z277" s="167"/>
      <c r="AA277" s="45"/>
      <c r="AB277" s="57"/>
      <c r="AC277" s="169"/>
      <c r="AD277" s="165"/>
      <c r="AE277" s="165"/>
      <c r="AF277" s="167"/>
      <c r="AG277" s="106"/>
      <c r="AH277" s="199"/>
      <c r="AI277" s="200"/>
      <c r="AJ277" s="45">
        <v>188</v>
      </c>
      <c r="AK277" s="54">
        <v>154</v>
      </c>
      <c r="AL277" s="46">
        <v>234</v>
      </c>
      <c r="AM277" s="199"/>
      <c r="AN277" s="201"/>
      <c r="AO277" s="201"/>
      <c r="AP277" s="106"/>
      <c r="AQ277" s="165"/>
      <c r="AR277" s="168"/>
      <c r="AS277" s="165"/>
      <c r="AT277" s="190"/>
      <c r="AU277" s="167"/>
      <c r="AV277" s="199"/>
      <c r="AW277" s="201"/>
      <c r="AX277" s="201"/>
      <c r="AY277" s="202"/>
      <c r="AZ277" s="200"/>
      <c r="BA277" s="199"/>
      <c r="BB277" s="199"/>
      <c r="BC277" s="106"/>
      <c r="BD277" s="165"/>
      <c r="BE277" s="165"/>
      <c r="BF277" s="173"/>
      <c r="BG277" s="304"/>
      <c r="BH277" s="601"/>
      <c r="BI277" s="45"/>
      <c r="BJ277" s="46"/>
      <c r="BK277" s="45"/>
      <c r="BL277" s="53"/>
      <c r="BM277" s="200"/>
      <c r="BN277" s="165"/>
      <c r="BO277" s="173"/>
      <c r="BP277" s="190"/>
      <c r="BQ277" s="173"/>
      <c r="BR277" s="168"/>
      <c r="BS277" s="165"/>
      <c r="BT277" s="167"/>
      <c r="BU277" s="45"/>
      <c r="BV277" s="53"/>
      <c r="BW277" s="54"/>
      <c r="BX277" s="54"/>
      <c r="BY277" s="200"/>
      <c r="BZ277" s="45"/>
      <c r="CA277" s="54"/>
      <c r="CB277" s="53"/>
      <c r="CC277" s="200"/>
      <c r="CD277" s="45"/>
      <c r="CE277" s="54"/>
      <c r="CF277" s="54"/>
      <c r="CG277" s="106"/>
      <c r="CH277" s="165"/>
      <c r="CI277" s="167"/>
    </row>
    <row r="278" spans="1:87" x14ac:dyDescent="0.3">
      <c r="A278" s="10">
        <v>4421</v>
      </c>
      <c r="B278" s="11" t="s">
        <v>399</v>
      </c>
      <c r="C278" s="471">
        <v>1037</v>
      </c>
      <c r="D278" s="54">
        <v>555</v>
      </c>
      <c r="E278" s="367">
        <f t="shared" si="3"/>
        <v>0.53519768563162973</v>
      </c>
      <c r="F278" s="45"/>
      <c r="G278" s="45"/>
      <c r="H278" s="45"/>
      <c r="I278" s="45"/>
      <c r="J278" s="46"/>
      <c r="K278" s="45"/>
      <c r="L278" s="107"/>
      <c r="M278" s="541"/>
      <c r="N278" s="45"/>
      <c r="O278" s="45"/>
      <c r="P278" s="53"/>
      <c r="Q278" s="57"/>
      <c r="R278" s="57"/>
      <c r="S278" s="74"/>
      <c r="T278" s="45"/>
      <c r="U278" s="45"/>
      <c r="V278" s="73"/>
      <c r="W278" s="169"/>
      <c r="X278" s="173"/>
      <c r="Y278" s="190"/>
      <c r="Z278" s="167"/>
      <c r="AA278" s="45"/>
      <c r="AB278" s="57"/>
      <c r="AC278" s="169"/>
      <c r="AD278" s="165"/>
      <c r="AE278" s="165"/>
      <c r="AF278" s="167"/>
      <c r="AG278" s="106"/>
      <c r="AH278" s="199"/>
      <c r="AI278" s="200"/>
      <c r="AJ278" s="45">
        <v>209</v>
      </c>
      <c r="AK278" s="54">
        <v>169</v>
      </c>
      <c r="AL278" s="46">
        <v>259</v>
      </c>
      <c r="AM278" s="199"/>
      <c r="AN278" s="201"/>
      <c r="AO278" s="201"/>
      <c r="AP278" s="106"/>
      <c r="AQ278" s="165"/>
      <c r="AR278" s="168"/>
      <c r="AS278" s="165"/>
      <c r="AT278" s="190"/>
      <c r="AU278" s="167"/>
      <c r="AV278" s="199"/>
      <c r="AW278" s="201"/>
      <c r="AX278" s="201"/>
      <c r="AY278" s="202"/>
      <c r="AZ278" s="200"/>
      <c r="BA278" s="199"/>
      <c r="BB278" s="199"/>
      <c r="BC278" s="106"/>
      <c r="BD278" s="165"/>
      <c r="BE278" s="165"/>
      <c r="BF278" s="173"/>
      <c r="BG278" s="304"/>
      <c r="BH278" s="601"/>
      <c r="BI278" s="45"/>
      <c r="BJ278" s="46"/>
      <c r="BK278" s="45"/>
      <c r="BL278" s="53"/>
      <c r="BM278" s="200"/>
      <c r="BN278" s="165"/>
      <c r="BO278" s="173"/>
      <c r="BP278" s="190"/>
      <c r="BQ278" s="173"/>
      <c r="BR278" s="168"/>
      <c r="BS278" s="165"/>
      <c r="BT278" s="167"/>
      <c r="BU278" s="45"/>
      <c r="BV278" s="53"/>
      <c r="BW278" s="54"/>
      <c r="BX278" s="54"/>
      <c r="BY278" s="200"/>
      <c r="BZ278" s="45"/>
      <c r="CA278" s="54"/>
      <c r="CB278" s="53"/>
      <c r="CC278" s="200"/>
      <c r="CD278" s="45"/>
      <c r="CE278" s="54"/>
      <c r="CF278" s="54"/>
      <c r="CG278" s="106"/>
      <c r="CH278" s="165"/>
      <c r="CI278" s="167"/>
    </row>
    <row r="279" spans="1:87" x14ac:dyDescent="0.3">
      <c r="A279" s="10">
        <v>4422</v>
      </c>
      <c r="B279" s="11" t="s">
        <v>400</v>
      </c>
      <c r="C279" s="471">
        <v>1242</v>
      </c>
      <c r="D279" s="54">
        <v>548</v>
      </c>
      <c r="E279" s="367">
        <f t="shared" si="3"/>
        <v>0.44122383252818037</v>
      </c>
      <c r="F279" s="45"/>
      <c r="G279" s="45"/>
      <c r="H279" s="45"/>
      <c r="I279" s="45"/>
      <c r="J279" s="46"/>
      <c r="K279" s="45"/>
      <c r="L279" s="107"/>
      <c r="M279" s="541"/>
      <c r="N279" s="45"/>
      <c r="O279" s="45"/>
      <c r="P279" s="53"/>
      <c r="Q279" s="57"/>
      <c r="R279" s="57"/>
      <c r="S279" s="74"/>
      <c r="T279" s="45"/>
      <c r="U279" s="45"/>
      <c r="V279" s="73"/>
      <c r="W279" s="169"/>
      <c r="X279" s="173"/>
      <c r="Y279" s="190"/>
      <c r="Z279" s="167"/>
      <c r="AA279" s="45"/>
      <c r="AB279" s="57"/>
      <c r="AC279" s="169"/>
      <c r="AD279" s="165"/>
      <c r="AE279" s="165"/>
      <c r="AF279" s="167"/>
      <c r="AG279" s="106"/>
      <c r="AH279" s="199"/>
      <c r="AI279" s="200"/>
      <c r="AJ279" s="45">
        <v>201</v>
      </c>
      <c r="AK279" s="54">
        <v>179</v>
      </c>
      <c r="AL279" s="46">
        <v>250</v>
      </c>
      <c r="AM279" s="199"/>
      <c r="AN279" s="201"/>
      <c r="AO279" s="201"/>
      <c r="AP279" s="106"/>
      <c r="AQ279" s="165"/>
      <c r="AR279" s="168"/>
      <c r="AS279" s="165"/>
      <c r="AT279" s="190"/>
      <c r="AU279" s="167"/>
      <c r="AV279" s="199"/>
      <c r="AW279" s="201"/>
      <c r="AX279" s="201"/>
      <c r="AY279" s="202"/>
      <c r="AZ279" s="46"/>
      <c r="BA279" s="199"/>
      <c r="BB279" s="199"/>
      <c r="BC279" s="106"/>
      <c r="BD279" s="165"/>
      <c r="BE279" s="165"/>
      <c r="BF279" s="173"/>
      <c r="BG279" s="304"/>
      <c r="BH279" s="601"/>
      <c r="BI279" s="45"/>
      <c r="BJ279" s="46"/>
      <c r="BK279" s="45"/>
      <c r="BL279" s="53"/>
      <c r="BM279" s="200"/>
      <c r="BN279" s="165"/>
      <c r="BO279" s="173"/>
      <c r="BP279" s="190"/>
      <c r="BQ279" s="173"/>
      <c r="BR279" s="168"/>
      <c r="BS279" s="165"/>
      <c r="BT279" s="167"/>
      <c r="BU279" s="45"/>
      <c r="BV279" s="53"/>
      <c r="BW279" s="54"/>
      <c r="BX279" s="54"/>
      <c r="BY279" s="200"/>
      <c r="BZ279" s="45"/>
      <c r="CA279" s="54"/>
      <c r="CB279" s="53"/>
      <c r="CC279" s="200"/>
      <c r="CD279" s="45"/>
      <c r="CE279" s="54"/>
      <c r="CF279" s="54"/>
      <c r="CG279" s="106"/>
      <c r="CH279" s="165"/>
      <c r="CI279" s="167"/>
    </row>
    <row r="280" spans="1:87" x14ac:dyDescent="0.3">
      <c r="A280" s="10">
        <v>4423</v>
      </c>
      <c r="B280" s="11" t="s">
        <v>401</v>
      </c>
      <c r="C280" s="471">
        <v>1031</v>
      </c>
      <c r="D280" s="54">
        <v>545</v>
      </c>
      <c r="E280" s="367">
        <f t="shared" si="3"/>
        <v>0.52861299709020371</v>
      </c>
      <c r="F280" s="45"/>
      <c r="G280" s="45"/>
      <c r="H280" s="45"/>
      <c r="I280" s="45"/>
      <c r="J280" s="46"/>
      <c r="K280" s="45"/>
      <c r="L280" s="107"/>
      <c r="M280" s="541"/>
      <c r="N280" s="45"/>
      <c r="O280" s="45"/>
      <c r="P280" s="53"/>
      <c r="Q280" s="57"/>
      <c r="R280" s="57"/>
      <c r="S280" s="74"/>
      <c r="T280" s="45"/>
      <c r="U280" s="45"/>
      <c r="V280" s="73"/>
      <c r="W280" s="169"/>
      <c r="X280" s="173"/>
      <c r="Y280" s="190"/>
      <c r="Z280" s="167"/>
      <c r="AA280" s="45"/>
      <c r="AB280" s="57"/>
      <c r="AC280" s="169"/>
      <c r="AD280" s="165"/>
      <c r="AE280" s="165"/>
      <c r="AF280" s="167"/>
      <c r="AG280" s="106"/>
      <c r="AH280" s="199"/>
      <c r="AI280" s="200"/>
      <c r="AJ280" s="45">
        <v>203</v>
      </c>
      <c r="AK280" s="54">
        <v>164</v>
      </c>
      <c r="AL280" s="46">
        <v>236</v>
      </c>
      <c r="AM280" s="199"/>
      <c r="AN280" s="201"/>
      <c r="AO280" s="201"/>
      <c r="AP280" s="106"/>
      <c r="AQ280" s="165"/>
      <c r="AR280" s="168"/>
      <c r="AS280" s="165"/>
      <c r="AT280" s="190"/>
      <c r="AU280" s="167"/>
      <c r="AV280" s="199"/>
      <c r="AW280" s="201"/>
      <c r="AX280" s="201"/>
      <c r="AY280" s="202"/>
      <c r="AZ280" s="46"/>
      <c r="BA280" s="199"/>
      <c r="BB280" s="199"/>
      <c r="BC280" s="106"/>
      <c r="BD280" s="165"/>
      <c r="BE280" s="165"/>
      <c r="BF280" s="173"/>
      <c r="BG280" s="304"/>
      <c r="BH280" s="601"/>
      <c r="BI280" s="45"/>
      <c r="BJ280" s="46"/>
      <c r="BK280" s="45"/>
      <c r="BL280" s="53"/>
      <c r="BM280" s="200"/>
      <c r="BN280" s="165"/>
      <c r="BO280" s="173"/>
      <c r="BP280" s="190"/>
      <c r="BQ280" s="173"/>
      <c r="BR280" s="168"/>
      <c r="BS280" s="165"/>
      <c r="BT280" s="167"/>
      <c r="BU280" s="45"/>
      <c r="BV280" s="53"/>
      <c r="BW280" s="54"/>
      <c r="BX280" s="54"/>
      <c r="BY280" s="200"/>
      <c r="BZ280" s="45"/>
      <c r="CA280" s="54"/>
      <c r="CB280" s="53"/>
      <c r="CC280" s="200"/>
      <c r="CD280" s="45"/>
      <c r="CE280" s="54"/>
      <c r="CF280" s="54"/>
      <c r="CG280" s="106"/>
      <c r="CH280" s="165"/>
      <c r="CI280" s="167"/>
    </row>
    <row r="281" spans="1:87" x14ac:dyDescent="0.3">
      <c r="A281" s="10">
        <v>4431</v>
      </c>
      <c r="B281" s="11" t="s">
        <v>402</v>
      </c>
      <c r="C281" s="471">
        <v>1079</v>
      </c>
      <c r="D281" s="54">
        <v>508</v>
      </c>
      <c r="E281" s="367">
        <f t="shared" ref="E281:E344" si="5">SUM(D281/C281)</f>
        <v>0.47080630213160335</v>
      </c>
      <c r="F281" s="45"/>
      <c r="G281" s="45"/>
      <c r="H281" s="45"/>
      <c r="I281" s="45"/>
      <c r="J281" s="46"/>
      <c r="K281" s="45"/>
      <c r="L281" s="107"/>
      <c r="M281" s="541"/>
      <c r="N281" s="45"/>
      <c r="O281" s="45"/>
      <c r="P281" s="53"/>
      <c r="Q281" s="57"/>
      <c r="R281" s="57"/>
      <c r="S281" s="74"/>
      <c r="T281" s="45"/>
      <c r="U281" s="45"/>
      <c r="V281" s="73"/>
      <c r="W281" s="169"/>
      <c r="X281" s="173"/>
      <c r="Y281" s="190"/>
      <c r="Z281" s="167"/>
      <c r="AA281" s="45"/>
      <c r="AB281" s="57"/>
      <c r="AC281" s="169"/>
      <c r="AD281" s="165"/>
      <c r="AE281" s="165"/>
      <c r="AF281" s="167"/>
      <c r="AG281" s="106"/>
      <c r="AH281" s="199"/>
      <c r="AI281" s="200"/>
      <c r="AJ281" s="45">
        <v>191</v>
      </c>
      <c r="AK281" s="54">
        <v>165</v>
      </c>
      <c r="AL281" s="46">
        <v>211</v>
      </c>
      <c r="AM281" s="199"/>
      <c r="AN281" s="201"/>
      <c r="AO281" s="201"/>
      <c r="AP281" s="106"/>
      <c r="AQ281" s="165"/>
      <c r="AR281" s="168"/>
      <c r="AS281" s="165"/>
      <c r="AT281" s="190"/>
      <c r="AU281" s="167"/>
      <c r="AV281" s="199"/>
      <c r="AW281" s="201"/>
      <c r="AX281" s="201"/>
      <c r="AY281" s="202"/>
      <c r="AZ281" s="46"/>
      <c r="BA281" s="199"/>
      <c r="BB281" s="199"/>
      <c r="BC281" s="106"/>
      <c r="BD281" s="165"/>
      <c r="BE281" s="165"/>
      <c r="BF281" s="173"/>
      <c r="BG281" s="304"/>
      <c r="BH281" s="601"/>
      <c r="BI281" s="45"/>
      <c r="BJ281" s="46"/>
      <c r="BK281" s="45"/>
      <c r="BL281" s="53"/>
      <c r="BM281" s="200"/>
      <c r="BN281" s="165"/>
      <c r="BO281" s="173"/>
      <c r="BP281" s="190"/>
      <c r="BQ281" s="173"/>
      <c r="BR281" s="168"/>
      <c r="BS281" s="165"/>
      <c r="BT281" s="167"/>
      <c r="BU281" s="45"/>
      <c r="BV281" s="53"/>
      <c r="BW281" s="54"/>
      <c r="BX281" s="54"/>
      <c r="BY281" s="200"/>
      <c r="BZ281" s="45"/>
      <c r="CA281" s="54"/>
      <c r="CB281" s="53"/>
      <c r="CC281" s="200"/>
      <c r="CD281" s="45"/>
      <c r="CE281" s="54"/>
      <c r="CF281" s="54"/>
      <c r="CG281" s="106"/>
      <c r="CH281" s="165"/>
      <c r="CI281" s="167"/>
    </row>
    <row r="282" spans="1:87" x14ac:dyDescent="0.3">
      <c r="A282" s="10">
        <v>4432</v>
      </c>
      <c r="B282" s="11" t="s">
        <v>403</v>
      </c>
      <c r="C282" s="471">
        <v>846</v>
      </c>
      <c r="D282" s="54">
        <v>414</v>
      </c>
      <c r="E282" s="367">
        <f t="shared" si="5"/>
        <v>0.48936170212765956</v>
      </c>
      <c r="F282" s="45"/>
      <c r="G282" s="45"/>
      <c r="H282" s="45"/>
      <c r="I282" s="45"/>
      <c r="J282" s="46"/>
      <c r="K282" s="45"/>
      <c r="L282" s="107"/>
      <c r="M282" s="541"/>
      <c r="N282" s="45"/>
      <c r="O282" s="45"/>
      <c r="P282" s="53"/>
      <c r="Q282" s="57"/>
      <c r="R282" s="57"/>
      <c r="S282" s="74"/>
      <c r="T282" s="45"/>
      <c r="U282" s="45"/>
      <c r="V282" s="73"/>
      <c r="W282" s="169"/>
      <c r="X282" s="173"/>
      <c r="Y282" s="190"/>
      <c r="Z282" s="167"/>
      <c r="AA282" s="45"/>
      <c r="AB282" s="57"/>
      <c r="AC282" s="169"/>
      <c r="AD282" s="165"/>
      <c r="AE282" s="165"/>
      <c r="AF282" s="167"/>
      <c r="AG282" s="106"/>
      <c r="AH282" s="199"/>
      <c r="AI282" s="200"/>
      <c r="AJ282" s="45">
        <v>144</v>
      </c>
      <c r="AK282" s="54">
        <v>121</v>
      </c>
      <c r="AL282" s="46">
        <v>181</v>
      </c>
      <c r="AM282" s="199"/>
      <c r="AN282" s="201"/>
      <c r="AO282" s="201"/>
      <c r="AP282" s="106"/>
      <c r="AQ282" s="165"/>
      <c r="AR282" s="168"/>
      <c r="AS282" s="165"/>
      <c r="AT282" s="190"/>
      <c r="AU282" s="167"/>
      <c r="AV282" s="199"/>
      <c r="AW282" s="201"/>
      <c r="AX282" s="201"/>
      <c r="AY282" s="202"/>
      <c r="AZ282" s="46"/>
      <c r="BA282" s="199"/>
      <c r="BB282" s="199"/>
      <c r="BC282" s="106"/>
      <c r="BD282" s="165"/>
      <c r="BE282" s="165"/>
      <c r="BF282" s="173"/>
      <c r="BG282" s="304"/>
      <c r="BH282" s="601"/>
      <c r="BI282" s="45"/>
      <c r="BJ282" s="46"/>
      <c r="BK282" s="45"/>
      <c r="BL282" s="53"/>
      <c r="BM282" s="200"/>
      <c r="BN282" s="165"/>
      <c r="BO282" s="173"/>
      <c r="BP282" s="190"/>
      <c r="BQ282" s="173"/>
      <c r="BR282" s="168"/>
      <c r="BS282" s="165"/>
      <c r="BT282" s="167"/>
      <c r="BU282" s="45"/>
      <c r="BV282" s="53"/>
      <c r="BW282" s="54"/>
      <c r="BX282" s="54"/>
      <c r="BY282" s="200"/>
      <c r="BZ282" s="45"/>
      <c r="CA282" s="54"/>
      <c r="CB282" s="53"/>
      <c r="CC282" s="200"/>
      <c r="CD282" s="45"/>
      <c r="CE282" s="54"/>
      <c r="CF282" s="54"/>
      <c r="CG282" s="106"/>
      <c r="CH282" s="165"/>
      <c r="CI282" s="167"/>
    </row>
    <row r="283" spans="1:87" x14ac:dyDescent="0.3">
      <c r="A283" s="10">
        <v>4433</v>
      </c>
      <c r="B283" s="11" t="s">
        <v>404</v>
      </c>
      <c r="C283" s="471">
        <v>1565</v>
      </c>
      <c r="D283" s="54">
        <v>756</v>
      </c>
      <c r="E283" s="367">
        <f t="shared" si="5"/>
        <v>0.48306709265175718</v>
      </c>
      <c r="F283" s="45"/>
      <c r="G283" s="45"/>
      <c r="H283" s="45"/>
      <c r="I283" s="45"/>
      <c r="J283" s="46"/>
      <c r="K283" s="45"/>
      <c r="L283" s="107"/>
      <c r="M283" s="541"/>
      <c r="N283" s="45"/>
      <c r="O283" s="45"/>
      <c r="P283" s="53"/>
      <c r="Q283" s="57"/>
      <c r="R283" s="57"/>
      <c r="S283" s="74"/>
      <c r="T283" s="45"/>
      <c r="U283" s="45"/>
      <c r="V283" s="73"/>
      <c r="W283" s="169"/>
      <c r="X283" s="173"/>
      <c r="Y283" s="190"/>
      <c r="Z283" s="167"/>
      <c r="AA283" s="45"/>
      <c r="AB283" s="57"/>
      <c r="AC283" s="169"/>
      <c r="AD283" s="165"/>
      <c r="AE283" s="165"/>
      <c r="AF283" s="167"/>
      <c r="AG283" s="106"/>
      <c r="AH283" s="199"/>
      <c r="AI283" s="200"/>
      <c r="AJ283" s="45">
        <v>348</v>
      </c>
      <c r="AK283" s="54">
        <v>259</v>
      </c>
      <c r="AL283" s="46">
        <v>254</v>
      </c>
      <c r="AM283" s="199"/>
      <c r="AN283" s="201"/>
      <c r="AO283" s="201"/>
      <c r="AP283" s="106"/>
      <c r="AQ283" s="165"/>
      <c r="AR283" s="168"/>
      <c r="AS283" s="165"/>
      <c r="AT283" s="190"/>
      <c r="AU283" s="167"/>
      <c r="AV283" s="199"/>
      <c r="AW283" s="201"/>
      <c r="AX283" s="201"/>
      <c r="AY283" s="202"/>
      <c r="AZ283" s="46"/>
      <c r="BA283" s="199"/>
      <c r="BB283" s="199"/>
      <c r="BC283" s="106"/>
      <c r="BD283" s="165"/>
      <c r="BE283" s="165"/>
      <c r="BF283" s="173"/>
      <c r="BG283" s="304"/>
      <c r="BH283" s="601"/>
      <c r="BI283" s="45"/>
      <c r="BJ283" s="46"/>
      <c r="BK283" s="45"/>
      <c r="BL283" s="53"/>
      <c r="BM283" s="200"/>
      <c r="BN283" s="165"/>
      <c r="BO283" s="173"/>
      <c r="BP283" s="190"/>
      <c r="BQ283" s="173"/>
      <c r="BR283" s="168"/>
      <c r="BS283" s="165"/>
      <c r="BT283" s="167"/>
      <c r="BU283" s="45"/>
      <c r="BV283" s="53"/>
      <c r="BW283" s="54"/>
      <c r="BX283" s="54"/>
      <c r="BY283" s="200"/>
      <c r="BZ283" s="45"/>
      <c r="CA283" s="54"/>
      <c r="CB283" s="53"/>
      <c r="CC283" s="200"/>
      <c r="CD283" s="45"/>
      <c r="CE283" s="54"/>
      <c r="CF283" s="54"/>
      <c r="CG283" s="106"/>
      <c r="CH283" s="165"/>
      <c r="CI283" s="167"/>
    </row>
    <row r="284" spans="1:87" x14ac:dyDescent="0.3">
      <c r="A284" s="10">
        <v>4441</v>
      </c>
      <c r="B284" s="11" t="s">
        <v>405</v>
      </c>
      <c r="C284" s="471">
        <v>946</v>
      </c>
      <c r="D284" s="54">
        <v>350</v>
      </c>
      <c r="E284" s="367">
        <f t="shared" si="5"/>
        <v>0.3699788583509514</v>
      </c>
      <c r="F284" s="45"/>
      <c r="G284" s="45"/>
      <c r="H284" s="45"/>
      <c r="I284" s="45"/>
      <c r="J284" s="46"/>
      <c r="K284" s="45"/>
      <c r="L284" s="107"/>
      <c r="M284" s="541"/>
      <c r="N284" s="45"/>
      <c r="O284" s="45"/>
      <c r="P284" s="53"/>
      <c r="Q284" s="57"/>
      <c r="R284" s="57"/>
      <c r="S284" s="74"/>
      <c r="T284" s="45"/>
      <c r="U284" s="45"/>
      <c r="V284" s="73"/>
      <c r="W284" s="169"/>
      <c r="X284" s="173"/>
      <c r="Y284" s="190"/>
      <c r="Z284" s="167"/>
      <c r="AA284" s="45"/>
      <c r="AB284" s="57"/>
      <c r="AC284" s="169"/>
      <c r="AD284" s="165"/>
      <c r="AE284" s="165"/>
      <c r="AF284" s="167"/>
      <c r="AG284" s="106"/>
      <c r="AH284" s="199"/>
      <c r="AI284" s="200"/>
      <c r="AJ284" s="45">
        <v>153</v>
      </c>
      <c r="AK284" s="54">
        <v>111</v>
      </c>
      <c r="AL284" s="46">
        <v>123</v>
      </c>
      <c r="AM284" s="199"/>
      <c r="AN284" s="201"/>
      <c r="AO284" s="201"/>
      <c r="AP284" s="106"/>
      <c r="AQ284" s="165"/>
      <c r="AR284" s="168"/>
      <c r="AS284" s="165"/>
      <c r="AT284" s="190"/>
      <c r="AU284" s="167"/>
      <c r="AV284" s="199"/>
      <c r="AW284" s="201"/>
      <c r="AX284" s="201"/>
      <c r="AY284" s="202"/>
      <c r="AZ284" s="46"/>
      <c r="BA284" s="199"/>
      <c r="BB284" s="199"/>
      <c r="BC284" s="106"/>
      <c r="BD284" s="165"/>
      <c r="BE284" s="165"/>
      <c r="BF284" s="173"/>
      <c r="BG284" s="304"/>
      <c r="BH284" s="601"/>
      <c r="BI284" s="45"/>
      <c r="BJ284" s="46"/>
      <c r="BK284" s="45"/>
      <c r="BL284" s="53"/>
      <c r="BM284" s="200"/>
      <c r="BN284" s="165"/>
      <c r="BO284" s="173"/>
      <c r="BP284" s="190"/>
      <c r="BQ284" s="173"/>
      <c r="BR284" s="168"/>
      <c r="BS284" s="165"/>
      <c r="BT284" s="167"/>
      <c r="BU284" s="45"/>
      <c r="BV284" s="53"/>
      <c r="BW284" s="54"/>
      <c r="BX284" s="54"/>
      <c r="BY284" s="200"/>
      <c r="BZ284" s="45"/>
      <c r="CA284" s="54"/>
      <c r="CB284" s="53"/>
      <c r="CC284" s="200"/>
      <c r="CD284" s="45"/>
      <c r="CE284" s="54"/>
      <c r="CF284" s="54"/>
      <c r="CG284" s="106"/>
      <c r="CH284" s="165"/>
      <c r="CI284" s="167"/>
    </row>
    <row r="285" spans="1:87" x14ac:dyDescent="0.3">
      <c r="A285" s="10">
        <v>4442</v>
      </c>
      <c r="B285" s="11" t="s">
        <v>406</v>
      </c>
      <c r="C285" s="471">
        <v>1137</v>
      </c>
      <c r="D285" s="54">
        <v>415</v>
      </c>
      <c r="E285" s="367">
        <f t="shared" si="5"/>
        <v>0.36499560246262092</v>
      </c>
      <c r="F285" s="45"/>
      <c r="G285" s="45"/>
      <c r="H285" s="45"/>
      <c r="I285" s="45"/>
      <c r="J285" s="46"/>
      <c r="K285" s="45"/>
      <c r="L285" s="107"/>
      <c r="M285" s="541"/>
      <c r="N285" s="45"/>
      <c r="O285" s="45"/>
      <c r="P285" s="53"/>
      <c r="Q285" s="57"/>
      <c r="R285" s="57"/>
      <c r="S285" s="74"/>
      <c r="T285" s="45"/>
      <c r="U285" s="45"/>
      <c r="V285" s="73"/>
      <c r="W285" s="169"/>
      <c r="X285" s="173"/>
      <c r="Y285" s="190"/>
      <c r="Z285" s="167"/>
      <c r="AA285" s="45"/>
      <c r="AB285" s="57"/>
      <c r="AC285" s="169"/>
      <c r="AD285" s="165"/>
      <c r="AE285" s="165"/>
      <c r="AF285" s="167"/>
      <c r="AG285" s="106"/>
      <c r="AH285" s="199"/>
      <c r="AI285" s="200"/>
      <c r="AJ285" s="45">
        <v>167</v>
      </c>
      <c r="AK285" s="54">
        <v>141</v>
      </c>
      <c r="AL285" s="46">
        <v>159</v>
      </c>
      <c r="AM285" s="199"/>
      <c r="AN285" s="201"/>
      <c r="AO285" s="201"/>
      <c r="AP285" s="106"/>
      <c r="AQ285" s="165"/>
      <c r="AR285" s="168"/>
      <c r="AS285" s="165"/>
      <c r="AT285" s="190"/>
      <c r="AU285" s="167"/>
      <c r="AV285" s="199"/>
      <c r="AW285" s="201"/>
      <c r="AX285" s="201"/>
      <c r="AY285" s="202"/>
      <c r="AZ285" s="46"/>
      <c r="BA285" s="199"/>
      <c r="BB285" s="199"/>
      <c r="BC285" s="106"/>
      <c r="BD285" s="165"/>
      <c r="BE285" s="165"/>
      <c r="BF285" s="173"/>
      <c r="BG285" s="304"/>
      <c r="BH285" s="601"/>
      <c r="BI285" s="45"/>
      <c r="BJ285" s="46"/>
      <c r="BK285" s="45"/>
      <c r="BL285" s="53"/>
      <c r="BM285" s="200"/>
      <c r="BN285" s="165"/>
      <c r="BO285" s="173"/>
      <c r="BP285" s="190"/>
      <c r="BQ285" s="173"/>
      <c r="BR285" s="168"/>
      <c r="BS285" s="165"/>
      <c r="BT285" s="167"/>
      <c r="BU285" s="45"/>
      <c r="BV285" s="53"/>
      <c r="BW285" s="54"/>
      <c r="BX285" s="54"/>
      <c r="BY285" s="200"/>
      <c r="BZ285" s="45"/>
      <c r="CA285" s="54"/>
      <c r="CB285" s="53"/>
      <c r="CC285" s="200"/>
      <c r="CD285" s="45"/>
      <c r="CE285" s="54"/>
      <c r="CF285" s="54"/>
      <c r="CG285" s="106"/>
      <c r="CH285" s="165"/>
      <c r="CI285" s="167"/>
    </row>
    <row r="286" spans="1:87" x14ac:dyDescent="0.3">
      <c r="A286" s="10">
        <v>4443</v>
      </c>
      <c r="B286" s="11" t="s">
        <v>407</v>
      </c>
      <c r="C286" s="471">
        <v>1062</v>
      </c>
      <c r="D286" s="54">
        <v>553</v>
      </c>
      <c r="E286" s="367">
        <f t="shared" si="5"/>
        <v>0.5207156308851224</v>
      </c>
      <c r="F286" s="45"/>
      <c r="G286" s="45"/>
      <c r="H286" s="45"/>
      <c r="I286" s="45"/>
      <c r="J286" s="46"/>
      <c r="K286" s="45"/>
      <c r="L286" s="107"/>
      <c r="M286" s="541"/>
      <c r="N286" s="45"/>
      <c r="O286" s="45"/>
      <c r="P286" s="53"/>
      <c r="Q286" s="57"/>
      <c r="R286" s="57"/>
      <c r="S286" s="74"/>
      <c r="T286" s="45"/>
      <c r="U286" s="45"/>
      <c r="V286" s="73"/>
      <c r="W286" s="169"/>
      <c r="X286" s="173"/>
      <c r="Y286" s="190"/>
      <c r="Z286" s="167"/>
      <c r="AA286" s="45"/>
      <c r="AB286" s="57"/>
      <c r="AC286" s="169"/>
      <c r="AD286" s="165"/>
      <c r="AE286" s="165"/>
      <c r="AF286" s="167"/>
      <c r="AG286" s="73"/>
      <c r="AH286" s="45"/>
      <c r="AI286" s="46"/>
      <c r="AJ286" s="45">
        <v>248</v>
      </c>
      <c r="AK286" s="54">
        <v>174</v>
      </c>
      <c r="AL286" s="46">
        <v>195</v>
      </c>
      <c r="AM286" s="45"/>
      <c r="AN286" s="54"/>
      <c r="AO286" s="54"/>
      <c r="AP286" s="73"/>
      <c r="AQ286" s="165"/>
      <c r="AR286" s="168"/>
      <c r="AS286" s="165"/>
      <c r="AT286" s="190"/>
      <c r="AU286" s="167"/>
      <c r="AV286" s="45"/>
      <c r="AW286" s="54"/>
      <c r="AX286" s="54"/>
      <c r="AY286" s="53"/>
      <c r="AZ286" s="46"/>
      <c r="BA286" s="199"/>
      <c r="BB286" s="199"/>
      <c r="BC286" s="106"/>
      <c r="BD286" s="165"/>
      <c r="BE286" s="165"/>
      <c r="BF286" s="173"/>
      <c r="BG286" s="304"/>
      <c r="BH286" s="601"/>
      <c r="BI286" s="45"/>
      <c r="BJ286" s="46"/>
      <c r="BK286" s="45"/>
      <c r="BL286" s="53"/>
      <c r="BM286" s="200"/>
      <c r="BN286" s="165"/>
      <c r="BO286" s="173"/>
      <c r="BP286" s="190"/>
      <c r="BQ286" s="173"/>
      <c r="BR286" s="168"/>
      <c r="BS286" s="165"/>
      <c r="BT286" s="167"/>
      <c r="BU286" s="45"/>
      <c r="BV286" s="53"/>
      <c r="BW286" s="54"/>
      <c r="BX286" s="54"/>
      <c r="BY286" s="200"/>
      <c r="BZ286" s="45"/>
      <c r="CA286" s="54"/>
      <c r="CB286" s="53"/>
      <c r="CC286" s="200"/>
      <c r="CD286" s="45"/>
      <c r="CE286" s="54"/>
      <c r="CF286" s="54"/>
      <c r="CG286" s="106"/>
      <c r="CH286" s="165"/>
      <c r="CI286" s="167"/>
    </row>
    <row r="287" spans="1:87" x14ac:dyDescent="0.3">
      <c r="A287" s="10">
        <v>4611</v>
      </c>
      <c r="B287" s="11" t="s">
        <v>408</v>
      </c>
      <c r="C287" s="471">
        <v>1288</v>
      </c>
      <c r="D287" s="54">
        <v>645</v>
      </c>
      <c r="E287" s="367">
        <f t="shared" si="5"/>
        <v>0.50077639751552794</v>
      </c>
      <c r="F287" s="45"/>
      <c r="G287" s="45"/>
      <c r="H287" s="45"/>
      <c r="I287" s="45"/>
      <c r="J287" s="46"/>
      <c r="K287" s="45"/>
      <c r="L287" s="107"/>
      <c r="M287" s="541"/>
      <c r="N287" s="45"/>
      <c r="O287" s="45"/>
      <c r="P287" s="53"/>
      <c r="Q287" s="57"/>
      <c r="R287" s="57"/>
      <c r="S287" s="74"/>
      <c r="T287" s="45"/>
      <c r="U287" s="45"/>
      <c r="V287" s="73"/>
      <c r="W287" s="169"/>
      <c r="X287" s="173"/>
      <c r="Y287" s="190"/>
      <c r="Z287" s="167"/>
      <c r="AA287" s="45"/>
      <c r="AB287" s="57"/>
      <c r="AC287" s="169"/>
      <c r="AD287" s="165"/>
      <c r="AE287" s="165"/>
      <c r="AF287" s="167"/>
      <c r="AG287" s="73"/>
      <c r="AH287" s="45"/>
      <c r="AI287" s="46"/>
      <c r="AJ287" s="165"/>
      <c r="AK287" s="173"/>
      <c r="AL287" s="167"/>
      <c r="AM287" s="45"/>
      <c r="AN287" s="54"/>
      <c r="AO287" s="54"/>
      <c r="AP287" s="73"/>
      <c r="AQ287" s="45">
        <v>283</v>
      </c>
      <c r="AR287" s="73">
        <v>372</v>
      </c>
      <c r="AS287" s="165"/>
      <c r="AT287" s="190"/>
      <c r="AU287" s="167"/>
      <c r="AV287" s="45"/>
      <c r="AW287" s="54"/>
      <c r="AX287" s="54"/>
      <c r="AY287" s="53"/>
      <c r="AZ287" s="46"/>
      <c r="BA287" s="45"/>
      <c r="BB287" s="45"/>
      <c r="BC287" s="73"/>
      <c r="BD287" s="165"/>
      <c r="BE287" s="165"/>
      <c r="BF287" s="173"/>
      <c r="BG287" s="304"/>
      <c r="BH287" s="601"/>
      <c r="BI287" s="45"/>
      <c r="BJ287" s="46"/>
      <c r="BK287" s="45"/>
      <c r="BL287" s="53"/>
      <c r="BM287" s="200"/>
      <c r="BN287" s="165"/>
      <c r="BO287" s="173"/>
      <c r="BP287" s="190"/>
      <c r="BQ287" s="173"/>
      <c r="BR287" s="168"/>
      <c r="BS287" s="165"/>
      <c r="BT287" s="167"/>
      <c r="BU287" s="45"/>
      <c r="BV287" s="53"/>
      <c r="BW287" s="54"/>
      <c r="BX287" s="54"/>
      <c r="BY287" s="200"/>
      <c r="BZ287" s="45"/>
      <c r="CA287" s="54"/>
      <c r="CB287" s="53"/>
      <c r="CC287" s="200"/>
      <c r="CD287" s="45"/>
      <c r="CE287" s="54"/>
      <c r="CF287" s="54"/>
      <c r="CG287" s="106"/>
      <c r="CH287" s="165"/>
      <c r="CI287" s="167"/>
    </row>
    <row r="288" spans="1:87" x14ac:dyDescent="0.3">
      <c r="A288" s="10">
        <v>4612</v>
      </c>
      <c r="B288" s="11" t="s">
        <v>409</v>
      </c>
      <c r="C288" s="471">
        <v>577</v>
      </c>
      <c r="D288" s="54">
        <v>173</v>
      </c>
      <c r="E288" s="367">
        <f t="shared" si="5"/>
        <v>0.29982668977469673</v>
      </c>
      <c r="F288" s="45"/>
      <c r="G288" s="45"/>
      <c r="H288" s="45"/>
      <c r="I288" s="45"/>
      <c r="J288" s="46"/>
      <c r="K288" s="45"/>
      <c r="L288" s="107"/>
      <c r="M288" s="541"/>
      <c r="N288" s="45"/>
      <c r="O288" s="45"/>
      <c r="P288" s="53"/>
      <c r="Q288" s="57"/>
      <c r="R288" s="57"/>
      <c r="S288" s="74"/>
      <c r="T288" s="45"/>
      <c r="U288" s="45"/>
      <c r="V288" s="73"/>
      <c r="W288" s="169"/>
      <c r="X288" s="173"/>
      <c r="Y288" s="190"/>
      <c r="Z288" s="167"/>
      <c r="AA288" s="45"/>
      <c r="AB288" s="57"/>
      <c r="AC288" s="169"/>
      <c r="AD288" s="165"/>
      <c r="AE288" s="165"/>
      <c r="AF288" s="167"/>
      <c r="AG288" s="73"/>
      <c r="AH288" s="45"/>
      <c r="AI288" s="46"/>
      <c r="AJ288" s="165"/>
      <c r="AK288" s="173"/>
      <c r="AL288" s="167"/>
      <c r="AM288" s="45"/>
      <c r="AN288" s="54"/>
      <c r="AO288" s="54"/>
      <c r="AP288" s="73"/>
      <c r="AQ288" s="45">
        <v>82</v>
      </c>
      <c r="AR288" s="73">
        <v>78</v>
      </c>
      <c r="AS288" s="165"/>
      <c r="AT288" s="190"/>
      <c r="AU288" s="167"/>
      <c r="AV288" s="45"/>
      <c r="AW288" s="54"/>
      <c r="AX288" s="54"/>
      <c r="AY288" s="53"/>
      <c r="AZ288" s="46"/>
      <c r="BA288" s="45"/>
      <c r="BB288" s="45"/>
      <c r="BC288" s="73"/>
      <c r="BD288" s="165"/>
      <c r="BE288" s="165"/>
      <c r="BF288" s="173"/>
      <c r="BG288" s="304"/>
      <c r="BH288" s="601"/>
      <c r="BI288" s="45"/>
      <c r="BJ288" s="46"/>
      <c r="BK288" s="45"/>
      <c r="BL288" s="53"/>
      <c r="BM288" s="200"/>
      <c r="BN288" s="165"/>
      <c r="BO288" s="173"/>
      <c r="BP288" s="190"/>
      <c r="BQ288" s="173"/>
      <c r="BR288" s="168"/>
      <c r="BS288" s="165"/>
      <c r="BT288" s="167"/>
      <c r="BU288" s="45"/>
      <c r="BV288" s="53"/>
      <c r="BW288" s="54"/>
      <c r="BX288" s="54"/>
      <c r="BY288" s="200"/>
      <c r="BZ288" s="45"/>
      <c r="CA288" s="54"/>
      <c r="CB288" s="53"/>
      <c r="CC288" s="200"/>
      <c r="CD288" s="45"/>
      <c r="CE288" s="54"/>
      <c r="CF288" s="54"/>
      <c r="CG288" s="106"/>
      <c r="CH288" s="165"/>
      <c r="CI288" s="167"/>
    </row>
    <row r="289" spans="1:87" x14ac:dyDescent="0.3">
      <c r="A289" s="10">
        <v>4621</v>
      </c>
      <c r="B289" s="11" t="s">
        <v>410</v>
      </c>
      <c r="C289" s="471">
        <v>982</v>
      </c>
      <c r="D289" s="54">
        <v>395</v>
      </c>
      <c r="E289" s="367">
        <f t="shared" si="5"/>
        <v>0.40224032586558045</v>
      </c>
      <c r="F289" s="45"/>
      <c r="G289" s="45"/>
      <c r="H289" s="45"/>
      <c r="I289" s="45"/>
      <c r="J289" s="46"/>
      <c r="K289" s="45"/>
      <c r="L289" s="107"/>
      <c r="M289" s="541"/>
      <c r="N289" s="45"/>
      <c r="O289" s="45"/>
      <c r="P289" s="53"/>
      <c r="Q289" s="57"/>
      <c r="R289" s="57"/>
      <c r="S289" s="74"/>
      <c r="T289" s="45"/>
      <c r="U289" s="45"/>
      <c r="V289" s="73"/>
      <c r="W289" s="169"/>
      <c r="X289" s="173"/>
      <c r="Y289" s="190"/>
      <c r="Z289" s="167"/>
      <c r="AA289" s="45"/>
      <c r="AB289" s="57"/>
      <c r="AC289" s="169"/>
      <c r="AD289" s="165"/>
      <c r="AE289" s="165"/>
      <c r="AF289" s="167"/>
      <c r="AG289" s="73"/>
      <c r="AH289" s="45"/>
      <c r="AI289" s="46"/>
      <c r="AJ289" s="165"/>
      <c r="AK289" s="173"/>
      <c r="AL289" s="167"/>
      <c r="AM289" s="45"/>
      <c r="AN289" s="54"/>
      <c r="AO289" s="54"/>
      <c r="AP289" s="73"/>
      <c r="AQ289" s="45">
        <v>160</v>
      </c>
      <c r="AR289" s="73">
        <v>223</v>
      </c>
      <c r="AS289" s="165"/>
      <c r="AT289" s="190"/>
      <c r="AU289" s="167"/>
      <c r="AV289" s="45"/>
      <c r="AW289" s="54"/>
      <c r="AX289" s="54"/>
      <c r="AY289" s="53"/>
      <c r="AZ289" s="46"/>
      <c r="BA289" s="45"/>
      <c r="BB289" s="45"/>
      <c r="BC289" s="73"/>
      <c r="BD289" s="165"/>
      <c r="BE289" s="165"/>
      <c r="BF289" s="173"/>
      <c r="BG289" s="304"/>
      <c r="BH289" s="601"/>
      <c r="BI289" s="45"/>
      <c r="BJ289" s="46"/>
      <c r="BK289" s="45"/>
      <c r="BL289" s="53"/>
      <c r="BM289" s="200"/>
      <c r="BN289" s="165"/>
      <c r="BO289" s="173"/>
      <c r="BP289" s="190"/>
      <c r="BQ289" s="173"/>
      <c r="BR289" s="168"/>
      <c r="BS289" s="165"/>
      <c r="BT289" s="167"/>
      <c r="BU289" s="45"/>
      <c r="BV289" s="53"/>
      <c r="BW289" s="54"/>
      <c r="BX289" s="54"/>
      <c r="BY289" s="200"/>
      <c r="BZ289" s="45"/>
      <c r="CA289" s="54"/>
      <c r="CB289" s="53"/>
      <c r="CC289" s="200"/>
      <c r="CD289" s="45"/>
      <c r="CE289" s="54"/>
      <c r="CF289" s="54"/>
      <c r="CG289" s="106"/>
      <c r="CH289" s="165"/>
      <c r="CI289" s="167"/>
    </row>
    <row r="290" spans="1:87" x14ac:dyDescent="0.3">
      <c r="A290" s="10">
        <v>4622</v>
      </c>
      <c r="B290" s="11" t="s">
        <v>411</v>
      </c>
      <c r="C290" s="471">
        <v>580</v>
      </c>
      <c r="D290" s="54">
        <v>277</v>
      </c>
      <c r="E290" s="367">
        <f t="shared" si="5"/>
        <v>0.47758620689655173</v>
      </c>
      <c r="F290" s="45"/>
      <c r="G290" s="45"/>
      <c r="H290" s="45"/>
      <c r="I290" s="45"/>
      <c r="J290" s="46"/>
      <c r="K290" s="45"/>
      <c r="L290" s="107"/>
      <c r="M290" s="541"/>
      <c r="N290" s="45"/>
      <c r="O290" s="45"/>
      <c r="P290" s="53"/>
      <c r="Q290" s="57"/>
      <c r="R290" s="57"/>
      <c r="S290" s="74"/>
      <c r="T290" s="45"/>
      <c r="U290" s="45"/>
      <c r="V290" s="73"/>
      <c r="W290" s="169"/>
      <c r="X290" s="173"/>
      <c r="Y290" s="190"/>
      <c r="Z290" s="167"/>
      <c r="AA290" s="45"/>
      <c r="AB290" s="57"/>
      <c r="AC290" s="169"/>
      <c r="AD290" s="165"/>
      <c r="AE290" s="165"/>
      <c r="AF290" s="167"/>
      <c r="AG290" s="73"/>
      <c r="AH290" s="45"/>
      <c r="AI290" s="46"/>
      <c r="AJ290" s="165"/>
      <c r="AK290" s="173"/>
      <c r="AL290" s="167"/>
      <c r="AM290" s="45"/>
      <c r="AN290" s="54"/>
      <c r="AO290" s="54"/>
      <c r="AP290" s="73"/>
      <c r="AQ290" s="45">
        <v>104</v>
      </c>
      <c r="AR290" s="73">
        <v>145</v>
      </c>
      <c r="AS290" s="165"/>
      <c r="AT290" s="190"/>
      <c r="AU290" s="167"/>
      <c r="AV290" s="45"/>
      <c r="AW290" s="54"/>
      <c r="AX290" s="54"/>
      <c r="AY290" s="53"/>
      <c r="AZ290" s="46"/>
      <c r="BA290" s="45"/>
      <c r="BB290" s="45"/>
      <c r="BC290" s="73"/>
      <c r="BD290" s="165"/>
      <c r="BE290" s="165"/>
      <c r="BF290" s="173"/>
      <c r="BG290" s="304"/>
      <c r="BH290" s="601"/>
      <c r="BI290" s="45"/>
      <c r="BJ290" s="46"/>
      <c r="BK290" s="45"/>
      <c r="BL290" s="53"/>
      <c r="BM290" s="200"/>
      <c r="BN290" s="165"/>
      <c r="BO290" s="173"/>
      <c r="BP290" s="190"/>
      <c r="BQ290" s="173"/>
      <c r="BR290" s="168"/>
      <c r="BS290" s="165"/>
      <c r="BT290" s="167"/>
      <c r="BU290" s="45"/>
      <c r="BV290" s="53"/>
      <c r="BW290" s="54"/>
      <c r="BX290" s="54"/>
      <c r="BY290" s="200"/>
      <c r="BZ290" s="45"/>
      <c r="CA290" s="54"/>
      <c r="CB290" s="53"/>
      <c r="CC290" s="200"/>
      <c r="CD290" s="45"/>
      <c r="CE290" s="54"/>
      <c r="CF290" s="54"/>
      <c r="CG290" s="106"/>
      <c r="CH290" s="165"/>
      <c r="CI290" s="167"/>
    </row>
    <row r="291" spans="1:87" x14ac:dyDescent="0.3">
      <c r="A291" s="10">
        <v>4631</v>
      </c>
      <c r="B291" s="11" t="s">
        <v>412</v>
      </c>
      <c r="C291" s="471">
        <v>1179</v>
      </c>
      <c r="D291" s="54">
        <v>551</v>
      </c>
      <c r="E291" s="367">
        <f t="shared" si="5"/>
        <v>0.46734520780322308</v>
      </c>
      <c r="F291" s="45"/>
      <c r="G291" s="45"/>
      <c r="H291" s="45"/>
      <c r="I291" s="45"/>
      <c r="J291" s="46"/>
      <c r="K291" s="45"/>
      <c r="L291" s="107"/>
      <c r="M291" s="541"/>
      <c r="N291" s="45"/>
      <c r="O291" s="45"/>
      <c r="P291" s="53"/>
      <c r="Q291" s="57"/>
      <c r="R291" s="57"/>
      <c r="S291" s="74"/>
      <c r="T291" s="45"/>
      <c r="U291" s="45"/>
      <c r="V291" s="73"/>
      <c r="W291" s="169"/>
      <c r="X291" s="173"/>
      <c r="Y291" s="190"/>
      <c r="Z291" s="167"/>
      <c r="AA291" s="45"/>
      <c r="AB291" s="57"/>
      <c r="AC291" s="169"/>
      <c r="AD291" s="165"/>
      <c r="AE291" s="165"/>
      <c r="AF291" s="167"/>
      <c r="AG291" s="73"/>
      <c r="AH291" s="45"/>
      <c r="AI291" s="46"/>
      <c r="AJ291" s="165"/>
      <c r="AK291" s="173"/>
      <c r="AL291" s="167"/>
      <c r="AM291" s="45"/>
      <c r="AN291" s="54"/>
      <c r="AO291" s="54"/>
      <c r="AP291" s="73"/>
      <c r="AQ291" s="45">
        <v>239</v>
      </c>
      <c r="AR291" s="73">
        <v>316</v>
      </c>
      <c r="AS291" s="165"/>
      <c r="AT291" s="190"/>
      <c r="AU291" s="167"/>
      <c r="AV291" s="45"/>
      <c r="AW291" s="54"/>
      <c r="AX291" s="54"/>
      <c r="AY291" s="53"/>
      <c r="AZ291" s="46"/>
      <c r="BA291" s="45"/>
      <c r="BB291" s="45"/>
      <c r="BC291" s="73"/>
      <c r="BD291" s="165"/>
      <c r="BE291" s="165"/>
      <c r="BF291" s="173"/>
      <c r="BG291" s="304"/>
      <c r="BH291" s="601"/>
      <c r="BI291" s="45"/>
      <c r="BJ291" s="46"/>
      <c r="BK291" s="45"/>
      <c r="BL291" s="53"/>
      <c r="BM291" s="200"/>
      <c r="BN291" s="165"/>
      <c r="BO291" s="173"/>
      <c r="BP291" s="190"/>
      <c r="BQ291" s="173"/>
      <c r="BR291" s="168"/>
      <c r="BS291" s="165"/>
      <c r="BT291" s="167"/>
      <c r="BU291" s="45"/>
      <c r="BV291" s="53"/>
      <c r="BW291" s="54"/>
      <c r="BX291" s="54"/>
      <c r="BY291" s="200"/>
      <c r="BZ291" s="45"/>
      <c r="CA291" s="54"/>
      <c r="CB291" s="53"/>
      <c r="CC291" s="200"/>
      <c r="CD291" s="45"/>
      <c r="CE291" s="54"/>
      <c r="CF291" s="54"/>
      <c r="CG291" s="106"/>
      <c r="CH291" s="165"/>
      <c r="CI291" s="167"/>
    </row>
    <row r="292" spans="1:87" x14ac:dyDescent="0.3">
      <c r="A292" s="10">
        <v>4632</v>
      </c>
      <c r="B292" s="11" t="s">
        <v>413</v>
      </c>
      <c r="C292" s="471">
        <v>766</v>
      </c>
      <c r="D292" s="54">
        <v>425</v>
      </c>
      <c r="E292" s="367">
        <f t="shared" si="5"/>
        <v>0.55483028720626637</v>
      </c>
      <c r="F292" s="45"/>
      <c r="G292" s="45"/>
      <c r="H292" s="45"/>
      <c r="I292" s="45"/>
      <c r="J292" s="46"/>
      <c r="K292" s="45"/>
      <c r="L292" s="107"/>
      <c r="M292" s="541"/>
      <c r="N292" s="45"/>
      <c r="O292" s="45"/>
      <c r="P292" s="53"/>
      <c r="Q292" s="57"/>
      <c r="R292" s="57"/>
      <c r="S292" s="74"/>
      <c r="T292" s="45"/>
      <c r="U292" s="45"/>
      <c r="V292" s="73"/>
      <c r="W292" s="169"/>
      <c r="X292" s="173"/>
      <c r="Y292" s="190"/>
      <c r="Z292" s="167"/>
      <c r="AA292" s="45"/>
      <c r="AB292" s="57"/>
      <c r="AC292" s="169"/>
      <c r="AD292" s="165"/>
      <c r="AE292" s="165"/>
      <c r="AF292" s="167"/>
      <c r="AG292" s="73"/>
      <c r="AH292" s="45"/>
      <c r="AI292" s="46"/>
      <c r="AJ292" s="165"/>
      <c r="AK292" s="173"/>
      <c r="AL292" s="167"/>
      <c r="AM292" s="45"/>
      <c r="AN292" s="54"/>
      <c r="AO292" s="54"/>
      <c r="AP292" s="73"/>
      <c r="AQ292" s="45">
        <v>156</v>
      </c>
      <c r="AR292" s="73">
        <v>244</v>
      </c>
      <c r="AS292" s="165"/>
      <c r="AT292" s="190"/>
      <c r="AU292" s="167"/>
      <c r="AV292" s="45"/>
      <c r="AW292" s="54"/>
      <c r="AX292" s="54"/>
      <c r="AY292" s="53"/>
      <c r="AZ292" s="46"/>
      <c r="BA292" s="45"/>
      <c r="BB292" s="45"/>
      <c r="BC292" s="73"/>
      <c r="BD292" s="165"/>
      <c r="BE292" s="165"/>
      <c r="BF292" s="173"/>
      <c r="BG292" s="304"/>
      <c r="BH292" s="601"/>
      <c r="BI292" s="45"/>
      <c r="BJ292" s="46"/>
      <c r="BK292" s="45"/>
      <c r="BL292" s="53"/>
      <c r="BM292" s="200"/>
      <c r="BN292" s="165"/>
      <c r="BO292" s="173"/>
      <c r="BP292" s="190"/>
      <c r="BQ292" s="173"/>
      <c r="BR292" s="168"/>
      <c r="BS292" s="165"/>
      <c r="BT292" s="167"/>
      <c r="BU292" s="45"/>
      <c r="BV292" s="53"/>
      <c r="BW292" s="54"/>
      <c r="BX292" s="54"/>
      <c r="BY292" s="200"/>
      <c r="BZ292" s="45"/>
      <c r="CA292" s="54"/>
      <c r="CB292" s="53"/>
      <c r="CC292" s="200"/>
      <c r="CD292" s="45"/>
      <c r="CE292" s="54"/>
      <c r="CF292" s="54"/>
      <c r="CG292" s="106"/>
      <c r="CH292" s="165"/>
      <c r="CI292" s="167"/>
    </row>
    <row r="293" spans="1:87" x14ac:dyDescent="0.3">
      <c r="A293" s="10">
        <v>4641</v>
      </c>
      <c r="B293" s="11" t="s">
        <v>414</v>
      </c>
      <c r="C293" s="471">
        <v>825</v>
      </c>
      <c r="D293" s="54">
        <v>486</v>
      </c>
      <c r="E293" s="367">
        <f t="shared" si="5"/>
        <v>0.58909090909090911</v>
      </c>
      <c r="F293" s="45"/>
      <c r="G293" s="45"/>
      <c r="H293" s="45"/>
      <c r="I293" s="45"/>
      <c r="J293" s="46"/>
      <c r="K293" s="45"/>
      <c r="L293" s="107"/>
      <c r="M293" s="541"/>
      <c r="N293" s="45"/>
      <c r="O293" s="45"/>
      <c r="P293" s="53"/>
      <c r="Q293" s="57"/>
      <c r="R293" s="57"/>
      <c r="S293" s="74"/>
      <c r="T293" s="45"/>
      <c r="U293" s="45"/>
      <c r="V293" s="73"/>
      <c r="W293" s="169"/>
      <c r="X293" s="173"/>
      <c r="Y293" s="190"/>
      <c r="Z293" s="167"/>
      <c r="AA293" s="45"/>
      <c r="AB293" s="57"/>
      <c r="AC293" s="169"/>
      <c r="AD293" s="165"/>
      <c r="AE293" s="165"/>
      <c r="AF293" s="167"/>
      <c r="AG293" s="73"/>
      <c r="AH293" s="45"/>
      <c r="AI293" s="46"/>
      <c r="AJ293" s="165"/>
      <c r="AK293" s="173"/>
      <c r="AL293" s="167"/>
      <c r="AM293" s="45"/>
      <c r="AN293" s="54"/>
      <c r="AO293" s="54"/>
      <c r="AP293" s="73"/>
      <c r="AQ293" s="45">
        <v>196</v>
      </c>
      <c r="AR293" s="73">
        <v>295</v>
      </c>
      <c r="AS293" s="165"/>
      <c r="AT293" s="190"/>
      <c r="AU293" s="167"/>
      <c r="AV293" s="45"/>
      <c r="AW293" s="54"/>
      <c r="AX293" s="54"/>
      <c r="AY293" s="53"/>
      <c r="AZ293" s="46"/>
      <c r="BA293" s="45"/>
      <c r="BB293" s="45"/>
      <c r="BC293" s="73"/>
      <c r="BD293" s="165"/>
      <c r="BE293" s="165"/>
      <c r="BF293" s="173"/>
      <c r="BG293" s="304"/>
      <c r="BH293" s="601"/>
      <c r="BI293" s="45"/>
      <c r="BJ293" s="46"/>
      <c r="BK293" s="45"/>
      <c r="BL293" s="53"/>
      <c r="BM293" s="200"/>
      <c r="BN293" s="165"/>
      <c r="BO293" s="173"/>
      <c r="BP293" s="190"/>
      <c r="BQ293" s="173"/>
      <c r="BR293" s="168"/>
      <c r="BS293" s="165"/>
      <c r="BT293" s="167"/>
      <c r="BU293" s="45"/>
      <c r="BV293" s="53"/>
      <c r="BW293" s="54"/>
      <c r="BX293" s="54"/>
      <c r="BY293" s="200"/>
      <c r="BZ293" s="45"/>
      <c r="CA293" s="54"/>
      <c r="CB293" s="53"/>
      <c r="CC293" s="200"/>
      <c r="CD293" s="45"/>
      <c r="CE293" s="54"/>
      <c r="CF293" s="54"/>
      <c r="CG293" s="106"/>
      <c r="CH293" s="165"/>
      <c r="CI293" s="167"/>
    </row>
    <row r="294" spans="1:87" x14ac:dyDescent="0.3">
      <c r="A294" s="10">
        <v>4642</v>
      </c>
      <c r="B294" s="11" t="s">
        <v>415</v>
      </c>
      <c r="C294" s="471">
        <v>1074</v>
      </c>
      <c r="D294" s="54">
        <v>663</v>
      </c>
      <c r="E294" s="367">
        <f t="shared" si="5"/>
        <v>0.61731843575418999</v>
      </c>
      <c r="F294" s="45"/>
      <c r="G294" s="45"/>
      <c r="H294" s="45"/>
      <c r="I294" s="45"/>
      <c r="J294" s="46"/>
      <c r="K294" s="45"/>
      <c r="L294" s="107"/>
      <c r="M294" s="541"/>
      <c r="N294" s="45"/>
      <c r="O294" s="45"/>
      <c r="P294" s="53"/>
      <c r="Q294" s="57"/>
      <c r="R294" s="57"/>
      <c r="S294" s="74"/>
      <c r="T294" s="45"/>
      <c r="U294" s="45"/>
      <c r="V294" s="73"/>
      <c r="W294" s="169"/>
      <c r="X294" s="173"/>
      <c r="Y294" s="190"/>
      <c r="Z294" s="167"/>
      <c r="AA294" s="45"/>
      <c r="AB294" s="57"/>
      <c r="AC294" s="169"/>
      <c r="AD294" s="165"/>
      <c r="AE294" s="165"/>
      <c r="AF294" s="167"/>
      <c r="AG294" s="73"/>
      <c r="AH294" s="45"/>
      <c r="AI294" s="46"/>
      <c r="AJ294" s="165"/>
      <c r="AK294" s="173"/>
      <c r="AL294" s="167"/>
      <c r="AM294" s="45"/>
      <c r="AN294" s="54"/>
      <c r="AO294" s="54"/>
      <c r="AP294" s="73"/>
      <c r="AQ294" s="45">
        <v>292</v>
      </c>
      <c r="AR294" s="73">
        <v>452</v>
      </c>
      <c r="AS294" s="165"/>
      <c r="AT294" s="190"/>
      <c r="AU294" s="167"/>
      <c r="AV294" s="45"/>
      <c r="AW294" s="54"/>
      <c r="AX294" s="54"/>
      <c r="AY294" s="53"/>
      <c r="AZ294" s="46"/>
      <c r="BA294" s="45"/>
      <c r="BB294" s="45"/>
      <c r="BC294" s="73"/>
      <c r="BD294" s="165"/>
      <c r="BE294" s="165"/>
      <c r="BF294" s="173"/>
      <c r="BG294" s="304"/>
      <c r="BH294" s="601"/>
      <c r="BI294" s="45"/>
      <c r="BJ294" s="46"/>
      <c r="BK294" s="45"/>
      <c r="BL294" s="53"/>
      <c r="BM294" s="200"/>
      <c r="BN294" s="165"/>
      <c r="BO294" s="173"/>
      <c r="BP294" s="190"/>
      <c r="BQ294" s="173"/>
      <c r="BR294" s="168"/>
      <c r="BS294" s="165"/>
      <c r="BT294" s="167"/>
      <c r="BU294" s="45"/>
      <c r="BV294" s="53"/>
      <c r="BW294" s="54"/>
      <c r="BX294" s="54"/>
      <c r="BY294" s="200"/>
      <c r="BZ294" s="45"/>
      <c r="CA294" s="54"/>
      <c r="CB294" s="53"/>
      <c r="CC294" s="200"/>
      <c r="CD294" s="45"/>
      <c r="CE294" s="54"/>
      <c r="CF294" s="54"/>
      <c r="CG294" s="106"/>
      <c r="CH294" s="165"/>
      <c r="CI294" s="167"/>
    </row>
    <row r="295" spans="1:87" x14ac:dyDescent="0.3">
      <c r="A295" s="10">
        <v>4911</v>
      </c>
      <c r="B295" s="11" t="s">
        <v>416</v>
      </c>
      <c r="C295" s="471">
        <v>1012</v>
      </c>
      <c r="D295" s="54">
        <v>362</v>
      </c>
      <c r="E295" s="367">
        <f t="shared" si="5"/>
        <v>0.35770750988142291</v>
      </c>
      <c r="F295" s="45"/>
      <c r="G295" s="45"/>
      <c r="H295" s="45"/>
      <c r="I295" s="45"/>
      <c r="J295" s="46"/>
      <c r="K295" s="45"/>
      <c r="L295" s="107"/>
      <c r="M295" s="541"/>
      <c r="N295" s="45"/>
      <c r="O295" s="45"/>
      <c r="P295" s="53"/>
      <c r="Q295" s="57"/>
      <c r="R295" s="57"/>
      <c r="S295" s="74"/>
      <c r="T295" s="45"/>
      <c r="U295" s="45"/>
      <c r="V295" s="73"/>
      <c r="W295" s="169"/>
      <c r="X295" s="173"/>
      <c r="Y295" s="190"/>
      <c r="Z295" s="167"/>
      <c r="AA295" s="45"/>
      <c r="AB295" s="57"/>
      <c r="AC295" s="169"/>
      <c r="AD295" s="165"/>
      <c r="AE295" s="165"/>
      <c r="AF295" s="167"/>
      <c r="AG295" s="73"/>
      <c r="AH295" s="45"/>
      <c r="AI295" s="46"/>
      <c r="AJ295" s="165"/>
      <c r="AK295" s="173"/>
      <c r="AL295" s="167"/>
      <c r="AM295" s="45">
        <v>148</v>
      </c>
      <c r="AN295" s="54">
        <v>103</v>
      </c>
      <c r="AO295" s="54">
        <v>106</v>
      </c>
      <c r="AP295" s="73">
        <v>148</v>
      </c>
      <c r="AQ295" s="153"/>
      <c r="AR295" s="156"/>
      <c r="AS295" s="165"/>
      <c r="AT295" s="190"/>
      <c r="AU295" s="167"/>
      <c r="AV295" s="45"/>
      <c r="AW295" s="54"/>
      <c r="AX295" s="54"/>
      <c r="AY295" s="53"/>
      <c r="AZ295" s="46"/>
      <c r="BA295" s="45"/>
      <c r="BB295" s="45"/>
      <c r="BC295" s="73"/>
      <c r="BD295" s="165"/>
      <c r="BE295" s="165"/>
      <c r="BF295" s="173"/>
      <c r="BG295" s="304"/>
      <c r="BH295" s="601"/>
      <c r="BI295" s="45"/>
      <c r="BJ295" s="46"/>
      <c r="BK295" s="45"/>
      <c r="BL295" s="53"/>
      <c r="BM295" s="200"/>
      <c r="BN295" s="165"/>
      <c r="BO295" s="173"/>
      <c r="BP295" s="190"/>
      <c r="BQ295" s="173"/>
      <c r="BR295" s="168"/>
      <c r="BS295" s="165"/>
      <c r="BT295" s="167"/>
      <c r="BU295" s="45"/>
      <c r="BV295" s="53"/>
      <c r="BW295" s="54"/>
      <c r="BX295" s="54"/>
      <c r="BY295" s="200"/>
      <c r="BZ295" s="45"/>
      <c r="CA295" s="54"/>
      <c r="CB295" s="53"/>
      <c r="CC295" s="200"/>
      <c r="CD295" s="45"/>
      <c r="CE295" s="54"/>
      <c r="CF295" s="54"/>
      <c r="CG295" s="106"/>
      <c r="CH295" s="165"/>
      <c r="CI295" s="167"/>
    </row>
    <row r="296" spans="1:87" x14ac:dyDescent="0.3">
      <c r="A296" s="10">
        <v>4912</v>
      </c>
      <c r="B296" s="11" t="s">
        <v>417</v>
      </c>
      <c r="C296" s="471">
        <v>854</v>
      </c>
      <c r="D296" s="54">
        <v>338</v>
      </c>
      <c r="E296" s="367">
        <f t="shared" si="5"/>
        <v>0.39578454332552693</v>
      </c>
      <c r="F296" s="45"/>
      <c r="G296" s="45"/>
      <c r="H296" s="45"/>
      <c r="I296" s="45"/>
      <c r="J296" s="46"/>
      <c r="K296" s="45"/>
      <c r="L296" s="107"/>
      <c r="M296" s="541"/>
      <c r="N296" s="45"/>
      <c r="O296" s="45"/>
      <c r="P296" s="53"/>
      <c r="Q296" s="57"/>
      <c r="R296" s="57"/>
      <c r="S296" s="74"/>
      <c r="T296" s="45"/>
      <c r="U296" s="45"/>
      <c r="V296" s="73"/>
      <c r="W296" s="169"/>
      <c r="X296" s="173"/>
      <c r="Y296" s="190"/>
      <c r="Z296" s="167"/>
      <c r="AA296" s="45"/>
      <c r="AB296" s="57"/>
      <c r="AC296" s="169"/>
      <c r="AD296" s="165"/>
      <c r="AE296" s="165"/>
      <c r="AF296" s="167"/>
      <c r="AG296" s="73"/>
      <c r="AH296" s="45"/>
      <c r="AI296" s="46"/>
      <c r="AJ296" s="165"/>
      <c r="AK296" s="173"/>
      <c r="AL296" s="167"/>
      <c r="AM296" s="45">
        <v>142</v>
      </c>
      <c r="AN296" s="54">
        <v>112</v>
      </c>
      <c r="AO296" s="54">
        <v>94</v>
      </c>
      <c r="AP296" s="73">
        <v>132</v>
      </c>
      <c r="AQ296" s="165"/>
      <c r="AR296" s="168"/>
      <c r="AS296" s="165"/>
      <c r="AT296" s="190"/>
      <c r="AU296" s="167"/>
      <c r="AV296" s="45"/>
      <c r="AW296" s="54"/>
      <c r="AX296" s="54"/>
      <c r="AY296" s="53"/>
      <c r="AZ296" s="46"/>
      <c r="BA296" s="45"/>
      <c r="BB296" s="45"/>
      <c r="BC296" s="73"/>
      <c r="BD296" s="165"/>
      <c r="BE296" s="165"/>
      <c r="BF296" s="173"/>
      <c r="BG296" s="304"/>
      <c r="BH296" s="601"/>
      <c r="BI296" s="45"/>
      <c r="BJ296" s="46"/>
      <c r="BK296" s="45"/>
      <c r="BL296" s="53"/>
      <c r="BM296" s="200"/>
      <c r="BN296" s="165"/>
      <c r="BO296" s="173"/>
      <c r="BP296" s="190"/>
      <c r="BQ296" s="173"/>
      <c r="BR296" s="168"/>
      <c r="BS296" s="165"/>
      <c r="BT296" s="167"/>
      <c r="BU296" s="45"/>
      <c r="BV296" s="53"/>
      <c r="BW296" s="54"/>
      <c r="BX296" s="54"/>
      <c r="BY296" s="200"/>
      <c r="BZ296" s="45"/>
      <c r="CA296" s="54"/>
      <c r="CB296" s="53"/>
      <c r="CC296" s="200"/>
      <c r="CD296" s="45"/>
      <c r="CE296" s="54"/>
      <c r="CF296" s="54"/>
      <c r="CG296" s="106"/>
      <c r="CH296" s="165"/>
      <c r="CI296" s="167"/>
    </row>
    <row r="297" spans="1:87" x14ac:dyDescent="0.3">
      <c r="A297" s="10">
        <v>4921</v>
      </c>
      <c r="B297" s="11" t="s">
        <v>418</v>
      </c>
      <c r="C297" s="471">
        <v>829</v>
      </c>
      <c r="D297" s="54">
        <v>537</v>
      </c>
      <c r="E297" s="367">
        <f t="shared" si="5"/>
        <v>0.64776839565741862</v>
      </c>
      <c r="F297" s="45"/>
      <c r="G297" s="45"/>
      <c r="H297" s="45"/>
      <c r="I297" s="45"/>
      <c r="J297" s="46"/>
      <c r="K297" s="45"/>
      <c r="L297" s="107"/>
      <c r="M297" s="541"/>
      <c r="N297" s="45"/>
      <c r="O297" s="45"/>
      <c r="P297" s="53"/>
      <c r="Q297" s="57"/>
      <c r="R297" s="57"/>
      <c r="S297" s="74"/>
      <c r="T297" s="45"/>
      <c r="U297" s="45"/>
      <c r="V297" s="73"/>
      <c r="W297" s="169"/>
      <c r="X297" s="173"/>
      <c r="Y297" s="190"/>
      <c r="Z297" s="167"/>
      <c r="AA297" s="45"/>
      <c r="AB297" s="57"/>
      <c r="AC297" s="169"/>
      <c r="AD297" s="165"/>
      <c r="AE297" s="165"/>
      <c r="AF297" s="167"/>
      <c r="AG297" s="73"/>
      <c r="AH297" s="45"/>
      <c r="AI297" s="46"/>
      <c r="AJ297" s="165"/>
      <c r="AK297" s="173"/>
      <c r="AL297" s="167"/>
      <c r="AM297" s="45">
        <v>228</v>
      </c>
      <c r="AN297" s="54">
        <v>156</v>
      </c>
      <c r="AO297" s="54">
        <v>198</v>
      </c>
      <c r="AP297" s="73">
        <v>266</v>
      </c>
      <c r="AQ297" s="165"/>
      <c r="AR297" s="168"/>
      <c r="AS297" s="165"/>
      <c r="AT297" s="190"/>
      <c r="AU297" s="167"/>
      <c r="AV297" s="45"/>
      <c r="AW297" s="54"/>
      <c r="AX297" s="54"/>
      <c r="AY297" s="53"/>
      <c r="AZ297" s="46"/>
      <c r="BA297" s="45"/>
      <c r="BB297" s="45"/>
      <c r="BC297" s="73"/>
      <c r="BD297" s="165"/>
      <c r="BE297" s="165"/>
      <c r="BF297" s="173"/>
      <c r="BG297" s="304"/>
      <c r="BH297" s="601"/>
      <c r="BI297" s="45"/>
      <c r="BJ297" s="46"/>
      <c r="BK297" s="45"/>
      <c r="BL297" s="53"/>
      <c r="BM297" s="200"/>
      <c r="BN297" s="165"/>
      <c r="BO297" s="173"/>
      <c r="BP297" s="190"/>
      <c r="BQ297" s="173"/>
      <c r="BR297" s="168"/>
      <c r="BS297" s="165"/>
      <c r="BT297" s="167"/>
      <c r="BU297" s="199"/>
      <c r="BV297" s="202"/>
      <c r="BW297" s="201"/>
      <c r="BX297" s="201"/>
      <c r="BY297" s="200"/>
      <c r="BZ297" s="199"/>
      <c r="CA297" s="201"/>
      <c r="CB297" s="202"/>
      <c r="CC297" s="200"/>
      <c r="CD297" s="199"/>
      <c r="CE297" s="201"/>
      <c r="CF297" s="201"/>
      <c r="CG297" s="106"/>
      <c r="CH297" s="165"/>
      <c r="CI297" s="167"/>
    </row>
    <row r="298" spans="1:87" x14ac:dyDescent="0.3">
      <c r="A298" s="10">
        <v>4931</v>
      </c>
      <c r="B298" s="11" t="s">
        <v>419</v>
      </c>
      <c r="C298" s="471">
        <v>1589</v>
      </c>
      <c r="D298" s="54">
        <v>772</v>
      </c>
      <c r="E298" s="367">
        <f t="shared" si="5"/>
        <v>0.4858401510383889</v>
      </c>
      <c r="F298" s="45"/>
      <c r="G298" s="45"/>
      <c r="H298" s="45"/>
      <c r="I298" s="45"/>
      <c r="J298" s="46"/>
      <c r="K298" s="45"/>
      <c r="L298" s="107"/>
      <c r="M298" s="541"/>
      <c r="N298" s="45"/>
      <c r="O298" s="45"/>
      <c r="P298" s="53"/>
      <c r="Q298" s="57"/>
      <c r="R298" s="57"/>
      <c r="S298" s="74"/>
      <c r="T298" s="45"/>
      <c r="U298" s="45"/>
      <c r="V298" s="73"/>
      <c r="W298" s="169"/>
      <c r="X298" s="173"/>
      <c r="Y298" s="190"/>
      <c r="Z298" s="167"/>
      <c r="AA298" s="45"/>
      <c r="AB298" s="57"/>
      <c r="AC298" s="169"/>
      <c r="AD298" s="165"/>
      <c r="AE298" s="165"/>
      <c r="AF298" s="167"/>
      <c r="AG298" s="73"/>
      <c r="AH298" s="45"/>
      <c r="AI298" s="46"/>
      <c r="AJ298" s="165"/>
      <c r="AK298" s="173"/>
      <c r="AL298" s="167"/>
      <c r="AM298" s="45">
        <v>309</v>
      </c>
      <c r="AN298" s="54">
        <v>226</v>
      </c>
      <c r="AO298" s="54">
        <v>230</v>
      </c>
      <c r="AP298" s="73">
        <v>320</v>
      </c>
      <c r="AQ298" s="165"/>
      <c r="AR298" s="168"/>
      <c r="AS298" s="165"/>
      <c r="AT298" s="190"/>
      <c r="AU298" s="167"/>
      <c r="AV298" s="45"/>
      <c r="AW298" s="54"/>
      <c r="AX298" s="54"/>
      <c r="AY298" s="53"/>
      <c r="AZ298" s="46"/>
      <c r="BA298" s="45"/>
      <c r="BB298" s="45"/>
      <c r="BC298" s="73"/>
      <c r="BD298" s="165"/>
      <c r="BE298" s="165"/>
      <c r="BF298" s="173"/>
      <c r="BG298" s="304"/>
      <c r="BH298" s="601"/>
      <c r="BI298" s="45"/>
      <c r="BJ298" s="46"/>
      <c r="BK298" s="45"/>
      <c r="BL298" s="53"/>
      <c r="BM298" s="200"/>
      <c r="BN298" s="165"/>
      <c r="BO298" s="173"/>
      <c r="BP298" s="190"/>
      <c r="BQ298" s="173"/>
      <c r="BR298" s="168"/>
      <c r="BS298" s="165"/>
      <c r="BT298" s="167"/>
      <c r="BU298" s="199"/>
      <c r="BV298" s="202"/>
      <c r="BW298" s="201"/>
      <c r="BX298" s="201"/>
      <c r="BY298" s="200"/>
      <c r="BZ298" s="199"/>
      <c r="CA298" s="201"/>
      <c r="CB298" s="202"/>
      <c r="CC298" s="200"/>
      <c r="CD298" s="199"/>
      <c r="CE298" s="201"/>
      <c r="CF298" s="201"/>
      <c r="CG298" s="106"/>
      <c r="CH298" s="165"/>
      <c r="CI298" s="167"/>
    </row>
    <row r="299" spans="1:87" x14ac:dyDescent="0.3">
      <c r="A299" s="10">
        <v>4932</v>
      </c>
      <c r="B299" s="11" t="s">
        <v>420</v>
      </c>
      <c r="C299" s="471">
        <v>780</v>
      </c>
      <c r="D299" s="54">
        <v>488</v>
      </c>
      <c r="E299" s="367">
        <f t="shared" si="5"/>
        <v>0.62564102564102564</v>
      </c>
      <c r="F299" s="45"/>
      <c r="G299" s="45"/>
      <c r="H299" s="45"/>
      <c r="I299" s="45"/>
      <c r="J299" s="46"/>
      <c r="K299" s="45"/>
      <c r="L299" s="107"/>
      <c r="M299" s="541"/>
      <c r="N299" s="45"/>
      <c r="O299" s="45"/>
      <c r="P299" s="53"/>
      <c r="Q299" s="57"/>
      <c r="R299" s="57"/>
      <c r="S299" s="74"/>
      <c r="T299" s="45"/>
      <c r="U299" s="45"/>
      <c r="V299" s="73"/>
      <c r="W299" s="169"/>
      <c r="X299" s="173"/>
      <c r="Y299" s="190"/>
      <c r="Z299" s="167"/>
      <c r="AA299" s="45"/>
      <c r="AB299" s="57"/>
      <c r="AC299" s="169"/>
      <c r="AD299" s="165"/>
      <c r="AE299" s="165"/>
      <c r="AF299" s="167"/>
      <c r="AG299" s="73"/>
      <c r="AH299" s="45"/>
      <c r="AI299" s="46"/>
      <c r="AJ299" s="165"/>
      <c r="AK299" s="173"/>
      <c r="AL299" s="167"/>
      <c r="AM299" s="45">
        <v>188</v>
      </c>
      <c r="AN299" s="54">
        <v>127</v>
      </c>
      <c r="AO299" s="54">
        <v>166</v>
      </c>
      <c r="AP299" s="73">
        <v>280</v>
      </c>
      <c r="AQ299" s="165"/>
      <c r="AR299" s="168"/>
      <c r="AS299" s="165"/>
      <c r="AT299" s="190"/>
      <c r="AU299" s="167"/>
      <c r="AV299" s="45"/>
      <c r="AW299" s="54"/>
      <c r="AX299" s="54"/>
      <c r="AY299" s="53"/>
      <c r="AZ299" s="46"/>
      <c r="BA299" s="45"/>
      <c r="BB299" s="45"/>
      <c r="BC299" s="73"/>
      <c r="BD299" s="165"/>
      <c r="BE299" s="165"/>
      <c r="BF299" s="173"/>
      <c r="BG299" s="304"/>
      <c r="BH299" s="601"/>
      <c r="BI299" s="45"/>
      <c r="BJ299" s="46"/>
      <c r="BK299" s="45"/>
      <c r="BL299" s="53"/>
      <c r="BM299" s="200"/>
      <c r="BN299" s="165"/>
      <c r="BO299" s="173"/>
      <c r="BP299" s="190"/>
      <c r="BQ299" s="173"/>
      <c r="BR299" s="168"/>
      <c r="BS299" s="165"/>
      <c r="BT299" s="167"/>
      <c r="BU299" s="199"/>
      <c r="BV299" s="202"/>
      <c r="BW299" s="201"/>
      <c r="BX299" s="201"/>
      <c r="BY299" s="200"/>
      <c r="BZ299" s="199"/>
      <c r="CA299" s="201"/>
      <c r="CB299" s="202"/>
      <c r="CC299" s="200"/>
      <c r="CD299" s="199"/>
      <c r="CE299" s="201"/>
      <c r="CF299" s="201"/>
      <c r="CG299" s="106"/>
      <c r="CH299" s="165"/>
      <c r="CI299" s="167"/>
    </row>
    <row r="300" spans="1:87" x14ac:dyDescent="0.3">
      <c r="A300" s="10">
        <v>4941</v>
      </c>
      <c r="B300" s="11" t="s">
        <v>421</v>
      </c>
      <c r="C300" s="471">
        <v>1077</v>
      </c>
      <c r="D300" s="54">
        <v>662</v>
      </c>
      <c r="E300" s="367">
        <f t="shared" si="5"/>
        <v>0.61467038068709379</v>
      </c>
      <c r="F300" s="45"/>
      <c r="G300" s="45"/>
      <c r="H300" s="45"/>
      <c r="I300" s="45"/>
      <c r="J300" s="46"/>
      <c r="K300" s="45"/>
      <c r="L300" s="107"/>
      <c r="M300" s="541"/>
      <c r="N300" s="45"/>
      <c r="O300" s="45"/>
      <c r="P300" s="53"/>
      <c r="Q300" s="57"/>
      <c r="R300" s="57"/>
      <c r="S300" s="74"/>
      <c r="T300" s="45"/>
      <c r="U300" s="45"/>
      <c r="V300" s="73"/>
      <c r="W300" s="169"/>
      <c r="X300" s="173"/>
      <c r="Y300" s="190"/>
      <c r="Z300" s="167"/>
      <c r="AA300" s="45"/>
      <c r="AB300" s="57"/>
      <c r="AC300" s="169"/>
      <c r="AD300" s="165"/>
      <c r="AE300" s="165"/>
      <c r="AF300" s="167"/>
      <c r="AG300" s="73"/>
      <c r="AH300" s="45"/>
      <c r="AI300" s="46"/>
      <c r="AJ300" s="165"/>
      <c r="AK300" s="173"/>
      <c r="AL300" s="167"/>
      <c r="AM300" s="45">
        <v>244</v>
      </c>
      <c r="AN300" s="54">
        <v>164</v>
      </c>
      <c r="AO300" s="54">
        <v>215</v>
      </c>
      <c r="AP300" s="73">
        <v>323</v>
      </c>
      <c r="AQ300" s="165"/>
      <c r="AR300" s="168"/>
      <c r="AS300" s="165"/>
      <c r="AT300" s="190"/>
      <c r="AU300" s="167"/>
      <c r="AV300" s="45"/>
      <c r="AW300" s="54"/>
      <c r="AX300" s="54"/>
      <c r="AY300" s="53"/>
      <c r="AZ300" s="46"/>
      <c r="BA300" s="45"/>
      <c r="BB300" s="45"/>
      <c r="BC300" s="73"/>
      <c r="BD300" s="165"/>
      <c r="BE300" s="165"/>
      <c r="BF300" s="173"/>
      <c r="BG300" s="304"/>
      <c r="BH300" s="601"/>
      <c r="BI300" s="45"/>
      <c r="BJ300" s="46"/>
      <c r="BK300" s="45"/>
      <c r="BL300" s="53"/>
      <c r="BM300" s="200"/>
      <c r="BN300" s="165"/>
      <c r="BO300" s="173"/>
      <c r="BP300" s="190"/>
      <c r="BQ300" s="173"/>
      <c r="BR300" s="168"/>
      <c r="BS300" s="165"/>
      <c r="BT300" s="167"/>
      <c r="BU300" s="199"/>
      <c r="BV300" s="202"/>
      <c r="BW300" s="201"/>
      <c r="BX300" s="201"/>
      <c r="BY300" s="200"/>
      <c r="BZ300" s="199"/>
      <c r="CA300" s="201"/>
      <c r="CB300" s="202"/>
      <c r="CC300" s="200"/>
      <c r="CD300" s="199"/>
      <c r="CE300" s="201"/>
      <c r="CF300" s="201"/>
      <c r="CG300" s="106"/>
      <c r="CH300" s="165"/>
      <c r="CI300" s="167"/>
    </row>
    <row r="301" spans="1:87" x14ac:dyDescent="0.3">
      <c r="A301" s="10">
        <v>4942</v>
      </c>
      <c r="B301" s="11" t="s">
        <v>422</v>
      </c>
      <c r="C301" s="471">
        <v>1581</v>
      </c>
      <c r="D301" s="54">
        <v>843</v>
      </c>
      <c r="E301" s="367">
        <f t="shared" si="5"/>
        <v>0.53320683111954459</v>
      </c>
      <c r="F301" s="45"/>
      <c r="G301" s="45"/>
      <c r="H301" s="45"/>
      <c r="I301" s="45"/>
      <c r="J301" s="46"/>
      <c r="K301" s="45"/>
      <c r="L301" s="107"/>
      <c r="M301" s="541"/>
      <c r="N301" s="45"/>
      <c r="O301" s="45"/>
      <c r="P301" s="53"/>
      <c r="Q301" s="57"/>
      <c r="R301" s="57"/>
      <c r="S301" s="74"/>
      <c r="T301" s="45"/>
      <c r="U301" s="45"/>
      <c r="V301" s="73"/>
      <c r="W301" s="169"/>
      <c r="X301" s="173"/>
      <c r="Y301" s="190"/>
      <c r="Z301" s="167"/>
      <c r="AA301" s="45"/>
      <c r="AB301" s="57"/>
      <c r="AC301" s="169"/>
      <c r="AD301" s="165"/>
      <c r="AE301" s="165"/>
      <c r="AF301" s="167"/>
      <c r="AG301" s="73"/>
      <c r="AH301" s="45"/>
      <c r="AI301" s="46"/>
      <c r="AJ301" s="165"/>
      <c r="AK301" s="173"/>
      <c r="AL301" s="167"/>
      <c r="AM301" s="45">
        <v>339</v>
      </c>
      <c r="AN301" s="54">
        <v>259</v>
      </c>
      <c r="AO301" s="54">
        <v>263</v>
      </c>
      <c r="AP301" s="73">
        <v>418</v>
      </c>
      <c r="AQ301" s="165"/>
      <c r="AR301" s="168"/>
      <c r="AS301" s="165"/>
      <c r="AT301" s="190"/>
      <c r="AU301" s="167"/>
      <c r="AV301" s="45"/>
      <c r="AW301" s="54"/>
      <c r="AX301" s="54"/>
      <c r="AY301" s="53"/>
      <c r="AZ301" s="46"/>
      <c r="BA301" s="45"/>
      <c r="BB301" s="45"/>
      <c r="BC301" s="73"/>
      <c r="BD301" s="165"/>
      <c r="BE301" s="165"/>
      <c r="BF301" s="173"/>
      <c r="BG301" s="304"/>
      <c r="BH301" s="601"/>
      <c r="BI301" s="45"/>
      <c r="BJ301" s="46"/>
      <c r="BK301" s="45"/>
      <c r="BL301" s="53"/>
      <c r="BM301" s="200"/>
      <c r="BN301" s="165"/>
      <c r="BO301" s="173"/>
      <c r="BP301" s="190"/>
      <c r="BQ301" s="173"/>
      <c r="BR301" s="168"/>
      <c r="BS301" s="165"/>
      <c r="BT301" s="167"/>
      <c r="BU301" s="199"/>
      <c r="BV301" s="202"/>
      <c r="BW301" s="201"/>
      <c r="BX301" s="201"/>
      <c r="BY301" s="200"/>
      <c r="BZ301" s="199"/>
      <c r="CA301" s="201"/>
      <c r="CB301" s="202"/>
      <c r="CC301" s="200"/>
      <c r="CD301" s="199"/>
      <c r="CE301" s="201"/>
      <c r="CF301" s="201"/>
      <c r="CG301" s="106"/>
      <c r="CH301" s="165"/>
      <c r="CI301" s="167"/>
    </row>
    <row r="302" spans="1:87" x14ac:dyDescent="0.3">
      <c r="A302" s="10">
        <v>5201</v>
      </c>
      <c r="B302" s="11" t="s">
        <v>423</v>
      </c>
      <c r="C302" s="471">
        <v>719</v>
      </c>
      <c r="D302" s="54">
        <v>408</v>
      </c>
      <c r="E302" s="367">
        <f t="shared" si="5"/>
        <v>0.56745479833101531</v>
      </c>
      <c r="F302" s="45"/>
      <c r="G302" s="45"/>
      <c r="H302" s="45"/>
      <c r="I302" s="45"/>
      <c r="J302" s="46"/>
      <c r="K302" s="45"/>
      <c r="L302" s="107"/>
      <c r="M302" s="541"/>
      <c r="N302" s="45"/>
      <c r="O302" s="45"/>
      <c r="P302" s="53"/>
      <c r="Q302" s="57"/>
      <c r="R302" s="57"/>
      <c r="S302" s="74"/>
      <c r="T302" s="45"/>
      <c r="U302" s="45"/>
      <c r="V302" s="73"/>
      <c r="W302" s="169"/>
      <c r="X302" s="173"/>
      <c r="Y302" s="190"/>
      <c r="Z302" s="167"/>
      <c r="AA302" s="45"/>
      <c r="AB302" s="57"/>
      <c r="AC302" s="169"/>
      <c r="AD302" s="165"/>
      <c r="AE302" s="165"/>
      <c r="AF302" s="167"/>
      <c r="AG302" s="73"/>
      <c r="AH302" s="45"/>
      <c r="AI302" s="46"/>
      <c r="AJ302" s="165"/>
      <c r="AK302" s="173"/>
      <c r="AL302" s="167"/>
      <c r="AM302" s="45">
        <v>244</v>
      </c>
      <c r="AN302" s="54">
        <v>141</v>
      </c>
      <c r="AO302" s="54">
        <v>149</v>
      </c>
      <c r="AP302" s="73">
        <v>184</v>
      </c>
      <c r="AQ302" s="165"/>
      <c r="AR302" s="168"/>
      <c r="AS302" s="165"/>
      <c r="AT302" s="190"/>
      <c r="AU302" s="167"/>
      <c r="AV302" s="45"/>
      <c r="AW302" s="54"/>
      <c r="AX302" s="54"/>
      <c r="AY302" s="53"/>
      <c r="AZ302" s="46"/>
      <c r="BA302" s="45"/>
      <c r="BB302" s="45"/>
      <c r="BC302" s="73"/>
      <c r="BD302" s="165"/>
      <c r="BE302" s="165"/>
      <c r="BF302" s="173"/>
      <c r="BG302" s="304"/>
      <c r="BH302" s="601"/>
      <c r="BI302" s="45"/>
      <c r="BJ302" s="46"/>
      <c r="BK302" s="45"/>
      <c r="BL302" s="53"/>
      <c r="BM302" s="200"/>
      <c r="BN302" s="165"/>
      <c r="BO302" s="173"/>
      <c r="BP302" s="190"/>
      <c r="BQ302" s="173"/>
      <c r="BR302" s="168"/>
      <c r="BS302" s="165"/>
      <c r="BT302" s="167"/>
      <c r="BU302" s="199"/>
      <c r="BV302" s="202"/>
      <c r="BW302" s="201"/>
      <c r="BX302" s="201"/>
      <c r="BY302" s="200"/>
      <c r="BZ302" s="199"/>
      <c r="CA302" s="201"/>
      <c r="CB302" s="202"/>
      <c r="CC302" s="200"/>
      <c r="CD302" s="199"/>
      <c r="CE302" s="201"/>
      <c r="CF302" s="201"/>
      <c r="CG302" s="106"/>
      <c r="CH302" s="165"/>
      <c r="CI302" s="167"/>
    </row>
    <row r="303" spans="1:87" x14ac:dyDescent="0.3">
      <c r="A303" s="10">
        <v>5202</v>
      </c>
      <c r="B303" s="11" t="s">
        <v>424</v>
      </c>
      <c r="C303" s="471">
        <v>950</v>
      </c>
      <c r="D303" s="54">
        <v>498</v>
      </c>
      <c r="E303" s="367">
        <f t="shared" si="5"/>
        <v>0.52421052631578946</v>
      </c>
      <c r="F303" s="45"/>
      <c r="G303" s="45"/>
      <c r="H303" s="45"/>
      <c r="I303" s="45"/>
      <c r="J303" s="46"/>
      <c r="K303" s="45"/>
      <c r="L303" s="107"/>
      <c r="M303" s="541"/>
      <c r="N303" s="45"/>
      <c r="O303" s="45"/>
      <c r="P303" s="53"/>
      <c r="Q303" s="57"/>
      <c r="R303" s="57"/>
      <c r="S303" s="74"/>
      <c r="T303" s="45"/>
      <c r="U303" s="45"/>
      <c r="V303" s="73"/>
      <c r="W303" s="169"/>
      <c r="X303" s="173"/>
      <c r="Y303" s="190"/>
      <c r="Z303" s="167"/>
      <c r="AA303" s="45"/>
      <c r="AB303" s="57"/>
      <c r="AC303" s="169"/>
      <c r="AD303" s="165"/>
      <c r="AE303" s="165"/>
      <c r="AF303" s="167"/>
      <c r="AG303" s="73"/>
      <c r="AH303" s="45"/>
      <c r="AI303" s="46"/>
      <c r="AJ303" s="165"/>
      <c r="AK303" s="173"/>
      <c r="AL303" s="167"/>
      <c r="AM303" s="45">
        <v>269</v>
      </c>
      <c r="AN303" s="54">
        <v>164</v>
      </c>
      <c r="AO303" s="54">
        <v>183</v>
      </c>
      <c r="AP303" s="73">
        <v>214</v>
      </c>
      <c r="AQ303" s="165"/>
      <c r="AR303" s="168"/>
      <c r="AS303" s="165"/>
      <c r="AT303" s="190"/>
      <c r="AU303" s="167"/>
      <c r="AV303" s="45"/>
      <c r="AW303" s="54"/>
      <c r="AX303" s="54"/>
      <c r="AY303" s="53"/>
      <c r="AZ303" s="46"/>
      <c r="BA303" s="45"/>
      <c r="BB303" s="45"/>
      <c r="BC303" s="73"/>
      <c r="BD303" s="165"/>
      <c r="BE303" s="165"/>
      <c r="BF303" s="173"/>
      <c r="BG303" s="304"/>
      <c r="BH303" s="601"/>
      <c r="BI303" s="45"/>
      <c r="BJ303" s="46"/>
      <c r="BK303" s="45"/>
      <c r="BL303" s="53"/>
      <c r="BM303" s="200"/>
      <c r="BN303" s="165"/>
      <c r="BO303" s="173"/>
      <c r="BP303" s="190"/>
      <c r="BQ303" s="173"/>
      <c r="BR303" s="168"/>
      <c r="BS303" s="165"/>
      <c r="BT303" s="167"/>
      <c r="BU303" s="199"/>
      <c r="BV303" s="202"/>
      <c r="BW303" s="201"/>
      <c r="BX303" s="201"/>
      <c r="BY303" s="200"/>
      <c r="BZ303" s="199"/>
      <c r="CA303" s="201"/>
      <c r="CB303" s="202"/>
      <c r="CC303" s="200"/>
      <c r="CD303" s="199"/>
      <c r="CE303" s="201"/>
      <c r="CF303" s="201"/>
      <c r="CG303" s="106"/>
      <c r="CH303" s="165"/>
      <c r="CI303" s="167"/>
    </row>
    <row r="304" spans="1:87" x14ac:dyDescent="0.3">
      <c r="A304" s="10">
        <v>5203</v>
      </c>
      <c r="B304" s="11" t="s">
        <v>425</v>
      </c>
      <c r="C304" s="471">
        <v>1042</v>
      </c>
      <c r="D304" s="54">
        <v>475</v>
      </c>
      <c r="E304" s="367">
        <f t="shared" si="5"/>
        <v>0.45585412667946257</v>
      </c>
      <c r="F304" s="45"/>
      <c r="G304" s="45"/>
      <c r="H304" s="45"/>
      <c r="I304" s="45"/>
      <c r="J304" s="46"/>
      <c r="K304" s="45"/>
      <c r="L304" s="107"/>
      <c r="M304" s="541"/>
      <c r="N304" s="45"/>
      <c r="O304" s="45"/>
      <c r="P304" s="53"/>
      <c r="Q304" s="57"/>
      <c r="R304" s="57"/>
      <c r="S304" s="74"/>
      <c r="T304" s="45"/>
      <c r="U304" s="45"/>
      <c r="V304" s="73"/>
      <c r="W304" s="169"/>
      <c r="X304" s="173"/>
      <c r="Y304" s="190"/>
      <c r="Z304" s="167"/>
      <c r="AA304" s="45"/>
      <c r="AB304" s="57"/>
      <c r="AC304" s="169"/>
      <c r="AD304" s="165"/>
      <c r="AE304" s="165"/>
      <c r="AF304" s="167"/>
      <c r="AG304" s="73"/>
      <c r="AH304" s="45"/>
      <c r="AI304" s="46"/>
      <c r="AJ304" s="165"/>
      <c r="AK304" s="173"/>
      <c r="AL304" s="167"/>
      <c r="AM304" s="45">
        <v>185</v>
      </c>
      <c r="AN304" s="54">
        <v>153</v>
      </c>
      <c r="AO304" s="54">
        <v>143</v>
      </c>
      <c r="AP304" s="73">
        <v>200</v>
      </c>
      <c r="AQ304" s="165"/>
      <c r="AR304" s="168"/>
      <c r="AS304" s="165"/>
      <c r="AT304" s="190"/>
      <c r="AU304" s="167"/>
      <c r="AV304" s="45"/>
      <c r="AW304" s="54"/>
      <c r="AX304" s="54"/>
      <c r="AY304" s="53"/>
      <c r="AZ304" s="46"/>
      <c r="BA304" s="45"/>
      <c r="BB304" s="45"/>
      <c r="BC304" s="73"/>
      <c r="BD304" s="165"/>
      <c r="BE304" s="165"/>
      <c r="BF304" s="173"/>
      <c r="BG304" s="304"/>
      <c r="BH304" s="601"/>
      <c r="BI304" s="45"/>
      <c r="BJ304" s="46"/>
      <c r="BK304" s="45"/>
      <c r="BL304" s="53"/>
      <c r="BM304" s="200"/>
      <c r="BN304" s="165"/>
      <c r="BO304" s="173"/>
      <c r="BP304" s="190"/>
      <c r="BQ304" s="173"/>
      <c r="BR304" s="168"/>
      <c r="BS304" s="165"/>
      <c r="BT304" s="167"/>
      <c r="BU304" s="199"/>
      <c r="BV304" s="202"/>
      <c r="BW304" s="201"/>
      <c r="BX304" s="201"/>
      <c r="BY304" s="200"/>
      <c r="BZ304" s="199"/>
      <c r="CA304" s="201"/>
      <c r="CB304" s="202"/>
      <c r="CC304" s="200"/>
      <c r="CD304" s="199"/>
      <c r="CE304" s="201"/>
      <c r="CF304" s="201"/>
      <c r="CG304" s="106"/>
      <c r="CH304" s="165"/>
      <c r="CI304" s="167"/>
    </row>
    <row r="305" spans="1:87" x14ac:dyDescent="0.3">
      <c r="A305" s="10">
        <v>5204</v>
      </c>
      <c r="B305" s="11" t="s">
        <v>426</v>
      </c>
      <c r="C305" s="471">
        <v>793</v>
      </c>
      <c r="D305" s="54">
        <v>384</v>
      </c>
      <c r="E305" s="367">
        <f t="shared" si="5"/>
        <v>0.48423707440100883</v>
      </c>
      <c r="F305" s="45"/>
      <c r="G305" s="45"/>
      <c r="H305" s="45"/>
      <c r="I305" s="45"/>
      <c r="J305" s="46"/>
      <c r="K305" s="45"/>
      <c r="L305" s="107"/>
      <c r="M305" s="541"/>
      <c r="N305" s="45"/>
      <c r="O305" s="45"/>
      <c r="P305" s="53"/>
      <c r="Q305" s="57"/>
      <c r="R305" s="57"/>
      <c r="S305" s="74"/>
      <c r="T305" s="45"/>
      <c r="U305" s="45"/>
      <c r="V305" s="73"/>
      <c r="W305" s="169"/>
      <c r="X305" s="173"/>
      <c r="Y305" s="190"/>
      <c r="Z305" s="167"/>
      <c r="AA305" s="45"/>
      <c r="AB305" s="57"/>
      <c r="AC305" s="169"/>
      <c r="AD305" s="165"/>
      <c r="AE305" s="165"/>
      <c r="AF305" s="167"/>
      <c r="AG305" s="73"/>
      <c r="AH305" s="45"/>
      <c r="AI305" s="46"/>
      <c r="AJ305" s="165"/>
      <c r="AK305" s="173"/>
      <c r="AL305" s="167"/>
      <c r="AM305" s="45">
        <v>164</v>
      </c>
      <c r="AN305" s="54">
        <v>127</v>
      </c>
      <c r="AO305" s="54">
        <v>123</v>
      </c>
      <c r="AP305" s="73">
        <v>179</v>
      </c>
      <c r="AQ305" s="165"/>
      <c r="AR305" s="168"/>
      <c r="AS305" s="165"/>
      <c r="AT305" s="190"/>
      <c r="AU305" s="167"/>
      <c r="AV305" s="45"/>
      <c r="AW305" s="54"/>
      <c r="AX305" s="54"/>
      <c r="AY305" s="53"/>
      <c r="AZ305" s="46"/>
      <c r="BA305" s="45"/>
      <c r="BB305" s="45"/>
      <c r="BC305" s="73"/>
      <c r="BD305" s="165"/>
      <c r="BE305" s="165"/>
      <c r="BF305" s="173"/>
      <c r="BG305" s="304"/>
      <c r="BH305" s="601"/>
      <c r="BI305" s="45"/>
      <c r="BJ305" s="46"/>
      <c r="BK305" s="45"/>
      <c r="BL305" s="53"/>
      <c r="BM305" s="200"/>
      <c r="BN305" s="165"/>
      <c r="BO305" s="173"/>
      <c r="BP305" s="190"/>
      <c r="BQ305" s="173"/>
      <c r="BR305" s="168"/>
      <c r="BS305" s="165"/>
      <c r="BT305" s="167"/>
      <c r="BU305" s="199"/>
      <c r="BV305" s="202"/>
      <c r="BW305" s="201"/>
      <c r="BX305" s="201"/>
      <c r="BY305" s="200"/>
      <c r="BZ305" s="199"/>
      <c r="CA305" s="201"/>
      <c r="CB305" s="202"/>
      <c r="CC305" s="200"/>
      <c r="CD305" s="199"/>
      <c r="CE305" s="201"/>
      <c r="CF305" s="201"/>
      <c r="CG305" s="106"/>
      <c r="CH305" s="165"/>
      <c r="CI305" s="167"/>
    </row>
    <row r="306" spans="1:87" x14ac:dyDescent="0.3">
      <c r="A306" s="10">
        <v>5205</v>
      </c>
      <c r="B306" s="11" t="s">
        <v>427</v>
      </c>
      <c r="C306" s="471">
        <v>966</v>
      </c>
      <c r="D306" s="54">
        <v>339</v>
      </c>
      <c r="E306" s="367">
        <f t="shared" si="5"/>
        <v>0.35093167701863354</v>
      </c>
      <c r="F306" s="45"/>
      <c r="G306" s="45"/>
      <c r="H306" s="45"/>
      <c r="I306" s="45"/>
      <c r="J306" s="46"/>
      <c r="K306" s="45"/>
      <c r="L306" s="107"/>
      <c r="M306" s="541"/>
      <c r="N306" s="45"/>
      <c r="O306" s="45"/>
      <c r="P306" s="53"/>
      <c r="Q306" s="57"/>
      <c r="R306" s="57"/>
      <c r="S306" s="74"/>
      <c r="T306" s="45"/>
      <c r="U306" s="45"/>
      <c r="V306" s="73"/>
      <c r="W306" s="169"/>
      <c r="X306" s="173"/>
      <c r="Y306" s="190"/>
      <c r="Z306" s="167"/>
      <c r="AA306" s="45"/>
      <c r="AB306" s="57"/>
      <c r="AC306" s="169"/>
      <c r="AD306" s="165"/>
      <c r="AE306" s="165"/>
      <c r="AF306" s="167"/>
      <c r="AG306" s="73"/>
      <c r="AH306" s="45"/>
      <c r="AI306" s="46"/>
      <c r="AJ306" s="165"/>
      <c r="AK306" s="173"/>
      <c r="AL306" s="167"/>
      <c r="AM306" s="45">
        <v>150</v>
      </c>
      <c r="AN306" s="54">
        <v>119</v>
      </c>
      <c r="AO306" s="54">
        <v>120</v>
      </c>
      <c r="AP306" s="73">
        <v>144</v>
      </c>
      <c r="AQ306" s="165"/>
      <c r="AR306" s="168"/>
      <c r="AS306" s="165"/>
      <c r="AT306" s="190"/>
      <c r="AU306" s="167"/>
      <c r="AV306" s="45"/>
      <c r="AW306" s="54"/>
      <c r="AX306" s="54"/>
      <c r="AY306" s="53"/>
      <c r="AZ306" s="46"/>
      <c r="BA306" s="45"/>
      <c r="BB306" s="45"/>
      <c r="BC306" s="73"/>
      <c r="BD306" s="165"/>
      <c r="BE306" s="165"/>
      <c r="BF306" s="173"/>
      <c r="BG306" s="304"/>
      <c r="BH306" s="601"/>
      <c r="BI306" s="45"/>
      <c r="BJ306" s="46"/>
      <c r="BK306" s="45"/>
      <c r="BL306" s="53"/>
      <c r="BM306" s="200"/>
      <c r="BN306" s="165"/>
      <c r="BO306" s="173"/>
      <c r="BP306" s="190"/>
      <c r="BQ306" s="173"/>
      <c r="BR306" s="168"/>
      <c r="BS306" s="165"/>
      <c r="BT306" s="167"/>
      <c r="BU306" s="199"/>
      <c r="BV306" s="202"/>
      <c r="BW306" s="201"/>
      <c r="BX306" s="201"/>
      <c r="BY306" s="200"/>
      <c r="BZ306" s="199"/>
      <c r="CA306" s="201"/>
      <c r="CB306" s="202"/>
      <c r="CC306" s="200"/>
      <c r="CD306" s="199"/>
      <c r="CE306" s="201"/>
      <c r="CF306" s="201"/>
      <c r="CG306" s="106"/>
      <c r="CH306" s="165"/>
      <c r="CI306" s="167"/>
    </row>
    <row r="307" spans="1:87" x14ac:dyDescent="0.3">
      <c r="A307" s="10">
        <v>5206</v>
      </c>
      <c r="B307" s="11" t="s">
        <v>428</v>
      </c>
      <c r="C307" s="471">
        <v>808</v>
      </c>
      <c r="D307" s="54">
        <v>402</v>
      </c>
      <c r="E307" s="367">
        <f t="shared" si="5"/>
        <v>0.49752475247524752</v>
      </c>
      <c r="F307" s="45"/>
      <c r="G307" s="45"/>
      <c r="H307" s="45"/>
      <c r="I307" s="45"/>
      <c r="J307" s="46"/>
      <c r="K307" s="45"/>
      <c r="L307" s="107"/>
      <c r="M307" s="541"/>
      <c r="N307" s="45"/>
      <c r="O307" s="45"/>
      <c r="P307" s="53"/>
      <c r="Q307" s="57"/>
      <c r="R307" s="57"/>
      <c r="S307" s="74"/>
      <c r="T307" s="45"/>
      <c r="U307" s="45"/>
      <c r="V307" s="73"/>
      <c r="W307" s="169"/>
      <c r="X307" s="173"/>
      <c r="Y307" s="190"/>
      <c r="Z307" s="167"/>
      <c r="AA307" s="45"/>
      <c r="AB307" s="57"/>
      <c r="AC307" s="169"/>
      <c r="AD307" s="165"/>
      <c r="AE307" s="165"/>
      <c r="AF307" s="167"/>
      <c r="AG307" s="73"/>
      <c r="AH307" s="45"/>
      <c r="AI307" s="46"/>
      <c r="AJ307" s="165"/>
      <c r="AK307" s="173"/>
      <c r="AL307" s="167"/>
      <c r="AM307" s="45">
        <v>193</v>
      </c>
      <c r="AN307" s="54">
        <v>125</v>
      </c>
      <c r="AO307" s="54">
        <v>125</v>
      </c>
      <c r="AP307" s="73">
        <v>167</v>
      </c>
      <c r="AQ307" s="165"/>
      <c r="AR307" s="168"/>
      <c r="AS307" s="165"/>
      <c r="AT307" s="190"/>
      <c r="AU307" s="167"/>
      <c r="AV307" s="45"/>
      <c r="AW307" s="54"/>
      <c r="AX307" s="54"/>
      <c r="AY307" s="53"/>
      <c r="AZ307" s="46"/>
      <c r="BA307" s="45"/>
      <c r="BB307" s="45"/>
      <c r="BC307" s="73"/>
      <c r="BD307" s="165"/>
      <c r="BE307" s="165"/>
      <c r="BF307" s="173"/>
      <c r="BG307" s="304"/>
      <c r="BH307" s="601"/>
      <c r="BI307" s="45"/>
      <c r="BJ307" s="46"/>
      <c r="BK307" s="45"/>
      <c r="BL307" s="53"/>
      <c r="BM307" s="200"/>
      <c r="BN307" s="165"/>
      <c r="BO307" s="173"/>
      <c r="BP307" s="190"/>
      <c r="BQ307" s="173"/>
      <c r="BR307" s="168"/>
      <c r="BS307" s="165"/>
      <c r="BT307" s="167"/>
      <c r="BU307" s="199"/>
      <c r="BV307" s="202"/>
      <c r="BW307" s="201"/>
      <c r="BX307" s="201"/>
      <c r="BY307" s="200"/>
      <c r="BZ307" s="199"/>
      <c r="CA307" s="201"/>
      <c r="CB307" s="202"/>
      <c r="CC307" s="200"/>
      <c r="CD307" s="199"/>
      <c r="CE307" s="201"/>
      <c r="CF307" s="201"/>
      <c r="CG307" s="106"/>
      <c r="CH307" s="165"/>
      <c r="CI307" s="167"/>
    </row>
    <row r="308" spans="1:87" x14ac:dyDescent="0.3">
      <c r="A308" s="10">
        <v>5207</v>
      </c>
      <c r="B308" s="11" t="s">
        <v>429</v>
      </c>
      <c r="C308" s="471">
        <v>676</v>
      </c>
      <c r="D308" s="54">
        <v>266</v>
      </c>
      <c r="E308" s="367">
        <f t="shared" si="5"/>
        <v>0.39349112426035504</v>
      </c>
      <c r="F308" s="45"/>
      <c r="G308" s="45"/>
      <c r="H308" s="45"/>
      <c r="I308" s="45"/>
      <c r="J308" s="46"/>
      <c r="K308" s="45"/>
      <c r="L308" s="107"/>
      <c r="M308" s="541"/>
      <c r="N308" s="45"/>
      <c r="O308" s="45"/>
      <c r="P308" s="53"/>
      <c r="Q308" s="57"/>
      <c r="R308" s="57"/>
      <c r="S308" s="74"/>
      <c r="T308" s="45"/>
      <c r="U308" s="45"/>
      <c r="V308" s="73"/>
      <c r="W308" s="169"/>
      <c r="X308" s="173"/>
      <c r="Y308" s="190"/>
      <c r="Z308" s="167"/>
      <c r="AA308" s="45"/>
      <c r="AB308" s="57"/>
      <c r="AC308" s="169"/>
      <c r="AD308" s="165"/>
      <c r="AE308" s="165"/>
      <c r="AF308" s="167"/>
      <c r="AG308" s="73"/>
      <c r="AH308" s="45"/>
      <c r="AI308" s="46"/>
      <c r="AJ308" s="165"/>
      <c r="AK308" s="173"/>
      <c r="AL308" s="167"/>
      <c r="AM308" s="45">
        <v>130</v>
      </c>
      <c r="AN308" s="54">
        <v>91</v>
      </c>
      <c r="AO308" s="54">
        <v>87</v>
      </c>
      <c r="AP308" s="73">
        <v>94</v>
      </c>
      <c r="AQ308" s="165"/>
      <c r="AR308" s="168"/>
      <c r="AS308" s="165"/>
      <c r="AT308" s="190"/>
      <c r="AU308" s="167"/>
      <c r="AV308" s="45"/>
      <c r="AW308" s="54"/>
      <c r="AX308" s="54"/>
      <c r="AY308" s="53"/>
      <c r="AZ308" s="46"/>
      <c r="BA308" s="45"/>
      <c r="BB308" s="45"/>
      <c r="BC308" s="73"/>
      <c r="BD308" s="165"/>
      <c r="BE308" s="165"/>
      <c r="BF308" s="173"/>
      <c r="BG308" s="304"/>
      <c r="BH308" s="601"/>
      <c r="BI308" s="45"/>
      <c r="BJ308" s="46"/>
      <c r="BK308" s="45"/>
      <c r="BL308" s="53"/>
      <c r="BM308" s="200"/>
      <c r="BN308" s="165"/>
      <c r="BO308" s="173"/>
      <c r="BP308" s="190"/>
      <c r="BQ308" s="173"/>
      <c r="BR308" s="168"/>
      <c r="BS308" s="165"/>
      <c r="BT308" s="167"/>
      <c r="BU308" s="199"/>
      <c r="BV308" s="202"/>
      <c r="BW308" s="201"/>
      <c r="BX308" s="201"/>
      <c r="BY308" s="200"/>
      <c r="BZ308" s="199"/>
      <c r="CA308" s="201"/>
      <c r="CB308" s="202"/>
      <c r="CC308" s="200"/>
      <c r="CD308" s="199"/>
      <c r="CE308" s="201"/>
      <c r="CF308" s="201"/>
      <c r="CG308" s="106"/>
      <c r="CH308" s="165"/>
      <c r="CI308" s="167"/>
    </row>
    <row r="309" spans="1:87" x14ac:dyDescent="0.3">
      <c r="A309" s="10">
        <v>5208</v>
      </c>
      <c r="B309" s="11" t="s">
        <v>430</v>
      </c>
      <c r="C309" s="471">
        <v>889</v>
      </c>
      <c r="D309" s="54">
        <v>522</v>
      </c>
      <c r="E309" s="367">
        <f t="shared" si="5"/>
        <v>0.58717660292463447</v>
      </c>
      <c r="F309" s="45"/>
      <c r="G309" s="45"/>
      <c r="H309" s="45"/>
      <c r="I309" s="45"/>
      <c r="J309" s="46"/>
      <c r="K309" s="45"/>
      <c r="L309" s="107"/>
      <c r="M309" s="541"/>
      <c r="N309" s="45"/>
      <c r="O309" s="45"/>
      <c r="P309" s="53"/>
      <c r="Q309" s="57"/>
      <c r="R309" s="57"/>
      <c r="S309" s="74"/>
      <c r="T309" s="45"/>
      <c r="U309" s="45"/>
      <c r="V309" s="73"/>
      <c r="W309" s="169"/>
      <c r="X309" s="173"/>
      <c r="Y309" s="190"/>
      <c r="Z309" s="167"/>
      <c r="AA309" s="45"/>
      <c r="AB309" s="57"/>
      <c r="AC309" s="169"/>
      <c r="AD309" s="165"/>
      <c r="AE309" s="165"/>
      <c r="AF309" s="167"/>
      <c r="AG309" s="73"/>
      <c r="AH309" s="45"/>
      <c r="AI309" s="46"/>
      <c r="AJ309" s="165"/>
      <c r="AK309" s="173"/>
      <c r="AL309" s="167"/>
      <c r="AM309" s="45">
        <v>323</v>
      </c>
      <c r="AN309" s="54">
        <v>165</v>
      </c>
      <c r="AO309" s="54">
        <v>238</v>
      </c>
      <c r="AP309" s="73">
        <v>222</v>
      </c>
      <c r="AQ309" s="165"/>
      <c r="AR309" s="168"/>
      <c r="AS309" s="165"/>
      <c r="AT309" s="190"/>
      <c r="AU309" s="167"/>
      <c r="AV309" s="45"/>
      <c r="AW309" s="54"/>
      <c r="AX309" s="54"/>
      <c r="AY309" s="53"/>
      <c r="AZ309" s="46"/>
      <c r="BA309" s="45"/>
      <c r="BB309" s="45"/>
      <c r="BC309" s="73"/>
      <c r="BD309" s="165"/>
      <c r="BE309" s="165"/>
      <c r="BF309" s="173"/>
      <c r="BG309" s="304"/>
      <c r="BH309" s="601"/>
      <c r="BI309" s="45"/>
      <c r="BJ309" s="46"/>
      <c r="BK309" s="45"/>
      <c r="BL309" s="53"/>
      <c r="BM309" s="200"/>
      <c r="BN309" s="165"/>
      <c r="BO309" s="173"/>
      <c r="BP309" s="190"/>
      <c r="BQ309" s="173"/>
      <c r="BR309" s="168"/>
      <c r="BS309" s="165"/>
      <c r="BT309" s="167"/>
      <c r="BU309" s="199"/>
      <c r="BV309" s="202"/>
      <c r="BW309" s="201"/>
      <c r="BX309" s="201"/>
      <c r="BY309" s="200"/>
      <c r="BZ309" s="199"/>
      <c r="CA309" s="201"/>
      <c r="CB309" s="202"/>
      <c r="CC309" s="200"/>
      <c r="CD309" s="199"/>
      <c r="CE309" s="201"/>
      <c r="CF309" s="201"/>
      <c r="CG309" s="106"/>
      <c r="CH309" s="165"/>
      <c r="CI309" s="167"/>
    </row>
    <row r="310" spans="1:87" x14ac:dyDescent="0.3">
      <c r="A310" s="10">
        <v>5301</v>
      </c>
      <c r="B310" s="11" t="s">
        <v>431</v>
      </c>
      <c r="C310" s="471">
        <v>1458</v>
      </c>
      <c r="D310" s="54">
        <v>984</v>
      </c>
      <c r="E310" s="367">
        <f t="shared" si="5"/>
        <v>0.67489711934156382</v>
      </c>
      <c r="F310" s="45"/>
      <c r="G310" s="45"/>
      <c r="H310" s="45"/>
      <c r="I310" s="45"/>
      <c r="J310" s="46"/>
      <c r="K310" s="45"/>
      <c r="L310" s="107"/>
      <c r="M310" s="541"/>
      <c r="N310" s="45"/>
      <c r="O310" s="45"/>
      <c r="P310" s="53"/>
      <c r="Q310" s="57"/>
      <c r="R310" s="57"/>
      <c r="S310" s="74"/>
      <c r="T310" s="45"/>
      <c r="U310" s="45"/>
      <c r="V310" s="73"/>
      <c r="W310" s="169"/>
      <c r="X310" s="173"/>
      <c r="Y310" s="190"/>
      <c r="Z310" s="167"/>
      <c r="AA310" s="45"/>
      <c r="AB310" s="57"/>
      <c r="AC310" s="169"/>
      <c r="AD310" s="165"/>
      <c r="AE310" s="165"/>
      <c r="AF310" s="167"/>
      <c r="AG310" s="73"/>
      <c r="AH310" s="45"/>
      <c r="AI310" s="46"/>
      <c r="AJ310" s="165"/>
      <c r="AK310" s="173"/>
      <c r="AL310" s="167"/>
      <c r="AM310" s="199"/>
      <c r="AN310" s="201"/>
      <c r="AO310" s="201"/>
      <c r="AP310" s="106"/>
      <c r="AQ310" s="165"/>
      <c r="AR310" s="168"/>
      <c r="AS310" s="165"/>
      <c r="AT310" s="190"/>
      <c r="AU310" s="167"/>
      <c r="AV310" s="199"/>
      <c r="AW310" s="201"/>
      <c r="AX310" s="201"/>
      <c r="AY310" s="202"/>
      <c r="AZ310" s="46"/>
      <c r="BA310" s="45">
        <v>25</v>
      </c>
      <c r="BB310" s="45">
        <v>30</v>
      </c>
      <c r="BC310" s="73">
        <v>23</v>
      </c>
      <c r="BD310" s="45">
        <v>202</v>
      </c>
      <c r="BE310" s="45">
        <v>265</v>
      </c>
      <c r="BF310" s="54">
        <v>456</v>
      </c>
      <c r="BG310" s="107">
        <v>469</v>
      </c>
      <c r="BH310" s="541">
        <v>589</v>
      </c>
      <c r="BI310" s="45"/>
      <c r="BJ310" s="46"/>
      <c r="BK310" s="45"/>
      <c r="BL310" s="53"/>
      <c r="BM310" s="200"/>
      <c r="BN310" s="165"/>
      <c r="BO310" s="173"/>
      <c r="BP310" s="190"/>
      <c r="BQ310" s="173"/>
      <c r="BR310" s="168"/>
      <c r="BS310" s="165"/>
      <c r="BT310" s="167"/>
      <c r="BU310" s="199"/>
      <c r="BV310" s="202"/>
      <c r="BW310" s="201"/>
      <c r="BX310" s="201"/>
      <c r="BY310" s="200"/>
      <c r="BZ310" s="199"/>
      <c r="CA310" s="201"/>
      <c r="CB310" s="202"/>
      <c r="CC310" s="200"/>
      <c r="CD310" s="199"/>
      <c r="CE310" s="201"/>
      <c r="CF310" s="201"/>
      <c r="CG310" s="106"/>
      <c r="CH310" s="165"/>
      <c r="CI310" s="167"/>
    </row>
    <row r="311" spans="1:87" x14ac:dyDescent="0.3">
      <c r="A311" s="10">
        <v>5302</v>
      </c>
      <c r="B311" s="11" t="s">
        <v>432</v>
      </c>
      <c r="C311" s="471">
        <v>1439</v>
      </c>
      <c r="D311" s="54">
        <v>971</v>
      </c>
      <c r="E311" s="367">
        <f t="shared" si="5"/>
        <v>0.67477414871438501</v>
      </c>
      <c r="F311" s="45"/>
      <c r="G311" s="45"/>
      <c r="H311" s="45"/>
      <c r="I311" s="45"/>
      <c r="J311" s="46"/>
      <c r="K311" s="45"/>
      <c r="L311" s="107"/>
      <c r="M311" s="541"/>
      <c r="N311" s="45"/>
      <c r="O311" s="45"/>
      <c r="P311" s="53"/>
      <c r="Q311" s="57"/>
      <c r="R311" s="57"/>
      <c r="S311" s="74"/>
      <c r="T311" s="45"/>
      <c r="U311" s="45"/>
      <c r="V311" s="73"/>
      <c r="W311" s="169"/>
      <c r="X311" s="173"/>
      <c r="Y311" s="190"/>
      <c r="Z311" s="167"/>
      <c r="AA311" s="45"/>
      <c r="AB311" s="57"/>
      <c r="AC311" s="169"/>
      <c r="AD311" s="165"/>
      <c r="AE311" s="165"/>
      <c r="AF311" s="167"/>
      <c r="AG311" s="73"/>
      <c r="AH311" s="45"/>
      <c r="AI311" s="46"/>
      <c r="AJ311" s="165"/>
      <c r="AK311" s="173"/>
      <c r="AL311" s="167"/>
      <c r="AM311" s="199"/>
      <c r="AN311" s="201"/>
      <c r="AO311" s="201"/>
      <c r="AP311" s="106"/>
      <c r="AQ311" s="165"/>
      <c r="AR311" s="168"/>
      <c r="AS311" s="165"/>
      <c r="AT311" s="190"/>
      <c r="AU311" s="167"/>
      <c r="AV311" s="199"/>
      <c r="AW311" s="201"/>
      <c r="AX311" s="201"/>
      <c r="AY311" s="202"/>
      <c r="AZ311" s="46"/>
      <c r="BA311" s="199"/>
      <c r="BB311" s="199"/>
      <c r="BC311" s="106"/>
      <c r="BD311" s="45">
        <v>204</v>
      </c>
      <c r="BE311" s="45">
        <v>339</v>
      </c>
      <c r="BF311" s="54">
        <v>482</v>
      </c>
      <c r="BG311" s="107">
        <v>456</v>
      </c>
      <c r="BH311" s="541">
        <v>621</v>
      </c>
      <c r="BI311" s="45"/>
      <c r="BJ311" s="46"/>
      <c r="BK311" s="45"/>
      <c r="BL311" s="53"/>
      <c r="BM311" s="200"/>
      <c r="BN311" s="165"/>
      <c r="BO311" s="173"/>
      <c r="BP311" s="190"/>
      <c r="BQ311" s="173"/>
      <c r="BR311" s="168"/>
      <c r="BS311" s="165"/>
      <c r="BT311" s="167"/>
      <c r="BU311" s="199"/>
      <c r="BV311" s="202"/>
      <c r="BW311" s="201"/>
      <c r="BX311" s="201"/>
      <c r="BY311" s="200"/>
      <c r="BZ311" s="199"/>
      <c r="CA311" s="201"/>
      <c r="CB311" s="202"/>
      <c r="CC311" s="200"/>
      <c r="CD311" s="199"/>
      <c r="CE311" s="201"/>
      <c r="CF311" s="201"/>
      <c r="CG311" s="106"/>
      <c r="CH311" s="165"/>
      <c r="CI311" s="167"/>
    </row>
    <row r="312" spans="1:87" x14ac:dyDescent="0.3">
      <c r="A312" s="10">
        <v>5303</v>
      </c>
      <c r="B312" s="11" t="s">
        <v>433</v>
      </c>
      <c r="C312" s="471">
        <v>1458</v>
      </c>
      <c r="D312" s="54">
        <v>955</v>
      </c>
      <c r="E312" s="367">
        <f t="shared" si="5"/>
        <v>0.65500685871056241</v>
      </c>
      <c r="F312" s="45"/>
      <c r="G312" s="45"/>
      <c r="H312" s="45"/>
      <c r="I312" s="45"/>
      <c r="J312" s="46"/>
      <c r="K312" s="45"/>
      <c r="L312" s="107"/>
      <c r="M312" s="541"/>
      <c r="N312" s="45"/>
      <c r="O312" s="45"/>
      <c r="P312" s="53"/>
      <c r="Q312" s="57"/>
      <c r="R312" s="57"/>
      <c r="S312" s="74"/>
      <c r="T312" s="45"/>
      <c r="U312" s="45"/>
      <c r="V312" s="73"/>
      <c r="W312" s="169"/>
      <c r="X312" s="173"/>
      <c r="Y312" s="190"/>
      <c r="Z312" s="167"/>
      <c r="AA312" s="45"/>
      <c r="AB312" s="57"/>
      <c r="AC312" s="169"/>
      <c r="AD312" s="165"/>
      <c r="AE312" s="165"/>
      <c r="AF312" s="167"/>
      <c r="AG312" s="73"/>
      <c r="AH312" s="45"/>
      <c r="AI312" s="46"/>
      <c r="AJ312" s="165"/>
      <c r="AK312" s="173"/>
      <c r="AL312" s="167"/>
      <c r="AM312" s="199"/>
      <c r="AN312" s="201"/>
      <c r="AO312" s="201"/>
      <c r="AP312" s="106"/>
      <c r="AQ312" s="165"/>
      <c r="AR312" s="168"/>
      <c r="AS312" s="165"/>
      <c r="AT312" s="190"/>
      <c r="AU312" s="167"/>
      <c r="AV312" s="199"/>
      <c r="AW312" s="201"/>
      <c r="AX312" s="201"/>
      <c r="AY312" s="202"/>
      <c r="AZ312" s="46"/>
      <c r="BA312" s="199"/>
      <c r="BB312" s="199"/>
      <c r="BC312" s="106"/>
      <c r="BD312" s="45">
        <v>196</v>
      </c>
      <c r="BE312" s="45">
        <v>366</v>
      </c>
      <c r="BF312" s="54">
        <v>475</v>
      </c>
      <c r="BG312" s="107">
        <v>421</v>
      </c>
      <c r="BH312" s="541">
        <v>610</v>
      </c>
      <c r="BI312" s="45"/>
      <c r="BJ312" s="46"/>
      <c r="BK312" s="45"/>
      <c r="BL312" s="53"/>
      <c r="BM312" s="200"/>
      <c r="BN312" s="165"/>
      <c r="BO312" s="173"/>
      <c r="BP312" s="190"/>
      <c r="BQ312" s="173"/>
      <c r="BR312" s="168"/>
      <c r="BS312" s="165"/>
      <c r="BT312" s="167"/>
      <c r="BU312" s="199"/>
      <c r="BV312" s="202"/>
      <c r="BW312" s="201"/>
      <c r="BX312" s="201"/>
      <c r="BY312" s="200"/>
      <c r="BZ312" s="199"/>
      <c r="CA312" s="201"/>
      <c r="CB312" s="202"/>
      <c r="CC312" s="200"/>
      <c r="CD312" s="199"/>
      <c r="CE312" s="201"/>
      <c r="CF312" s="201"/>
      <c r="CG312" s="106"/>
      <c r="CH312" s="165"/>
      <c r="CI312" s="167"/>
    </row>
    <row r="313" spans="1:87" x14ac:dyDescent="0.3">
      <c r="A313" s="10">
        <v>5304</v>
      </c>
      <c r="B313" s="11" t="s">
        <v>434</v>
      </c>
      <c r="C313" s="471">
        <v>1361</v>
      </c>
      <c r="D313" s="54">
        <v>803</v>
      </c>
      <c r="E313" s="367">
        <f t="shared" si="5"/>
        <v>0.59000734753857453</v>
      </c>
      <c r="F313" s="45"/>
      <c r="G313" s="45"/>
      <c r="H313" s="45"/>
      <c r="I313" s="45"/>
      <c r="J313" s="46"/>
      <c r="K313" s="45"/>
      <c r="L313" s="107"/>
      <c r="M313" s="541"/>
      <c r="N313" s="45"/>
      <c r="O313" s="45"/>
      <c r="P313" s="53"/>
      <c r="Q313" s="57"/>
      <c r="R313" s="57"/>
      <c r="S313" s="74"/>
      <c r="T313" s="45"/>
      <c r="U313" s="45"/>
      <c r="V313" s="73"/>
      <c r="W313" s="169"/>
      <c r="X313" s="173"/>
      <c r="Y313" s="190"/>
      <c r="Z313" s="167"/>
      <c r="AA313" s="45"/>
      <c r="AB313" s="57"/>
      <c r="AC313" s="169"/>
      <c r="AD313" s="165"/>
      <c r="AE313" s="165"/>
      <c r="AF313" s="167"/>
      <c r="AG313" s="73"/>
      <c r="AH313" s="45"/>
      <c r="AI313" s="46"/>
      <c r="AJ313" s="165"/>
      <c r="AK313" s="173"/>
      <c r="AL313" s="167"/>
      <c r="AM313" s="199"/>
      <c r="AN313" s="201"/>
      <c r="AO313" s="201"/>
      <c r="AP313" s="106"/>
      <c r="AQ313" s="165"/>
      <c r="AR313" s="168"/>
      <c r="AS313" s="165"/>
      <c r="AT313" s="190"/>
      <c r="AU313" s="167"/>
      <c r="AV313" s="199"/>
      <c r="AW313" s="201"/>
      <c r="AX313" s="201"/>
      <c r="AY313" s="202"/>
      <c r="AZ313" s="46"/>
      <c r="BA313" s="199"/>
      <c r="BB313" s="199"/>
      <c r="BC313" s="106"/>
      <c r="BD313" s="45">
        <v>144</v>
      </c>
      <c r="BE313" s="45">
        <v>236</v>
      </c>
      <c r="BF313" s="54">
        <v>440</v>
      </c>
      <c r="BG313" s="107">
        <v>410</v>
      </c>
      <c r="BH313" s="541">
        <v>530</v>
      </c>
      <c r="BI313" s="45"/>
      <c r="BJ313" s="46"/>
      <c r="BK313" s="45"/>
      <c r="BL313" s="53"/>
      <c r="BM313" s="200"/>
      <c r="BN313" s="165"/>
      <c r="BO313" s="173"/>
      <c r="BP313" s="190"/>
      <c r="BQ313" s="173"/>
      <c r="BR313" s="168"/>
      <c r="BS313" s="165"/>
      <c r="BT313" s="167"/>
      <c r="BU313" s="199"/>
      <c r="BV313" s="202"/>
      <c r="BW313" s="201"/>
      <c r="BX313" s="201"/>
      <c r="BY313" s="200"/>
      <c r="BZ313" s="199"/>
      <c r="CA313" s="201"/>
      <c r="CB313" s="202"/>
      <c r="CC313" s="200"/>
      <c r="CD313" s="199"/>
      <c r="CE313" s="201"/>
      <c r="CF313" s="201"/>
      <c r="CG313" s="106"/>
      <c r="CH313" s="165"/>
      <c r="CI313" s="167"/>
    </row>
    <row r="314" spans="1:87" x14ac:dyDescent="0.3">
      <c r="A314" s="10">
        <v>5305</v>
      </c>
      <c r="B314" s="11" t="s">
        <v>435</v>
      </c>
      <c r="C314" s="471">
        <v>1350</v>
      </c>
      <c r="D314" s="54">
        <v>918</v>
      </c>
      <c r="E314" s="367">
        <f t="shared" si="5"/>
        <v>0.68</v>
      </c>
      <c r="F314" s="45"/>
      <c r="G314" s="45"/>
      <c r="H314" s="45"/>
      <c r="I314" s="45"/>
      <c r="J314" s="46"/>
      <c r="K314" s="45"/>
      <c r="L314" s="107"/>
      <c r="M314" s="541"/>
      <c r="N314" s="45"/>
      <c r="O314" s="45"/>
      <c r="P314" s="53"/>
      <c r="Q314" s="57"/>
      <c r="R314" s="57"/>
      <c r="S314" s="74"/>
      <c r="T314" s="45"/>
      <c r="U314" s="45"/>
      <c r="V314" s="73"/>
      <c r="W314" s="169"/>
      <c r="X314" s="173"/>
      <c r="Y314" s="190"/>
      <c r="Z314" s="167"/>
      <c r="AA314" s="45"/>
      <c r="AB314" s="57"/>
      <c r="AC314" s="169"/>
      <c r="AD314" s="165"/>
      <c r="AE314" s="165"/>
      <c r="AF314" s="167"/>
      <c r="AG314" s="73"/>
      <c r="AH314" s="45"/>
      <c r="AI314" s="46"/>
      <c r="AJ314" s="165"/>
      <c r="AK314" s="173"/>
      <c r="AL314" s="167"/>
      <c r="AM314" s="199"/>
      <c r="AN314" s="201"/>
      <c r="AO314" s="201"/>
      <c r="AP314" s="106"/>
      <c r="AQ314" s="165"/>
      <c r="AR314" s="168"/>
      <c r="AS314" s="165"/>
      <c r="AT314" s="190"/>
      <c r="AU314" s="167"/>
      <c r="AV314" s="199"/>
      <c r="AW314" s="201"/>
      <c r="AX314" s="201"/>
      <c r="AY314" s="202"/>
      <c r="AZ314" s="46"/>
      <c r="BA314" s="199"/>
      <c r="BB314" s="199"/>
      <c r="BC314" s="106"/>
      <c r="BD314" s="45">
        <v>180</v>
      </c>
      <c r="BE314" s="45">
        <v>285</v>
      </c>
      <c r="BF314" s="54">
        <v>461</v>
      </c>
      <c r="BG314" s="107">
        <v>470</v>
      </c>
      <c r="BH314" s="541">
        <v>552</v>
      </c>
      <c r="BI314" s="45"/>
      <c r="BJ314" s="46"/>
      <c r="BK314" s="45"/>
      <c r="BL314" s="53"/>
      <c r="BM314" s="200"/>
      <c r="BN314" s="165"/>
      <c r="BO314" s="173"/>
      <c r="BP314" s="190"/>
      <c r="BQ314" s="173"/>
      <c r="BR314" s="168"/>
      <c r="BS314" s="165"/>
      <c r="BT314" s="167"/>
      <c r="BU314" s="199"/>
      <c r="BV314" s="202"/>
      <c r="BW314" s="201"/>
      <c r="BX314" s="201"/>
      <c r="BY314" s="200"/>
      <c r="BZ314" s="199"/>
      <c r="CA314" s="201"/>
      <c r="CB314" s="202"/>
      <c r="CC314" s="200"/>
      <c r="CD314" s="199"/>
      <c r="CE314" s="201"/>
      <c r="CF314" s="201"/>
      <c r="CG314" s="106"/>
      <c r="CH314" s="165"/>
      <c r="CI314" s="167"/>
    </row>
    <row r="315" spans="1:87" x14ac:dyDescent="0.3">
      <c r="A315" s="10">
        <v>5501</v>
      </c>
      <c r="B315" s="11" t="s">
        <v>438</v>
      </c>
      <c r="C315" s="471">
        <v>831</v>
      </c>
      <c r="D315" s="54">
        <v>526</v>
      </c>
      <c r="E315" s="367">
        <f t="shared" si="5"/>
        <v>0.63297232250300839</v>
      </c>
      <c r="F315" s="45">
        <v>297</v>
      </c>
      <c r="G315" s="45">
        <v>101</v>
      </c>
      <c r="H315" s="45">
        <v>271</v>
      </c>
      <c r="I315" s="45">
        <v>198</v>
      </c>
      <c r="J315" s="46">
        <v>74</v>
      </c>
      <c r="K315" s="45"/>
      <c r="L315" s="107"/>
      <c r="M315" s="541"/>
      <c r="N315" s="45"/>
      <c r="O315" s="45"/>
      <c r="P315" s="53"/>
      <c r="Q315" s="57"/>
      <c r="R315" s="57"/>
      <c r="S315" s="74"/>
      <c r="T315" s="45"/>
      <c r="U315" s="45"/>
      <c r="V315" s="73"/>
      <c r="W315" s="169"/>
      <c r="X315" s="173"/>
      <c r="Y315" s="190"/>
      <c r="Z315" s="167"/>
      <c r="AA315" s="45"/>
      <c r="AB315" s="57"/>
      <c r="AC315" s="169"/>
      <c r="AD315" s="165"/>
      <c r="AE315" s="165"/>
      <c r="AF315" s="167"/>
      <c r="AG315" s="73"/>
      <c r="AH315" s="45"/>
      <c r="AI315" s="46"/>
      <c r="AJ315" s="165"/>
      <c r="AK315" s="173"/>
      <c r="AL315" s="167"/>
      <c r="AM315" s="199"/>
      <c r="AN315" s="201"/>
      <c r="AO315" s="201"/>
      <c r="AP315" s="106"/>
      <c r="AQ315" s="165"/>
      <c r="AR315" s="168"/>
      <c r="AS315" s="165"/>
      <c r="AT315" s="190"/>
      <c r="AU315" s="167"/>
      <c r="AV315" s="199"/>
      <c r="AW315" s="201"/>
      <c r="AX315" s="201"/>
      <c r="AY315" s="202"/>
      <c r="AZ315" s="46"/>
      <c r="BA315" s="199"/>
      <c r="BB315" s="199"/>
      <c r="BC315" s="106"/>
      <c r="BD315" s="165"/>
      <c r="BE315" s="165"/>
      <c r="BF315" s="173"/>
      <c r="BG315" s="304"/>
      <c r="BH315" s="601"/>
      <c r="BI315" s="45"/>
      <c r="BJ315" s="46"/>
      <c r="BK315" s="45"/>
      <c r="BL315" s="53"/>
      <c r="BM315" s="200"/>
      <c r="BN315" s="165"/>
      <c r="BO315" s="173"/>
      <c r="BP315" s="190"/>
      <c r="BQ315" s="173"/>
      <c r="BR315" s="168"/>
      <c r="BS315" s="165"/>
      <c r="BT315" s="167"/>
      <c r="BU315" s="199"/>
      <c r="BV315" s="202"/>
      <c r="BW315" s="201"/>
      <c r="BX315" s="201"/>
      <c r="BY315" s="200"/>
      <c r="BZ315" s="199"/>
      <c r="CA315" s="201"/>
      <c r="CB315" s="202"/>
      <c r="CC315" s="200"/>
      <c r="CD315" s="199"/>
      <c r="CE315" s="201"/>
      <c r="CF315" s="201"/>
      <c r="CG315" s="106"/>
      <c r="CH315" s="165"/>
      <c r="CI315" s="167"/>
    </row>
    <row r="316" spans="1:87" x14ac:dyDescent="0.3">
      <c r="A316" s="10">
        <v>5502</v>
      </c>
      <c r="B316" s="11" t="s">
        <v>439</v>
      </c>
      <c r="C316" s="471">
        <v>811</v>
      </c>
      <c r="D316" s="54">
        <v>507</v>
      </c>
      <c r="E316" s="367">
        <f t="shared" si="5"/>
        <v>0.62515413070283599</v>
      </c>
      <c r="F316" s="45">
        <v>244</v>
      </c>
      <c r="G316" s="45">
        <v>104</v>
      </c>
      <c r="H316" s="45">
        <v>254</v>
      </c>
      <c r="I316" s="45">
        <v>197</v>
      </c>
      <c r="J316" s="46">
        <v>84</v>
      </c>
      <c r="K316" s="45"/>
      <c r="L316" s="107"/>
      <c r="M316" s="541"/>
      <c r="N316" s="45"/>
      <c r="O316" s="45"/>
      <c r="P316" s="53"/>
      <c r="Q316" s="57"/>
      <c r="R316" s="57"/>
      <c r="S316" s="74"/>
      <c r="T316" s="45"/>
      <c r="U316" s="45"/>
      <c r="V316" s="73"/>
      <c r="W316" s="169"/>
      <c r="X316" s="173"/>
      <c r="Y316" s="190"/>
      <c r="Z316" s="167"/>
      <c r="AA316" s="45"/>
      <c r="AB316" s="57"/>
      <c r="AC316" s="169"/>
      <c r="AD316" s="165"/>
      <c r="AE316" s="165"/>
      <c r="AF316" s="167"/>
      <c r="AG316" s="73"/>
      <c r="AH316" s="45"/>
      <c r="AI316" s="46"/>
      <c r="AJ316" s="165"/>
      <c r="AK316" s="173"/>
      <c r="AL316" s="167"/>
      <c r="AM316" s="199"/>
      <c r="AN316" s="201"/>
      <c r="AO316" s="201"/>
      <c r="AP316" s="106"/>
      <c r="AQ316" s="165"/>
      <c r="AR316" s="168"/>
      <c r="AS316" s="165"/>
      <c r="AT316" s="190"/>
      <c r="AU316" s="167"/>
      <c r="AV316" s="199"/>
      <c r="AW316" s="201"/>
      <c r="AX316" s="201"/>
      <c r="AY316" s="202"/>
      <c r="AZ316" s="46"/>
      <c r="BA316" s="199"/>
      <c r="BB316" s="199"/>
      <c r="BC316" s="106"/>
      <c r="BD316" s="165"/>
      <c r="BE316" s="165"/>
      <c r="BF316" s="173"/>
      <c r="BG316" s="304"/>
      <c r="BH316" s="601"/>
      <c r="BI316" s="45"/>
      <c r="BJ316" s="46"/>
      <c r="BK316" s="45"/>
      <c r="BL316" s="53"/>
      <c r="BM316" s="200"/>
      <c r="BN316" s="165"/>
      <c r="BO316" s="173"/>
      <c r="BP316" s="190"/>
      <c r="BQ316" s="173"/>
      <c r="BR316" s="168"/>
      <c r="BS316" s="165"/>
      <c r="BT316" s="167"/>
      <c r="BU316" s="199"/>
      <c r="BV316" s="202"/>
      <c r="BW316" s="201"/>
      <c r="BX316" s="201"/>
      <c r="BY316" s="200"/>
      <c r="BZ316" s="199"/>
      <c r="CA316" s="201"/>
      <c r="CB316" s="202"/>
      <c r="CC316" s="200"/>
      <c r="CD316" s="199"/>
      <c r="CE316" s="201"/>
      <c r="CF316" s="201"/>
      <c r="CG316" s="106"/>
      <c r="CH316" s="165"/>
      <c r="CI316" s="167"/>
    </row>
    <row r="317" spans="1:87" x14ac:dyDescent="0.3">
      <c r="A317" s="10">
        <v>5503</v>
      </c>
      <c r="B317" s="11" t="s">
        <v>440</v>
      </c>
      <c r="C317" s="471">
        <v>639</v>
      </c>
      <c r="D317" s="54">
        <v>451</v>
      </c>
      <c r="E317" s="367">
        <f t="shared" si="5"/>
        <v>0.70579029733959309</v>
      </c>
      <c r="F317" s="45">
        <v>253</v>
      </c>
      <c r="G317" s="45">
        <v>100</v>
      </c>
      <c r="H317" s="45">
        <v>226</v>
      </c>
      <c r="I317" s="45">
        <v>211</v>
      </c>
      <c r="J317" s="46">
        <v>95</v>
      </c>
      <c r="K317" s="45"/>
      <c r="L317" s="107"/>
      <c r="M317" s="541"/>
      <c r="N317" s="45"/>
      <c r="O317" s="45"/>
      <c r="P317" s="53"/>
      <c r="Q317" s="57"/>
      <c r="R317" s="57"/>
      <c r="S317" s="74"/>
      <c r="T317" s="45"/>
      <c r="U317" s="45"/>
      <c r="V317" s="73"/>
      <c r="W317" s="169"/>
      <c r="X317" s="173"/>
      <c r="Y317" s="190"/>
      <c r="Z317" s="167"/>
      <c r="AA317" s="45"/>
      <c r="AB317" s="57"/>
      <c r="AC317" s="169"/>
      <c r="AD317" s="165"/>
      <c r="AE317" s="165"/>
      <c r="AF317" s="167"/>
      <c r="AG317" s="73"/>
      <c r="AH317" s="45"/>
      <c r="AI317" s="46"/>
      <c r="AJ317" s="165"/>
      <c r="AK317" s="173"/>
      <c r="AL317" s="167"/>
      <c r="AM317" s="199"/>
      <c r="AN317" s="201"/>
      <c r="AO317" s="201"/>
      <c r="AP317" s="106"/>
      <c r="AQ317" s="165"/>
      <c r="AR317" s="168"/>
      <c r="AS317" s="165"/>
      <c r="AT317" s="190"/>
      <c r="AU317" s="167"/>
      <c r="AV317" s="199"/>
      <c r="AW317" s="201"/>
      <c r="AX317" s="201"/>
      <c r="AY317" s="202"/>
      <c r="AZ317" s="46"/>
      <c r="BA317" s="199"/>
      <c r="BB317" s="199"/>
      <c r="BC317" s="106"/>
      <c r="BD317" s="165"/>
      <c r="BE317" s="165"/>
      <c r="BF317" s="173"/>
      <c r="BG317" s="304"/>
      <c r="BH317" s="601"/>
      <c r="BI317" s="45"/>
      <c r="BJ317" s="46"/>
      <c r="BK317" s="45"/>
      <c r="BL317" s="53"/>
      <c r="BM317" s="200"/>
      <c r="BN317" s="165"/>
      <c r="BO317" s="173"/>
      <c r="BP317" s="190"/>
      <c r="BQ317" s="173"/>
      <c r="BR317" s="168"/>
      <c r="BS317" s="165"/>
      <c r="BT317" s="167"/>
      <c r="BU317" s="199"/>
      <c r="BV317" s="202"/>
      <c r="BW317" s="201"/>
      <c r="BX317" s="201"/>
      <c r="BY317" s="200"/>
      <c r="BZ317" s="199"/>
      <c r="CA317" s="201"/>
      <c r="CB317" s="202"/>
      <c r="CC317" s="200"/>
      <c r="CD317" s="199"/>
      <c r="CE317" s="201"/>
      <c r="CF317" s="201"/>
      <c r="CG317" s="106"/>
      <c r="CH317" s="165"/>
      <c r="CI317" s="167"/>
    </row>
    <row r="318" spans="1:87" x14ac:dyDescent="0.3">
      <c r="A318" s="10">
        <v>5504</v>
      </c>
      <c r="B318" s="11" t="s">
        <v>441</v>
      </c>
      <c r="C318" s="471">
        <v>864</v>
      </c>
      <c r="D318" s="54">
        <v>594</v>
      </c>
      <c r="E318" s="367">
        <f t="shared" si="5"/>
        <v>0.6875</v>
      </c>
      <c r="F318" s="45">
        <v>342</v>
      </c>
      <c r="G318" s="45">
        <v>112</v>
      </c>
      <c r="H318" s="45">
        <v>307</v>
      </c>
      <c r="I318" s="45">
        <v>257</v>
      </c>
      <c r="J318" s="46">
        <v>115</v>
      </c>
      <c r="K318" s="45"/>
      <c r="L318" s="107"/>
      <c r="M318" s="541"/>
      <c r="N318" s="45"/>
      <c r="O318" s="45"/>
      <c r="P318" s="53"/>
      <c r="Q318" s="57"/>
      <c r="R318" s="57"/>
      <c r="S318" s="74"/>
      <c r="T318" s="45"/>
      <c r="U318" s="45"/>
      <c r="V318" s="73"/>
      <c r="W318" s="169"/>
      <c r="X318" s="173"/>
      <c r="Y318" s="190"/>
      <c r="Z318" s="167"/>
      <c r="AA318" s="45"/>
      <c r="AB318" s="57"/>
      <c r="AC318" s="169"/>
      <c r="AD318" s="165"/>
      <c r="AE318" s="165"/>
      <c r="AF318" s="167"/>
      <c r="AG318" s="73"/>
      <c r="AH318" s="45"/>
      <c r="AI318" s="46"/>
      <c r="AJ318" s="165"/>
      <c r="AK318" s="173"/>
      <c r="AL318" s="167"/>
      <c r="AM318" s="199"/>
      <c r="AN318" s="201"/>
      <c r="AO318" s="201"/>
      <c r="AP318" s="106"/>
      <c r="AQ318" s="165"/>
      <c r="AR318" s="168"/>
      <c r="AS318" s="165"/>
      <c r="AT318" s="190"/>
      <c r="AU318" s="167"/>
      <c r="AV318" s="199"/>
      <c r="AW318" s="201"/>
      <c r="AX318" s="201"/>
      <c r="AY318" s="202"/>
      <c r="AZ318" s="46"/>
      <c r="BA318" s="199"/>
      <c r="BB318" s="199"/>
      <c r="BC318" s="106"/>
      <c r="BD318" s="165"/>
      <c r="BE318" s="165"/>
      <c r="BF318" s="173"/>
      <c r="BG318" s="304"/>
      <c r="BH318" s="601"/>
      <c r="BI318" s="45"/>
      <c r="BJ318" s="46"/>
      <c r="BK318" s="45"/>
      <c r="BL318" s="53"/>
      <c r="BM318" s="200"/>
      <c r="BN318" s="165"/>
      <c r="BO318" s="173"/>
      <c r="BP318" s="190"/>
      <c r="BQ318" s="173"/>
      <c r="BR318" s="168"/>
      <c r="BS318" s="165"/>
      <c r="BT318" s="167"/>
      <c r="BU318" s="199"/>
      <c r="BV318" s="202"/>
      <c r="BW318" s="201"/>
      <c r="BX318" s="201"/>
      <c r="BY318" s="200"/>
      <c r="BZ318" s="199"/>
      <c r="CA318" s="201"/>
      <c r="CB318" s="202"/>
      <c r="CC318" s="200"/>
      <c r="CD318" s="199"/>
      <c r="CE318" s="201"/>
      <c r="CF318" s="201"/>
      <c r="CG318" s="106"/>
      <c r="CH318" s="165"/>
      <c r="CI318" s="167"/>
    </row>
    <row r="319" spans="1:87" x14ac:dyDescent="0.3">
      <c r="A319" s="10">
        <v>5601</v>
      </c>
      <c r="B319" s="11" t="s">
        <v>442</v>
      </c>
      <c r="C319" s="471">
        <v>1053</v>
      </c>
      <c r="D319" s="54">
        <v>655</v>
      </c>
      <c r="E319" s="367">
        <f t="shared" si="5"/>
        <v>0.62203228869895533</v>
      </c>
      <c r="F319" s="45"/>
      <c r="G319" s="45"/>
      <c r="H319" s="45"/>
      <c r="I319" s="45"/>
      <c r="J319" s="46"/>
      <c r="K319" s="45"/>
      <c r="L319" s="107"/>
      <c r="M319" s="541"/>
      <c r="N319" s="45"/>
      <c r="O319" s="45"/>
      <c r="P319" s="53"/>
      <c r="Q319" s="57"/>
      <c r="R319" s="57"/>
      <c r="S319" s="74"/>
      <c r="T319" s="45"/>
      <c r="U319" s="45"/>
      <c r="V319" s="73"/>
      <c r="W319" s="169"/>
      <c r="X319" s="173"/>
      <c r="Y319" s="190"/>
      <c r="Z319" s="167"/>
      <c r="AA319" s="45"/>
      <c r="AB319" s="57"/>
      <c r="AC319" s="169"/>
      <c r="AD319" s="165"/>
      <c r="AE319" s="165"/>
      <c r="AF319" s="167"/>
      <c r="AG319" s="73"/>
      <c r="AH319" s="45"/>
      <c r="AI319" s="46"/>
      <c r="AJ319" s="165"/>
      <c r="AK319" s="173"/>
      <c r="AL319" s="167"/>
      <c r="AM319" s="199"/>
      <c r="AN319" s="201"/>
      <c r="AO319" s="201"/>
      <c r="AP319" s="106"/>
      <c r="AQ319" s="165"/>
      <c r="AR319" s="168"/>
      <c r="AS319" s="165"/>
      <c r="AT319" s="190"/>
      <c r="AU319" s="167"/>
      <c r="AV319" s="199"/>
      <c r="AW319" s="201"/>
      <c r="AX319" s="201"/>
      <c r="AY319" s="202"/>
      <c r="AZ319" s="46"/>
      <c r="BA319" s="199"/>
      <c r="BB319" s="199"/>
      <c r="BC319" s="106"/>
      <c r="BD319" s="165"/>
      <c r="BE319" s="165"/>
      <c r="BF319" s="173"/>
      <c r="BG319" s="304"/>
      <c r="BH319" s="601"/>
      <c r="BI319" s="45">
        <v>267</v>
      </c>
      <c r="BJ319" s="46">
        <v>260</v>
      </c>
      <c r="BK319" s="45"/>
      <c r="BL319" s="53"/>
      <c r="BM319" s="200"/>
      <c r="BN319" s="45">
        <v>260</v>
      </c>
      <c r="BO319" s="54">
        <v>264</v>
      </c>
      <c r="BP319" s="53">
        <v>308</v>
      </c>
      <c r="BQ319" s="54">
        <v>342</v>
      </c>
      <c r="BR319" s="73">
        <v>22</v>
      </c>
      <c r="BS319" s="165"/>
      <c r="BT319" s="167"/>
      <c r="BU319" s="199"/>
      <c r="BV319" s="202"/>
      <c r="BW319" s="201"/>
      <c r="BX319" s="201"/>
      <c r="BY319" s="200"/>
      <c r="BZ319" s="199"/>
      <c r="CA319" s="201"/>
      <c r="CB319" s="202"/>
      <c r="CC319" s="200"/>
      <c r="CD319" s="199"/>
      <c r="CE319" s="201"/>
      <c r="CF319" s="201"/>
      <c r="CG319" s="106"/>
      <c r="CH319" s="165"/>
      <c r="CI319" s="167"/>
    </row>
    <row r="320" spans="1:87" x14ac:dyDescent="0.3">
      <c r="A320" s="10">
        <v>5602</v>
      </c>
      <c r="B320" s="11" t="s">
        <v>443</v>
      </c>
      <c r="C320" s="471">
        <v>1009</v>
      </c>
      <c r="D320" s="54">
        <v>600</v>
      </c>
      <c r="E320" s="367">
        <f t="shared" si="5"/>
        <v>0.59464816650148666</v>
      </c>
      <c r="F320" s="45"/>
      <c r="G320" s="45"/>
      <c r="H320" s="45"/>
      <c r="I320" s="45"/>
      <c r="J320" s="46"/>
      <c r="K320" s="45"/>
      <c r="L320" s="107"/>
      <c r="M320" s="541"/>
      <c r="N320" s="45"/>
      <c r="O320" s="45"/>
      <c r="P320" s="53"/>
      <c r="Q320" s="57"/>
      <c r="R320" s="57"/>
      <c r="S320" s="74"/>
      <c r="T320" s="45"/>
      <c r="U320" s="45"/>
      <c r="V320" s="73"/>
      <c r="W320" s="169"/>
      <c r="X320" s="173"/>
      <c r="Y320" s="190"/>
      <c r="Z320" s="167"/>
      <c r="AA320" s="45"/>
      <c r="AB320" s="57"/>
      <c r="AC320" s="169"/>
      <c r="AD320" s="165"/>
      <c r="AE320" s="165"/>
      <c r="AF320" s="167"/>
      <c r="AG320" s="73"/>
      <c r="AH320" s="45"/>
      <c r="AI320" s="46"/>
      <c r="AJ320" s="165"/>
      <c r="AK320" s="173"/>
      <c r="AL320" s="167"/>
      <c r="AM320" s="199"/>
      <c r="AN320" s="201"/>
      <c r="AO320" s="201"/>
      <c r="AP320" s="106"/>
      <c r="AQ320" s="165"/>
      <c r="AR320" s="168"/>
      <c r="AS320" s="165"/>
      <c r="AT320" s="190"/>
      <c r="AU320" s="167"/>
      <c r="AV320" s="199"/>
      <c r="AW320" s="201"/>
      <c r="AX320" s="201"/>
      <c r="AY320" s="202"/>
      <c r="AZ320" s="46"/>
      <c r="BA320" s="199"/>
      <c r="BB320" s="199"/>
      <c r="BC320" s="73"/>
      <c r="BD320" s="165"/>
      <c r="BE320" s="165"/>
      <c r="BF320" s="173"/>
      <c r="BG320" s="304"/>
      <c r="BH320" s="601"/>
      <c r="BI320" s="45">
        <v>255</v>
      </c>
      <c r="BJ320" s="46">
        <v>267</v>
      </c>
      <c r="BK320" s="45"/>
      <c r="BL320" s="53"/>
      <c r="BM320" s="200"/>
      <c r="BN320" s="45">
        <v>238</v>
      </c>
      <c r="BO320" s="54">
        <v>264</v>
      </c>
      <c r="BP320" s="53">
        <v>226</v>
      </c>
      <c r="BQ320" s="54">
        <v>282</v>
      </c>
      <c r="BR320" s="73">
        <v>36</v>
      </c>
      <c r="BS320" s="165"/>
      <c r="BT320" s="167"/>
      <c r="BU320" s="199"/>
      <c r="BV320" s="202"/>
      <c r="BW320" s="201"/>
      <c r="BX320" s="201"/>
      <c r="BY320" s="200"/>
      <c r="BZ320" s="199"/>
      <c r="CA320" s="201"/>
      <c r="CB320" s="202"/>
      <c r="CC320" s="200"/>
      <c r="CD320" s="199"/>
      <c r="CE320" s="201"/>
      <c r="CF320" s="201"/>
      <c r="CG320" s="106"/>
      <c r="CH320" s="165"/>
      <c r="CI320" s="167"/>
    </row>
    <row r="321" spans="1:87" x14ac:dyDescent="0.3">
      <c r="A321" s="10">
        <v>5603</v>
      </c>
      <c r="B321" s="11" t="s">
        <v>444</v>
      </c>
      <c r="C321" s="471">
        <v>1381</v>
      </c>
      <c r="D321" s="54">
        <v>921</v>
      </c>
      <c r="E321" s="367">
        <f t="shared" si="5"/>
        <v>0.66690803765387396</v>
      </c>
      <c r="F321" s="45"/>
      <c r="G321" s="45"/>
      <c r="H321" s="45"/>
      <c r="I321" s="45"/>
      <c r="J321" s="46"/>
      <c r="K321" s="45"/>
      <c r="L321" s="107"/>
      <c r="M321" s="541"/>
      <c r="N321" s="45"/>
      <c r="O321" s="45"/>
      <c r="P321" s="53"/>
      <c r="Q321" s="57"/>
      <c r="R321" s="57"/>
      <c r="S321" s="74"/>
      <c r="T321" s="45"/>
      <c r="U321" s="45"/>
      <c r="V321" s="73"/>
      <c r="W321" s="169"/>
      <c r="X321" s="173"/>
      <c r="Y321" s="190"/>
      <c r="Z321" s="167"/>
      <c r="AA321" s="45"/>
      <c r="AB321" s="57"/>
      <c r="AC321" s="169"/>
      <c r="AD321" s="165"/>
      <c r="AE321" s="165"/>
      <c r="AF321" s="167"/>
      <c r="AG321" s="73"/>
      <c r="AH321" s="45"/>
      <c r="AI321" s="46"/>
      <c r="AJ321" s="165"/>
      <c r="AK321" s="173"/>
      <c r="AL321" s="167"/>
      <c r="AM321" s="199"/>
      <c r="AN321" s="201"/>
      <c r="AO321" s="201"/>
      <c r="AP321" s="106"/>
      <c r="AQ321" s="165"/>
      <c r="AR321" s="168"/>
      <c r="AS321" s="165"/>
      <c r="AT321" s="190"/>
      <c r="AU321" s="167"/>
      <c r="AV321" s="199"/>
      <c r="AW321" s="201"/>
      <c r="AX321" s="201"/>
      <c r="AY321" s="202"/>
      <c r="AZ321" s="46"/>
      <c r="BA321" s="199"/>
      <c r="BB321" s="199"/>
      <c r="BC321" s="73"/>
      <c r="BD321" s="165"/>
      <c r="BE321" s="165"/>
      <c r="BF321" s="173"/>
      <c r="BG321" s="304"/>
      <c r="BH321" s="601"/>
      <c r="BI321" s="45">
        <v>346</v>
      </c>
      <c r="BJ321" s="46">
        <v>372</v>
      </c>
      <c r="BK321" s="45"/>
      <c r="BL321" s="53"/>
      <c r="BM321" s="200"/>
      <c r="BN321" s="45">
        <v>299</v>
      </c>
      <c r="BO321" s="54">
        <v>302</v>
      </c>
      <c r="BP321" s="53">
        <v>485</v>
      </c>
      <c r="BQ321" s="54">
        <v>546</v>
      </c>
      <c r="BR321" s="73">
        <v>22</v>
      </c>
      <c r="BS321" s="165"/>
      <c r="BT321" s="167"/>
      <c r="BU321" s="199"/>
      <c r="BV321" s="202"/>
      <c r="BW321" s="201"/>
      <c r="BX321" s="201"/>
      <c r="BY321" s="200"/>
      <c r="BZ321" s="199"/>
      <c r="CA321" s="201"/>
      <c r="CB321" s="202"/>
      <c r="CC321" s="200"/>
      <c r="CD321" s="199"/>
      <c r="CE321" s="201"/>
      <c r="CF321" s="201"/>
      <c r="CG321" s="106"/>
      <c r="CH321" s="165"/>
      <c r="CI321" s="167"/>
    </row>
    <row r="322" spans="1:87" x14ac:dyDescent="0.3">
      <c r="A322" s="10">
        <v>5604</v>
      </c>
      <c r="B322" s="11" t="s">
        <v>445</v>
      </c>
      <c r="C322" s="471">
        <v>1357</v>
      </c>
      <c r="D322" s="54">
        <v>884</v>
      </c>
      <c r="E322" s="367">
        <f t="shared" si="5"/>
        <v>0.65143699336772287</v>
      </c>
      <c r="F322" s="45"/>
      <c r="G322" s="45"/>
      <c r="H322" s="45"/>
      <c r="I322" s="45"/>
      <c r="J322" s="46"/>
      <c r="K322" s="45"/>
      <c r="L322" s="107"/>
      <c r="M322" s="541"/>
      <c r="N322" s="45"/>
      <c r="O322" s="45"/>
      <c r="P322" s="53"/>
      <c r="Q322" s="57"/>
      <c r="R322" s="57"/>
      <c r="S322" s="74"/>
      <c r="T322" s="45"/>
      <c r="U322" s="45"/>
      <c r="V322" s="73"/>
      <c r="W322" s="169"/>
      <c r="X322" s="173"/>
      <c r="Y322" s="190"/>
      <c r="Z322" s="167"/>
      <c r="AA322" s="45"/>
      <c r="AB322" s="57"/>
      <c r="AC322" s="169"/>
      <c r="AD322" s="165"/>
      <c r="AE322" s="165"/>
      <c r="AF322" s="167"/>
      <c r="AG322" s="73"/>
      <c r="AH322" s="45"/>
      <c r="AI322" s="46"/>
      <c r="AJ322" s="165"/>
      <c r="AK322" s="173"/>
      <c r="AL322" s="167"/>
      <c r="AM322" s="45"/>
      <c r="AN322" s="54"/>
      <c r="AO322" s="54"/>
      <c r="AP322" s="73"/>
      <c r="AQ322" s="165"/>
      <c r="AR322" s="168"/>
      <c r="AS322" s="165"/>
      <c r="AT322" s="190"/>
      <c r="AU322" s="167"/>
      <c r="AV322" s="45"/>
      <c r="AW322" s="54"/>
      <c r="AX322" s="54"/>
      <c r="AY322" s="53"/>
      <c r="AZ322" s="46"/>
      <c r="BA322" s="199"/>
      <c r="BB322" s="199"/>
      <c r="BC322" s="73"/>
      <c r="BD322" s="165"/>
      <c r="BE322" s="165"/>
      <c r="BF322" s="173"/>
      <c r="BG322" s="304"/>
      <c r="BH322" s="601"/>
      <c r="BI322" s="45">
        <v>345</v>
      </c>
      <c r="BJ322" s="46">
        <v>340</v>
      </c>
      <c r="BK322" s="45"/>
      <c r="BL322" s="53"/>
      <c r="BM322" s="200"/>
      <c r="BN322" s="45">
        <v>390</v>
      </c>
      <c r="BO322" s="54">
        <v>386</v>
      </c>
      <c r="BP322" s="53">
        <v>368</v>
      </c>
      <c r="BQ322" s="54">
        <v>434</v>
      </c>
      <c r="BR322" s="73">
        <v>26</v>
      </c>
      <c r="BS322" s="165"/>
      <c r="BT322" s="167"/>
      <c r="BU322" s="199"/>
      <c r="BV322" s="202"/>
      <c r="BW322" s="201"/>
      <c r="BX322" s="201"/>
      <c r="BY322" s="200"/>
      <c r="BZ322" s="199"/>
      <c r="CA322" s="201"/>
      <c r="CB322" s="202"/>
      <c r="CC322" s="200"/>
      <c r="CD322" s="199"/>
      <c r="CE322" s="201"/>
      <c r="CF322" s="201"/>
      <c r="CG322" s="106"/>
      <c r="CH322" s="165"/>
      <c r="CI322" s="167"/>
    </row>
    <row r="323" spans="1:87" x14ac:dyDescent="0.3">
      <c r="A323" s="10">
        <v>5605</v>
      </c>
      <c r="B323" s="11" t="s">
        <v>446</v>
      </c>
      <c r="C323" s="471">
        <v>1257</v>
      </c>
      <c r="D323" s="54">
        <v>768</v>
      </c>
      <c r="E323" s="367">
        <f t="shared" si="5"/>
        <v>0.61097852028639621</v>
      </c>
      <c r="F323" s="45"/>
      <c r="G323" s="45"/>
      <c r="H323" s="45"/>
      <c r="I323" s="45"/>
      <c r="J323" s="46"/>
      <c r="K323" s="45"/>
      <c r="L323" s="107"/>
      <c r="M323" s="541"/>
      <c r="N323" s="45"/>
      <c r="O323" s="45"/>
      <c r="P323" s="53"/>
      <c r="Q323" s="57"/>
      <c r="R323" s="57"/>
      <c r="S323" s="74"/>
      <c r="T323" s="45"/>
      <c r="U323" s="45"/>
      <c r="V323" s="73"/>
      <c r="W323" s="169"/>
      <c r="X323" s="173"/>
      <c r="Y323" s="190"/>
      <c r="Z323" s="167"/>
      <c r="AA323" s="45"/>
      <c r="AB323" s="57"/>
      <c r="AC323" s="169"/>
      <c r="AD323" s="165"/>
      <c r="AE323" s="165"/>
      <c r="AF323" s="167"/>
      <c r="AG323" s="73"/>
      <c r="AH323" s="45"/>
      <c r="AI323" s="46"/>
      <c r="AJ323" s="165"/>
      <c r="AK323" s="173"/>
      <c r="AL323" s="167"/>
      <c r="AM323" s="45"/>
      <c r="AN323" s="54"/>
      <c r="AO323" s="54"/>
      <c r="AP323" s="73"/>
      <c r="AQ323" s="165"/>
      <c r="AR323" s="168"/>
      <c r="AS323" s="165"/>
      <c r="AT323" s="190"/>
      <c r="AU323" s="167"/>
      <c r="AV323" s="45"/>
      <c r="AW323" s="54"/>
      <c r="AX323" s="54"/>
      <c r="AY323" s="53"/>
      <c r="AZ323" s="46"/>
      <c r="BA323" s="45"/>
      <c r="BB323" s="45"/>
      <c r="BC323" s="73"/>
      <c r="BD323" s="165"/>
      <c r="BE323" s="165"/>
      <c r="BF323" s="173"/>
      <c r="BG323" s="304"/>
      <c r="BH323" s="601"/>
      <c r="BI323" s="45">
        <v>304</v>
      </c>
      <c r="BJ323" s="46">
        <v>302</v>
      </c>
      <c r="BK323" s="45"/>
      <c r="BL323" s="53"/>
      <c r="BM323" s="200"/>
      <c r="BN323" s="45">
        <v>324</v>
      </c>
      <c r="BO323" s="54">
        <v>327</v>
      </c>
      <c r="BP323" s="53">
        <v>270</v>
      </c>
      <c r="BQ323" s="54">
        <v>330</v>
      </c>
      <c r="BR323" s="73">
        <v>52</v>
      </c>
      <c r="BS323" s="165"/>
      <c r="BT323" s="167"/>
      <c r="BU323" s="199"/>
      <c r="BV323" s="202"/>
      <c r="BW323" s="201"/>
      <c r="BX323" s="201"/>
      <c r="BY323" s="200"/>
      <c r="BZ323" s="199"/>
      <c r="CA323" s="201"/>
      <c r="CB323" s="202"/>
      <c r="CC323" s="200"/>
      <c r="CD323" s="199"/>
      <c r="CE323" s="201"/>
      <c r="CF323" s="201"/>
      <c r="CG323" s="106"/>
      <c r="CH323" s="165"/>
      <c r="CI323" s="167"/>
    </row>
    <row r="324" spans="1:87" x14ac:dyDescent="0.3">
      <c r="A324" s="10">
        <v>5606</v>
      </c>
      <c r="B324" s="11" t="s">
        <v>447</v>
      </c>
      <c r="C324" s="471">
        <v>1238</v>
      </c>
      <c r="D324" s="54">
        <v>863</v>
      </c>
      <c r="E324" s="367">
        <f t="shared" si="5"/>
        <v>0.69709208400646205</v>
      </c>
      <c r="F324" s="45"/>
      <c r="G324" s="45"/>
      <c r="H324" s="45"/>
      <c r="I324" s="45"/>
      <c r="J324" s="46"/>
      <c r="K324" s="45"/>
      <c r="L324" s="107"/>
      <c r="M324" s="541"/>
      <c r="N324" s="45"/>
      <c r="O324" s="45"/>
      <c r="P324" s="53"/>
      <c r="Q324" s="57"/>
      <c r="R324" s="57"/>
      <c r="S324" s="74"/>
      <c r="T324" s="45"/>
      <c r="U324" s="45"/>
      <c r="V324" s="73"/>
      <c r="W324" s="169"/>
      <c r="X324" s="173"/>
      <c r="Y324" s="190"/>
      <c r="Z324" s="167"/>
      <c r="AA324" s="45"/>
      <c r="AB324" s="57"/>
      <c r="AC324" s="169"/>
      <c r="AD324" s="165"/>
      <c r="AE324" s="165"/>
      <c r="AF324" s="167"/>
      <c r="AG324" s="73"/>
      <c r="AH324" s="45"/>
      <c r="AI324" s="46"/>
      <c r="AJ324" s="165"/>
      <c r="AK324" s="173"/>
      <c r="AL324" s="167"/>
      <c r="AM324" s="45"/>
      <c r="AN324" s="54"/>
      <c r="AO324" s="54"/>
      <c r="AP324" s="73"/>
      <c r="AQ324" s="165"/>
      <c r="AR324" s="168"/>
      <c r="AS324" s="165"/>
      <c r="AT324" s="190"/>
      <c r="AU324" s="167"/>
      <c r="AV324" s="45"/>
      <c r="AW324" s="54"/>
      <c r="AX324" s="54"/>
      <c r="AY324" s="53"/>
      <c r="AZ324" s="46"/>
      <c r="BA324" s="45"/>
      <c r="BB324" s="45"/>
      <c r="BC324" s="73"/>
      <c r="BD324" s="165"/>
      <c r="BE324" s="165"/>
      <c r="BF324" s="173"/>
      <c r="BG324" s="304"/>
      <c r="BH324" s="601"/>
      <c r="BI324" s="45">
        <v>348</v>
      </c>
      <c r="BJ324" s="46">
        <v>319</v>
      </c>
      <c r="BK324" s="45"/>
      <c r="BL324" s="53"/>
      <c r="BM324" s="200"/>
      <c r="BN324" s="45">
        <v>339</v>
      </c>
      <c r="BO324" s="54">
        <v>351</v>
      </c>
      <c r="BP324" s="53">
        <v>351</v>
      </c>
      <c r="BQ324" s="54">
        <v>409</v>
      </c>
      <c r="BR324" s="73">
        <v>39</v>
      </c>
      <c r="BS324" s="165"/>
      <c r="BT324" s="167"/>
      <c r="BU324" s="199"/>
      <c r="BV324" s="202"/>
      <c r="BW324" s="201"/>
      <c r="BX324" s="201"/>
      <c r="BY324" s="200"/>
      <c r="BZ324" s="199"/>
      <c r="CA324" s="201"/>
      <c r="CB324" s="202"/>
      <c r="CC324" s="200"/>
      <c r="CD324" s="199"/>
      <c r="CE324" s="201"/>
      <c r="CF324" s="201"/>
      <c r="CG324" s="106"/>
      <c r="CH324" s="165"/>
      <c r="CI324" s="167"/>
    </row>
    <row r="325" spans="1:87" x14ac:dyDescent="0.3">
      <c r="A325" s="10">
        <v>5607</v>
      </c>
      <c r="B325" s="11" t="s">
        <v>448</v>
      </c>
      <c r="C325" s="471">
        <v>1389</v>
      </c>
      <c r="D325" s="54">
        <v>842</v>
      </c>
      <c r="E325" s="367">
        <f t="shared" si="5"/>
        <v>0.60619150467962568</v>
      </c>
      <c r="F325" s="45"/>
      <c r="G325" s="45"/>
      <c r="H325" s="45"/>
      <c r="I325" s="45"/>
      <c r="J325" s="46"/>
      <c r="K325" s="45"/>
      <c r="L325" s="107"/>
      <c r="M325" s="541"/>
      <c r="N325" s="45"/>
      <c r="O325" s="45"/>
      <c r="P325" s="53"/>
      <c r="Q325" s="57"/>
      <c r="R325" s="57"/>
      <c r="S325" s="74"/>
      <c r="T325" s="45"/>
      <c r="U325" s="45"/>
      <c r="V325" s="73"/>
      <c r="W325" s="169"/>
      <c r="X325" s="173"/>
      <c r="Y325" s="190"/>
      <c r="Z325" s="167"/>
      <c r="AA325" s="45"/>
      <c r="AB325" s="57"/>
      <c r="AC325" s="169"/>
      <c r="AD325" s="165"/>
      <c r="AE325" s="165"/>
      <c r="AF325" s="167"/>
      <c r="AG325" s="73"/>
      <c r="AH325" s="45"/>
      <c r="AI325" s="46"/>
      <c r="AJ325" s="165"/>
      <c r="AK325" s="173"/>
      <c r="AL325" s="167"/>
      <c r="AM325" s="45"/>
      <c r="AN325" s="54"/>
      <c r="AO325" s="54"/>
      <c r="AP325" s="73"/>
      <c r="AQ325" s="165"/>
      <c r="AR325" s="168"/>
      <c r="AS325" s="165"/>
      <c r="AT325" s="190"/>
      <c r="AU325" s="167"/>
      <c r="AV325" s="45"/>
      <c r="AW325" s="54"/>
      <c r="AX325" s="54"/>
      <c r="AY325" s="53"/>
      <c r="AZ325" s="46"/>
      <c r="BA325" s="45"/>
      <c r="BB325" s="45"/>
      <c r="BC325" s="73"/>
      <c r="BD325" s="165"/>
      <c r="BE325" s="165"/>
      <c r="BF325" s="173"/>
      <c r="BG325" s="304"/>
      <c r="BH325" s="601"/>
      <c r="BI325" s="45">
        <v>352</v>
      </c>
      <c r="BJ325" s="46">
        <v>342</v>
      </c>
      <c r="BK325" s="45"/>
      <c r="BL325" s="53"/>
      <c r="BM325" s="200"/>
      <c r="BN325" s="45">
        <v>313</v>
      </c>
      <c r="BO325" s="54">
        <v>349</v>
      </c>
      <c r="BP325" s="53">
        <v>328</v>
      </c>
      <c r="BQ325" s="54">
        <v>395</v>
      </c>
      <c r="BR325" s="73">
        <v>46</v>
      </c>
      <c r="BS325" s="165"/>
      <c r="BT325" s="167"/>
      <c r="BU325" s="199"/>
      <c r="BV325" s="202"/>
      <c r="BW325" s="201"/>
      <c r="BX325" s="201"/>
      <c r="BY325" s="200"/>
      <c r="BZ325" s="199"/>
      <c r="CA325" s="201"/>
      <c r="CB325" s="202"/>
      <c r="CC325" s="200"/>
      <c r="CD325" s="199"/>
      <c r="CE325" s="201"/>
      <c r="CF325" s="201"/>
      <c r="CG325" s="106"/>
      <c r="CH325" s="165"/>
      <c r="CI325" s="167"/>
    </row>
    <row r="326" spans="1:87" x14ac:dyDescent="0.3">
      <c r="A326" s="10">
        <v>5608</v>
      </c>
      <c r="B326" s="11" t="s">
        <v>449</v>
      </c>
      <c r="C326" s="471">
        <v>1260</v>
      </c>
      <c r="D326" s="54">
        <v>825</v>
      </c>
      <c r="E326" s="367">
        <f t="shared" si="5"/>
        <v>0.65476190476190477</v>
      </c>
      <c r="F326" s="45"/>
      <c r="G326" s="45"/>
      <c r="H326" s="45"/>
      <c r="I326" s="45"/>
      <c r="J326" s="46"/>
      <c r="K326" s="45"/>
      <c r="L326" s="107"/>
      <c r="M326" s="541"/>
      <c r="N326" s="45"/>
      <c r="O326" s="45"/>
      <c r="P326" s="53"/>
      <c r="Q326" s="57"/>
      <c r="R326" s="57"/>
      <c r="S326" s="74"/>
      <c r="T326" s="45"/>
      <c r="U326" s="45"/>
      <c r="V326" s="73"/>
      <c r="W326" s="169"/>
      <c r="X326" s="173"/>
      <c r="Y326" s="190"/>
      <c r="Z326" s="167"/>
      <c r="AA326" s="45"/>
      <c r="AB326" s="57"/>
      <c r="AC326" s="169"/>
      <c r="AD326" s="165"/>
      <c r="AE326" s="165"/>
      <c r="AF326" s="167"/>
      <c r="AG326" s="73"/>
      <c r="AH326" s="45"/>
      <c r="AI326" s="46"/>
      <c r="AJ326" s="165"/>
      <c r="AK326" s="173"/>
      <c r="AL326" s="167"/>
      <c r="AM326" s="45"/>
      <c r="AN326" s="54"/>
      <c r="AO326" s="54"/>
      <c r="AP326" s="73"/>
      <c r="AQ326" s="165"/>
      <c r="AR326" s="168"/>
      <c r="AS326" s="165"/>
      <c r="AT326" s="190"/>
      <c r="AU326" s="167"/>
      <c r="AV326" s="45"/>
      <c r="AW326" s="54"/>
      <c r="AX326" s="54"/>
      <c r="AY326" s="53"/>
      <c r="AZ326" s="46"/>
      <c r="BA326" s="45"/>
      <c r="BB326" s="45"/>
      <c r="BC326" s="73"/>
      <c r="BD326" s="165"/>
      <c r="BE326" s="165"/>
      <c r="BF326" s="173"/>
      <c r="BG326" s="304"/>
      <c r="BH326" s="601"/>
      <c r="BI326" s="45">
        <v>324</v>
      </c>
      <c r="BJ326" s="46">
        <v>301</v>
      </c>
      <c r="BK326" s="45"/>
      <c r="BL326" s="53"/>
      <c r="BM326" s="200"/>
      <c r="BN326" s="45">
        <v>303</v>
      </c>
      <c r="BO326" s="54">
        <v>303</v>
      </c>
      <c r="BP326" s="53">
        <v>371</v>
      </c>
      <c r="BQ326" s="54">
        <v>421</v>
      </c>
      <c r="BR326" s="73">
        <v>41</v>
      </c>
      <c r="BS326" s="165"/>
      <c r="BT326" s="167"/>
      <c r="BU326" s="199"/>
      <c r="BV326" s="202"/>
      <c r="BW326" s="201"/>
      <c r="BX326" s="201"/>
      <c r="BY326" s="200"/>
      <c r="BZ326" s="199"/>
      <c r="CA326" s="201"/>
      <c r="CB326" s="202"/>
      <c r="CC326" s="200"/>
      <c r="CD326" s="199"/>
      <c r="CE326" s="201"/>
      <c r="CF326" s="201"/>
      <c r="CG326" s="106"/>
      <c r="CH326" s="165"/>
      <c r="CI326" s="167"/>
    </row>
    <row r="327" spans="1:87" x14ac:dyDescent="0.3">
      <c r="A327" s="10">
        <v>5609</v>
      </c>
      <c r="B327" s="11" t="s">
        <v>450</v>
      </c>
      <c r="C327" s="471">
        <v>1354</v>
      </c>
      <c r="D327" s="54">
        <v>949</v>
      </c>
      <c r="E327" s="367">
        <f t="shared" si="5"/>
        <v>0.7008862629246676</v>
      </c>
      <c r="F327" s="45"/>
      <c r="G327" s="45"/>
      <c r="H327" s="45"/>
      <c r="I327" s="45"/>
      <c r="J327" s="46"/>
      <c r="K327" s="45"/>
      <c r="L327" s="107"/>
      <c r="M327" s="541"/>
      <c r="N327" s="45"/>
      <c r="O327" s="45"/>
      <c r="P327" s="53"/>
      <c r="Q327" s="57"/>
      <c r="R327" s="57"/>
      <c r="S327" s="74"/>
      <c r="T327" s="45"/>
      <c r="U327" s="45"/>
      <c r="V327" s="73"/>
      <c r="W327" s="169"/>
      <c r="X327" s="173"/>
      <c r="Y327" s="190"/>
      <c r="Z327" s="167"/>
      <c r="AA327" s="45"/>
      <c r="AB327" s="57"/>
      <c r="AC327" s="169"/>
      <c r="AD327" s="165"/>
      <c r="AE327" s="165"/>
      <c r="AF327" s="167"/>
      <c r="AG327" s="73"/>
      <c r="AH327" s="45"/>
      <c r="AI327" s="46"/>
      <c r="AJ327" s="165"/>
      <c r="AK327" s="173"/>
      <c r="AL327" s="167"/>
      <c r="AM327" s="45"/>
      <c r="AN327" s="54"/>
      <c r="AO327" s="54"/>
      <c r="AP327" s="73"/>
      <c r="AQ327" s="165"/>
      <c r="AR327" s="168"/>
      <c r="AS327" s="165"/>
      <c r="AT327" s="190"/>
      <c r="AU327" s="167"/>
      <c r="AV327" s="45"/>
      <c r="AW327" s="54"/>
      <c r="AX327" s="54"/>
      <c r="AY327" s="53"/>
      <c r="AZ327" s="46"/>
      <c r="BA327" s="45"/>
      <c r="BB327" s="45"/>
      <c r="BC327" s="73"/>
      <c r="BD327" s="165"/>
      <c r="BE327" s="165"/>
      <c r="BF327" s="173"/>
      <c r="BG327" s="304"/>
      <c r="BH327" s="601"/>
      <c r="BI327" s="45">
        <v>362</v>
      </c>
      <c r="BJ327" s="46">
        <v>352</v>
      </c>
      <c r="BK327" s="45"/>
      <c r="BL327" s="53"/>
      <c r="BM327" s="200"/>
      <c r="BN327" s="45">
        <v>351</v>
      </c>
      <c r="BO327" s="54">
        <v>359</v>
      </c>
      <c r="BP327" s="53">
        <v>483</v>
      </c>
      <c r="BQ327" s="54">
        <v>527</v>
      </c>
      <c r="BR327" s="73">
        <v>21</v>
      </c>
      <c r="BS327" s="165"/>
      <c r="BT327" s="167"/>
      <c r="BU327" s="199"/>
      <c r="BV327" s="202"/>
      <c r="BW327" s="201"/>
      <c r="BX327" s="201"/>
      <c r="BY327" s="200"/>
      <c r="BZ327" s="199"/>
      <c r="CA327" s="201"/>
      <c r="CB327" s="202"/>
      <c r="CC327" s="200"/>
      <c r="CD327" s="199"/>
      <c r="CE327" s="201"/>
      <c r="CF327" s="201"/>
      <c r="CG327" s="106"/>
      <c r="CH327" s="165"/>
      <c r="CI327" s="167"/>
    </row>
    <row r="328" spans="1:87" x14ac:dyDescent="0.3">
      <c r="A328" s="10">
        <v>5610</v>
      </c>
      <c r="B328" s="11" t="s">
        <v>451</v>
      </c>
      <c r="C328" s="471">
        <v>974</v>
      </c>
      <c r="D328" s="54">
        <v>650</v>
      </c>
      <c r="E328" s="367">
        <f t="shared" si="5"/>
        <v>0.66735112936344965</v>
      </c>
      <c r="F328" s="45"/>
      <c r="G328" s="45"/>
      <c r="H328" s="45"/>
      <c r="I328" s="45"/>
      <c r="J328" s="46"/>
      <c r="K328" s="45"/>
      <c r="L328" s="107"/>
      <c r="M328" s="541"/>
      <c r="N328" s="45"/>
      <c r="O328" s="45"/>
      <c r="P328" s="53"/>
      <c r="Q328" s="57"/>
      <c r="R328" s="57"/>
      <c r="S328" s="74"/>
      <c r="T328" s="45"/>
      <c r="U328" s="45"/>
      <c r="V328" s="73"/>
      <c r="W328" s="169"/>
      <c r="X328" s="173"/>
      <c r="Y328" s="190"/>
      <c r="Z328" s="167"/>
      <c r="AA328" s="45"/>
      <c r="AB328" s="57"/>
      <c r="AC328" s="169"/>
      <c r="AD328" s="165"/>
      <c r="AE328" s="165"/>
      <c r="AF328" s="167"/>
      <c r="AG328" s="73"/>
      <c r="AH328" s="45"/>
      <c r="AI328" s="46"/>
      <c r="AJ328" s="165"/>
      <c r="AK328" s="173"/>
      <c r="AL328" s="167"/>
      <c r="AM328" s="45"/>
      <c r="AN328" s="54"/>
      <c r="AO328" s="54"/>
      <c r="AP328" s="73"/>
      <c r="AQ328" s="165"/>
      <c r="AR328" s="168"/>
      <c r="AS328" s="165"/>
      <c r="AT328" s="190"/>
      <c r="AU328" s="167"/>
      <c r="AV328" s="45"/>
      <c r="AW328" s="54"/>
      <c r="AX328" s="54"/>
      <c r="AY328" s="53"/>
      <c r="AZ328" s="46"/>
      <c r="BA328" s="45"/>
      <c r="BB328" s="45"/>
      <c r="BC328" s="73"/>
      <c r="BD328" s="165"/>
      <c r="BE328" s="165"/>
      <c r="BF328" s="173"/>
      <c r="BG328" s="304"/>
      <c r="BH328" s="601"/>
      <c r="BI328" s="45">
        <v>246</v>
      </c>
      <c r="BJ328" s="46">
        <v>230</v>
      </c>
      <c r="BK328" s="45"/>
      <c r="BL328" s="53"/>
      <c r="BM328" s="200"/>
      <c r="BN328" s="45">
        <v>272</v>
      </c>
      <c r="BO328" s="54">
        <v>283</v>
      </c>
      <c r="BP328" s="53">
        <v>271</v>
      </c>
      <c r="BQ328" s="54">
        <v>292</v>
      </c>
      <c r="BR328" s="73">
        <v>18</v>
      </c>
      <c r="BS328" s="165"/>
      <c r="BT328" s="167"/>
      <c r="BU328" s="199"/>
      <c r="BV328" s="202"/>
      <c r="BW328" s="201"/>
      <c r="BX328" s="201"/>
      <c r="BY328" s="200"/>
      <c r="BZ328" s="199"/>
      <c r="CA328" s="201"/>
      <c r="CB328" s="202"/>
      <c r="CC328" s="200"/>
      <c r="CD328" s="199"/>
      <c r="CE328" s="201"/>
      <c r="CF328" s="201"/>
      <c r="CG328" s="106"/>
      <c r="CH328" s="165"/>
      <c r="CI328" s="167"/>
    </row>
    <row r="329" spans="1:87" x14ac:dyDescent="0.3">
      <c r="A329" s="10">
        <v>5611</v>
      </c>
      <c r="B329" s="11" t="s">
        <v>452</v>
      </c>
      <c r="C329" s="471">
        <v>1499</v>
      </c>
      <c r="D329" s="54">
        <v>830</v>
      </c>
      <c r="E329" s="367">
        <f t="shared" si="5"/>
        <v>0.55370246831220815</v>
      </c>
      <c r="F329" s="45"/>
      <c r="G329" s="45"/>
      <c r="H329" s="45"/>
      <c r="I329" s="45"/>
      <c r="J329" s="46"/>
      <c r="K329" s="45"/>
      <c r="L329" s="107"/>
      <c r="M329" s="541"/>
      <c r="N329" s="45"/>
      <c r="O329" s="45"/>
      <c r="P329" s="53"/>
      <c r="Q329" s="57"/>
      <c r="R329" s="57"/>
      <c r="S329" s="74"/>
      <c r="T329" s="45"/>
      <c r="U329" s="45"/>
      <c r="V329" s="73"/>
      <c r="W329" s="169"/>
      <c r="X329" s="173"/>
      <c r="Y329" s="190"/>
      <c r="Z329" s="167"/>
      <c r="AA329" s="45"/>
      <c r="AB329" s="57"/>
      <c r="AC329" s="169"/>
      <c r="AD329" s="165"/>
      <c r="AE329" s="165"/>
      <c r="AF329" s="167"/>
      <c r="AG329" s="73"/>
      <c r="AH329" s="45"/>
      <c r="AI329" s="46"/>
      <c r="AJ329" s="165"/>
      <c r="AK329" s="173"/>
      <c r="AL329" s="167"/>
      <c r="AM329" s="45"/>
      <c r="AN329" s="54"/>
      <c r="AO329" s="54"/>
      <c r="AP329" s="73"/>
      <c r="AQ329" s="165"/>
      <c r="AR329" s="168"/>
      <c r="AS329" s="165"/>
      <c r="AT329" s="190"/>
      <c r="AU329" s="167"/>
      <c r="AV329" s="45"/>
      <c r="AW329" s="54"/>
      <c r="AX329" s="54"/>
      <c r="AY329" s="53"/>
      <c r="AZ329" s="46"/>
      <c r="BA329" s="45"/>
      <c r="BB329" s="45"/>
      <c r="BC329" s="73"/>
      <c r="BD329" s="165"/>
      <c r="BE329" s="165"/>
      <c r="BF329" s="173"/>
      <c r="BG329" s="304"/>
      <c r="BH329" s="601"/>
      <c r="BI329" s="45">
        <v>313</v>
      </c>
      <c r="BJ329" s="46">
        <v>373</v>
      </c>
      <c r="BK329" s="45"/>
      <c r="BL329" s="53"/>
      <c r="BM329" s="200"/>
      <c r="BN329" s="45">
        <v>285</v>
      </c>
      <c r="BO329" s="54">
        <v>312</v>
      </c>
      <c r="BP329" s="53">
        <v>339</v>
      </c>
      <c r="BQ329" s="54">
        <v>427</v>
      </c>
      <c r="BR329" s="73">
        <v>46</v>
      </c>
      <c r="BS329" s="165"/>
      <c r="BT329" s="167"/>
      <c r="BU329" s="199"/>
      <c r="BV329" s="202"/>
      <c r="BW329" s="201"/>
      <c r="BX329" s="201"/>
      <c r="BY329" s="200"/>
      <c r="BZ329" s="199"/>
      <c r="CA329" s="201"/>
      <c r="CB329" s="202"/>
      <c r="CC329" s="200"/>
      <c r="CD329" s="199"/>
      <c r="CE329" s="201"/>
      <c r="CF329" s="201"/>
      <c r="CG329" s="106"/>
      <c r="CH329" s="165"/>
      <c r="CI329" s="167"/>
    </row>
    <row r="330" spans="1:87" x14ac:dyDescent="0.3">
      <c r="A330" s="10">
        <v>5612</v>
      </c>
      <c r="B330" s="11" t="s">
        <v>453</v>
      </c>
      <c r="C330" s="471">
        <v>1467</v>
      </c>
      <c r="D330" s="54">
        <v>891</v>
      </c>
      <c r="E330" s="367">
        <f t="shared" si="5"/>
        <v>0.6073619631901841</v>
      </c>
      <c r="F330" s="45"/>
      <c r="G330" s="45"/>
      <c r="H330" s="45"/>
      <c r="I330" s="45"/>
      <c r="J330" s="46"/>
      <c r="K330" s="45"/>
      <c r="L330" s="107"/>
      <c r="M330" s="541"/>
      <c r="N330" s="45"/>
      <c r="O330" s="45"/>
      <c r="P330" s="53"/>
      <c r="Q330" s="57"/>
      <c r="R330" s="57"/>
      <c r="S330" s="74"/>
      <c r="T330" s="45"/>
      <c r="U330" s="45"/>
      <c r="V330" s="73"/>
      <c r="W330" s="169"/>
      <c r="X330" s="173"/>
      <c r="Y330" s="190"/>
      <c r="Z330" s="167"/>
      <c r="AA330" s="45"/>
      <c r="AB330" s="57"/>
      <c r="AC330" s="169"/>
      <c r="AD330" s="165"/>
      <c r="AE330" s="165"/>
      <c r="AF330" s="167"/>
      <c r="AG330" s="73"/>
      <c r="AH330" s="45"/>
      <c r="AI330" s="46"/>
      <c r="AJ330" s="165"/>
      <c r="AK330" s="173"/>
      <c r="AL330" s="167"/>
      <c r="AM330" s="45"/>
      <c r="AN330" s="54"/>
      <c r="AO330" s="54"/>
      <c r="AP330" s="73"/>
      <c r="AQ330" s="165"/>
      <c r="AR330" s="168"/>
      <c r="AS330" s="165"/>
      <c r="AT330" s="190"/>
      <c r="AU330" s="167"/>
      <c r="AV330" s="45"/>
      <c r="AW330" s="54"/>
      <c r="AX330" s="54"/>
      <c r="AY330" s="53"/>
      <c r="AZ330" s="46"/>
      <c r="BA330" s="45"/>
      <c r="BB330" s="45"/>
      <c r="BC330" s="73"/>
      <c r="BD330" s="165"/>
      <c r="BE330" s="165"/>
      <c r="BF330" s="173"/>
      <c r="BG330" s="304"/>
      <c r="BH330" s="601"/>
      <c r="BI330" s="45">
        <v>349</v>
      </c>
      <c r="BJ330" s="46">
        <v>361</v>
      </c>
      <c r="BK330" s="45"/>
      <c r="BL330" s="53"/>
      <c r="BM330" s="200"/>
      <c r="BN330" s="45">
        <v>327</v>
      </c>
      <c r="BO330" s="54">
        <v>367</v>
      </c>
      <c r="BP330" s="53">
        <v>358</v>
      </c>
      <c r="BQ330" s="54">
        <v>429</v>
      </c>
      <c r="BR330" s="73">
        <v>51</v>
      </c>
      <c r="BS330" s="165"/>
      <c r="BT330" s="167"/>
      <c r="BU330" s="199"/>
      <c r="BV330" s="202"/>
      <c r="BW330" s="201"/>
      <c r="BX330" s="201"/>
      <c r="BY330" s="200"/>
      <c r="BZ330" s="199"/>
      <c r="CA330" s="201"/>
      <c r="CB330" s="202"/>
      <c r="CC330" s="200"/>
      <c r="CD330" s="199"/>
      <c r="CE330" s="201"/>
      <c r="CF330" s="201"/>
      <c r="CG330" s="106"/>
      <c r="CH330" s="165"/>
      <c r="CI330" s="167"/>
    </row>
    <row r="331" spans="1:87" x14ac:dyDescent="0.3">
      <c r="A331" s="10">
        <v>5613</v>
      </c>
      <c r="B331" s="11" t="s">
        <v>454</v>
      </c>
      <c r="C331" s="471">
        <v>777</v>
      </c>
      <c r="D331" s="54">
        <v>486</v>
      </c>
      <c r="E331" s="367">
        <f t="shared" si="5"/>
        <v>0.62548262548262545</v>
      </c>
      <c r="F331" s="45"/>
      <c r="G331" s="45"/>
      <c r="H331" s="45"/>
      <c r="I331" s="45"/>
      <c r="J331" s="46"/>
      <c r="K331" s="45"/>
      <c r="L331" s="107"/>
      <c r="M331" s="541"/>
      <c r="N331" s="45"/>
      <c r="O331" s="45"/>
      <c r="P331" s="53"/>
      <c r="Q331" s="57"/>
      <c r="R331" s="57"/>
      <c r="S331" s="74"/>
      <c r="T331" s="45"/>
      <c r="U331" s="45"/>
      <c r="V331" s="73"/>
      <c r="W331" s="169"/>
      <c r="X331" s="173"/>
      <c r="Y331" s="190"/>
      <c r="Z331" s="167"/>
      <c r="AA331" s="45"/>
      <c r="AB331" s="57"/>
      <c r="AC331" s="169"/>
      <c r="AD331" s="165"/>
      <c r="AE331" s="165"/>
      <c r="AF331" s="167"/>
      <c r="AG331" s="73"/>
      <c r="AH331" s="45"/>
      <c r="AI331" s="46"/>
      <c r="AJ331" s="165"/>
      <c r="AK331" s="173"/>
      <c r="AL331" s="167"/>
      <c r="AM331" s="45"/>
      <c r="AN331" s="54"/>
      <c r="AO331" s="54"/>
      <c r="AP331" s="73"/>
      <c r="AQ331" s="165"/>
      <c r="AR331" s="168"/>
      <c r="AS331" s="165"/>
      <c r="AT331" s="190"/>
      <c r="AU331" s="167"/>
      <c r="AV331" s="45"/>
      <c r="AW331" s="54"/>
      <c r="AX331" s="54"/>
      <c r="AY331" s="53"/>
      <c r="AZ331" s="46"/>
      <c r="BA331" s="45"/>
      <c r="BB331" s="45"/>
      <c r="BC331" s="73"/>
      <c r="BD331" s="165"/>
      <c r="BE331" s="165"/>
      <c r="BF331" s="173"/>
      <c r="BG331" s="304"/>
      <c r="BH331" s="601"/>
      <c r="BI331" s="45">
        <v>208</v>
      </c>
      <c r="BJ331" s="46">
        <v>204</v>
      </c>
      <c r="BK331" s="45"/>
      <c r="BL331" s="53"/>
      <c r="BM331" s="200"/>
      <c r="BN331" s="45">
        <v>183</v>
      </c>
      <c r="BO331" s="54">
        <v>188</v>
      </c>
      <c r="BP331" s="53">
        <v>214</v>
      </c>
      <c r="BQ331" s="54">
        <v>253</v>
      </c>
      <c r="BR331" s="73">
        <v>19</v>
      </c>
      <c r="BS331" s="165"/>
      <c r="BT331" s="167"/>
      <c r="BU331" s="199"/>
      <c r="BV331" s="202"/>
      <c r="BW331" s="201"/>
      <c r="BX331" s="201"/>
      <c r="BY331" s="200"/>
      <c r="BZ331" s="199"/>
      <c r="CA331" s="201"/>
      <c r="CB331" s="202"/>
      <c r="CC331" s="200"/>
      <c r="CD331" s="199"/>
      <c r="CE331" s="201"/>
      <c r="CF331" s="201"/>
      <c r="CG331" s="106"/>
      <c r="CH331" s="165"/>
      <c r="CI331" s="167"/>
    </row>
    <row r="332" spans="1:87" x14ac:dyDescent="0.3">
      <c r="A332" s="10">
        <v>5614</v>
      </c>
      <c r="B332" s="11" t="s">
        <v>455</v>
      </c>
      <c r="C332" s="471">
        <v>1236</v>
      </c>
      <c r="D332" s="54">
        <v>847</v>
      </c>
      <c r="E332" s="367">
        <f t="shared" si="5"/>
        <v>0.68527508090614886</v>
      </c>
      <c r="F332" s="45"/>
      <c r="G332" s="45"/>
      <c r="H332" s="45"/>
      <c r="I332" s="45"/>
      <c r="J332" s="46"/>
      <c r="K332" s="45"/>
      <c r="L332" s="107"/>
      <c r="M332" s="541"/>
      <c r="N332" s="45"/>
      <c r="O332" s="45"/>
      <c r="P332" s="53"/>
      <c r="Q332" s="57"/>
      <c r="R332" s="57"/>
      <c r="S332" s="74"/>
      <c r="T332" s="45"/>
      <c r="U332" s="45"/>
      <c r="V332" s="73"/>
      <c r="W332" s="169"/>
      <c r="X332" s="173"/>
      <c r="Y332" s="190"/>
      <c r="Z332" s="167"/>
      <c r="AA332" s="45"/>
      <c r="AB332" s="57"/>
      <c r="AC332" s="169"/>
      <c r="AD332" s="165"/>
      <c r="AE332" s="165"/>
      <c r="AF332" s="167"/>
      <c r="AG332" s="73"/>
      <c r="AH332" s="45"/>
      <c r="AI332" s="46"/>
      <c r="AJ332" s="165"/>
      <c r="AK332" s="173"/>
      <c r="AL332" s="167"/>
      <c r="AM332" s="45"/>
      <c r="AN332" s="54"/>
      <c r="AO332" s="54"/>
      <c r="AP332" s="73"/>
      <c r="AQ332" s="165"/>
      <c r="AR332" s="168"/>
      <c r="AS332" s="165"/>
      <c r="AT332" s="190"/>
      <c r="AU332" s="167"/>
      <c r="AV332" s="45"/>
      <c r="AW332" s="54"/>
      <c r="AX332" s="54"/>
      <c r="AY332" s="53"/>
      <c r="AZ332" s="46"/>
      <c r="BA332" s="45"/>
      <c r="BB332" s="45"/>
      <c r="BC332" s="73"/>
      <c r="BD332" s="165"/>
      <c r="BE332" s="165"/>
      <c r="BF332" s="173"/>
      <c r="BG332" s="304"/>
      <c r="BH332" s="601"/>
      <c r="BI332" s="45">
        <v>320</v>
      </c>
      <c r="BJ332" s="46">
        <v>362</v>
      </c>
      <c r="BK332" s="45"/>
      <c r="BL332" s="53"/>
      <c r="BM332" s="200"/>
      <c r="BN332" s="45">
        <v>310</v>
      </c>
      <c r="BO332" s="54">
        <v>321</v>
      </c>
      <c r="BP332" s="53">
        <v>408</v>
      </c>
      <c r="BQ332" s="54">
        <v>469</v>
      </c>
      <c r="BR332" s="73">
        <v>25</v>
      </c>
      <c r="BS332" s="165"/>
      <c r="BT332" s="167"/>
      <c r="BU332" s="199"/>
      <c r="BV332" s="202"/>
      <c r="BW332" s="201"/>
      <c r="BX332" s="201"/>
      <c r="BY332" s="200"/>
      <c r="BZ332" s="199"/>
      <c r="CA332" s="201"/>
      <c r="CB332" s="202"/>
      <c r="CC332" s="200"/>
      <c r="CD332" s="199"/>
      <c r="CE332" s="201"/>
      <c r="CF332" s="201"/>
      <c r="CG332" s="106"/>
      <c r="CH332" s="165"/>
      <c r="CI332" s="167"/>
    </row>
    <row r="333" spans="1:87" x14ac:dyDescent="0.3">
      <c r="A333" s="10">
        <v>5615</v>
      </c>
      <c r="B333" s="11" t="s">
        <v>456</v>
      </c>
      <c r="C333" s="471">
        <v>1334</v>
      </c>
      <c r="D333" s="54">
        <v>800</v>
      </c>
      <c r="E333" s="367">
        <f t="shared" si="5"/>
        <v>0.59970014992503751</v>
      </c>
      <c r="F333" s="45"/>
      <c r="G333" s="45"/>
      <c r="H333" s="45"/>
      <c r="I333" s="45"/>
      <c r="J333" s="46"/>
      <c r="K333" s="45"/>
      <c r="L333" s="107"/>
      <c r="M333" s="541"/>
      <c r="N333" s="45"/>
      <c r="O333" s="45"/>
      <c r="P333" s="53"/>
      <c r="Q333" s="57"/>
      <c r="R333" s="57"/>
      <c r="S333" s="74"/>
      <c r="T333" s="45"/>
      <c r="U333" s="45"/>
      <c r="V333" s="73"/>
      <c r="W333" s="169"/>
      <c r="X333" s="173"/>
      <c r="Y333" s="190"/>
      <c r="Z333" s="167"/>
      <c r="AA333" s="45"/>
      <c r="AB333" s="57"/>
      <c r="AC333" s="169"/>
      <c r="AD333" s="165"/>
      <c r="AE333" s="165"/>
      <c r="AF333" s="167"/>
      <c r="AG333" s="73"/>
      <c r="AH333" s="45"/>
      <c r="AI333" s="46"/>
      <c r="AJ333" s="165"/>
      <c r="AK333" s="173"/>
      <c r="AL333" s="167"/>
      <c r="AM333" s="45"/>
      <c r="AN333" s="54"/>
      <c r="AO333" s="54"/>
      <c r="AP333" s="73"/>
      <c r="AQ333" s="165"/>
      <c r="AR333" s="168"/>
      <c r="AS333" s="165"/>
      <c r="AT333" s="190"/>
      <c r="AU333" s="167"/>
      <c r="AV333" s="45"/>
      <c r="AW333" s="54"/>
      <c r="AX333" s="54"/>
      <c r="AY333" s="53"/>
      <c r="AZ333" s="46"/>
      <c r="BA333" s="45"/>
      <c r="BB333" s="45"/>
      <c r="BC333" s="73"/>
      <c r="BD333" s="165"/>
      <c r="BE333" s="165"/>
      <c r="BF333" s="173"/>
      <c r="BG333" s="304"/>
      <c r="BH333" s="601"/>
      <c r="BI333" s="45">
        <v>311</v>
      </c>
      <c r="BJ333" s="46">
        <v>364</v>
      </c>
      <c r="BK333" s="45"/>
      <c r="BL333" s="53"/>
      <c r="BM333" s="200"/>
      <c r="BN333" s="45">
        <v>287</v>
      </c>
      <c r="BO333" s="54">
        <v>310</v>
      </c>
      <c r="BP333" s="53">
        <v>319</v>
      </c>
      <c r="BQ333" s="54">
        <v>394</v>
      </c>
      <c r="BR333" s="73">
        <v>52</v>
      </c>
      <c r="BS333" s="165"/>
      <c r="BT333" s="167"/>
      <c r="BU333" s="199"/>
      <c r="BV333" s="202"/>
      <c r="BW333" s="201"/>
      <c r="BX333" s="201"/>
      <c r="BY333" s="200"/>
      <c r="BZ333" s="199"/>
      <c r="CA333" s="201"/>
      <c r="CB333" s="202"/>
      <c r="CC333" s="200"/>
      <c r="CD333" s="199"/>
      <c r="CE333" s="201"/>
      <c r="CF333" s="201"/>
      <c r="CG333" s="106"/>
      <c r="CH333" s="165"/>
      <c r="CI333" s="167"/>
    </row>
    <row r="334" spans="1:87" x14ac:dyDescent="0.3">
      <c r="A334" s="10">
        <v>5616</v>
      </c>
      <c r="B334" s="11" t="s">
        <v>457</v>
      </c>
      <c r="C334" s="471">
        <v>544</v>
      </c>
      <c r="D334" s="54">
        <v>381</v>
      </c>
      <c r="E334" s="367">
        <f t="shared" si="5"/>
        <v>0.70036764705882348</v>
      </c>
      <c r="F334" s="45"/>
      <c r="G334" s="45"/>
      <c r="H334" s="45"/>
      <c r="I334" s="45"/>
      <c r="J334" s="46"/>
      <c r="K334" s="45"/>
      <c r="L334" s="107"/>
      <c r="M334" s="541"/>
      <c r="N334" s="45"/>
      <c r="O334" s="45"/>
      <c r="P334" s="53"/>
      <c r="Q334" s="57"/>
      <c r="R334" s="57"/>
      <c r="S334" s="74"/>
      <c r="T334" s="45"/>
      <c r="U334" s="45"/>
      <c r="V334" s="73"/>
      <c r="W334" s="169"/>
      <c r="X334" s="173"/>
      <c r="Y334" s="190"/>
      <c r="Z334" s="167"/>
      <c r="AA334" s="45"/>
      <c r="AB334" s="57"/>
      <c r="AC334" s="169"/>
      <c r="AD334" s="165"/>
      <c r="AE334" s="165"/>
      <c r="AF334" s="167"/>
      <c r="AG334" s="73"/>
      <c r="AH334" s="45"/>
      <c r="AI334" s="46"/>
      <c r="AJ334" s="165"/>
      <c r="AK334" s="173"/>
      <c r="AL334" s="167"/>
      <c r="AM334" s="45"/>
      <c r="AN334" s="54"/>
      <c r="AO334" s="54"/>
      <c r="AP334" s="73"/>
      <c r="AQ334" s="165"/>
      <c r="AR334" s="168"/>
      <c r="AS334" s="165"/>
      <c r="AT334" s="190"/>
      <c r="AU334" s="167"/>
      <c r="AV334" s="45"/>
      <c r="AW334" s="54"/>
      <c r="AX334" s="54"/>
      <c r="AY334" s="53"/>
      <c r="AZ334" s="46"/>
      <c r="BA334" s="45"/>
      <c r="BB334" s="45"/>
      <c r="BC334" s="73"/>
      <c r="BD334" s="165"/>
      <c r="BE334" s="165"/>
      <c r="BF334" s="173"/>
      <c r="BG334" s="304"/>
      <c r="BH334" s="601"/>
      <c r="BI334" s="45">
        <v>169</v>
      </c>
      <c r="BJ334" s="46">
        <v>161</v>
      </c>
      <c r="BK334" s="45"/>
      <c r="BL334" s="53"/>
      <c r="BM334" s="200"/>
      <c r="BN334" s="45">
        <v>152</v>
      </c>
      <c r="BO334" s="54">
        <v>149</v>
      </c>
      <c r="BP334" s="53">
        <v>185</v>
      </c>
      <c r="BQ334" s="54">
        <v>202</v>
      </c>
      <c r="BR334" s="73">
        <v>9</v>
      </c>
      <c r="BS334" s="165"/>
      <c r="BT334" s="167"/>
      <c r="BU334" s="199"/>
      <c r="BV334" s="202"/>
      <c r="BW334" s="201"/>
      <c r="BX334" s="201"/>
      <c r="BY334" s="200"/>
      <c r="BZ334" s="199"/>
      <c r="CA334" s="201"/>
      <c r="CB334" s="202"/>
      <c r="CC334" s="200"/>
      <c r="CD334" s="199"/>
      <c r="CE334" s="201"/>
      <c r="CF334" s="201"/>
      <c r="CG334" s="106"/>
      <c r="CH334" s="165"/>
      <c r="CI334" s="167"/>
    </row>
    <row r="335" spans="1:87" x14ac:dyDescent="0.3">
      <c r="A335" s="10">
        <v>5617</v>
      </c>
      <c r="B335" s="11" t="s">
        <v>458</v>
      </c>
      <c r="C335" s="471">
        <v>1285</v>
      </c>
      <c r="D335" s="54">
        <v>866</v>
      </c>
      <c r="E335" s="367">
        <f t="shared" si="5"/>
        <v>0.67392996108949421</v>
      </c>
      <c r="F335" s="45"/>
      <c r="G335" s="45"/>
      <c r="H335" s="45"/>
      <c r="I335" s="45"/>
      <c r="J335" s="46"/>
      <c r="K335" s="45"/>
      <c r="L335" s="107"/>
      <c r="M335" s="541"/>
      <c r="N335" s="45"/>
      <c r="O335" s="45"/>
      <c r="P335" s="53"/>
      <c r="Q335" s="57"/>
      <c r="R335" s="57"/>
      <c r="S335" s="74"/>
      <c r="T335" s="45"/>
      <c r="U335" s="45"/>
      <c r="V335" s="73"/>
      <c r="W335" s="169"/>
      <c r="X335" s="173"/>
      <c r="Y335" s="190"/>
      <c r="Z335" s="167"/>
      <c r="AA335" s="45"/>
      <c r="AB335" s="57"/>
      <c r="AC335" s="169"/>
      <c r="AD335" s="165"/>
      <c r="AE335" s="165"/>
      <c r="AF335" s="167"/>
      <c r="AG335" s="73"/>
      <c r="AH335" s="45"/>
      <c r="AI335" s="46"/>
      <c r="AJ335" s="165"/>
      <c r="AK335" s="173"/>
      <c r="AL335" s="167"/>
      <c r="AM335" s="45"/>
      <c r="AN335" s="54"/>
      <c r="AO335" s="54"/>
      <c r="AP335" s="73"/>
      <c r="AQ335" s="165"/>
      <c r="AR335" s="168"/>
      <c r="AS335" s="165"/>
      <c r="AT335" s="190"/>
      <c r="AU335" s="167"/>
      <c r="AV335" s="45"/>
      <c r="AW335" s="54"/>
      <c r="AX335" s="54"/>
      <c r="AY335" s="53"/>
      <c r="AZ335" s="46"/>
      <c r="BA335" s="45"/>
      <c r="BB335" s="45"/>
      <c r="BC335" s="73"/>
      <c r="BD335" s="165"/>
      <c r="BE335" s="165"/>
      <c r="BF335" s="173"/>
      <c r="BG335" s="304"/>
      <c r="BH335" s="601"/>
      <c r="BI335" s="45">
        <v>333</v>
      </c>
      <c r="BJ335" s="46">
        <v>339</v>
      </c>
      <c r="BK335" s="45"/>
      <c r="BL335" s="53"/>
      <c r="BM335" s="200"/>
      <c r="BN335" s="45">
        <v>349</v>
      </c>
      <c r="BO335" s="54">
        <v>362</v>
      </c>
      <c r="BP335" s="53">
        <v>390</v>
      </c>
      <c r="BQ335" s="54">
        <v>433</v>
      </c>
      <c r="BR335" s="73">
        <v>28</v>
      </c>
      <c r="BS335" s="165"/>
      <c r="BT335" s="167"/>
      <c r="BU335" s="199"/>
      <c r="BV335" s="202"/>
      <c r="BW335" s="201"/>
      <c r="BX335" s="201"/>
      <c r="BY335" s="200"/>
      <c r="BZ335" s="199"/>
      <c r="CA335" s="201"/>
      <c r="CB335" s="202"/>
      <c r="CC335" s="200"/>
      <c r="CD335" s="199"/>
      <c r="CE335" s="201"/>
      <c r="CF335" s="201"/>
      <c r="CG335" s="106"/>
      <c r="CH335" s="165"/>
      <c r="CI335" s="167"/>
    </row>
    <row r="336" spans="1:87" x14ac:dyDescent="0.3">
      <c r="A336" s="10">
        <v>5618</v>
      </c>
      <c r="B336" s="11" t="s">
        <v>459</v>
      </c>
      <c r="C336" s="471">
        <v>1186</v>
      </c>
      <c r="D336" s="54">
        <v>808</v>
      </c>
      <c r="E336" s="367">
        <f t="shared" si="5"/>
        <v>0.68128161888701522</v>
      </c>
      <c r="F336" s="45"/>
      <c r="G336" s="45"/>
      <c r="H336" s="45"/>
      <c r="I336" s="45"/>
      <c r="J336" s="46"/>
      <c r="K336" s="45"/>
      <c r="L336" s="107"/>
      <c r="M336" s="541"/>
      <c r="N336" s="45"/>
      <c r="O336" s="45"/>
      <c r="P336" s="53"/>
      <c r="Q336" s="57"/>
      <c r="R336" s="57"/>
      <c r="S336" s="74"/>
      <c r="T336" s="45"/>
      <c r="U336" s="45"/>
      <c r="V336" s="73"/>
      <c r="W336" s="169"/>
      <c r="X336" s="173"/>
      <c r="Y336" s="190"/>
      <c r="Z336" s="167"/>
      <c r="AA336" s="45"/>
      <c r="AB336" s="57"/>
      <c r="AC336" s="169"/>
      <c r="AD336" s="165"/>
      <c r="AE336" s="165"/>
      <c r="AF336" s="167"/>
      <c r="AG336" s="73"/>
      <c r="AH336" s="45"/>
      <c r="AI336" s="46"/>
      <c r="AJ336" s="165"/>
      <c r="AK336" s="173"/>
      <c r="AL336" s="167"/>
      <c r="AM336" s="45"/>
      <c r="AN336" s="54"/>
      <c r="AO336" s="54"/>
      <c r="AP336" s="73"/>
      <c r="AQ336" s="165"/>
      <c r="AR336" s="168"/>
      <c r="AS336" s="165"/>
      <c r="AT336" s="190"/>
      <c r="AU336" s="167"/>
      <c r="AV336" s="45"/>
      <c r="AW336" s="54"/>
      <c r="AX336" s="54"/>
      <c r="AY336" s="53"/>
      <c r="AZ336" s="46"/>
      <c r="BA336" s="45"/>
      <c r="BB336" s="45"/>
      <c r="BC336" s="73"/>
      <c r="BD336" s="165"/>
      <c r="BE336" s="165"/>
      <c r="BF336" s="173"/>
      <c r="BG336" s="304"/>
      <c r="BH336" s="601"/>
      <c r="BI336" s="45">
        <v>307</v>
      </c>
      <c r="BJ336" s="46">
        <v>310</v>
      </c>
      <c r="BK336" s="45"/>
      <c r="BL336" s="53"/>
      <c r="BM336" s="200"/>
      <c r="BN336" s="45">
        <v>308</v>
      </c>
      <c r="BO336" s="54">
        <v>309</v>
      </c>
      <c r="BP336" s="53">
        <v>410</v>
      </c>
      <c r="BQ336" s="54">
        <v>448</v>
      </c>
      <c r="BR336" s="73">
        <v>28</v>
      </c>
      <c r="BS336" s="165"/>
      <c r="BT336" s="167"/>
      <c r="BU336" s="199"/>
      <c r="BV336" s="202"/>
      <c r="BW336" s="201"/>
      <c r="BX336" s="201"/>
      <c r="BY336" s="200"/>
      <c r="BZ336" s="199"/>
      <c r="CA336" s="201"/>
      <c r="CB336" s="202"/>
      <c r="CC336" s="200"/>
      <c r="CD336" s="199"/>
      <c r="CE336" s="201"/>
      <c r="CF336" s="201"/>
      <c r="CG336" s="106"/>
      <c r="CH336" s="165"/>
      <c r="CI336" s="167"/>
    </row>
    <row r="337" spans="1:87" x14ac:dyDescent="0.3">
      <c r="A337" s="10">
        <v>5619</v>
      </c>
      <c r="B337" s="11" t="s">
        <v>460</v>
      </c>
      <c r="C337" s="471">
        <v>783</v>
      </c>
      <c r="D337" s="54">
        <v>514</v>
      </c>
      <c r="E337" s="367">
        <f t="shared" si="5"/>
        <v>0.65644955300127716</v>
      </c>
      <c r="F337" s="45"/>
      <c r="G337" s="45"/>
      <c r="H337" s="45"/>
      <c r="I337" s="45"/>
      <c r="J337" s="46"/>
      <c r="K337" s="45"/>
      <c r="L337" s="107"/>
      <c r="M337" s="541"/>
      <c r="N337" s="45"/>
      <c r="O337" s="45"/>
      <c r="P337" s="53"/>
      <c r="Q337" s="57"/>
      <c r="R337" s="57"/>
      <c r="S337" s="74"/>
      <c r="T337" s="45"/>
      <c r="U337" s="45"/>
      <c r="V337" s="73"/>
      <c r="W337" s="169"/>
      <c r="X337" s="173"/>
      <c r="Y337" s="190"/>
      <c r="Z337" s="167"/>
      <c r="AA337" s="45"/>
      <c r="AB337" s="57"/>
      <c r="AC337" s="169"/>
      <c r="AD337" s="165"/>
      <c r="AE337" s="165"/>
      <c r="AF337" s="167"/>
      <c r="AG337" s="73"/>
      <c r="AH337" s="45"/>
      <c r="AI337" s="46"/>
      <c r="AJ337" s="165"/>
      <c r="AK337" s="173"/>
      <c r="AL337" s="167"/>
      <c r="AM337" s="45"/>
      <c r="AN337" s="54"/>
      <c r="AO337" s="54"/>
      <c r="AP337" s="73"/>
      <c r="AQ337" s="165"/>
      <c r="AR337" s="168"/>
      <c r="AS337" s="165"/>
      <c r="AT337" s="190"/>
      <c r="AU337" s="167"/>
      <c r="AV337" s="45"/>
      <c r="AW337" s="54"/>
      <c r="AX337" s="54"/>
      <c r="AY337" s="53"/>
      <c r="AZ337" s="46"/>
      <c r="BA337" s="45"/>
      <c r="BB337" s="45"/>
      <c r="BC337" s="73"/>
      <c r="BD337" s="165"/>
      <c r="BE337" s="165"/>
      <c r="BF337" s="173"/>
      <c r="BG337" s="304"/>
      <c r="BH337" s="601"/>
      <c r="BI337" s="45">
        <v>200</v>
      </c>
      <c r="BJ337" s="46">
        <v>191</v>
      </c>
      <c r="BK337" s="45"/>
      <c r="BL337" s="53"/>
      <c r="BM337" s="200"/>
      <c r="BN337" s="45">
        <v>191</v>
      </c>
      <c r="BO337" s="54">
        <v>187</v>
      </c>
      <c r="BP337" s="53">
        <v>253</v>
      </c>
      <c r="BQ337" s="54">
        <v>281</v>
      </c>
      <c r="BR337" s="73">
        <v>20</v>
      </c>
      <c r="BS337" s="165"/>
      <c r="BT337" s="167"/>
      <c r="BU337" s="199"/>
      <c r="BV337" s="202"/>
      <c r="BW337" s="201"/>
      <c r="BX337" s="201"/>
      <c r="BY337" s="200"/>
      <c r="BZ337" s="199"/>
      <c r="CA337" s="201"/>
      <c r="CB337" s="202"/>
      <c r="CC337" s="200"/>
      <c r="CD337" s="199"/>
      <c r="CE337" s="201"/>
      <c r="CF337" s="201"/>
      <c r="CG337" s="106"/>
      <c r="CH337" s="165"/>
      <c r="CI337" s="167"/>
    </row>
    <row r="338" spans="1:87" x14ac:dyDescent="0.3">
      <c r="A338" s="10">
        <v>5620</v>
      </c>
      <c r="B338" s="11" t="s">
        <v>461</v>
      </c>
      <c r="C338" s="471">
        <v>739</v>
      </c>
      <c r="D338" s="54">
        <v>504</v>
      </c>
      <c r="E338" s="367">
        <f t="shared" si="5"/>
        <v>0.68200270635994586</v>
      </c>
      <c r="F338" s="45"/>
      <c r="G338" s="45"/>
      <c r="H338" s="45"/>
      <c r="I338" s="45"/>
      <c r="J338" s="46"/>
      <c r="K338" s="45"/>
      <c r="L338" s="107"/>
      <c r="M338" s="541"/>
      <c r="N338" s="45"/>
      <c r="O338" s="45"/>
      <c r="P338" s="53"/>
      <c r="Q338" s="57"/>
      <c r="R338" s="57"/>
      <c r="S338" s="74"/>
      <c r="T338" s="45"/>
      <c r="U338" s="45"/>
      <c r="V338" s="73"/>
      <c r="W338" s="169"/>
      <c r="X338" s="173"/>
      <c r="Y338" s="190"/>
      <c r="Z338" s="167"/>
      <c r="AA338" s="45"/>
      <c r="AB338" s="57"/>
      <c r="AC338" s="169"/>
      <c r="AD338" s="165"/>
      <c r="AE338" s="165"/>
      <c r="AF338" s="167"/>
      <c r="AG338" s="73"/>
      <c r="AH338" s="45"/>
      <c r="AI338" s="46"/>
      <c r="AJ338" s="165"/>
      <c r="AK338" s="173"/>
      <c r="AL338" s="167"/>
      <c r="AM338" s="45"/>
      <c r="AN338" s="54"/>
      <c r="AO338" s="54"/>
      <c r="AP338" s="73"/>
      <c r="AQ338" s="165"/>
      <c r="AR338" s="168"/>
      <c r="AS338" s="165"/>
      <c r="AT338" s="190"/>
      <c r="AU338" s="167"/>
      <c r="AV338" s="45"/>
      <c r="AW338" s="54"/>
      <c r="AX338" s="54"/>
      <c r="AY338" s="53"/>
      <c r="AZ338" s="46"/>
      <c r="BA338" s="45"/>
      <c r="BB338" s="45"/>
      <c r="BC338" s="73"/>
      <c r="BD338" s="165"/>
      <c r="BE338" s="165"/>
      <c r="BF338" s="173"/>
      <c r="BG338" s="304"/>
      <c r="BH338" s="601"/>
      <c r="BI338" s="45">
        <v>215</v>
      </c>
      <c r="BJ338" s="46">
        <v>209</v>
      </c>
      <c r="BK338" s="45"/>
      <c r="BL338" s="53"/>
      <c r="BM338" s="200"/>
      <c r="BN338" s="45">
        <v>180</v>
      </c>
      <c r="BO338" s="54">
        <v>184</v>
      </c>
      <c r="BP338" s="53">
        <v>245</v>
      </c>
      <c r="BQ338" s="54">
        <v>276</v>
      </c>
      <c r="BR338" s="73">
        <v>21</v>
      </c>
      <c r="BS338" s="165"/>
      <c r="BT338" s="167"/>
      <c r="BU338" s="199"/>
      <c r="BV338" s="202"/>
      <c r="BW338" s="201"/>
      <c r="BX338" s="201"/>
      <c r="BY338" s="200"/>
      <c r="BZ338" s="199"/>
      <c r="CA338" s="201"/>
      <c r="CB338" s="202"/>
      <c r="CC338" s="200"/>
      <c r="CD338" s="199"/>
      <c r="CE338" s="201"/>
      <c r="CF338" s="201"/>
      <c r="CG338" s="106"/>
      <c r="CH338" s="165"/>
      <c r="CI338" s="167"/>
    </row>
    <row r="339" spans="1:87" x14ac:dyDescent="0.3">
      <c r="A339" s="10">
        <v>5621</v>
      </c>
      <c r="B339" s="11" t="s">
        <v>462</v>
      </c>
      <c r="C339" s="471">
        <v>1081</v>
      </c>
      <c r="D339" s="54">
        <v>735</v>
      </c>
      <c r="E339" s="367">
        <f t="shared" si="5"/>
        <v>0.67992599444958368</v>
      </c>
      <c r="F339" s="45"/>
      <c r="G339" s="45"/>
      <c r="H339" s="45"/>
      <c r="I339" s="45"/>
      <c r="J339" s="46"/>
      <c r="K339" s="45"/>
      <c r="L339" s="107"/>
      <c r="M339" s="541"/>
      <c r="N339" s="45"/>
      <c r="O339" s="45"/>
      <c r="P339" s="53"/>
      <c r="Q339" s="57"/>
      <c r="R339" s="57"/>
      <c r="S339" s="74"/>
      <c r="T339" s="45"/>
      <c r="U339" s="45"/>
      <c r="V339" s="73"/>
      <c r="W339" s="169"/>
      <c r="X339" s="173"/>
      <c r="Y339" s="190"/>
      <c r="Z339" s="167"/>
      <c r="AA339" s="45"/>
      <c r="AB339" s="57"/>
      <c r="AC339" s="169"/>
      <c r="AD339" s="165"/>
      <c r="AE339" s="165"/>
      <c r="AF339" s="167"/>
      <c r="AG339" s="73"/>
      <c r="AH339" s="45"/>
      <c r="AI339" s="46"/>
      <c r="AJ339" s="165"/>
      <c r="AK339" s="173"/>
      <c r="AL339" s="167"/>
      <c r="AM339" s="45"/>
      <c r="AN339" s="54"/>
      <c r="AO339" s="54"/>
      <c r="AP339" s="73"/>
      <c r="AQ339" s="165"/>
      <c r="AR339" s="168"/>
      <c r="AS339" s="165"/>
      <c r="AT339" s="190"/>
      <c r="AU339" s="167"/>
      <c r="AV339" s="45"/>
      <c r="AW339" s="54"/>
      <c r="AX339" s="54"/>
      <c r="AY339" s="53"/>
      <c r="AZ339" s="46"/>
      <c r="BA339" s="45"/>
      <c r="BB339" s="45"/>
      <c r="BC339" s="73"/>
      <c r="BD339" s="165"/>
      <c r="BE339" s="165"/>
      <c r="BF339" s="173"/>
      <c r="BG339" s="304"/>
      <c r="BH339" s="601"/>
      <c r="BI339" s="45">
        <v>299</v>
      </c>
      <c r="BJ339" s="46">
        <v>299</v>
      </c>
      <c r="BK339" s="45"/>
      <c r="BL339" s="53"/>
      <c r="BM339" s="200"/>
      <c r="BN339" s="45">
        <v>288</v>
      </c>
      <c r="BO339" s="54">
        <v>285</v>
      </c>
      <c r="BP339" s="53">
        <v>353</v>
      </c>
      <c r="BQ339" s="54">
        <v>389</v>
      </c>
      <c r="BR339" s="73">
        <v>22</v>
      </c>
      <c r="BS339" s="165"/>
      <c r="BT339" s="167"/>
      <c r="BU339" s="199"/>
      <c r="BV339" s="202"/>
      <c r="BW339" s="201"/>
      <c r="BX339" s="201"/>
      <c r="BY339" s="200"/>
      <c r="BZ339" s="199"/>
      <c r="CA339" s="201"/>
      <c r="CB339" s="202"/>
      <c r="CC339" s="200"/>
      <c r="CD339" s="199"/>
      <c r="CE339" s="201"/>
      <c r="CF339" s="201"/>
      <c r="CG339" s="106"/>
      <c r="CH339" s="165"/>
      <c r="CI339" s="167"/>
    </row>
    <row r="340" spans="1:87" x14ac:dyDescent="0.3">
      <c r="A340" s="10">
        <v>5622</v>
      </c>
      <c r="B340" s="11" t="s">
        <v>463</v>
      </c>
      <c r="C340" s="471">
        <v>640</v>
      </c>
      <c r="D340" s="54">
        <v>414</v>
      </c>
      <c r="E340" s="367">
        <f t="shared" si="5"/>
        <v>0.64687499999999998</v>
      </c>
      <c r="F340" s="45"/>
      <c r="G340" s="45"/>
      <c r="H340" s="45"/>
      <c r="I340" s="45"/>
      <c r="J340" s="46"/>
      <c r="K340" s="45"/>
      <c r="L340" s="107"/>
      <c r="M340" s="541"/>
      <c r="N340" s="45"/>
      <c r="O340" s="45"/>
      <c r="P340" s="53"/>
      <c r="Q340" s="57"/>
      <c r="R340" s="57"/>
      <c r="S340" s="74"/>
      <c r="T340" s="45"/>
      <c r="U340" s="45"/>
      <c r="V340" s="73"/>
      <c r="W340" s="169"/>
      <c r="X340" s="173"/>
      <c r="Y340" s="190"/>
      <c r="Z340" s="167"/>
      <c r="AA340" s="45"/>
      <c r="AB340" s="57"/>
      <c r="AC340" s="169"/>
      <c r="AD340" s="165"/>
      <c r="AE340" s="165"/>
      <c r="AF340" s="167"/>
      <c r="AG340" s="73"/>
      <c r="AH340" s="45"/>
      <c r="AI340" s="46"/>
      <c r="AJ340" s="165"/>
      <c r="AK340" s="173"/>
      <c r="AL340" s="167"/>
      <c r="AM340" s="45"/>
      <c r="AN340" s="54"/>
      <c r="AO340" s="54"/>
      <c r="AP340" s="73"/>
      <c r="AQ340" s="165"/>
      <c r="AR340" s="168"/>
      <c r="AS340" s="165"/>
      <c r="AT340" s="190"/>
      <c r="AU340" s="167"/>
      <c r="AV340" s="45"/>
      <c r="AW340" s="54"/>
      <c r="AX340" s="54"/>
      <c r="AY340" s="53"/>
      <c r="AZ340" s="46"/>
      <c r="BA340" s="45"/>
      <c r="BB340" s="45"/>
      <c r="BC340" s="73"/>
      <c r="BD340" s="165"/>
      <c r="BE340" s="165"/>
      <c r="BF340" s="173"/>
      <c r="BG340" s="304"/>
      <c r="BH340" s="601"/>
      <c r="BI340" s="45">
        <v>163</v>
      </c>
      <c r="BJ340" s="46">
        <v>175</v>
      </c>
      <c r="BK340" s="45"/>
      <c r="BL340" s="53"/>
      <c r="BM340" s="200"/>
      <c r="BN340" s="45">
        <v>170</v>
      </c>
      <c r="BO340" s="54">
        <v>168</v>
      </c>
      <c r="BP340" s="53">
        <v>198</v>
      </c>
      <c r="BQ340" s="54">
        <v>218</v>
      </c>
      <c r="BR340" s="73">
        <v>15</v>
      </c>
      <c r="BS340" s="165"/>
      <c r="BT340" s="167"/>
      <c r="BU340" s="199"/>
      <c r="BV340" s="202"/>
      <c r="BW340" s="201"/>
      <c r="BX340" s="201"/>
      <c r="BY340" s="200"/>
      <c r="BZ340" s="199"/>
      <c r="CA340" s="201"/>
      <c r="CB340" s="202"/>
      <c r="CC340" s="200"/>
      <c r="CD340" s="199"/>
      <c r="CE340" s="201"/>
      <c r="CF340" s="201"/>
      <c r="CG340" s="106"/>
      <c r="CH340" s="165"/>
      <c r="CI340" s="167"/>
    </row>
    <row r="341" spans="1:87" x14ac:dyDescent="0.3">
      <c r="A341" s="10">
        <v>5623</v>
      </c>
      <c r="B341" s="11" t="s">
        <v>464</v>
      </c>
      <c r="C341" s="471">
        <v>868</v>
      </c>
      <c r="D341" s="54">
        <v>547</v>
      </c>
      <c r="E341" s="367">
        <f t="shared" si="5"/>
        <v>0.63018433179723499</v>
      </c>
      <c r="F341" s="45"/>
      <c r="G341" s="45"/>
      <c r="H341" s="45"/>
      <c r="I341" s="45"/>
      <c r="J341" s="46"/>
      <c r="K341" s="45"/>
      <c r="L341" s="107"/>
      <c r="M341" s="541"/>
      <c r="N341" s="45"/>
      <c r="O341" s="45"/>
      <c r="P341" s="53"/>
      <c r="Q341" s="57"/>
      <c r="R341" s="57"/>
      <c r="S341" s="74"/>
      <c r="T341" s="45"/>
      <c r="U341" s="45"/>
      <c r="V341" s="73"/>
      <c r="W341" s="169"/>
      <c r="X341" s="173"/>
      <c r="Y341" s="190"/>
      <c r="Z341" s="167"/>
      <c r="AA341" s="45"/>
      <c r="AB341" s="57"/>
      <c r="AC341" s="169"/>
      <c r="AD341" s="165"/>
      <c r="AE341" s="165"/>
      <c r="AF341" s="167"/>
      <c r="AG341" s="73"/>
      <c r="AH341" s="45"/>
      <c r="AI341" s="46"/>
      <c r="AJ341" s="165"/>
      <c r="AK341" s="173"/>
      <c r="AL341" s="167"/>
      <c r="AM341" s="45"/>
      <c r="AN341" s="54"/>
      <c r="AO341" s="54"/>
      <c r="AP341" s="73"/>
      <c r="AQ341" s="165"/>
      <c r="AR341" s="168"/>
      <c r="AS341" s="165"/>
      <c r="AT341" s="190"/>
      <c r="AU341" s="167"/>
      <c r="AV341" s="45"/>
      <c r="AW341" s="54"/>
      <c r="AX341" s="54"/>
      <c r="AY341" s="53"/>
      <c r="AZ341" s="46"/>
      <c r="BA341" s="45"/>
      <c r="BB341" s="45"/>
      <c r="BC341" s="73"/>
      <c r="BD341" s="165"/>
      <c r="BE341" s="165"/>
      <c r="BF341" s="173"/>
      <c r="BG341" s="304"/>
      <c r="BH341" s="601"/>
      <c r="BI341" s="45">
        <v>207</v>
      </c>
      <c r="BJ341" s="46">
        <v>228</v>
      </c>
      <c r="BK341" s="45"/>
      <c r="BL341" s="53"/>
      <c r="BM341" s="200"/>
      <c r="BN341" s="45">
        <v>187</v>
      </c>
      <c r="BO341" s="54">
        <v>183</v>
      </c>
      <c r="BP341" s="53">
        <v>267</v>
      </c>
      <c r="BQ341" s="54">
        <v>316</v>
      </c>
      <c r="BR341" s="73">
        <v>27</v>
      </c>
      <c r="BS341" s="165"/>
      <c r="BT341" s="167"/>
      <c r="BU341" s="199"/>
      <c r="BV341" s="202"/>
      <c r="BW341" s="201"/>
      <c r="BX341" s="201"/>
      <c r="BY341" s="200"/>
      <c r="BZ341" s="199"/>
      <c r="CA341" s="201"/>
      <c r="CB341" s="202"/>
      <c r="CC341" s="200"/>
      <c r="CD341" s="199"/>
      <c r="CE341" s="201"/>
      <c r="CF341" s="201"/>
      <c r="CG341" s="106"/>
      <c r="CH341" s="165"/>
      <c r="CI341" s="167"/>
    </row>
    <row r="342" spans="1:87" x14ac:dyDescent="0.3">
      <c r="A342" s="10">
        <v>5624</v>
      </c>
      <c r="B342" s="11" t="s">
        <v>465</v>
      </c>
      <c r="C342" s="471">
        <v>754</v>
      </c>
      <c r="D342" s="54">
        <v>479</v>
      </c>
      <c r="E342" s="367">
        <f t="shared" si="5"/>
        <v>0.63527851458885942</v>
      </c>
      <c r="F342" s="45"/>
      <c r="G342" s="45"/>
      <c r="H342" s="45"/>
      <c r="I342" s="45"/>
      <c r="J342" s="46"/>
      <c r="K342" s="45"/>
      <c r="L342" s="107"/>
      <c r="M342" s="541"/>
      <c r="N342" s="45"/>
      <c r="O342" s="45"/>
      <c r="P342" s="53"/>
      <c r="Q342" s="57"/>
      <c r="R342" s="57"/>
      <c r="S342" s="74"/>
      <c r="T342" s="45"/>
      <c r="U342" s="45"/>
      <c r="V342" s="73"/>
      <c r="W342" s="169"/>
      <c r="X342" s="173"/>
      <c r="Y342" s="190"/>
      <c r="Z342" s="167"/>
      <c r="AA342" s="45"/>
      <c r="AB342" s="57"/>
      <c r="AC342" s="169"/>
      <c r="AD342" s="165"/>
      <c r="AE342" s="165"/>
      <c r="AF342" s="167"/>
      <c r="AG342" s="73"/>
      <c r="AH342" s="45"/>
      <c r="AI342" s="46"/>
      <c r="AJ342" s="165"/>
      <c r="AK342" s="173"/>
      <c r="AL342" s="167"/>
      <c r="AM342" s="45"/>
      <c r="AN342" s="54"/>
      <c r="AO342" s="54"/>
      <c r="AP342" s="73"/>
      <c r="AQ342" s="165"/>
      <c r="AR342" s="168"/>
      <c r="AS342" s="165"/>
      <c r="AT342" s="190"/>
      <c r="AU342" s="167"/>
      <c r="AV342" s="45"/>
      <c r="AW342" s="54"/>
      <c r="AX342" s="54"/>
      <c r="AY342" s="53"/>
      <c r="AZ342" s="46"/>
      <c r="BA342" s="45"/>
      <c r="BB342" s="45"/>
      <c r="BC342" s="73"/>
      <c r="BD342" s="165"/>
      <c r="BE342" s="165"/>
      <c r="BF342" s="173"/>
      <c r="BG342" s="304"/>
      <c r="BH342" s="601"/>
      <c r="BI342" s="45">
        <v>203</v>
      </c>
      <c r="BJ342" s="46">
        <v>190</v>
      </c>
      <c r="BK342" s="45"/>
      <c r="BL342" s="53"/>
      <c r="BM342" s="200"/>
      <c r="BN342" s="45">
        <v>162</v>
      </c>
      <c r="BO342" s="54">
        <v>179</v>
      </c>
      <c r="BP342" s="53">
        <v>192</v>
      </c>
      <c r="BQ342" s="54">
        <v>236</v>
      </c>
      <c r="BR342" s="73">
        <v>27</v>
      </c>
      <c r="BS342" s="165"/>
      <c r="BT342" s="167"/>
      <c r="BU342" s="199"/>
      <c r="BV342" s="202"/>
      <c r="BW342" s="201"/>
      <c r="BX342" s="201"/>
      <c r="BY342" s="200"/>
      <c r="BZ342" s="199"/>
      <c r="CA342" s="201"/>
      <c r="CB342" s="202"/>
      <c r="CC342" s="200"/>
      <c r="CD342" s="199"/>
      <c r="CE342" s="201"/>
      <c r="CF342" s="201"/>
      <c r="CG342" s="106"/>
      <c r="CH342" s="165"/>
      <c r="CI342" s="167"/>
    </row>
    <row r="343" spans="1:87" x14ac:dyDescent="0.3">
      <c r="A343" s="10">
        <v>5625</v>
      </c>
      <c r="B343" s="11" t="s">
        <v>466</v>
      </c>
      <c r="C343" s="471">
        <v>695</v>
      </c>
      <c r="D343" s="54">
        <v>372</v>
      </c>
      <c r="E343" s="367">
        <f t="shared" si="5"/>
        <v>0.53525179856115113</v>
      </c>
      <c r="F343" s="45"/>
      <c r="G343" s="45"/>
      <c r="H343" s="45"/>
      <c r="I343" s="45"/>
      <c r="J343" s="46"/>
      <c r="K343" s="45"/>
      <c r="L343" s="107"/>
      <c r="M343" s="541"/>
      <c r="N343" s="45"/>
      <c r="O343" s="45"/>
      <c r="P343" s="53"/>
      <c r="Q343" s="57"/>
      <c r="R343" s="57"/>
      <c r="S343" s="74"/>
      <c r="T343" s="45"/>
      <c r="U343" s="45"/>
      <c r="V343" s="73"/>
      <c r="W343" s="169"/>
      <c r="X343" s="173"/>
      <c r="Y343" s="190"/>
      <c r="Z343" s="167"/>
      <c r="AA343" s="45"/>
      <c r="AB343" s="57"/>
      <c r="AC343" s="169"/>
      <c r="AD343" s="165"/>
      <c r="AE343" s="165"/>
      <c r="AF343" s="167"/>
      <c r="AG343" s="73"/>
      <c r="AH343" s="45"/>
      <c r="AI343" s="46"/>
      <c r="AJ343" s="165"/>
      <c r="AK343" s="173"/>
      <c r="AL343" s="167"/>
      <c r="AM343" s="45"/>
      <c r="AN343" s="54"/>
      <c r="AO343" s="54"/>
      <c r="AP343" s="73"/>
      <c r="AQ343" s="165"/>
      <c r="AR343" s="168"/>
      <c r="AS343" s="165"/>
      <c r="AT343" s="190"/>
      <c r="AU343" s="167"/>
      <c r="AV343" s="45"/>
      <c r="AW343" s="54"/>
      <c r="AX343" s="54"/>
      <c r="AY343" s="53"/>
      <c r="AZ343" s="46"/>
      <c r="BA343" s="45"/>
      <c r="BB343" s="45"/>
      <c r="BC343" s="73"/>
      <c r="BD343" s="165"/>
      <c r="BE343" s="165"/>
      <c r="BF343" s="173"/>
      <c r="BG343" s="304"/>
      <c r="BH343" s="601"/>
      <c r="BI343" s="45">
        <v>160</v>
      </c>
      <c r="BJ343" s="46">
        <v>166</v>
      </c>
      <c r="BK343" s="45"/>
      <c r="BL343" s="53"/>
      <c r="BM343" s="200"/>
      <c r="BN343" s="45">
        <v>165</v>
      </c>
      <c r="BO343" s="54">
        <v>165</v>
      </c>
      <c r="BP343" s="53">
        <v>118</v>
      </c>
      <c r="BQ343" s="54">
        <v>150</v>
      </c>
      <c r="BR343" s="73">
        <v>19</v>
      </c>
      <c r="BS343" s="165"/>
      <c r="BT343" s="167"/>
      <c r="BU343" s="199"/>
      <c r="BV343" s="202"/>
      <c r="BW343" s="201"/>
      <c r="BX343" s="201"/>
      <c r="BY343" s="200"/>
      <c r="BZ343" s="199"/>
      <c r="CA343" s="201"/>
      <c r="CB343" s="202"/>
      <c r="CC343" s="200"/>
      <c r="CD343" s="199"/>
      <c r="CE343" s="201"/>
      <c r="CF343" s="201"/>
      <c r="CG343" s="106"/>
      <c r="CH343" s="165"/>
      <c r="CI343" s="167"/>
    </row>
    <row r="344" spans="1:87" x14ac:dyDescent="0.3">
      <c r="A344" s="10">
        <v>5626</v>
      </c>
      <c r="B344" s="11" t="s">
        <v>467</v>
      </c>
      <c r="C344" s="471">
        <v>1074</v>
      </c>
      <c r="D344" s="54">
        <v>717</v>
      </c>
      <c r="E344" s="367">
        <f t="shared" si="5"/>
        <v>0.66759776536312854</v>
      </c>
      <c r="F344" s="45"/>
      <c r="G344" s="45"/>
      <c r="H344" s="45"/>
      <c r="I344" s="45"/>
      <c r="J344" s="46"/>
      <c r="K344" s="45"/>
      <c r="L344" s="107"/>
      <c r="M344" s="541"/>
      <c r="N344" s="45"/>
      <c r="O344" s="45"/>
      <c r="P344" s="53"/>
      <c r="Q344" s="57"/>
      <c r="R344" s="57"/>
      <c r="S344" s="74"/>
      <c r="T344" s="45"/>
      <c r="U344" s="45"/>
      <c r="V344" s="73"/>
      <c r="W344" s="169"/>
      <c r="X344" s="173"/>
      <c r="Y344" s="190"/>
      <c r="Z344" s="167"/>
      <c r="AA344" s="45"/>
      <c r="AB344" s="57"/>
      <c r="AC344" s="169"/>
      <c r="AD344" s="165"/>
      <c r="AE344" s="165"/>
      <c r="AF344" s="167"/>
      <c r="AG344" s="73"/>
      <c r="AH344" s="45"/>
      <c r="AI344" s="46"/>
      <c r="AJ344" s="165"/>
      <c r="AK344" s="173"/>
      <c r="AL344" s="167"/>
      <c r="AM344" s="45"/>
      <c r="AN344" s="54"/>
      <c r="AO344" s="54"/>
      <c r="AP344" s="73"/>
      <c r="AQ344" s="165"/>
      <c r="AR344" s="168"/>
      <c r="AS344" s="165"/>
      <c r="AT344" s="190"/>
      <c r="AU344" s="167"/>
      <c r="AV344" s="45"/>
      <c r="AW344" s="54"/>
      <c r="AX344" s="54"/>
      <c r="AY344" s="53"/>
      <c r="AZ344" s="46"/>
      <c r="BA344" s="45"/>
      <c r="BB344" s="45"/>
      <c r="BC344" s="73"/>
      <c r="BD344" s="165"/>
      <c r="BE344" s="165"/>
      <c r="BF344" s="173"/>
      <c r="BG344" s="304"/>
      <c r="BH344" s="601"/>
      <c r="BI344" s="45">
        <v>291</v>
      </c>
      <c r="BJ344" s="46">
        <v>285</v>
      </c>
      <c r="BK344" s="45"/>
      <c r="BL344" s="53"/>
      <c r="BM344" s="200"/>
      <c r="BN344" s="45">
        <v>279</v>
      </c>
      <c r="BO344" s="54">
        <v>286</v>
      </c>
      <c r="BP344" s="53">
        <v>336</v>
      </c>
      <c r="BQ344" s="54">
        <v>392</v>
      </c>
      <c r="BR344" s="73">
        <v>23</v>
      </c>
      <c r="BS344" s="165"/>
      <c r="BT344" s="167"/>
      <c r="BU344" s="199"/>
      <c r="BV344" s="202"/>
      <c r="BW344" s="201"/>
      <c r="BX344" s="201"/>
      <c r="BY344" s="200"/>
      <c r="BZ344" s="199"/>
      <c r="CA344" s="201"/>
      <c r="CB344" s="202"/>
      <c r="CC344" s="200"/>
      <c r="CD344" s="199"/>
      <c r="CE344" s="201"/>
      <c r="CF344" s="201"/>
      <c r="CG344" s="106"/>
      <c r="CH344" s="165"/>
      <c r="CI344" s="167"/>
    </row>
    <row r="345" spans="1:87" x14ac:dyDescent="0.3">
      <c r="A345" s="10">
        <v>5627</v>
      </c>
      <c r="B345" s="11" t="s">
        <v>468</v>
      </c>
      <c r="C345" s="471">
        <v>1149</v>
      </c>
      <c r="D345" s="54">
        <v>812</v>
      </c>
      <c r="E345" s="367">
        <f t="shared" ref="E345:E405" si="6">SUM(D345/C345)</f>
        <v>0.70670147954743257</v>
      </c>
      <c r="F345" s="45"/>
      <c r="G345" s="45"/>
      <c r="H345" s="45"/>
      <c r="I345" s="45"/>
      <c r="J345" s="46"/>
      <c r="K345" s="45"/>
      <c r="L345" s="107"/>
      <c r="M345" s="541"/>
      <c r="N345" s="45"/>
      <c r="O345" s="45"/>
      <c r="P345" s="53"/>
      <c r="Q345" s="57"/>
      <c r="R345" s="57"/>
      <c r="S345" s="74"/>
      <c r="T345" s="45"/>
      <c r="U345" s="45"/>
      <c r="V345" s="73"/>
      <c r="W345" s="169"/>
      <c r="X345" s="173"/>
      <c r="Y345" s="190"/>
      <c r="Z345" s="167"/>
      <c r="AA345" s="45"/>
      <c r="AB345" s="57"/>
      <c r="AC345" s="169"/>
      <c r="AD345" s="165"/>
      <c r="AE345" s="165"/>
      <c r="AF345" s="167"/>
      <c r="AG345" s="73"/>
      <c r="AH345" s="45"/>
      <c r="AI345" s="46"/>
      <c r="AJ345" s="165"/>
      <c r="AK345" s="173"/>
      <c r="AL345" s="167"/>
      <c r="AM345" s="45"/>
      <c r="AN345" s="54"/>
      <c r="AO345" s="54"/>
      <c r="AP345" s="73"/>
      <c r="AQ345" s="165"/>
      <c r="AR345" s="168"/>
      <c r="AS345" s="165"/>
      <c r="AT345" s="190"/>
      <c r="AU345" s="167"/>
      <c r="AV345" s="45"/>
      <c r="AW345" s="54"/>
      <c r="AX345" s="54"/>
      <c r="AY345" s="53"/>
      <c r="AZ345" s="46"/>
      <c r="BA345" s="45"/>
      <c r="BB345" s="45"/>
      <c r="BC345" s="73"/>
      <c r="BD345" s="165"/>
      <c r="BE345" s="165"/>
      <c r="BF345" s="173"/>
      <c r="BG345" s="304"/>
      <c r="BH345" s="601"/>
      <c r="BI345" s="45">
        <v>319</v>
      </c>
      <c r="BJ345" s="46">
        <v>345</v>
      </c>
      <c r="BK345" s="45"/>
      <c r="BL345" s="53"/>
      <c r="BM345" s="200"/>
      <c r="BN345" s="45">
        <v>295</v>
      </c>
      <c r="BO345" s="54">
        <v>309</v>
      </c>
      <c r="BP345" s="53">
        <v>415</v>
      </c>
      <c r="BQ345" s="54">
        <v>444</v>
      </c>
      <c r="BR345" s="73">
        <v>29</v>
      </c>
      <c r="BS345" s="165"/>
      <c r="BT345" s="167"/>
      <c r="BU345" s="199"/>
      <c r="BV345" s="202"/>
      <c r="BW345" s="201"/>
      <c r="BX345" s="201"/>
      <c r="BY345" s="200"/>
      <c r="BZ345" s="199"/>
      <c r="CA345" s="201"/>
      <c r="CB345" s="202"/>
      <c r="CC345" s="200"/>
      <c r="CD345" s="199"/>
      <c r="CE345" s="201"/>
      <c r="CF345" s="201"/>
      <c r="CG345" s="106"/>
      <c r="CH345" s="165"/>
      <c r="CI345" s="167"/>
    </row>
    <row r="346" spans="1:87" x14ac:dyDescent="0.3">
      <c r="A346" s="10">
        <v>5628</v>
      </c>
      <c r="B346" s="11" t="s">
        <v>469</v>
      </c>
      <c r="C346" s="471">
        <v>920</v>
      </c>
      <c r="D346" s="54">
        <v>592</v>
      </c>
      <c r="E346" s="367">
        <f t="shared" si="6"/>
        <v>0.64347826086956517</v>
      </c>
      <c r="F346" s="45"/>
      <c r="G346" s="45"/>
      <c r="H346" s="45"/>
      <c r="I346" s="45"/>
      <c r="J346" s="46"/>
      <c r="K346" s="45"/>
      <c r="L346" s="107"/>
      <c r="M346" s="541"/>
      <c r="N346" s="45"/>
      <c r="O346" s="45"/>
      <c r="P346" s="53"/>
      <c r="Q346" s="57"/>
      <c r="R346" s="57"/>
      <c r="S346" s="74"/>
      <c r="T346" s="45"/>
      <c r="U346" s="45"/>
      <c r="V346" s="73"/>
      <c r="W346" s="169"/>
      <c r="X346" s="173"/>
      <c r="Y346" s="190"/>
      <c r="Z346" s="167"/>
      <c r="AA346" s="45"/>
      <c r="AB346" s="57"/>
      <c r="AC346" s="169"/>
      <c r="AD346" s="165"/>
      <c r="AE346" s="165"/>
      <c r="AF346" s="167"/>
      <c r="AG346" s="73"/>
      <c r="AH346" s="45"/>
      <c r="AI346" s="46"/>
      <c r="AJ346" s="165"/>
      <c r="AK346" s="173"/>
      <c r="AL346" s="167"/>
      <c r="AM346" s="45"/>
      <c r="AN346" s="54"/>
      <c r="AO346" s="54"/>
      <c r="AP346" s="73"/>
      <c r="AQ346" s="165"/>
      <c r="AR346" s="168"/>
      <c r="AS346" s="165"/>
      <c r="AT346" s="190"/>
      <c r="AU346" s="167"/>
      <c r="AV346" s="45"/>
      <c r="AW346" s="54"/>
      <c r="AX346" s="54"/>
      <c r="AY346" s="53"/>
      <c r="AZ346" s="46"/>
      <c r="BA346" s="45"/>
      <c r="BB346" s="45"/>
      <c r="BC346" s="73"/>
      <c r="BD346" s="165"/>
      <c r="BE346" s="165"/>
      <c r="BF346" s="173"/>
      <c r="BG346" s="304"/>
      <c r="BH346" s="601"/>
      <c r="BI346" s="45">
        <v>240</v>
      </c>
      <c r="BJ346" s="46">
        <v>258</v>
      </c>
      <c r="BK346" s="45"/>
      <c r="BL346" s="53"/>
      <c r="BM346" s="200"/>
      <c r="BN346" s="45">
        <v>234</v>
      </c>
      <c r="BO346" s="54">
        <v>250</v>
      </c>
      <c r="BP346" s="53">
        <v>259</v>
      </c>
      <c r="BQ346" s="54">
        <v>297</v>
      </c>
      <c r="BR346" s="73">
        <v>18</v>
      </c>
      <c r="BS346" s="165"/>
      <c r="BT346" s="167"/>
      <c r="BU346" s="199"/>
      <c r="BV346" s="202"/>
      <c r="BW346" s="201"/>
      <c r="BX346" s="201"/>
      <c r="BY346" s="200"/>
      <c r="BZ346" s="199"/>
      <c r="CA346" s="201"/>
      <c r="CB346" s="202"/>
      <c r="CC346" s="200"/>
      <c r="CD346" s="199"/>
      <c r="CE346" s="201"/>
      <c r="CF346" s="201"/>
      <c r="CG346" s="106"/>
      <c r="CH346" s="165"/>
      <c r="CI346" s="167"/>
    </row>
    <row r="347" spans="1:87" x14ac:dyDescent="0.3">
      <c r="A347" s="10">
        <v>5629</v>
      </c>
      <c r="B347" s="11" t="s">
        <v>470</v>
      </c>
      <c r="C347" s="471">
        <v>664</v>
      </c>
      <c r="D347" s="54">
        <v>456</v>
      </c>
      <c r="E347" s="367">
        <f t="shared" si="6"/>
        <v>0.68674698795180722</v>
      </c>
      <c r="F347" s="45"/>
      <c r="G347" s="45"/>
      <c r="H347" s="45"/>
      <c r="I347" s="45"/>
      <c r="J347" s="46"/>
      <c r="K347" s="45"/>
      <c r="L347" s="107"/>
      <c r="M347" s="541"/>
      <c r="N347" s="45"/>
      <c r="O347" s="45"/>
      <c r="P347" s="53"/>
      <c r="Q347" s="57"/>
      <c r="R347" s="57"/>
      <c r="S347" s="74"/>
      <c r="T347" s="45"/>
      <c r="U347" s="45"/>
      <c r="V347" s="73"/>
      <c r="W347" s="169"/>
      <c r="X347" s="173"/>
      <c r="Y347" s="190"/>
      <c r="Z347" s="167"/>
      <c r="AA347" s="45"/>
      <c r="AB347" s="57"/>
      <c r="AC347" s="169"/>
      <c r="AD347" s="165"/>
      <c r="AE347" s="165"/>
      <c r="AF347" s="167"/>
      <c r="AG347" s="73"/>
      <c r="AH347" s="45"/>
      <c r="AI347" s="46"/>
      <c r="AJ347" s="165"/>
      <c r="AK347" s="173"/>
      <c r="AL347" s="167"/>
      <c r="AM347" s="45"/>
      <c r="AN347" s="54"/>
      <c r="AO347" s="54"/>
      <c r="AP347" s="73"/>
      <c r="AQ347" s="165"/>
      <c r="AR347" s="168"/>
      <c r="AS347" s="165"/>
      <c r="AT347" s="190"/>
      <c r="AU347" s="167"/>
      <c r="AV347" s="45"/>
      <c r="AW347" s="54"/>
      <c r="AX347" s="54"/>
      <c r="AY347" s="53"/>
      <c r="AZ347" s="46"/>
      <c r="BA347" s="45"/>
      <c r="BB347" s="45"/>
      <c r="BC347" s="73"/>
      <c r="BD347" s="165"/>
      <c r="BE347" s="165"/>
      <c r="BF347" s="173"/>
      <c r="BG347" s="304"/>
      <c r="BH347" s="601"/>
      <c r="BI347" s="45">
        <v>170</v>
      </c>
      <c r="BJ347" s="46">
        <v>178</v>
      </c>
      <c r="BK347" s="45"/>
      <c r="BL347" s="53"/>
      <c r="BM347" s="200"/>
      <c r="BN347" s="45">
        <v>175</v>
      </c>
      <c r="BO347" s="54">
        <v>181</v>
      </c>
      <c r="BP347" s="53">
        <v>226</v>
      </c>
      <c r="BQ347" s="54">
        <v>243</v>
      </c>
      <c r="BR347" s="73">
        <v>7</v>
      </c>
      <c r="BS347" s="165"/>
      <c r="BT347" s="167"/>
      <c r="BU347" s="199"/>
      <c r="BV347" s="202"/>
      <c r="BW347" s="201"/>
      <c r="BX347" s="201"/>
      <c r="BY347" s="200"/>
      <c r="BZ347" s="199"/>
      <c r="CA347" s="201"/>
      <c r="CB347" s="202"/>
      <c r="CC347" s="200"/>
      <c r="CD347" s="199"/>
      <c r="CE347" s="201"/>
      <c r="CF347" s="201"/>
      <c r="CG347" s="106"/>
      <c r="CH347" s="165"/>
      <c r="CI347" s="167"/>
    </row>
    <row r="348" spans="1:87" x14ac:dyDescent="0.3">
      <c r="A348" s="10">
        <v>5630</v>
      </c>
      <c r="B348" s="11" t="s">
        <v>471</v>
      </c>
      <c r="C348" s="471">
        <v>1236</v>
      </c>
      <c r="D348" s="54">
        <v>810</v>
      </c>
      <c r="E348" s="367">
        <f t="shared" si="6"/>
        <v>0.65533980582524276</v>
      </c>
      <c r="F348" s="45"/>
      <c r="G348" s="45"/>
      <c r="H348" s="45"/>
      <c r="I348" s="45"/>
      <c r="J348" s="46"/>
      <c r="K348" s="45"/>
      <c r="L348" s="107"/>
      <c r="M348" s="541"/>
      <c r="N348" s="45"/>
      <c r="O348" s="45"/>
      <c r="P348" s="53"/>
      <c r="Q348" s="57"/>
      <c r="R348" s="57"/>
      <c r="S348" s="74"/>
      <c r="T348" s="45"/>
      <c r="U348" s="45"/>
      <c r="V348" s="73"/>
      <c r="W348" s="169"/>
      <c r="X348" s="173"/>
      <c r="Y348" s="190"/>
      <c r="Z348" s="167"/>
      <c r="AA348" s="45"/>
      <c r="AB348" s="57"/>
      <c r="AC348" s="169"/>
      <c r="AD348" s="165"/>
      <c r="AE348" s="165"/>
      <c r="AF348" s="167"/>
      <c r="AG348" s="73"/>
      <c r="AH348" s="45"/>
      <c r="AI348" s="46"/>
      <c r="AJ348" s="165"/>
      <c r="AK348" s="173"/>
      <c r="AL348" s="167"/>
      <c r="AM348" s="45"/>
      <c r="AN348" s="54"/>
      <c r="AO348" s="54"/>
      <c r="AP348" s="73"/>
      <c r="AQ348" s="165"/>
      <c r="AR348" s="168"/>
      <c r="AS348" s="165"/>
      <c r="AT348" s="190"/>
      <c r="AU348" s="167"/>
      <c r="AV348" s="45"/>
      <c r="AW348" s="54"/>
      <c r="AX348" s="54"/>
      <c r="AY348" s="53"/>
      <c r="AZ348" s="46"/>
      <c r="BA348" s="45"/>
      <c r="BB348" s="45"/>
      <c r="BC348" s="73"/>
      <c r="BD348" s="165"/>
      <c r="BE348" s="165"/>
      <c r="BF348" s="173"/>
      <c r="BG348" s="304"/>
      <c r="BH348" s="601"/>
      <c r="BI348" s="45">
        <v>363</v>
      </c>
      <c r="BJ348" s="46">
        <v>345</v>
      </c>
      <c r="BK348" s="45"/>
      <c r="BL348" s="53"/>
      <c r="BM348" s="200"/>
      <c r="BN348" s="45">
        <v>287</v>
      </c>
      <c r="BO348" s="54">
        <v>294</v>
      </c>
      <c r="BP348" s="53">
        <v>353</v>
      </c>
      <c r="BQ348" s="54">
        <v>440</v>
      </c>
      <c r="BR348" s="73">
        <v>40</v>
      </c>
      <c r="BS348" s="165"/>
      <c r="BT348" s="167"/>
      <c r="BU348" s="199"/>
      <c r="BV348" s="202"/>
      <c r="BW348" s="201"/>
      <c r="BX348" s="201"/>
      <c r="BY348" s="200"/>
      <c r="BZ348" s="199"/>
      <c r="CA348" s="201"/>
      <c r="CB348" s="202"/>
      <c r="CC348" s="200"/>
      <c r="CD348" s="199"/>
      <c r="CE348" s="201"/>
      <c r="CF348" s="201"/>
      <c r="CG348" s="106"/>
      <c r="CH348" s="165"/>
      <c r="CI348" s="167"/>
    </row>
    <row r="349" spans="1:87" x14ac:dyDescent="0.3">
      <c r="A349" s="10">
        <v>5631</v>
      </c>
      <c r="B349" s="11" t="s">
        <v>472</v>
      </c>
      <c r="C349" s="471">
        <v>786</v>
      </c>
      <c r="D349" s="54">
        <v>461</v>
      </c>
      <c r="E349" s="367">
        <f t="shared" si="6"/>
        <v>0.58651399491094147</v>
      </c>
      <c r="F349" s="45"/>
      <c r="G349" s="45"/>
      <c r="H349" s="45"/>
      <c r="I349" s="45"/>
      <c r="J349" s="46"/>
      <c r="K349" s="45"/>
      <c r="L349" s="107"/>
      <c r="M349" s="541"/>
      <c r="N349" s="45"/>
      <c r="O349" s="45"/>
      <c r="P349" s="53"/>
      <c r="Q349" s="57"/>
      <c r="R349" s="57"/>
      <c r="S349" s="74"/>
      <c r="T349" s="45"/>
      <c r="U349" s="45"/>
      <c r="V349" s="73"/>
      <c r="W349" s="169"/>
      <c r="X349" s="173"/>
      <c r="Y349" s="190"/>
      <c r="Z349" s="167"/>
      <c r="AA349" s="45"/>
      <c r="AB349" s="57"/>
      <c r="AC349" s="169"/>
      <c r="AD349" s="165"/>
      <c r="AE349" s="165"/>
      <c r="AF349" s="167"/>
      <c r="AG349" s="73"/>
      <c r="AH349" s="45"/>
      <c r="AI349" s="46"/>
      <c r="AJ349" s="165"/>
      <c r="AK349" s="173"/>
      <c r="AL349" s="167"/>
      <c r="AM349" s="45"/>
      <c r="AN349" s="54"/>
      <c r="AO349" s="54"/>
      <c r="AP349" s="73"/>
      <c r="AQ349" s="165"/>
      <c r="AR349" s="168"/>
      <c r="AS349" s="165"/>
      <c r="AT349" s="190"/>
      <c r="AU349" s="167"/>
      <c r="AV349" s="45"/>
      <c r="AW349" s="54"/>
      <c r="AX349" s="54"/>
      <c r="AY349" s="53"/>
      <c r="AZ349" s="46"/>
      <c r="BA349" s="45"/>
      <c r="BB349" s="45"/>
      <c r="BC349" s="73"/>
      <c r="BD349" s="165"/>
      <c r="BE349" s="165"/>
      <c r="BF349" s="173"/>
      <c r="BG349" s="304"/>
      <c r="BH349" s="601"/>
      <c r="BI349" s="45">
        <v>195</v>
      </c>
      <c r="BJ349" s="46">
        <v>193</v>
      </c>
      <c r="BK349" s="45"/>
      <c r="BL349" s="53"/>
      <c r="BM349" s="200"/>
      <c r="BN349" s="45">
        <v>187</v>
      </c>
      <c r="BO349" s="54">
        <v>181</v>
      </c>
      <c r="BP349" s="53">
        <v>216</v>
      </c>
      <c r="BQ349" s="54">
        <v>247</v>
      </c>
      <c r="BR349" s="73">
        <v>13</v>
      </c>
      <c r="BS349" s="165"/>
      <c r="BT349" s="167"/>
      <c r="BU349" s="199"/>
      <c r="BV349" s="202"/>
      <c r="BW349" s="201"/>
      <c r="BX349" s="201"/>
      <c r="BY349" s="200"/>
      <c r="BZ349" s="199"/>
      <c r="CA349" s="201"/>
      <c r="CB349" s="202"/>
      <c r="CC349" s="200"/>
      <c r="CD349" s="199"/>
      <c r="CE349" s="201"/>
      <c r="CF349" s="201"/>
      <c r="CG349" s="106"/>
      <c r="CH349" s="165"/>
      <c r="CI349" s="167"/>
    </row>
    <row r="350" spans="1:87" x14ac:dyDescent="0.3">
      <c r="A350" s="10">
        <v>5632</v>
      </c>
      <c r="B350" s="11" t="s">
        <v>473</v>
      </c>
      <c r="C350" s="471">
        <v>1275</v>
      </c>
      <c r="D350" s="54">
        <v>747</v>
      </c>
      <c r="E350" s="367">
        <f t="shared" si="6"/>
        <v>0.58588235294117652</v>
      </c>
      <c r="F350" s="45"/>
      <c r="G350" s="45"/>
      <c r="H350" s="45"/>
      <c r="I350" s="45"/>
      <c r="J350" s="46"/>
      <c r="K350" s="45"/>
      <c r="L350" s="107"/>
      <c r="M350" s="541"/>
      <c r="N350" s="45"/>
      <c r="O350" s="45"/>
      <c r="P350" s="53"/>
      <c r="Q350" s="57"/>
      <c r="R350" s="57"/>
      <c r="S350" s="74"/>
      <c r="T350" s="45"/>
      <c r="U350" s="45"/>
      <c r="V350" s="73"/>
      <c r="W350" s="169"/>
      <c r="X350" s="173"/>
      <c r="Y350" s="190"/>
      <c r="Z350" s="167"/>
      <c r="AA350" s="45"/>
      <c r="AB350" s="57"/>
      <c r="AC350" s="169"/>
      <c r="AD350" s="165"/>
      <c r="AE350" s="165"/>
      <c r="AF350" s="167"/>
      <c r="AG350" s="73"/>
      <c r="AH350" s="45"/>
      <c r="AI350" s="46"/>
      <c r="AJ350" s="165"/>
      <c r="AK350" s="173"/>
      <c r="AL350" s="167"/>
      <c r="AM350" s="45"/>
      <c r="AN350" s="54"/>
      <c r="AO350" s="54"/>
      <c r="AP350" s="73"/>
      <c r="AQ350" s="165"/>
      <c r="AR350" s="168"/>
      <c r="AS350" s="165"/>
      <c r="AT350" s="190"/>
      <c r="AU350" s="167"/>
      <c r="AV350" s="45"/>
      <c r="AW350" s="54"/>
      <c r="AX350" s="54"/>
      <c r="AY350" s="53"/>
      <c r="AZ350" s="46"/>
      <c r="BA350" s="45"/>
      <c r="BB350" s="45"/>
      <c r="BC350" s="73"/>
      <c r="BD350" s="165"/>
      <c r="BE350" s="165"/>
      <c r="BF350" s="173"/>
      <c r="BG350" s="304"/>
      <c r="BH350" s="601"/>
      <c r="BI350" s="45">
        <v>297</v>
      </c>
      <c r="BJ350" s="46">
        <v>316</v>
      </c>
      <c r="BK350" s="45"/>
      <c r="BL350" s="53"/>
      <c r="BM350" s="200"/>
      <c r="BN350" s="45">
        <v>264</v>
      </c>
      <c r="BO350" s="54">
        <v>279</v>
      </c>
      <c r="BP350" s="53">
        <v>319</v>
      </c>
      <c r="BQ350" s="54">
        <v>376</v>
      </c>
      <c r="BR350" s="73">
        <v>37</v>
      </c>
      <c r="BS350" s="165"/>
      <c r="BT350" s="167"/>
      <c r="BU350" s="199"/>
      <c r="BV350" s="202"/>
      <c r="BW350" s="201"/>
      <c r="BX350" s="201"/>
      <c r="BY350" s="200"/>
      <c r="BZ350" s="199"/>
      <c r="CA350" s="201"/>
      <c r="CB350" s="202"/>
      <c r="CC350" s="200"/>
      <c r="CD350" s="199"/>
      <c r="CE350" s="201"/>
      <c r="CF350" s="201"/>
      <c r="CG350" s="106"/>
      <c r="CH350" s="165"/>
      <c r="CI350" s="167"/>
    </row>
    <row r="351" spans="1:87" x14ac:dyDescent="0.3">
      <c r="A351" s="10">
        <v>5801</v>
      </c>
      <c r="B351" s="11" t="s">
        <v>474</v>
      </c>
      <c r="C351" s="471">
        <v>525</v>
      </c>
      <c r="D351" s="54">
        <v>211</v>
      </c>
      <c r="E351" s="367">
        <f t="shared" si="6"/>
        <v>0.40190476190476193</v>
      </c>
      <c r="F351" s="45"/>
      <c r="G351" s="45"/>
      <c r="H351" s="45"/>
      <c r="I351" s="45"/>
      <c r="J351" s="46"/>
      <c r="K351" s="45"/>
      <c r="L351" s="107"/>
      <c r="M351" s="541"/>
      <c r="N351" s="45"/>
      <c r="O351" s="45"/>
      <c r="P351" s="53"/>
      <c r="Q351" s="57"/>
      <c r="R351" s="57"/>
      <c r="S351" s="74"/>
      <c r="T351" s="45"/>
      <c r="U351" s="45"/>
      <c r="V351" s="73"/>
      <c r="W351" s="169"/>
      <c r="X351" s="173"/>
      <c r="Y351" s="190"/>
      <c r="Z351" s="167"/>
      <c r="AA351" s="45"/>
      <c r="AB351" s="57"/>
      <c r="AC351" s="169"/>
      <c r="AD351" s="165"/>
      <c r="AE351" s="165"/>
      <c r="AF351" s="167"/>
      <c r="AG351" s="73"/>
      <c r="AH351" s="45"/>
      <c r="AI351" s="46"/>
      <c r="AJ351" s="165"/>
      <c r="AK351" s="173"/>
      <c r="AL351" s="167"/>
      <c r="AM351" s="45"/>
      <c r="AN351" s="54"/>
      <c r="AO351" s="54"/>
      <c r="AP351" s="73"/>
      <c r="AQ351" s="165"/>
      <c r="AR351" s="168"/>
      <c r="AS351" s="165"/>
      <c r="AT351" s="190"/>
      <c r="AU351" s="167"/>
      <c r="AV351" s="45"/>
      <c r="AW351" s="54"/>
      <c r="AX351" s="54"/>
      <c r="AY351" s="53"/>
      <c r="AZ351" s="46"/>
      <c r="BA351" s="45"/>
      <c r="BB351" s="45"/>
      <c r="BC351" s="73"/>
      <c r="BD351" s="165"/>
      <c r="BE351" s="165"/>
      <c r="BF351" s="173"/>
      <c r="BG351" s="304"/>
      <c r="BH351" s="601"/>
      <c r="BI351" s="45">
        <v>79</v>
      </c>
      <c r="BJ351" s="46">
        <v>107</v>
      </c>
      <c r="BK351" s="45"/>
      <c r="BL351" s="53"/>
      <c r="BM351" s="200"/>
      <c r="BN351" s="165"/>
      <c r="BO351" s="173"/>
      <c r="BP351" s="190"/>
      <c r="BQ351" s="173"/>
      <c r="BR351" s="168"/>
      <c r="BS351" s="45">
        <v>113</v>
      </c>
      <c r="BT351" s="46">
        <v>100</v>
      </c>
      <c r="BU351" s="199"/>
      <c r="BV351" s="202"/>
      <c r="BW351" s="201"/>
      <c r="BX351" s="201"/>
      <c r="BY351" s="200"/>
      <c r="BZ351" s="199"/>
      <c r="CA351" s="201"/>
      <c r="CB351" s="202"/>
      <c r="CC351" s="200"/>
      <c r="CD351" s="199"/>
      <c r="CE351" s="201"/>
      <c r="CF351" s="201"/>
      <c r="CG351" s="106"/>
      <c r="CH351" s="165"/>
      <c r="CI351" s="167"/>
    </row>
    <row r="352" spans="1:87" x14ac:dyDescent="0.3">
      <c r="A352" s="10">
        <v>5901</v>
      </c>
      <c r="B352" s="11" t="s">
        <v>475</v>
      </c>
      <c r="C352" s="471">
        <v>1169</v>
      </c>
      <c r="D352" s="54">
        <v>751</v>
      </c>
      <c r="E352" s="367">
        <f t="shared" si="6"/>
        <v>0.64242942686056459</v>
      </c>
      <c r="F352" s="45"/>
      <c r="G352" s="45"/>
      <c r="H352" s="45"/>
      <c r="I352" s="45"/>
      <c r="J352" s="46"/>
      <c r="K352" s="45"/>
      <c r="L352" s="107"/>
      <c r="M352" s="541"/>
      <c r="N352" s="45"/>
      <c r="O352" s="45"/>
      <c r="P352" s="53"/>
      <c r="Q352" s="57"/>
      <c r="R352" s="57"/>
      <c r="S352" s="74"/>
      <c r="T352" s="45"/>
      <c r="U352" s="45"/>
      <c r="V352" s="73"/>
      <c r="W352" s="169"/>
      <c r="X352" s="173"/>
      <c r="Y352" s="190"/>
      <c r="Z352" s="167"/>
      <c r="AA352" s="45"/>
      <c r="AB352" s="57"/>
      <c r="AC352" s="169"/>
      <c r="AD352" s="165"/>
      <c r="AE352" s="165"/>
      <c r="AF352" s="167"/>
      <c r="AG352" s="73"/>
      <c r="AH352" s="45"/>
      <c r="AI352" s="46"/>
      <c r="AJ352" s="165"/>
      <c r="AK352" s="173"/>
      <c r="AL352" s="167"/>
      <c r="AM352" s="45"/>
      <c r="AN352" s="54"/>
      <c r="AO352" s="54"/>
      <c r="AP352" s="73"/>
      <c r="AQ352" s="165"/>
      <c r="AR352" s="168"/>
      <c r="AS352" s="165"/>
      <c r="AT352" s="190"/>
      <c r="AU352" s="167"/>
      <c r="AV352" s="45"/>
      <c r="AW352" s="54"/>
      <c r="AX352" s="54"/>
      <c r="AY352" s="53"/>
      <c r="AZ352" s="46"/>
      <c r="BA352" s="45"/>
      <c r="BB352" s="45"/>
      <c r="BC352" s="73"/>
      <c r="BD352" s="165"/>
      <c r="BE352" s="165"/>
      <c r="BF352" s="173"/>
      <c r="BG352" s="304"/>
      <c r="BH352" s="601"/>
      <c r="BI352" s="45">
        <v>306</v>
      </c>
      <c r="BJ352" s="46">
        <v>252</v>
      </c>
      <c r="BK352" s="45"/>
      <c r="BL352" s="53"/>
      <c r="BM352" s="200"/>
      <c r="BN352" s="165"/>
      <c r="BO352" s="173"/>
      <c r="BP352" s="190"/>
      <c r="BQ352" s="173"/>
      <c r="BR352" s="168"/>
      <c r="BS352" s="153"/>
      <c r="BT352" s="158"/>
      <c r="BU352" s="45">
        <v>302</v>
      </c>
      <c r="BV352" s="53">
        <v>211</v>
      </c>
      <c r="BW352" s="54">
        <v>115</v>
      </c>
      <c r="BX352" s="54">
        <v>368</v>
      </c>
      <c r="BY352" s="46">
        <v>154</v>
      </c>
      <c r="BZ352" s="45"/>
      <c r="CA352" s="54"/>
      <c r="CB352" s="53"/>
      <c r="CC352" s="46"/>
      <c r="CD352" s="45"/>
      <c r="CE352" s="54"/>
      <c r="CF352" s="54"/>
      <c r="CG352" s="73"/>
      <c r="CH352" s="165"/>
      <c r="CI352" s="167"/>
    </row>
    <row r="353" spans="1:87" x14ac:dyDescent="0.3">
      <c r="A353" s="10">
        <v>5902</v>
      </c>
      <c r="B353" s="11" t="s">
        <v>476</v>
      </c>
      <c r="C353" s="471">
        <v>1061</v>
      </c>
      <c r="D353" s="54">
        <v>479</v>
      </c>
      <c r="E353" s="367">
        <f t="shared" si="6"/>
        <v>0.45146088595664469</v>
      </c>
      <c r="F353" s="45"/>
      <c r="G353" s="45"/>
      <c r="H353" s="45"/>
      <c r="I353" s="45"/>
      <c r="J353" s="46"/>
      <c r="K353" s="45"/>
      <c r="L353" s="107"/>
      <c r="M353" s="541"/>
      <c r="N353" s="45"/>
      <c r="O353" s="45"/>
      <c r="P353" s="53"/>
      <c r="Q353" s="57"/>
      <c r="R353" s="57"/>
      <c r="S353" s="74"/>
      <c r="T353" s="45"/>
      <c r="U353" s="45"/>
      <c r="V353" s="73"/>
      <c r="W353" s="169"/>
      <c r="X353" s="173"/>
      <c r="Y353" s="190"/>
      <c r="Z353" s="167"/>
      <c r="AA353" s="45"/>
      <c r="AB353" s="57"/>
      <c r="AC353" s="169"/>
      <c r="AD353" s="165"/>
      <c r="AE353" s="165"/>
      <c r="AF353" s="167"/>
      <c r="AG353" s="73">
        <v>44</v>
      </c>
      <c r="AH353" s="45"/>
      <c r="AI353" s="46"/>
      <c r="AJ353" s="165"/>
      <c r="AK353" s="173"/>
      <c r="AL353" s="167"/>
      <c r="AM353" s="45"/>
      <c r="AN353" s="54"/>
      <c r="AO353" s="54"/>
      <c r="AP353" s="73"/>
      <c r="AQ353" s="165"/>
      <c r="AR353" s="168"/>
      <c r="AS353" s="165"/>
      <c r="AT353" s="190"/>
      <c r="AU353" s="167"/>
      <c r="AV353" s="45"/>
      <c r="AW353" s="54"/>
      <c r="AX353" s="54"/>
      <c r="AY353" s="53"/>
      <c r="AZ353" s="46"/>
      <c r="BA353" s="45"/>
      <c r="BB353" s="45"/>
      <c r="BC353" s="73"/>
      <c r="BD353" s="165"/>
      <c r="BE353" s="165"/>
      <c r="BF353" s="173"/>
      <c r="BG353" s="304"/>
      <c r="BH353" s="601"/>
      <c r="BI353" s="45">
        <v>159</v>
      </c>
      <c r="BJ353" s="46">
        <v>205</v>
      </c>
      <c r="BK353" s="45"/>
      <c r="BL353" s="53"/>
      <c r="BM353" s="200"/>
      <c r="BN353" s="165"/>
      <c r="BO353" s="173"/>
      <c r="BP353" s="190"/>
      <c r="BQ353" s="173"/>
      <c r="BR353" s="168"/>
      <c r="BS353" s="153"/>
      <c r="BT353" s="158"/>
      <c r="BU353" s="45">
        <v>97</v>
      </c>
      <c r="BV353" s="53">
        <v>127</v>
      </c>
      <c r="BW353" s="54">
        <v>133</v>
      </c>
      <c r="BX353" s="54">
        <v>106</v>
      </c>
      <c r="BY353" s="46">
        <v>102</v>
      </c>
      <c r="BZ353" s="45"/>
      <c r="CA353" s="54"/>
      <c r="CB353" s="53"/>
      <c r="CC353" s="46"/>
      <c r="CD353" s="45"/>
      <c r="CE353" s="54"/>
      <c r="CF353" s="54"/>
      <c r="CG353" s="73"/>
      <c r="CH353" s="165"/>
      <c r="CI353" s="167"/>
    </row>
    <row r="354" spans="1:87" x14ac:dyDescent="0.3">
      <c r="A354" s="10">
        <v>5903</v>
      </c>
      <c r="B354" s="11" t="s">
        <v>477</v>
      </c>
      <c r="C354" s="471">
        <v>1198</v>
      </c>
      <c r="D354" s="54">
        <v>475</v>
      </c>
      <c r="E354" s="367">
        <f t="shared" si="6"/>
        <v>0.39649415692821371</v>
      </c>
      <c r="F354" s="45"/>
      <c r="G354" s="45"/>
      <c r="H354" s="45"/>
      <c r="I354" s="45"/>
      <c r="J354" s="46"/>
      <c r="K354" s="45"/>
      <c r="L354" s="107"/>
      <c r="M354" s="541"/>
      <c r="N354" s="45"/>
      <c r="O354" s="45"/>
      <c r="P354" s="53"/>
      <c r="Q354" s="57"/>
      <c r="R354" s="57"/>
      <c r="S354" s="74"/>
      <c r="T354" s="45"/>
      <c r="U354" s="45"/>
      <c r="V354" s="73"/>
      <c r="W354" s="169"/>
      <c r="X354" s="173"/>
      <c r="Y354" s="190"/>
      <c r="Z354" s="167"/>
      <c r="AA354" s="45"/>
      <c r="AB354" s="57"/>
      <c r="AC354" s="169"/>
      <c r="AD354" s="165"/>
      <c r="AE354" s="165"/>
      <c r="AF354" s="167"/>
      <c r="AG354" s="106"/>
      <c r="AH354" s="199"/>
      <c r="AI354" s="200"/>
      <c r="AJ354" s="165"/>
      <c r="AK354" s="173"/>
      <c r="AL354" s="167"/>
      <c r="AM354" s="199"/>
      <c r="AN354" s="201"/>
      <c r="AO354" s="201"/>
      <c r="AP354" s="106"/>
      <c r="AQ354" s="165"/>
      <c r="AR354" s="168"/>
      <c r="AS354" s="165"/>
      <c r="AT354" s="190"/>
      <c r="AU354" s="167"/>
      <c r="AV354" s="199"/>
      <c r="AW354" s="201"/>
      <c r="AX354" s="201"/>
      <c r="AY354" s="202"/>
      <c r="AZ354" s="46"/>
      <c r="BA354" s="45"/>
      <c r="BB354" s="45"/>
      <c r="BC354" s="73"/>
      <c r="BD354" s="165"/>
      <c r="BE354" s="165"/>
      <c r="BF354" s="173"/>
      <c r="BG354" s="304"/>
      <c r="BH354" s="601"/>
      <c r="BI354" s="45">
        <v>182</v>
      </c>
      <c r="BJ354" s="46">
        <v>219</v>
      </c>
      <c r="BK354" s="45"/>
      <c r="BL354" s="53"/>
      <c r="BM354" s="200"/>
      <c r="BN354" s="165"/>
      <c r="BO354" s="173"/>
      <c r="BP354" s="190"/>
      <c r="BQ354" s="173"/>
      <c r="BR354" s="168"/>
      <c r="BS354" s="165"/>
      <c r="BT354" s="167"/>
      <c r="BU354" s="45">
        <v>126</v>
      </c>
      <c r="BV354" s="53">
        <v>131</v>
      </c>
      <c r="BW354" s="54">
        <v>156</v>
      </c>
      <c r="BX354" s="54">
        <v>103</v>
      </c>
      <c r="BY354" s="46">
        <v>108</v>
      </c>
      <c r="BZ354" s="45"/>
      <c r="CA354" s="54"/>
      <c r="CB354" s="53"/>
      <c r="CC354" s="46"/>
      <c r="CD354" s="45"/>
      <c r="CE354" s="54"/>
      <c r="CF354" s="54"/>
      <c r="CG354" s="73"/>
      <c r="CH354" s="165"/>
      <c r="CI354" s="167"/>
    </row>
    <row r="355" spans="1:87" x14ac:dyDescent="0.3">
      <c r="A355" s="10">
        <v>5904</v>
      </c>
      <c r="B355" s="11" t="s">
        <v>478</v>
      </c>
      <c r="C355" s="471">
        <v>1075</v>
      </c>
      <c r="D355" s="54">
        <v>381</v>
      </c>
      <c r="E355" s="367">
        <f t="shared" si="6"/>
        <v>0.35441860465116282</v>
      </c>
      <c r="F355" s="45"/>
      <c r="G355" s="45"/>
      <c r="H355" s="45"/>
      <c r="I355" s="45"/>
      <c r="J355" s="46"/>
      <c r="K355" s="45"/>
      <c r="L355" s="107"/>
      <c r="M355" s="541"/>
      <c r="N355" s="45"/>
      <c r="O355" s="45"/>
      <c r="P355" s="53"/>
      <c r="Q355" s="57"/>
      <c r="R355" s="57"/>
      <c r="S355" s="74"/>
      <c r="T355" s="45"/>
      <c r="U355" s="45"/>
      <c r="V355" s="73"/>
      <c r="W355" s="169"/>
      <c r="X355" s="173"/>
      <c r="Y355" s="190"/>
      <c r="Z355" s="167"/>
      <c r="AA355" s="45"/>
      <c r="AB355" s="57"/>
      <c r="AC355" s="169"/>
      <c r="AD355" s="165"/>
      <c r="AE355" s="165"/>
      <c r="AF355" s="167"/>
      <c r="AG355" s="73">
        <v>274</v>
      </c>
      <c r="AH355" s="45"/>
      <c r="AI355" s="46"/>
      <c r="AJ355" s="165"/>
      <c r="AK355" s="173"/>
      <c r="AL355" s="167"/>
      <c r="AM355" s="45"/>
      <c r="AN355" s="54"/>
      <c r="AO355" s="54"/>
      <c r="AP355" s="73"/>
      <c r="AQ355" s="165"/>
      <c r="AR355" s="168"/>
      <c r="AS355" s="165"/>
      <c r="AT355" s="190"/>
      <c r="AU355" s="167"/>
      <c r="AV355" s="45"/>
      <c r="AW355" s="54"/>
      <c r="AX355" s="54"/>
      <c r="AY355" s="53"/>
      <c r="AZ355" s="46"/>
      <c r="BA355" s="199"/>
      <c r="BB355" s="199"/>
      <c r="BC355" s="106"/>
      <c r="BD355" s="165"/>
      <c r="BE355" s="165"/>
      <c r="BF355" s="173"/>
      <c r="BG355" s="304"/>
      <c r="BH355" s="601"/>
      <c r="BI355" s="45">
        <v>0</v>
      </c>
      <c r="BJ355" s="46">
        <v>0</v>
      </c>
      <c r="BK355" s="45"/>
      <c r="BL355" s="53"/>
      <c r="BM355" s="200"/>
      <c r="BN355" s="165"/>
      <c r="BO355" s="173"/>
      <c r="BP355" s="190"/>
      <c r="BQ355" s="173"/>
      <c r="BR355" s="168"/>
      <c r="BS355" s="165"/>
      <c r="BT355" s="167"/>
      <c r="BU355" s="45">
        <v>0</v>
      </c>
      <c r="BV355" s="53">
        <v>0</v>
      </c>
      <c r="BW355" s="54">
        <v>0</v>
      </c>
      <c r="BX355" s="54">
        <v>0</v>
      </c>
      <c r="BY355" s="46">
        <v>0</v>
      </c>
      <c r="BZ355" s="45"/>
      <c r="CA355" s="54"/>
      <c r="CB355" s="53"/>
      <c r="CC355" s="46"/>
      <c r="CD355" s="45"/>
      <c r="CE355" s="54"/>
      <c r="CF355" s="54"/>
      <c r="CG355" s="73"/>
      <c r="CH355" s="165"/>
      <c r="CI355" s="167"/>
    </row>
    <row r="356" spans="1:87" x14ac:dyDescent="0.3">
      <c r="A356" s="10">
        <v>5905</v>
      </c>
      <c r="B356" s="11" t="s">
        <v>479</v>
      </c>
      <c r="C356" s="471">
        <v>1317</v>
      </c>
      <c r="D356" s="54">
        <v>788</v>
      </c>
      <c r="E356" s="367">
        <f t="shared" si="6"/>
        <v>0.59832953682612</v>
      </c>
      <c r="F356" s="45"/>
      <c r="G356" s="45"/>
      <c r="H356" s="45"/>
      <c r="I356" s="45"/>
      <c r="J356" s="46"/>
      <c r="K356" s="45"/>
      <c r="L356" s="107"/>
      <c r="M356" s="541"/>
      <c r="N356" s="45"/>
      <c r="O356" s="45"/>
      <c r="P356" s="53"/>
      <c r="Q356" s="57"/>
      <c r="R356" s="57"/>
      <c r="S356" s="74"/>
      <c r="T356" s="45"/>
      <c r="U356" s="45"/>
      <c r="V356" s="73"/>
      <c r="W356" s="169"/>
      <c r="X356" s="173"/>
      <c r="Y356" s="190"/>
      <c r="Z356" s="167"/>
      <c r="AA356" s="45"/>
      <c r="AB356" s="57"/>
      <c r="AC356" s="169"/>
      <c r="AD356" s="165"/>
      <c r="AE356" s="165"/>
      <c r="AF356" s="167"/>
      <c r="AG356" s="106"/>
      <c r="AH356" s="199"/>
      <c r="AI356" s="200"/>
      <c r="AJ356" s="165"/>
      <c r="AK356" s="173"/>
      <c r="AL356" s="167"/>
      <c r="AM356" s="199"/>
      <c r="AN356" s="201"/>
      <c r="AO356" s="201"/>
      <c r="AP356" s="106"/>
      <c r="AQ356" s="165"/>
      <c r="AR356" s="168"/>
      <c r="AS356" s="165"/>
      <c r="AT356" s="190"/>
      <c r="AU356" s="167"/>
      <c r="AV356" s="199"/>
      <c r="AW356" s="201"/>
      <c r="AX356" s="201"/>
      <c r="AY356" s="202"/>
      <c r="AZ356" s="46"/>
      <c r="BA356" s="45"/>
      <c r="BB356" s="45"/>
      <c r="BC356" s="73"/>
      <c r="BD356" s="165"/>
      <c r="BE356" s="165"/>
      <c r="BF356" s="173"/>
      <c r="BG356" s="304"/>
      <c r="BH356" s="601"/>
      <c r="BI356" s="45">
        <v>346</v>
      </c>
      <c r="BJ356" s="46">
        <v>344</v>
      </c>
      <c r="BK356" s="45"/>
      <c r="BL356" s="53"/>
      <c r="BM356" s="200"/>
      <c r="BN356" s="165"/>
      <c r="BO356" s="173"/>
      <c r="BP356" s="190"/>
      <c r="BQ356" s="173"/>
      <c r="BR356" s="168"/>
      <c r="BS356" s="165"/>
      <c r="BT356" s="167"/>
      <c r="BU356" s="45">
        <v>272</v>
      </c>
      <c r="BV356" s="53">
        <v>262</v>
      </c>
      <c r="BW356" s="54">
        <v>150</v>
      </c>
      <c r="BX356" s="54">
        <v>296</v>
      </c>
      <c r="BY356" s="46">
        <v>160</v>
      </c>
      <c r="BZ356" s="45"/>
      <c r="CA356" s="54"/>
      <c r="CB356" s="53"/>
      <c r="CC356" s="46"/>
      <c r="CD356" s="45"/>
      <c r="CE356" s="54"/>
      <c r="CF356" s="54"/>
      <c r="CG356" s="73"/>
      <c r="CH356" s="165"/>
      <c r="CI356" s="167"/>
    </row>
    <row r="357" spans="1:87" x14ac:dyDescent="0.3">
      <c r="A357" s="10">
        <v>5906</v>
      </c>
      <c r="B357" s="11" t="s">
        <v>480</v>
      </c>
      <c r="C357" s="471">
        <v>1329</v>
      </c>
      <c r="D357" s="54">
        <v>740</v>
      </c>
      <c r="E357" s="367">
        <f t="shared" si="6"/>
        <v>0.55680963130173067</v>
      </c>
      <c r="F357" s="45"/>
      <c r="G357" s="45"/>
      <c r="H357" s="45"/>
      <c r="I357" s="45"/>
      <c r="J357" s="46"/>
      <c r="K357" s="45"/>
      <c r="L357" s="107"/>
      <c r="M357" s="541"/>
      <c r="N357" s="45"/>
      <c r="O357" s="45"/>
      <c r="P357" s="53"/>
      <c r="Q357" s="57"/>
      <c r="R357" s="57"/>
      <c r="S357" s="74"/>
      <c r="T357" s="45"/>
      <c r="U357" s="45"/>
      <c r="V357" s="73"/>
      <c r="W357" s="169"/>
      <c r="X357" s="173"/>
      <c r="Y357" s="190"/>
      <c r="Z357" s="167"/>
      <c r="AA357" s="45"/>
      <c r="AB357" s="57"/>
      <c r="AC357" s="169"/>
      <c r="AD357" s="165"/>
      <c r="AE357" s="165"/>
      <c r="AF357" s="167"/>
      <c r="AG357" s="106"/>
      <c r="AH357" s="199"/>
      <c r="AI357" s="200"/>
      <c r="AJ357" s="165"/>
      <c r="AK357" s="173"/>
      <c r="AL357" s="167"/>
      <c r="AM357" s="199"/>
      <c r="AN357" s="201"/>
      <c r="AO357" s="201"/>
      <c r="AP357" s="106"/>
      <c r="AQ357" s="165"/>
      <c r="AR357" s="168"/>
      <c r="AS357" s="165"/>
      <c r="AT357" s="190"/>
      <c r="AU357" s="167"/>
      <c r="AV357" s="199"/>
      <c r="AW357" s="201"/>
      <c r="AX357" s="201"/>
      <c r="AY357" s="202"/>
      <c r="AZ357" s="46"/>
      <c r="BA357" s="199"/>
      <c r="BB357" s="199"/>
      <c r="BC357" s="106"/>
      <c r="BD357" s="165"/>
      <c r="BE357" s="165"/>
      <c r="BF357" s="173"/>
      <c r="BG357" s="304"/>
      <c r="BH357" s="601"/>
      <c r="BI357" s="45">
        <v>290</v>
      </c>
      <c r="BJ357" s="46">
        <v>286</v>
      </c>
      <c r="BK357" s="45"/>
      <c r="BL357" s="53"/>
      <c r="BM357" s="200"/>
      <c r="BN357" s="165"/>
      <c r="BO357" s="173"/>
      <c r="BP357" s="190"/>
      <c r="BQ357" s="173"/>
      <c r="BR357" s="168"/>
      <c r="BS357" s="165"/>
      <c r="BT357" s="167"/>
      <c r="BU357" s="45">
        <v>302</v>
      </c>
      <c r="BV357" s="53">
        <v>184</v>
      </c>
      <c r="BW357" s="54">
        <v>138</v>
      </c>
      <c r="BX357" s="54">
        <v>350</v>
      </c>
      <c r="BY357" s="46">
        <v>91</v>
      </c>
      <c r="BZ357" s="45"/>
      <c r="CA357" s="54"/>
      <c r="CB357" s="53"/>
      <c r="CC357" s="46"/>
      <c r="CD357" s="45"/>
      <c r="CE357" s="54"/>
      <c r="CF357" s="54"/>
      <c r="CG357" s="73"/>
      <c r="CH357" s="165"/>
      <c r="CI357" s="167"/>
    </row>
    <row r="358" spans="1:87" x14ac:dyDescent="0.3">
      <c r="A358" s="10">
        <v>5907</v>
      </c>
      <c r="B358" s="11" t="s">
        <v>481</v>
      </c>
      <c r="C358" s="471">
        <v>1179</v>
      </c>
      <c r="D358" s="54">
        <v>694</v>
      </c>
      <c r="E358" s="367">
        <f t="shared" si="6"/>
        <v>0.58863443596268028</v>
      </c>
      <c r="F358" s="45"/>
      <c r="G358" s="45"/>
      <c r="H358" s="45"/>
      <c r="I358" s="45"/>
      <c r="J358" s="46"/>
      <c r="K358" s="45"/>
      <c r="L358" s="107"/>
      <c r="M358" s="541"/>
      <c r="N358" s="45"/>
      <c r="O358" s="45"/>
      <c r="P358" s="53"/>
      <c r="Q358" s="57"/>
      <c r="R358" s="57"/>
      <c r="S358" s="74"/>
      <c r="T358" s="45"/>
      <c r="U358" s="45"/>
      <c r="V358" s="73"/>
      <c r="W358" s="169"/>
      <c r="X358" s="173"/>
      <c r="Y358" s="190"/>
      <c r="Z358" s="167"/>
      <c r="AA358" s="45"/>
      <c r="AB358" s="57"/>
      <c r="AC358" s="169"/>
      <c r="AD358" s="165"/>
      <c r="AE358" s="165"/>
      <c r="AF358" s="167"/>
      <c r="AG358" s="106"/>
      <c r="AH358" s="199"/>
      <c r="AI358" s="200"/>
      <c r="AJ358" s="165"/>
      <c r="AK358" s="173"/>
      <c r="AL358" s="167"/>
      <c r="AM358" s="199"/>
      <c r="AN358" s="201"/>
      <c r="AO358" s="201"/>
      <c r="AP358" s="106"/>
      <c r="AQ358" s="165"/>
      <c r="AR358" s="168"/>
      <c r="AS358" s="165"/>
      <c r="AT358" s="190"/>
      <c r="AU358" s="167"/>
      <c r="AV358" s="199"/>
      <c r="AW358" s="201"/>
      <c r="AX358" s="201"/>
      <c r="AY358" s="202"/>
      <c r="AZ358" s="46"/>
      <c r="BA358" s="199"/>
      <c r="BB358" s="199"/>
      <c r="BC358" s="106"/>
      <c r="BD358" s="165"/>
      <c r="BE358" s="165"/>
      <c r="BF358" s="173"/>
      <c r="BG358" s="304"/>
      <c r="BH358" s="601"/>
      <c r="BI358" s="45">
        <v>284</v>
      </c>
      <c r="BJ358" s="46">
        <v>260</v>
      </c>
      <c r="BK358" s="45"/>
      <c r="BL358" s="53"/>
      <c r="BM358" s="200"/>
      <c r="BN358" s="165"/>
      <c r="BO358" s="173"/>
      <c r="BP358" s="190"/>
      <c r="BQ358" s="173"/>
      <c r="BR358" s="168"/>
      <c r="BS358" s="165"/>
      <c r="BT358" s="167"/>
      <c r="BU358" s="45">
        <v>235</v>
      </c>
      <c r="BV358" s="53">
        <v>183</v>
      </c>
      <c r="BW358" s="54">
        <v>129</v>
      </c>
      <c r="BX358" s="54">
        <v>302</v>
      </c>
      <c r="BY358" s="46">
        <v>122</v>
      </c>
      <c r="BZ358" s="45"/>
      <c r="CA358" s="54"/>
      <c r="CB358" s="53"/>
      <c r="CC358" s="46"/>
      <c r="CD358" s="45"/>
      <c r="CE358" s="54"/>
      <c r="CF358" s="54"/>
      <c r="CG358" s="73"/>
      <c r="CH358" s="165"/>
      <c r="CI358" s="167"/>
    </row>
    <row r="359" spans="1:87" x14ac:dyDescent="0.3">
      <c r="A359" s="10">
        <v>5908</v>
      </c>
      <c r="B359" s="11" t="s">
        <v>482</v>
      </c>
      <c r="C359" s="471">
        <v>1447</v>
      </c>
      <c r="D359" s="54">
        <v>740</v>
      </c>
      <c r="E359" s="367">
        <f t="shared" si="6"/>
        <v>0.51140290255701448</v>
      </c>
      <c r="F359" s="45"/>
      <c r="G359" s="45"/>
      <c r="H359" s="45"/>
      <c r="I359" s="45"/>
      <c r="J359" s="46"/>
      <c r="K359" s="45"/>
      <c r="L359" s="107"/>
      <c r="M359" s="541"/>
      <c r="N359" s="45"/>
      <c r="O359" s="45"/>
      <c r="P359" s="53"/>
      <c r="Q359" s="57"/>
      <c r="R359" s="57"/>
      <c r="S359" s="74"/>
      <c r="T359" s="45"/>
      <c r="U359" s="45"/>
      <c r="V359" s="73"/>
      <c r="W359" s="169"/>
      <c r="X359" s="173"/>
      <c r="Y359" s="190"/>
      <c r="Z359" s="167"/>
      <c r="AA359" s="45"/>
      <c r="AB359" s="57"/>
      <c r="AC359" s="169"/>
      <c r="AD359" s="165"/>
      <c r="AE359" s="165"/>
      <c r="AF359" s="167"/>
      <c r="AG359" s="106"/>
      <c r="AH359" s="199"/>
      <c r="AI359" s="200"/>
      <c r="AJ359" s="165"/>
      <c r="AK359" s="173"/>
      <c r="AL359" s="167"/>
      <c r="AM359" s="199"/>
      <c r="AN359" s="201"/>
      <c r="AO359" s="201"/>
      <c r="AP359" s="106"/>
      <c r="AQ359" s="165"/>
      <c r="AR359" s="168"/>
      <c r="AS359" s="165"/>
      <c r="AT359" s="190"/>
      <c r="AU359" s="167"/>
      <c r="AV359" s="199"/>
      <c r="AW359" s="201"/>
      <c r="AX359" s="201"/>
      <c r="AY359" s="202"/>
      <c r="AZ359" s="46"/>
      <c r="BA359" s="199"/>
      <c r="BB359" s="199"/>
      <c r="BC359" s="106"/>
      <c r="BD359" s="165"/>
      <c r="BE359" s="165"/>
      <c r="BF359" s="173"/>
      <c r="BG359" s="304"/>
      <c r="BH359" s="601"/>
      <c r="BI359" s="45">
        <v>280</v>
      </c>
      <c r="BJ359" s="46">
        <v>300</v>
      </c>
      <c r="BK359" s="45"/>
      <c r="BL359" s="53"/>
      <c r="BM359" s="200"/>
      <c r="BN359" s="165"/>
      <c r="BO359" s="173"/>
      <c r="BP359" s="190"/>
      <c r="BQ359" s="173"/>
      <c r="BR359" s="168"/>
      <c r="BS359" s="165"/>
      <c r="BT359" s="167"/>
      <c r="BU359" s="45">
        <v>223</v>
      </c>
      <c r="BV359" s="53">
        <v>217</v>
      </c>
      <c r="BW359" s="54">
        <v>180</v>
      </c>
      <c r="BX359" s="54">
        <v>230</v>
      </c>
      <c r="BY359" s="46">
        <v>126</v>
      </c>
      <c r="BZ359" s="45"/>
      <c r="CA359" s="54"/>
      <c r="CB359" s="53"/>
      <c r="CC359" s="46"/>
      <c r="CD359" s="45"/>
      <c r="CE359" s="54"/>
      <c r="CF359" s="54"/>
      <c r="CG359" s="73"/>
      <c r="CH359" s="165"/>
      <c r="CI359" s="167"/>
    </row>
    <row r="360" spans="1:87" x14ac:dyDescent="0.3">
      <c r="A360" s="10">
        <v>5909</v>
      </c>
      <c r="B360" s="11" t="s">
        <v>483</v>
      </c>
      <c r="C360" s="471">
        <v>826</v>
      </c>
      <c r="D360" s="54">
        <v>509</v>
      </c>
      <c r="E360" s="367">
        <f t="shared" si="6"/>
        <v>0.61622276029055689</v>
      </c>
      <c r="F360" s="45"/>
      <c r="G360" s="45"/>
      <c r="H360" s="45"/>
      <c r="I360" s="45"/>
      <c r="J360" s="46"/>
      <c r="K360" s="45"/>
      <c r="L360" s="107"/>
      <c r="M360" s="541"/>
      <c r="N360" s="45"/>
      <c r="O360" s="45"/>
      <c r="P360" s="53"/>
      <c r="Q360" s="57"/>
      <c r="R360" s="57"/>
      <c r="S360" s="74"/>
      <c r="T360" s="45"/>
      <c r="U360" s="45"/>
      <c r="V360" s="73"/>
      <c r="W360" s="169"/>
      <c r="X360" s="173"/>
      <c r="Y360" s="190"/>
      <c r="Z360" s="167"/>
      <c r="AA360" s="45"/>
      <c r="AB360" s="57"/>
      <c r="AC360" s="169"/>
      <c r="AD360" s="165"/>
      <c r="AE360" s="165"/>
      <c r="AF360" s="167"/>
      <c r="AG360" s="106"/>
      <c r="AH360" s="199"/>
      <c r="AI360" s="200"/>
      <c r="AJ360" s="165"/>
      <c r="AK360" s="173"/>
      <c r="AL360" s="167"/>
      <c r="AM360" s="199"/>
      <c r="AN360" s="201"/>
      <c r="AO360" s="201"/>
      <c r="AP360" s="106"/>
      <c r="AQ360" s="165"/>
      <c r="AR360" s="168"/>
      <c r="AS360" s="165"/>
      <c r="AT360" s="190"/>
      <c r="AU360" s="167"/>
      <c r="AV360" s="199"/>
      <c r="AW360" s="201"/>
      <c r="AX360" s="201"/>
      <c r="AY360" s="202"/>
      <c r="AZ360" s="46"/>
      <c r="BA360" s="199"/>
      <c r="BB360" s="199"/>
      <c r="BC360" s="106"/>
      <c r="BD360" s="165"/>
      <c r="BE360" s="165"/>
      <c r="BF360" s="173"/>
      <c r="BG360" s="304"/>
      <c r="BH360" s="601"/>
      <c r="BI360" s="45">
        <v>229</v>
      </c>
      <c r="BJ360" s="46">
        <v>210</v>
      </c>
      <c r="BK360" s="45"/>
      <c r="BL360" s="53"/>
      <c r="BM360" s="200"/>
      <c r="BN360" s="165"/>
      <c r="BO360" s="173"/>
      <c r="BP360" s="190"/>
      <c r="BQ360" s="173"/>
      <c r="BR360" s="168"/>
      <c r="BS360" s="165"/>
      <c r="BT360" s="167"/>
      <c r="BU360" s="45">
        <v>177</v>
      </c>
      <c r="BV360" s="53">
        <v>186</v>
      </c>
      <c r="BW360" s="54">
        <v>63</v>
      </c>
      <c r="BX360" s="54">
        <v>205</v>
      </c>
      <c r="BY360" s="46">
        <v>103</v>
      </c>
      <c r="BZ360" s="45"/>
      <c r="CA360" s="54"/>
      <c r="CB360" s="53"/>
      <c r="CC360" s="46"/>
      <c r="CD360" s="45"/>
      <c r="CE360" s="54"/>
      <c r="CF360" s="54"/>
      <c r="CG360" s="73"/>
      <c r="CH360" s="165"/>
      <c r="CI360" s="167"/>
    </row>
    <row r="361" spans="1:87" x14ac:dyDescent="0.3">
      <c r="A361" s="10">
        <v>5910</v>
      </c>
      <c r="B361" s="11" t="s">
        <v>484</v>
      </c>
      <c r="C361" s="471">
        <v>1345</v>
      </c>
      <c r="D361" s="54">
        <v>564</v>
      </c>
      <c r="E361" s="367">
        <f t="shared" si="6"/>
        <v>0.41933085501858736</v>
      </c>
      <c r="F361" s="45"/>
      <c r="G361" s="45"/>
      <c r="H361" s="45"/>
      <c r="I361" s="45"/>
      <c r="J361" s="46"/>
      <c r="K361" s="45"/>
      <c r="L361" s="107"/>
      <c r="M361" s="541"/>
      <c r="N361" s="45"/>
      <c r="O361" s="45"/>
      <c r="P361" s="53"/>
      <c r="Q361" s="57"/>
      <c r="R361" s="57"/>
      <c r="S361" s="74"/>
      <c r="T361" s="45"/>
      <c r="U361" s="45"/>
      <c r="V361" s="73"/>
      <c r="W361" s="169"/>
      <c r="X361" s="173"/>
      <c r="Y361" s="190"/>
      <c r="Z361" s="167"/>
      <c r="AA361" s="45"/>
      <c r="AB361" s="57"/>
      <c r="AC361" s="169"/>
      <c r="AD361" s="165"/>
      <c r="AE361" s="165"/>
      <c r="AF361" s="167"/>
      <c r="AG361" s="106"/>
      <c r="AH361" s="199"/>
      <c r="AI361" s="200"/>
      <c r="AJ361" s="165"/>
      <c r="AK361" s="173"/>
      <c r="AL361" s="167"/>
      <c r="AM361" s="199"/>
      <c r="AN361" s="201"/>
      <c r="AO361" s="201"/>
      <c r="AP361" s="106"/>
      <c r="AQ361" s="165"/>
      <c r="AR361" s="168"/>
      <c r="AS361" s="165"/>
      <c r="AT361" s="190"/>
      <c r="AU361" s="167"/>
      <c r="AV361" s="199"/>
      <c r="AW361" s="201"/>
      <c r="AX361" s="201"/>
      <c r="AY361" s="202"/>
      <c r="AZ361" s="46"/>
      <c r="BA361" s="199"/>
      <c r="BB361" s="199"/>
      <c r="BC361" s="106"/>
      <c r="BD361" s="165"/>
      <c r="BE361" s="165"/>
      <c r="BF361" s="173"/>
      <c r="BG361" s="304"/>
      <c r="BH361" s="601"/>
      <c r="BI361" s="45">
        <v>241</v>
      </c>
      <c r="BJ361" s="46">
        <v>269</v>
      </c>
      <c r="BK361" s="45"/>
      <c r="BL361" s="53"/>
      <c r="BM361" s="200"/>
      <c r="BN361" s="165"/>
      <c r="BO361" s="173"/>
      <c r="BP361" s="190"/>
      <c r="BQ361" s="173"/>
      <c r="BR361" s="168"/>
      <c r="BS361" s="165"/>
      <c r="BT361" s="167"/>
      <c r="BU361" s="45">
        <v>165</v>
      </c>
      <c r="BV361" s="53">
        <v>184</v>
      </c>
      <c r="BW361" s="54">
        <v>149</v>
      </c>
      <c r="BX361" s="54">
        <v>175</v>
      </c>
      <c r="BY361" s="46">
        <v>108</v>
      </c>
      <c r="BZ361" s="45"/>
      <c r="CA361" s="54"/>
      <c r="CB361" s="53"/>
      <c r="CC361" s="46"/>
      <c r="CD361" s="45"/>
      <c r="CE361" s="54"/>
      <c r="CF361" s="54"/>
      <c r="CG361" s="73"/>
      <c r="CH361" s="165"/>
      <c r="CI361" s="167"/>
    </row>
    <row r="362" spans="1:87" x14ac:dyDescent="0.3">
      <c r="A362" s="10">
        <v>5911</v>
      </c>
      <c r="B362" s="11" t="s">
        <v>485</v>
      </c>
      <c r="C362" s="471">
        <v>851</v>
      </c>
      <c r="D362" s="54">
        <v>433</v>
      </c>
      <c r="E362" s="367">
        <f t="shared" si="6"/>
        <v>0.50881316098707408</v>
      </c>
      <c r="F362" s="45"/>
      <c r="G362" s="45"/>
      <c r="H362" s="45"/>
      <c r="I362" s="45"/>
      <c r="J362" s="46"/>
      <c r="K362" s="45"/>
      <c r="L362" s="107"/>
      <c r="M362" s="541"/>
      <c r="N362" s="45"/>
      <c r="O362" s="45"/>
      <c r="P362" s="53"/>
      <c r="Q362" s="57"/>
      <c r="R362" s="57"/>
      <c r="S362" s="74"/>
      <c r="T362" s="45"/>
      <c r="U362" s="45"/>
      <c r="V362" s="73"/>
      <c r="W362" s="169"/>
      <c r="X362" s="173"/>
      <c r="Y362" s="190"/>
      <c r="Z362" s="167"/>
      <c r="AA362" s="45"/>
      <c r="AB362" s="57"/>
      <c r="AC362" s="169"/>
      <c r="AD362" s="165"/>
      <c r="AE362" s="165"/>
      <c r="AF362" s="167"/>
      <c r="AG362" s="106"/>
      <c r="AH362" s="199"/>
      <c r="AI362" s="200"/>
      <c r="AJ362" s="165"/>
      <c r="AK362" s="173"/>
      <c r="AL362" s="167"/>
      <c r="AM362" s="199"/>
      <c r="AN362" s="201"/>
      <c r="AO362" s="201"/>
      <c r="AP362" s="106"/>
      <c r="AQ362" s="165"/>
      <c r="AR362" s="168"/>
      <c r="AS362" s="165"/>
      <c r="AT362" s="190"/>
      <c r="AU362" s="167"/>
      <c r="AV362" s="199"/>
      <c r="AW362" s="201"/>
      <c r="AX362" s="201"/>
      <c r="AY362" s="202"/>
      <c r="AZ362" s="46"/>
      <c r="BA362" s="199"/>
      <c r="BB362" s="199"/>
      <c r="BC362" s="106"/>
      <c r="BD362" s="165"/>
      <c r="BE362" s="165"/>
      <c r="BF362" s="173"/>
      <c r="BG362" s="304"/>
      <c r="BH362" s="601"/>
      <c r="BI362" s="45">
        <v>177</v>
      </c>
      <c r="BJ362" s="46">
        <v>193</v>
      </c>
      <c r="BK362" s="45"/>
      <c r="BL362" s="53"/>
      <c r="BM362" s="200"/>
      <c r="BN362" s="165"/>
      <c r="BO362" s="173"/>
      <c r="BP362" s="190"/>
      <c r="BQ362" s="173"/>
      <c r="BR362" s="168"/>
      <c r="BS362" s="165"/>
      <c r="BT362" s="167"/>
      <c r="BU362" s="45">
        <v>104</v>
      </c>
      <c r="BV362" s="53">
        <v>152</v>
      </c>
      <c r="BW362" s="54">
        <v>103</v>
      </c>
      <c r="BX362" s="54">
        <v>129</v>
      </c>
      <c r="BY362" s="46">
        <v>92</v>
      </c>
      <c r="BZ362" s="45"/>
      <c r="CA362" s="54"/>
      <c r="CB362" s="53"/>
      <c r="CC362" s="46"/>
      <c r="CD362" s="45"/>
      <c r="CE362" s="54"/>
      <c r="CF362" s="54"/>
      <c r="CG362" s="73"/>
      <c r="CH362" s="165"/>
      <c r="CI362" s="167"/>
    </row>
    <row r="363" spans="1:87" x14ac:dyDescent="0.3">
      <c r="A363" s="10">
        <v>5912</v>
      </c>
      <c r="B363" s="11" t="s">
        <v>486</v>
      </c>
      <c r="C363" s="471">
        <v>1183</v>
      </c>
      <c r="D363" s="54">
        <v>758</v>
      </c>
      <c r="E363" s="367">
        <f t="shared" si="6"/>
        <v>0.6407438715131023</v>
      </c>
      <c r="F363" s="45"/>
      <c r="G363" s="45"/>
      <c r="H363" s="45"/>
      <c r="I363" s="45"/>
      <c r="J363" s="46"/>
      <c r="K363" s="45"/>
      <c r="L363" s="107"/>
      <c r="M363" s="541"/>
      <c r="N363" s="45"/>
      <c r="O363" s="45"/>
      <c r="P363" s="53"/>
      <c r="Q363" s="57"/>
      <c r="R363" s="57"/>
      <c r="S363" s="74"/>
      <c r="T363" s="45"/>
      <c r="U363" s="45"/>
      <c r="V363" s="73"/>
      <c r="W363" s="169"/>
      <c r="X363" s="173"/>
      <c r="Y363" s="190"/>
      <c r="Z363" s="167"/>
      <c r="AA363" s="45"/>
      <c r="AB363" s="57"/>
      <c r="AC363" s="169"/>
      <c r="AD363" s="165"/>
      <c r="AE363" s="165"/>
      <c r="AF363" s="167"/>
      <c r="AG363" s="106"/>
      <c r="AH363" s="199"/>
      <c r="AI363" s="200"/>
      <c r="AJ363" s="165"/>
      <c r="AK363" s="173"/>
      <c r="AL363" s="167"/>
      <c r="AM363" s="199"/>
      <c r="AN363" s="201"/>
      <c r="AO363" s="201"/>
      <c r="AP363" s="106"/>
      <c r="AQ363" s="165"/>
      <c r="AR363" s="168"/>
      <c r="AS363" s="165"/>
      <c r="AT363" s="190"/>
      <c r="AU363" s="167"/>
      <c r="AV363" s="199"/>
      <c r="AW363" s="201"/>
      <c r="AX363" s="201"/>
      <c r="AY363" s="202"/>
      <c r="AZ363" s="46"/>
      <c r="BA363" s="199"/>
      <c r="BB363" s="199"/>
      <c r="BC363" s="106"/>
      <c r="BD363" s="165"/>
      <c r="BE363" s="165"/>
      <c r="BF363" s="173"/>
      <c r="BG363" s="304"/>
      <c r="BH363" s="601"/>
      <c r="BI363" s="45">
        <v>321</v>
      </c>
      <c r="BJ363" s="46">
        <v>304</v>
      </c>
      <c r="BK363" s="45"/>
      <c r="BL363" s="53"/>
      <c r="BM363" s="200"/>
      <c r="BN363" s="165"/>
      <c r="BO363" s="173"/>
      <c r="BP363" s="190"/>
      <c r="BQ363" s="173"/>
      <c r="BR363" s="168"/>
      <c r="BS363" s="165"/>
      <c r="BT363" s="167"/>
      <c r="BU363" s="45">
        <v>292</v>
      </c>
      <c r="BV363" s="53">
        <v>248</v>
      </c>
      <c r="BW363" s="54">
        <v>116</v>
      </c>
      <c r="BX363" s="54">
        <v>350</v>
      </c>
      <c r="BY363" s="46">
        <v>133</v>
      </c>
      <c r="BZ363" s="45"/>
      <c r="CA363" s="54"/>
      <c r="CB363" s="53"/>
      <c r="CC363" s="46"/>
      <c r="CD363" s="45"/>
      <c r="CE363" s="54"/>
      <c r="CF363" s="54"/>
      <c r="CG363" s="73"/>
      <c r="CH363" s="165"/>
      <c r="CI363" s="167"/>
    </row>
    <row r="364" spans="1:87" x14ac:dyDescent="0.3">
      <c r="A364" s="10">
        <v>5913</v>
      </c>
      <c r="B364" s="11" t="s">
        <v>487</v>
      </c>
      <c r="C364" s="471">
        <v>1034</v>
      </c>
      <c r="D364" s="54">
        <v>409</v>
      </c>
      <c r="E364" s="367">
        <f t="shared" si="6"/>
        <v>0.39555125725338491</v>
      </c>
      <c r="F364" s="45"/>
      <c r="G364" s="45"/>
      <c r="H364" s="45"/>
      <c r="I364" s="45"/>
      <c r="J364" s="46"/>
      <c r="K364" s="45"/>
      <c r="L364" s="107"/>
      <c r="M364" s="541"/>
      <c r="N364" s="45"/>
      <c r="O364" s="45"/>
      <c r="P364" s="53"/>
      <c r="Q364" s="57"/>
      <c r="R364" s="57"/>
      <c r="S364" s="74"/>
      <c r="T364" s="45"/>
      <c r="U364" s="45"/>
      <c r="V364" s="73"/>
      <c r="W364" s="169"/>
      <c r="X364" s="173"/>
      <c r="Y364" s="190"/>
      <c r="Z364" s="167"/>
      <c r="AA364" s="45"/>
      <c r="AB364" s="57"/>
      <c r="AC364" s="169"/>
      <c r="AD364" s="165"/>
      <c r="AE364" s="165"/>
      <c r="AF364" s="167"/>
      <c r="AG364" s="106"/>
      <c r="AH364" s="199"/>
      <c r="AI364" s="200"/>
      <c r="AJ364" s="165"/>
      <c r="AK364" s="173"/>
      <c r="AL364" s="167"/>
      <c r="AM364" s="199"/>
      <c r="AN364" s="201"/>
      <c r="AO364" s="201"/>
      <c r="AP364" s="106"/>
      <c r="AQ364" s="165"/>
      <c r="AR364" s="168"/>
      <c r="AS364" s="165"/>
      <c r="AT364" s="190"/>
      <c r="AU364" s="167"/>
      <c r="AV364" s="199"/>
      <c r="AW364" s="201"/>
      <c r="AX364" s="201"/>
      <c r="AY364" s="202"/>
      <c r="AZ364" s="46"/>
      <c r="BA364" s="199"/>
      <c r="BB364" s="199"/>
      <c r="BC364" s="106"/>
      <c r="BD364" s="165"/>
      <c r="BE364" s="165"/>
      <c r="BF364" s="173"/>
      <c r="BG364" s="304"/>
      <c r="BH364" s="601"/>
      <c r="BI364" s="45">
        <v>141</v>
      </c>
      <c r="BJ364" s="46">
        <v>176</v>
      </c>
      <c r="BK364" s="45"/>
      <c r="BL364" s="53"/>
      <c r="BM364" s="200"/>
      <c r="BN364" s="165"/>
      <c r="BO364" s="173"/>
      <c r="BP364" s="190"/>
      <c r="BQ364" s="173"/>
      <c r="BR364" s="168"/>
      <c r="BS364" s="165"/>
      <c r="BT364" s="167"/>
      <c r="BU364" s="45">
        <v>93</v>
      </c>
      <c r="BV364" s="53">
        <v>104</v>
      </c>
      <c r="BW364" s="54">
        <v>131</v>
      </c>
      <c r="BX364" s="54">
        <v>95</v>
      </c>
      <c r="BY364" s="46">
        <v>117</v>
      </c>
      <c r="BZ364" s="45"/>
      <c r="CA364" s="54"/>
      <c r="CB364" s="53"/>
      <c r="CC364" s="46"/>
      <c r="CD364" s="45"/>
      <c r="CE364" s="54"/>
      <c r="CF364" s="54"/>
      <c r="CG364" s="73"/>
      <c r="CH364" s="165"/>
      <c r="CI364" s="167"/>
    </row>
    <row r="365" spans="1:87" x14ac:dyDescent="0.3">
      <c r="A365" s="10">
        <v>5914</v>
      </c>
      <c r="B365" s="11" t="s">
        <v>488</v>
      </c>
      <c r="C365" s="471">
        <v>1359</v>
      </c>
      <c r="D365" s="54">
        <v>732</v>
      </c>
      <c r="E365" s="367">
        <f t="shared" si="6"/>
        <v>0.53863134657836642</v>
      </c>
      <c r="F365" s="45"/>
      <c r="G365" s="45"/>
      <c r="H365" s="45"/>
      <c r="I365" s="45"/>
      <c r="J365" s="46"/>
      <c r="K365" s="45"/>
      <c r="L365" s="107"/>
      <c r="M365" s="541"/>
      <c r="N365" s="45"/>
      <c r="O365" s="45"/>
      <c r="P365" s="53"/>
      <c r="Q365" s="57"/>
      <c r="R365" s="57"/>
      <c r="S365" s="74"/>
      <c r="T365" s="45"/>
      <c r="U365" s="45"/>
      <c r="V365" s="73"/>
      <c r="W365" s="169"/>
      <c r="X365" s="173"/>
      <c r="Y365" s="190"/>
      <c r="Z365" s="167"/>
      <c r="AA365" s="45"/>
      <c r="AB365" s="57"/>
      <c r="AC365" s="169"/>
      <c r="AD365" s="165"/>
      <c r="AE365" s="165"/>
      <c r="AF365" s="167"/>
      <c r="AG365" s="106"/>
      <c r="AH365" s="199"/>
      <c r="AI365" s="200"/>
      <c r="AJ365" s="165"/>
      <c r="AK365" s="173"/>
      <c r="AL365" s="167"/>
      <c r="AM365" s="199"/>
      <c r="AN365" s="201"/>
      <c r="AO365" s="201"/>
      <c r="AP365" s="106"/>
      <c r="AQ365" s="165"/>
      <c r="AR365" s="168"/>
      <c r="AS365" s="165"/>
      <c r="AT365" s="190"/>
      <c r="AU365" s="167"/>
      <c r="AV365" s="199"/>
      <c r="AW365" s="201"/>
      <c r="AX365" s="201"/>
      <c r="AY365" s="202"/>
      <c r="AZ365" s="46"/>
      <c r="BA365" s="199"/>
      <c r="BB365" s="199"/>
      <c r="BC365" s="106"/>
      <c r="BD365" s="165"/>
      <c r="BE365" s="165"/>
      <c r="BF365" s="173"/>
      <c r="BG365" s="304"/>
      <c r="BH365" s="601"/>
      <c r="BI365" s="45">
        <v>311</v>
      </c>
      <c r="BJ365" s="46">
        <v>304</v>
      </c>
      <c r="BK365" s="45"/>
      <c r="BL365" s="53"/>
      <c r="BM365" s="200"/>
      <c r="BN365" s="165"/>
      <c r="BO365" s="173"/>
      <c r="BP365" s="190"/>
      <c r="BQ365" s="173"/>
      <c r="BR365" s="168"/>
      <c r="BS365" s="165"/>
      <c r="BT365" s="167"/>
      <c r="BU365" s="45">
        <v>244</v>
      </c>
      <c r="BV365" s="53">
        <v>238</v>
      </c>
      <c r="BW365" s="54">
        <v>138</v>
      </c>
      <c r="BX365" s="54">
        <v>257</v>
      </c>
      <c r="BY365" s="46">
        <v>156</v>
      </c>
      <c r="BZ365" s="45"/>
      <c r="CA365" s="54"/>
      <c r="CB365" s="53"/>
      <c r="CC365" s="46"/>
      <c r="CD365" s="45"/>
      <c r="CE365" s="54"/>
      <c r="CF365" s="54"/>
      <c r="CG365" s="73"/>
      <c r="CH365" s="165"/>
      <c r="CI365" s="167"/>
    </row>
    <row r="366" spans="1:87" x14ac:dyDescent="0.3">
      <c r="A366" s="10">
        <v>5915</v>
      </c>
      <c r="B366" s="11" t="s">
        <v>489</v>
      </c>
      <c r="C366" s="471">
        <v>566</v>
      </c>
      <c r="D366" s="54">
        <v>273</v>
      </c>
      <c r="E366" s="367">
        <f t="shared" si="6"/>
        <v>0.48233215547703179</v>
      </c>
      <c r="F366" s="45"/>
      <c r="G366" s="45"/>
      <c r="H366" s="45"/>
      <c r="I366" s="45"/>
      <c r="J366" s="46"/>
      <c r="K366" s="45"/>
      <c r="L366" s="107"/>
      <c r="M366" s="541"/>
      <c r="N366" s="45"/>
      <c r="O366" s="45"/>
      <c r="P366" s="53"/>
      <c r="Q366" s="57"/>
      <c r="R366" s="57"/>
      <c r="S366" s="74"/>
      <c r="T366" s="45"/>
      <c r="U366" s="45"/>
      <c r="V366" s="73"/>
      <c r="W366" s="169"/>
      <c r="X366" s="173"/>
      <c r="Y366" s="190"/>
      <c r="Z366" s="167"/>
      <c r="AA366" s="45"/>
      <c r="AB366" s="57"/>
      <c r="AC366" s="169"/>
      <c r="AD366" s="165"/>
      <c r="AE366" s="165"/>
      <c r="AF366" s="167"/>
      <c r="AG366" s="106"/>
      <c r="AH366" s="199"/>
      <c r="AI366" s="200"/>
      <c r="AJ366" s="165"/>
      <c r="AK366" s="173"/>
      <c r="AL366" s="167"/>
      <c r="AM366" s="199"/>
      <c r="AN366" s="201"/>
      <c r="AO366" s="201"/>
      <c r="AP366" s="106"/>
      <c r="AQ366" s="165"/>
      <c r="AR366" s="168"/>
      <c r="AS366" s="165"/>
      <c r="AT366" s="190"/>
      <c r="AU366" s="167"/>
      <c r="AV366" s="199"/>
      <c r="AW366" s="201"/>
      <c r="AX366" s="201"/>
      <c r="AY366" s="202"/>
      <c r="AZ366" s="46"/>
      <c r="BA366" s="199"/>
      <c r="BB366" s="199"/>
      <c r="BC366" s="106"/>
      <c r="BD366" s="165"/>
      <c r="BE366" s="165"/>
      <c r="BF366" s="173"/>
      <c r="BG366" s="304"/>
      <c r="BH366" s="601"/>
      <c r="BI366" s="45">
        <v>117</v>
      </c>
      <c r="BJ366" s="46">
        <v>114</v>
      </c>
      <c r="BK366" s="45"/>
      <c r="BL366" s="53"/>
      <c r="BM366" s="200"/>
      <c r="BN366" s="165"/>
      <c r="BO366" s="173"/>
      <c r="BP366" s="190"/>
      <c r="BQ366" s="173"/>
      <c r="BR366" s="168"/>
      <c r="BS366" s="165"/>
      <c r="BT366" s="167"/>
      <c r="BU366" s="45">
        <v>93</v>
      </c>
      <c r="BV366" s="53">
        <v>80</v>
      </c>
      <c r="BW366" s="54">
        <v>53</v>
      </c>
      <c r="BX366" s="54">
        <v>93</v>
      </c>
      <c r="BY366" s="46">
        <v>58</v>
      </c>
      <c r="BZ366" s="45"/>
      <c r="CA366" s="54"/>
      <c r="CB366" s="53"/>
      <c r="CC366" s="46"/>
      <c r="CD366" s="45"/>
      <c r="CE366" s="54"/>
      <c r="CF366" s="54"/>
      <c r="CG366" s="73"/>
      <c r="CH366" s="165"/>
      <c r="CI366" s="167"/>
    </row>
    <row r="367" spans="1:87" x14ac:dyDescent="0.3">
      <c r="A367" s="10">
        <v>5916</v>
      </c>
      <c r="B367" s="11" t="s">
        <v>490</v>
      </c>
      <c r="C367" s="471">
        <v>521</v>
      </c>
      <c r="D367" s="54">
        <v>235</v>
      </c>
      <c r="E367" s="367">
        <f t="shared" si="6"/>
        <v>0.45105566218809978</v>
      </c>
      <c r="F367" s="45"/>
      <c r="G367" s="45"/>
      <c r="H367" s="45"/>
      <c r="I367" s="45"/>
      <c r="J367" s="46"/>
      <c r="K367" s="45"/>
      <c r="L367" s="107"/>
      <c r="M367" s="541"/>
      <c r="N367" s="45"/>
      <c r="O367" s="45"/>
      <c r="P367" s="53"/>
      <c r="Q367" s="57"/>
      <c r="R367" s="57"/>
      <c r="S367" s="74"/>
      <c r="T367" s="45"/>
      <c r="U367" s="45"/>
      <c r="V367" s="73"/>
      <c r="W367" s="169"/>
      <c r="X367" s="173"/>
      <c r="Y367" s="190"/>
      <c r="Z367" s="167"/>
      <c r="AA367" s="45"/>
      <c r="AB367" s="57"/>
      <c r="AC367" s="169"/>
      <c r="AD367" s="165"/>
      <c r="AE367" s="165"/>
      <c r="AF367" s="167"/>
      <c r="AG367" s="106"/>
      <c r="AH367" s="199"/>
      <c r="AI367" s="200"/>
      <c r="AJ367" s="165"/>
      <c r="AK367" s="173"/>
      <c r="AL367" s="167"/>
      <c r="AM367" s="199"/>
      <c r="AN367" s="201"/>
      <c r="AO367" s="201"/>
      <c r="AP367" s="106"/>
      <c r="AQ367" s="165"/>
      <c r="AR367" s="168"/>
      <c r="AS367" s="165"/>
      <c r="AT367" s="190"/>
      <c r="AU367" s="167"/>
      <c r="AV367" s="199"/>
      <c r="AW367" s="201"/>
      <c r="AX367" s="201"/>
      <c r="AY367" s="202"/>
      <c r="AZ367" s="46"/>
      <c r="BA367" s="199"/>
      <c r="BB367" s="199"/>
      <c r="BC367" s="106"/>
      <c r="BD367" s="165"/>
      <c r="BE367" s="165"/>
      <c r="BF367" s="173"/>
      <c r="BG367" s="304"/>
      <c r="BH367" s="601"/>
      <c r="BI367" s="45">
        <v>89</v>
      </c>
      <c r="BJ367" s="46">
        <v>114</v>
      </c>
      <c r="BK367" s="45"/>
      <c r="BL367" s="53"/>
      <c r="BM367" s="200"/>
      <c r="BN367" s="165"/>
      <c r="BO367" s="173"/>
      <c r="BP367" s="190"/>
      <c r="BQ367" s="173"/>
      <c r="BR367" s="168"/>
      <c r="BS367" s="165"/>
      <c r="BT367" s="167"/>
      <c r="BU367" s="45">
        <v>44</v>
      </c>
      <c r="BV367" s="53">
        <v>64</v>
      </c>
      <c r="BW367" s="54">
        <v>82</v>
      </c>
      <c r="BX367" s="54">
        <v>58</v>
      </c>
      <c r="BY367" s="46">
        <v>46</v>
      </c>
      <c r="BZ367" s="45"/>
      <c r="CA367" s="54"/>
      <c r="CB367" s="53"/>
      <c r="CC367" s="46"/>
      <c r="CD367" s="45"/>
      <c r="CE367" s="54"/>
      <c r="CF367" s="54"/>
      <c r="CG367" s="73"/>
      <c r="CH367" s="165"/>
      <c r="CI367" s="167"/>
    </row>
    <row r="368" spans="1:87" x14ac:dyDescent="0.3">
      <c r="A368" s="10">
        <v>5917</v>
      </c>
      <c r="B368" s="11" t="s">
        <v>491</v>
      </c>
      <c r="C368" s="471">
        <v>1182</v>
      </c>
      <c r="D368" s="54">
        <v>748</v>
      </c>
      <c r="E368" s="367">
        <f t="shared" si="6"/>
        <v>0.63282571912013541</v>
      </c>
      <c r="F368" s="45"/>
      <c r="G368" s="45"/>
      <c r="H368" s="45"/>
      <c r="I368" s="45"/>
      <c r="J368" s="46"/>
      <c r="K368" s="45"/>
      <c r="L368" s="107"/>
      <c r="M368" s="541"/>
      <c r="N368" s="45"/>
      <c r="O368" s="45"/>
      <c r="P368" s="53"/>
      <c r="Q368" s="57"/>
      <c r="R368" s="57"/>
      <c r="S368" s="74"/>
      <c r="T368" s="45"/>
      <c r="U368" s="45"/>
      <c r="V368" s="73"/>
      <c r="W368" s="169"/>
      <c r="X368" s="173"/>
      <c r="Y368" s="190"/>
      <c r="Z368" s="167"/>
      <c r="AA368" s="45"/>
      <c r="AB368" s="57"/>
      <c r="AC368" s="169"/>
      <c r="AD368" s="165"/>
      <c r="AE368" s="165"/>
      <c r="AF368" s="167"/>
      <c r="AG368" s="106"/>
      <c r="AH368" s="199"/>
      <c r="AI368" s="200"/>
      <c r="AJ368" s="165"/>
      <c r="AK368" s="173"/>
      <c r="AL368" s="167"/>
      <c r="AM368" s="199"/>
      <c r="AN368" s="201"/>
      <c r="AO368" s="201"/>
      <c r="AP368" s="106"/>
      <c r="AQ368" s="165"/>
      <c r="AR368" s="168"/>
      <c r="AS368" s="165"/>
      <c r="AT368" s="190"/>
      <c r="AU368" s="167"/>
      <c r="AV368" s="199"/>
      <c r="AW368" s="201"/>
      <c r="AX368" s="201"/>
      <c r="AY368" s="202"/>
      <c r="AZ368" s="46"/>
      <c r="BA368" s="199"/>
      <c r="BB368" s="199"/>
      <c r="BC368" s="106"/>
      <c r="BD368" s="165"/>
      <c r="BE368" s="165"/>
      <c r="BF368" s="173"/>
      <c r="BG368" s="304"/>
      <c r="BH368" s="601"/>
      <c r="BI368" s="45">
        <v>320</v>
      </c>
      <c r="BJ368" s="46">
        <v>252</v>
      </c>
      <c r="BK368" s="45"/>
      <c r="BL368" s="53"/>
      <c r="BM368" s="200"/>
      <c r="BN368" s="165"/>
      <c r="BO368" s="173"/>
      <c r="BP368" s="190"/>
      <c r="BQ368" s="173"/>
      <c r="BR368" s="168"/>
      <c r="BS368" s="165"/>
      <c r="BT368" s="167"/>
      <c r="BU368" s="45">
        <v>286</v>
      </c>
      <c r="BV368" s="53">
        <v>209</v>
      </c>
      <c r="BW368" s="54">
        <v>113</v>
      </c>
      <c r="BX368" s="54">
        <v>351</v>
      </c>
      <c r="BY368" s="46">
        <v>125</v>
      </c>
      <c r="BZ368" s="45"/>
      <c r="CA368" s="54"/>
      <c r="CB368" s="53"/>
      <c r="CC368" s="46"/>
      <c r="CD368" s="45"/>
      <c r="CE368" s="54"/>
      <c r="CF368" s="54"/>
      <c r="CG368" s="73"/>
      <c r="CH368" s="165"/>
      <c r="CI368" s="167"/>
    </row>
    <row r="369" spans="1:87" x14ac:dyDescent="0.3">
      <c r="A369" s="10">
        <v>5918</v>
      </c>
      <c r="B369" s="11" t="s">
        <v>492</v>
      </c>
      <c r="C369" s="471">
        <v>1238</v>
      </c>
      <c r="D369" s="54">
        <v>524</v>
      </c>
      <c r="E369" s="367">
        <f t="shared" si="6"/>
        <v>0.42326332794830374</v>
      </c>
      <c r="F369" s="45"/>
      <c r="G369" s="45"/>
      <c r="H369" s="45"/>
      <c r="I369" s="45"/>
      <c r="J369" s="46"/>
      <c r="K369" s="45"/>
      <c r="L369" s="107"/>
      <c r="M369" s="541"/>
      <c r="N369" s="45"/>
      <c r="O369" s="45"/>
      <c r="P369" s="53"/>
      <c r="Q369" s="57"/>
      <c r="R369" s="57"/>
      <c r="S369" s="74"/>
      <c r="T369" s="45"/>
      <c r="U369" s="45"/>
      <c r="V369" s="73"/>
      <c r="W369" s="169"/>
      <c r="X369" s="173"/>
      <c r="Y369" s="190"/>
      <c r="Z369" s="167"/>
      <c r="AA369" s="45"/>
      <c r="AB369" s="57"/>
      <c r="AC369" s="169"/>
      <c r="AD369" s="165"/>
      <c r="AE369" s="165"/>
      <c r="AF369" s="167"/>
      <c r="AG369" s="106"/>
      <c r="AH369" s="199"/>
      <c r="AI369" s="200"/>
      <c r="AJ369" s="165"/>
      <c r="AK369" s="173"/>
      <c r="AL369" s="167"/>
      <c r="AM369" s="199"/>
      <c r="AN369" s="201"/>
      <c r="AO369" s="201"/>
      <c r="AP369" s="106"/>
      <c r="AQ369" s="165"/>
      <c r="AR369" s="168"/>
      <c r="AS369" s="165"/>
      <c r="AT369" s="190"/>
      <c r="AU369" s="167"/>
      <c r="AV369" s="199"/>
      <c r="AW369" s="201"/>
      <c r="AX369" s="201"/>
      <c r="AY369" s="202"/>
      <c r="AZ369" s="46"/>
      <c r="BA369" s="199"/>
      <c r="BB369" s="199"/>
      <c r="BC369" s="106"/>
      <c r="BD369" s="165"/>
      <c r="BE369" s="165"/>
      <c r="BF369" s="173"/>
      <c r="BG369" s="304"/>
      <c r="BH369" s="601"/>
      <c r="BI369" s="45">
        <v>202</v>
      </c>
      <c r="BJ369" s="46">
        <v>240</v>
      </c>
      <c r="BK369" s="45"/>
      <c r="BL369" s="53"/>
      <c r="BM369" s="200"/>
      <c r="BN369" s="165"/>
      <c r="BO369" s="173"/>
      <c r="BP369" s="190"/>
      <c r="BQ369" s="173"/>
      <c r="BR369" s="168"/>
      <c r="BS369" s="165"/>
      <c r="BT369" s="167"/>
      <c r="BU369" s="45">
        <v>169</v>
      </c>
      <c r="BV369" s="53">
        <v>141</v>
      </c>
      <c r="BW369" s="54">
        <v>140</v>
      </c>
      <c r="BX369" s="54">
        <v>182</v>
      </c>
      <c r="BY369" s="46">
        <v>98</v>
      </c>
      <c r="BZ369" s="45"/>
      <c r="CA369" s="54"/>
      <c r="CB369" s="53"/>
      <c r="CC369" s="46"/>
      <c r="CD369" s="45"/>
      <c r="CE369" s="54"/>
      <c r="CF369" s="54"/>
      <c r="CG369" s="73"/>
      <c r="CH369" s="165"/>
      <c r="CI369" s="167"/>
    </row>
    <row r="370" spans="1:87" x14ac:dyDescent="0.3">
      <c r="A370" s="10">
        <v>5919</v>
      </c>
      <c r="B370" s="11" t="s">
        <v>493</v>
      </c>
      <c r="C370" s="471">
        <v>1165</v>
      </c>
      <c r="D370" s="54">
        <v>633</v>
      </c>
      <c r="E370" s="367">
        <f t="shared" si="6"/>
        <v>0.54334763948497855</v>
      </c>
      <c r="F370" s="45"/>
      <c r="G370" s="45"/>
      <c r="H370" s="45"/>
      <c r="I370" s="45"/>
      <c r="J370" s="46"/>
      <c r="K370" s="45"/>
      <c r="L370" s="107"/>
      <c r="M370" s="541"/>
      <c r="N370" s="45"/>
      <c r="O370" s="45"/>
      <c r="P370" s="53"/>
      <c r="Q370" s="57"/>
      <c r="R370" s="57"/>
      <c r="S370" s="74"/>
      <c r="T370" s="45"/>
      <c r="U370" s="45"/>
      <c r="V370" s="73"/>
      <c r="W370" s="169"/>
      <c r="X370" s="173"/>
      <c r="Y370" s="190"/>
      <c r="Z370" s="167"/>
      <c r="AA370" s="45"/>
      <c r="AB370" s="57"/>
      <c r="AC370" s="169"/>
      <c r="AD370" s="165"/>
      <c r="AE370" s="165"/>
      <c r="AF370" s="167"/>
      <c r="AG370" s="106"/>
      <c r="AH370" s="199"/>
      <c r="AI370" s="200"/>
      <c r="AJ370" s="165"/>
      <c r="AK370" s="173"/>
      <c r="AL370" s="167"/>
      <c r="AM370" s="199"/>
      <c r="AN370" s="201"/>
      <c r="AO370" s="201"/>
      <c r="AP370" s="106"/>
      <c r="AQ370" s="165"/>
      <c r="AR370" s="168"/>
      <c r="AS370" s="165"/>
      <c r="AT370" s="190"/>
      <c r="AU370" s="167"/>
      <c r="AV370" s="199"/>
      <c r="AW370" s="201"/>
      <c r="AX370" s="201"/>
      <c r="AY370" s="202"/>
      <c r="AZ370" s="46"/>
      <c r="BA370" s="199"/>
      <c r="BB370" s="199"/>
      <c r="BC370" s="106"/>
      <c r="BD370" s="165"/>
      <c r="BE370" s="165"/>
      <c r="BF370" s="173"/>
      <c r="BG370" s="304"/>
      <c r="BH370" s="601"/>
      <c r="BI370" s="45">
        <v>256</v>
      </c>
      <c r="BJ370" s="46">
        <v>262</v>
      </c>
      <c r="BK370" s="45"/>
      <c r="BL370" s="53"/>
      <c r="BM370" s="200"/>
      <c r="BN370" s="165"/>
      <c r="BO370" s="173"/>
      <c r="BP370" s="190"/>
      <c r="BQ370" s="173"/>
      <c r="BR370" s="168"/>
      <c r="BS370" s="165"/>
      <c r="BT370" s="167"/>
      <c r="BU370" s="45">
        <v>271</v>
      </c>
      <c r="BV370" s="53">
        <v>142</v>
      </c>
      <c r="BW370" s="54">
        <v>118</v>
      </c>
      <c r="BX370" s="54">
        <v>269</v>
      </c>
      <c r="BY370" s="46">
        <v>139</v>
      </c>
      <c r="BZ370" s="45"/>
      <c r="CA370" s="54"/>
      <c r="CB370" s="53"/>
      <c r="CC370" s="46"/>
      <c r="CD370" s="45"/>
      <c r="CE370" s="54"/>
      <c r="CF370" s="54"/>
      <c r="CG370" s="73"/>
      <c r="CH370" s="165"/>
      <c r="CI370" s="167"/>
    </row>
    <row r="371" spans="1:87" x14ac:dyDescent="0.3">
      <c r="A371" s="10">
        <v>5920</v>
      </c>
      <c r="B371" s="11" t="s">
        <v>494</v>
      </c>
      <c r="C371" s="471">
        <v>1193</v>
      </c>
      <c r="D371" s="54">
        <v>494</v>
      </c>
      <c r="E371" s="367">
        <f t="shared" si="6"/>
        <v>0.41408214585079633</v>
      </c>
      <c r="F371" s="45"/>
      <c r="G371" s="45"/>
      <c r="H371" s="45"/>
      <c r="I371" s="45"/>
      <c r="J371" s="46"/>
      <c r="K371" s="45"/>
      <c r="L371" s="107"/>
      <c r="M371" s="541"/>
      <c r="N371" s="45"/>
      <c r="O371" s="45"/>
      <c r="P371" s="53"/>
      <c r="Q371" s="57"/>
      <c r="R371" s="57"/>
      <c r="S371" s="74"/>
      <c r="T371" s="45"/>
      <c r="U371" s="45"/>
      <c r="V371" s="73"/>
      <c r="W371" s="169"/>
      <c r="X371" s="173"/>
      <c r="Y371" s="190"/>
      <c r="Z371" s="167"/>
      <c r="AA371" s="45"/>
      <c r="AB371" s="57"/>
      <c r="AC371" s="169"/>
      <c r="AD371" s="165"/>
      <c r="AE371" s="165"/>
      <c r="AF371" s="167"/>
      <c r="AG371" s="73">
        <v>264</v>
      </c>
      <c r="AH371" s="45"/>
      <c r="AI371" s="46"/>
      <c r="AJ371" s="165"/>
      <c r="AK371" s="173"/>
      <c r="AL371" s="167"/>
      <c r="AM371" s="45"/>
      <c r="AN371" s="54"/>
      <c r="AO371" s="54"/>
      <c r="AP371" s="73"/>
      <c r="AQ371" s="165"/>
      <c r="AR371" s="168"/>
      <c r="AS371" s="165"/>
      <c r="AT371" s="190"/>
      <c r="AU371" s="167"/>
      <c r="AV371" s="45"/>
      <c r="AW371" s="54"/>
      <c r="AX371" s="54"/>
      <c r="AY371" s="53"/>
      <c r="AZ371" s="46"/>
      <c r="BA371" s="199"/>
      <c r="BB371" s="199"/>
      <c r="BC371" s="106"/>
      <c r="BD371" s="165"/>
      <c r="BE371" s="165"/>
      <c r="BF371" s="173"/>
      <c r="BG371" s="304"/>
      <c r="BH371" s="601"/>
      <c r="BI371" s="45">
        <v>43</v>
      </c>
      <c r="BJ371" s="46">
        <v>52</v>
      </c>
      <c r="BK371" s="45"/>
      <c r="BL371" s="53"/>
      <c r="BM371" s="200"/>
      <c r="BN371" s="165"/>
      <c r="BO371" s="173"/>
      <c r="BP371" s="190"/>
      <c r="BQ371" s="173"/>
      <c r="BR371" s="168"/>
      <c r="BS371" s="165"/>
      <c r="BT371" s="167"/>
      <c r="BU371" s="45">
        <v>28</v>
      </c>
      <c r="BV371" s="53">
        <v>33</v>
      </c>
      <c r="BW371" s="54">
        <v>26</v>
      </c>
      <c r="BX371" s="54">
        <v>30</v>
      </c>
      <c r="BY371" s="46">
        <v>25</v>
      </c>
      <c r="BZ371" s="45"/>
      <c r="CA371" s="54"/>
      <c r="CB371" s="53"/>
      <c r="CC371" s="46"/>
      <c r="CD371" s="45"/>
      <c r="CE371" s="54"/>
      <c r="CF371" s="54"/>
      <c r="CG371" s="73"/>
      <c r="CH371" s="165"/>
      <c r="CI371" s="167"/>
    </row>
    <row r="372" spans="1:87" x14ac:dyDescent="0.3">
      <c r="A372" s="10">
        <v>5921</v>
      </c>
      <c r="B372" s="11" t="s">
        <v>495</v>
      </c>
      <c r="C372" s="471">
        <v>957</v>
      </c>
      <c r="D372" s="54">
        <v>480</v>
      </c>
      <c r="E372" s="367">
        <f t="shared" si="6"/>
        <v>0.50156739811912221</v>
      </c>
      <c r="F372" s="45"/>
      <c r="G372" s="45"/>
      <c r="H372" s="45"/>
      <c r="I372" s="45"/>
      <c r="J372" s="46"/>
      <c r="K372" s="45"/>
      <c r="L372" s="107"/>
      <c r="M372" s="541"/>
      <c r="N372" s="45"/>
      <c r="O372" s="45"/>
      <c r="P372" s="53"/>
      <c r="Q372" s="57"/>
      <c r="R372" s="57"/>
      <c r="S372" s="74"/>
      <c r="T372" s="45"/>
      <c r="U372" s="45"/>
      <c r="V372" s="73"/>
      <c r="W372" s="169"/>
      <c r="X372" s="173"/>
      <c r="Y372" s="190"/>
      <c r="Z372" s="167"/>
      <c r="AA372" s="45"/>
      <c r="AB372" s="57"/>
      <c r="AC372" s="169"/>
      <c r="AD372" s="165"/>
      <c r="AE372" s="165"/>
      <c r="AF372" s="167"/>
      <c r="AG372" s="106"/>
      <c r="AH372" s="199"/>
      <c r="AI372" s="200"/>
      <c r="AJ372" s="165"/>
      <c r="AK372" s="173"/>
      <c r="AL372" s="167"/>
      <c r="AM372" s="199"/>
      <c r="AN372" s="201"/>
      <c r="AO372" s="201"/>
      <c r="AP372" s="106"/>
      <c r="AQ372" s="165"/>
      <c r="AR372" s="168"/>
      <c r="AS372" s="165"/>
      <c r="AT372" s="190"/>
      <c r="AU372" s="167"/>
      <c r="AV372" s="199"/>
      <c r="AW372" s="201"/>
      <c r="AX372" s="201"/>
      <c r="AY372" s="202"/>
      <c r="AZ372" s="46"/>
      <c r="BA372" s="45"/>
      <c r="BB372" s="45"/>
      <c r="BC372" s="73"/>
      <c r="BD372" s="165"/>
      <c r="BE372" s="165"/>
      <c r="BF372" s="173"/>
      <c r="BG372" s="304"/>
      <c r="BH372" s="601"/>
      <c r="BI372" s="45">
        <v>188</v>
      </c>
      <c r="BJ372" s="46">
        <v>193</v>
      </c>
      <c r="BK372" s="45"/>
      <c r="BL372" s="53"/>
      <c r="BM372" s="200"/>
      <c r="BN372" s="165"/>
      <c r="BO372" s="173"/>
      <c r="BP372" s="190"/>
      <c r="BQ372" s="173"/>
      <c r="BR372" s="168"/>
      <c r="BS372" s="165"/>
      <c r="BT372" s="167"/>
      <c r="BU372" s="45">
        <v>95</v>
      </c>
      <c r="BV372" s="53">
        <v>153</v>
      </c>
      <c r="BW372" s="54">
        <v>135</v>
      </c>
      <c r="BX372" s="54">
        <v>114</v>
      </c>
      <c r="BY372" s="46">
        <v>115</v>
      </c>
      <c r="BZ372" s="45"/>
      <c r="CA372" s="54"/>
      <c r="CB372" s="53"/>
      <c r="CC372" s="46"/>
      <c r="CD372" s="45"/>
      <c r="CE372" s="54"/>
      <c r="CF372" s="54"/>
      <c r="CG372" s="73"/>
      <c r="CH372" s="165"/>
      <c r="CI372" s="167"/>
    </row>
    <row r="373" spans="1:87" x14ac:dyDescent="0.3">
      <c r="A373" s="10">
        <v>5922</v>
      </c>
      <c r="B373" s="11" t="s">
        <v>496</v>
      </c>
      <c r="C373" s="471">
        <v>1150</v>
      </c>
      <c r="D373" s="54">
        <v>495</v>
      </c>
      <c r="E373" s="367">
        <f t="shared" si="6"/>
        <v>0.43043478260869567</v>
      </c>
      <c r="F373" s="45"/>
      <c r="G373" s="45"/>
      <c r="H373" s="45"/>
      <c r="I373" s="45"/>
      <c r="J373" s="46"/>
      <c r="K373" s="45"/>
      <c r="L373" s="107"/>
      <c r="M373" s="541"/>
      <c r="N373" s="45"/>
      <c r="O373" s="45"/>
      <c r="P373" s="53"/>
      <c r="Q373" s="57"/>
      <c r="R373" s="57"/>
      <c r="S373" s="74"/>
      <c r="T373" s="45"/>
      <c r="U373" s="45"/>
      <c r="V373" s="73"/>
      <c r="W373" s="169"/>
      <c r="X373" s="173"/>
      <c r="Y373" s="190"/>
      <c r="Z373" s="167"/>
      <c r="AA373" s="45"/>
      <c r="AB373" s="57"/>
      <c r="AC373" s="169"/>
      <c r="AD373" s="165"/>
      <c r="AE373" s="165"/>
      <c r="AF373" s="167"/>
      <c r="AG373" s="106"/>
      <c r="AH373" s="199"/>
      <c r="AI373" s="200"/>
      <c r="AJ373" s="165"/>
      <c r="AK373" s="173"/>
      <c r="AL373" s="167"/>
      <c r="AM373" s="199"/>
      <c r="AN373" s="201"/>
      <c r="AO373" s="201"/>
      <c r="AP373" s="106"/>
      <c r="AQ373" s="165"/>
      <c r="AR373" s="168"/>
      <c r="AS373" s="165"/>
      <c r="AT373" s="190"/>
      <c r="AU373" s="167"/>
      <c r="AV373" s="199"/>
      <c r="AW373" s="201"/>
      <c r="AX373" s="201"/>
      <c r="AY373" s="202"/>
      <c r="AZ373" s="46"/>
      <c r="BA373" s="199"/>
      <c r="BB373" s="199"/>
      <c r="BC373" s="106"/>
      <c r="BD373" s="165"/>
      <c r="BE373" s="165"/>
      <c r="BF373" s="173"/>
      <c r="BG373" s="304"/>
      <c r="BH373" s="601"/>
      <c r="BI373" s="45">
        <v>180</v>
      </c>
      <c r="BJ373" s="46">
        <v>216</v>
      </c>
      <c r="BK373" s="45"/>
      <c r="BL373" s="53"/>
      <c r="BM373" s="200"/>
      <c r="BN373" s="165"/>
      <c r="BO373" s="173"/>
      <c r="BP373" s="190"/>
      <c r="BQ373" s="173"/>
      <c r="BR373" s="168"/>
      <c r="BS373" s="165"/>
      <c r="BT373" s="167"/>
      <c r="BU373" s="45">
        <v>129</v>
      </c>
      <c r="BV373" s="53">
        <v>137</v>
      </c>
      <c r="BW373" s="54">
        <v>107</v>
      </c>
      <c r="BX373" s="54">
        <v>142</v>
      </c>
      <c r="BY373" s="46">
        <v>102</v>
      </c>
      <c r="BZ373" s="45"/>
      <c r="CA373" s="54"/>
      <c r="CB373" s="53"/>
      <c r="CC373" s="46"/>
      <c r="CD373" s="45"/>
      <c r="CE373" s="54"/>
      <c r="CF373" s="54"/>
      <c r="CG373" s="73"/>
      <c r="CH373" s="165"/>
      <c r="CI373" s="167"/>
    </row>
    <row r="374" spans="1:87" x14ac:dyDescent="0.3">
      <c r="A374" s="10">
        <v>5923</v>
      </c>
      <c r="B374" s="11" t="s">
        <v>497</v>
      </c>
      <c r="C374" s="471">
        <v>694</v>
      </c>
      <c r="D374" s="54">
        <v>224</v>
      </c>
      <c r="E374" s="367">
        <f t="shared" si="6"/>
        <v>0.32276657060518732</v>
      </c>
      <c r="F374" s="45"/>
      <c r="G374" s="45"/>
      <c r="H374" s="45"/>
      <c r="I374" s="45"/>
      <c r="J374" s="46"/>
      <c r="K374" s="45"/>
      <c r="L374" s="107"/>
      <c r="M374" s="541"/>
      <c r="N374" s="45"/>
      <c r="O374" s="45"/>
      <c r="P374" s="53"/>
      <c r="Q374" s="57"/>
      <c r="R374" s="57"/>
      <c r="S374" s="74"/>
      <c r="T374" s="45"/>
      <c r="U374" s="45"/>
      <c r="V374" s="73"/>
      <c r="W374" s="169"/>
      <c r="X374" s="173"/>
      <c r="Y374" s="190"/>
      <c r="Z374" s="167"/>
      <c r="AA374" s="45"/>
      <c r="AB374" s="57"/>
      <c r="AC374" s="169"/>
      <c r="AD374" s="165"/>
      <c r="AE374" s="165"/>
      <c r="AF374" s="167"/>
      <c r="AG374" s="106"/>
      <c r="AH374" s="199"/>
      <c r="AI374" s="200"/>
      <c r="AJ374" s="165"/>
      <c r="AK374" s="173"/>
      <c r="AL374" s="167"/>
      <c r="AM374" s="199"/>
      <c r="AN374" s="201"/>
      <c r="AO374" s="201"/>
      <c r="AP374" s="106"/>
      <c r="AQ374" s="165"/>
      <c r="AR374" s="168"/>
      <c r="AS374" s="165"/>
      <c r="AT374" s="190"/>
      <c r="AU374" s="167"/>
      <c r="AV374" s="199"/>
      <c r="AW374" s="201"/>
      <c r="AX374" s="201"/>
      <c r="AY374" s="202"/>
      <c r="AZ374" s="46"/>
      <c r="BA374" s="199"/>
      <c r="BB374" s="199"/>
      <c r="BC374" s="106"/>
      <c r="BD374" s="165"/>
      <c r="BE374" s="165"/>
      <c r="BF374" s="173"/>
      <c r="BG374" s="304"/>
      <c r="BH374" s="601"/>
      <c r="BI374" s="45">
        <v>87</v>
      </c>
      <c r="BJ374" s="46">
        <v>119</v>
      </c>
      <c r="BK374" s="45"/>
      <c r="BL374" s="53"/>
      <c r="BM374" s="200"/>
      <c r="BN374" s="165"/>
      <c r="BO374" s="173"/>
      <c r="BP374" s="190"/>
      <c r="BQ374" s="173"/>
      <c r="BR374" s="168"/>
      <c r="BS374" s="165"/>
      <c r="BT374" s="167"/>
      <c r="BU374" s="45">
        <v>53</v>
      </c>
      <c r="BV374" s="53">
        <v>66</v>
      </c>
      <c r="BW374" s="54">
        <v>90</v>
      </c>
      <c r="BX374" s="54">
        <v>45</v>
      </c>
      <c r="BY374" s="46">
        <v>40</v>
      </c>
      <c r="BZ374" s="45"/>
      <c r="CA374" s="54"/>
      <c r="CB374" s="53"/>
      <c r="CC374" s="46"/>
      <c r="CD374" s="45"/>
      <c r="CE374" s="54"/>
      <c r="CF374" s="54"/>
      <c r="CG374" s="73"/>
      <c r="CH374" s="165"/>
      <c r="CI374" s="167"/>
    </row>
    <row r="375" spans="1:87" x14ac:dyDescent="0.3">
      <c r="A375" s="10">
        <v>5924</v>
      </c>
      <c r="B375" s="11" t="s">
        <v>498</v>
      </c>
      <c r="C375" s="471">
        <v>1126</v>
      </c>
      <c r="D375" s="54">
        <v>464</v>
      </c>
      <c r="E375" s="367">
        <f t="shared" si="6"/>
        <v>0.41207815275310833</v>
      </c>
      <c r="F375" s="45"/>
      <c r="G375" s="45"/>
      <c r="H375" s="45"/>
      <c r="I375" s="45"/>
      <c r="J375" s="46"/>
      <c r="K375" s="45"/>
      <c r="L375" s="107"/>
      <c r="M375" s="541"/>
      <c r="N375" s="45"/>
      <c r="O375" s="45"/>
      <c r="P375" s="53"/>
      <c r="Q375" s="57"/>
      <c r="R375" s="57"/>
      <c r="S375" s="74"/>
      <c r="T375" s="45"/>
      <c r="U375" s="45"/>
      <c r="V375" s="73"/>
      <c r="W375" s="169"/>
      <c r="X375" s="173"/>
      <c r="Y375" s="190"/>
      <c r="Z375" s="167"/>
      <c r="AA375" s="45"/>
      <c r="AB375" s="57"/>
      <c r="AC375" s="169"/>
      <c r="AD375" s="165"/>
      <c r="AE375" s="165"/>
      <c r="AF375" s="167"/>
      <c r="AG375" s="106"/>
      <c r="AH375" s="199"/>
      <c r="AI375" s="200"/>
      <c r="AJ375" s="165"/>
      <c r="AK375" s="173"/>
      <c r="AL375" s="167"/>
      <c r="AM375" s="199"/>
      <c r="AN375" s="201"/>
      <c r="AO375" s="201"/>
      <c r="AP375" s="106"/>
      <c r="AQ375" s="165"/>
      <c r="AR375" s="168"/>
      <c r="AS375" s="165"/>
      <c r="AT375" s="190"/>
      <c r="AU375" s="167"/>
      <c r="AV375" s="199"/>
      <c r="AW375" s="201"/>
      <c r="AX375" s="201"/>
      <c r="AY375" s="202"/>
      <c r="AZ375" s="46"/>
      <c r="BA375" s="199"/>
      <c r="BB375" s="199"/>
      <c r="BC375" s="106"/>
      <c r="BD375" s="165"/>
      <c r="BE375" s="165"/>
      <c r="BF375" s="173"/>
      <c r="BG375" s="304"/>
      <c r="BH375" s="601"/>
      <c r="BI375" s="45">
        <v>189</v>
      </c>
      <c r="BJ375" s="46">
        <v>224</v>
      </c>
      <c r="BK375" s="45"/>
      <c r="BL375" s="53"/>
      <c r="BM375" s="200"/>
      <c r="BN375" s="165"/>
      <c r="BO375" s="173"/>
      <c r="BP375" s="190"/>
      <c r="BQ375" s="173"/>
      <c r="BR375" s="168"/>
      <c r="BS375" s="165"/>
      <c r="BT375" s="167"/>
      <c r="BU375" s="45">
        <v>97</v>
      </c>
      <c r="BV375" s="53">
        <v>125</v>
      </c>
      <c r="BW375" s="54">
        <v>163</v>
      </c>
      <c r="BX375" s="54">
        <v>112</v>
      </c>
      <c r="BY375" s="46">
        <v>95</v>
      </c>
      <c r="BZ375" s="45"/>
      <c r="CA375" s="54"/>
      <c r="CB375" s="53"/>
      <c r="CC375" s="46"/>
      <c r="CD375" s="45"/>
      <c r="CE375" s="54"/>
      <c r="CF375" s="54"/>
      <c r="CG375" s="73"/>
      <c r="CH375" s="165"/>
      <c r="CI375" s="167"/>
    </row>
    <row r="376" spans="1:87" x14ac:dyDescent="0.3">
      <c r="A376" s="10">
        <v>5925</v>
      </c>
      <c r="B376" s="11" t="s">
        <v>499</v>
      </c>
      <c r="C376" s="471">
        <v>1242</v>
      </c>
      <c r="D376" s="54">
        <v>489</v>
      </c>
      <c r="E376" s="367">
        <f t="shared" si="6"/>
        <v>0.39371980676328505</v>
      </c>
      <c r="F376" s="45"/>
      <c r="G376" s="45"/>
      <c r="H376" s="45"/>
      <c r="I376" s="45"/>
      <c r="J376" s="46"/>
      <c r="K376" s="45"/>
      <c r="L376" s="107"/>
      <c r="M376" s="541"/>
      <c r="N376" s="45"/>
      <c r="O376" s="45"/>
      <c r="P376" s="53"/>
      <c r="Q376" s="57"/>
      <c r="R376" s="57"/>
      <c r="S376" s="74"/>
      <c r="T376" s="45"/>
      <c r="U376" s="45"/>
      <c r="V376" s="73"/>
      <c r="W376" s="169"/>
      <c r="X376" s="173"/>
      <c r="Y376" s="190"/>
      <c r="Z376" s="167"/>
      <c r="AA376" s="45"/>
      <c r="AB376" s="57"/>
      <c r="AC376" s="169"/>
      <c r="AD376" s="165"/>
      <c r="AE376" s="165"/>
      <c r="AF376" s="167"/>
      <c r="AG376" s="73">
        <v>59</v>
      </c>
      <c r="AH376" s="45"/>
      <c r="AI376" s="46"/>
      <c r="AJ376" s="165"/>
      <c r="AK376" s="173"/>
      <c r="AL376" s="167"/>
      <c r="AM376" s="45"/>
      <c r="AN376" s="54"/>
      <c r="AO376" s="54"/>
      <c r="AP376" s="73"/>
      <c r="AQ376" s="165"/>
      <c r="AR376" s="168"/>
      <c r="AS376" s="165"/>
      <c r="AT376" s="190"/>
      <c r="AU376" s="167"/>
      <c r="AV376" s="45"/>
      <c r="AW376" s="54"/>
      <c r="AX376" s="54"/>
      <c r="AY376" s="53"/>
      <c r="AZ376" s="46"/>
      <c r="BA376" s="199"/>
      <c r="BB376" s="199"/>
      <c r="BC376" s="106"/>
      <c r="BD376" s="165"/>
      <c r="BE376" s="165"/>
      <c r="BF376" s="173"/>
      <c r="BG376" s="304"/>
      <c r="BH376" s="601"/>
      <c r="BI376" s="45">
        <v>166</v>
      </c>
      <c r="BJ376" s="46">
        <v>189</v>
      </c>
      <c r="BK376" s="45"/>
      <c r="BL376" s="53"/>
      <c r="BM376" s="200"/>
      <c r="BN376" s="165"/>
      <c r="BO376" s="173"/>
      <c r="BP376" s="190"/>
      <c r="BQ376" s="173"/>
      <c r="BR376" s="168"/>
      <c r="BS376" s="165"/>
      <c r="BT376" s="167"/>
      <c r="BU376" s="45">
        <v>101</v>
      </c>
      <c r="BV376" s="53">
        <v>124</v>
      </c>
      <c r="BW376" s="54">
        <v>149</v>
      </c>
      <c r="BX376" s="54">
        <v>102</v>
      </c>
      <c r="BY376" s="46">
        <v>68</v>
      </c>
      <c r="BZ376" s="45"/>
      <c r="CA376" s="54"/>
      <c r="CB376" s="53"/>
      <c r="CC376" s="46"/>
      <c r="CD376" s="45"/>
      <c r="CE376" s="54"/>
      <c r="CF376" s="54"/>
      <c r="CG376" s="73"/>
      <c r="CH376" s="165"/>
      <c r="CI376" s="167"/>
    </row>
    <row r="377" spans="1:87" x14ac:dyDescent="0.3">
      <c r="A377" s="10">
        <v>5926</v>
      </c>
      <c r="B377" s="11" t="s">
        <v>500</v>
      </c>
      <c r="C377" s="471">
        <v>1325</v>
      </c>
      <c r="D377" s="54">
        <v>539</v>
      </c>
      <c r="E377" s="367">
        <f t="shared" si="6"/>
        <v>0.40679245283018867</v>
      </c>
      <c r="F377" s="45"/>
      <c r="G377" s="45"/>
      <c r="H377" s="45"/>
      <c r="I377" s="45"/>
      <c r="J377" s="46"/>
      <c r="K377" s="45"/>
      <c r="L377" s="107"/>
      <c r="M377" s="541"/>
      <c r="N377" s="45"/>
      <c r="O377" s="45"/>
      <c r="P377" s="53"/>
      <c r="Q377" s="57"/>
      <c r="R377" s="57"/>
      <c r="S377" s="74"/>
      <c r="T377" s="45"/>
      <c r="U377" s="45"/>
      <c r="V377" s="73"/>
      <c r="W377" s="169"/>
      <c r="X377" s="173"/>
      <c r="Y377" s="190"/>
      <c r="Z377" s="167"/>
      <c r="AA377" s="45"/>
      <c r="AB377" s="57"/>
      <c r="AC377" s="169"/>
      <c r="AD377" s="165"/>
      <c r="AE377" s="165"/>
      <c r="AF377" s="167"/>
      <c r="AG377" s="73">
        <v>177</v>
      </c>
      <c r="AH377" s="45"/>
      <c r="AI377" s="46"/>
      <c r="AJ377" s="165"/>
      <c r="AK377" s="173"/>
      <c r="AL377" s="167"/>
      <c r="AM377" s="45"/>
      <c r="AN377" s="54"/>
      <c r="AO377" s="54"/>
      <c r="AP377" s="73"/>
      <c r="AQ377" s="165"/>
      <c r="AR377" s="168"/>
      <c r="AS377" s="165"/>
      <c r="AT377" s="190"/>
      <c r="AU377" s="167"/>
      <c r="AV377" s="45"/>
      <c r="AW377" s="54"/>
      <c r="AX377" s="54"/>
      <c r="AY377" s="53"/>
      <c r="AZ377" s="46"/>
      <c r="BA377" s="45"/>
      <c r="BB377" s="45"/>
      <c r="BC377" s="73"/>
      <c r="BD377" s="165"/>
      <c r="BE377" s="165"/>
      <c r="BF377" s="173"/>
      <c r="BG377" s="304"/>
      <c r="BH377" s="601"/>
      <c r="BI377" s="45">
        <v>102</v>
      </c>
      <c r="BJ377" s="46">
        <v>153</v>
      </c>
      <c r="BK377" s="45"/>
      <c r="BL377" s="53"/>
      <c r="BM377" s="200"/>
      <c r="BN377" s="165"/>
      <c r="BO377" s="173"/>
      <c r="BP377" s="190"/>
      <c r="BQ377" s="173"/>
      <c r="BR377" s="168"/>
      <c r="BS377" s="165"/>
      <c r="BT377" s="167"/>
      <c r="BU377" s="45">
        <v>92</v>
      </c>
      <c r="BV377" s="53">
        <v>73</v>
      </c>
      <c r="BW377" s="54">
        <v>93</v>
      </c>
      <c r="BX377" s="54">
        <v>67</v>
      </c>
      <c r="BY377" s="46">
        <v>54</v>
      </c>
      <c r="BZ377" s="45"/>
      <c r="CA377" s="54"/>
      <c r="CB377" s="53"/>
      <c r="CC377" s="46"/>
      <c r="CD377" s="45"/>
      <c r="CE377" s="54"/>
      <c r="CF377" s="54"/>
      <c r="CG377" s="73"/>
      <c r="CH377" s="165"/>
      <c r="CI377" s="167"/>
    </row>
    <row r="378" spans="1:87" x14ac:dyDescent="0.3">
      <c r="A378" s="10">
        <v>5927</v>
      </c>
      <c r="B378" s="11" t="s">
        <v>501</v>
      </c>
      <c r="C378" s="471">
        <v>1102</v>
      </c>
      <c r="D378" s="54">
        <v>743</v>
      </c>
      <c r="E378" s="367">
        <f t="shared" si="6"/>
        <v>0.67422867513611617</v>
      </c>
      <c r="F378" s="45"/>
      <c r="G378" s="45"/>
      <c r="H378" s="45"/>
      <c r="I378" s="45"/>
      <c r="J378" s="46"/>
      <c r="K378" s="45"/>
      <c r="L378" s="107"/>
      <c r="M378" s="541"/>
      <c r="N378" s="45"/>
      <c r="O378" s="45"/>
      <c r="P378" s="53"/>
      <c r="Q378" s="57"/>
      <c r="R378" s="57"/>
      <c r="S378" s="74"/>
      <c r="T378" s="45"/>
      <c r="U378" s="45"/>
      <c r="V378" s="73"/>
      <c r="W378" s="169"/>
      <c r="X378" s="173"/>
      <c r="Y378" s="190"/>
      <c r="Z378" s="167"/>
      <c r="AA378" s="45"/>
      <c r="AB378" s="57"/>
      <c r="AC378" s="169"/>
      <c r="AD378" s="165"/>
      <c r="AE378" s="165"/>
      <c r="AF378" s="167"/>
      <c r="AG378" s="106"/>
      <c r="AH378" s="199"/>
      <c r="AI378" s="200"/>
      <c r="AJ378" s="165"/>
      <c r="AK378" s="173"/>
      <c r="AL378" s="167"/>
      <c r="AM378" s="199"/>
      <c r="AN378" s="201"/>
      <c r="AO378" s="201"/>
      <c r="AP378" s="106"/>
      <c r="AQ378" s="165"/>
      <c r="AR378" s="168"/>
      <c r="AS378" s="165"/>
      <c r="AT378" s="190"/>
      <c r="AU378" s="167"/>
      <c r="AV378" s="199"/>
      <c r="AW378" s="201"/>
      <c r="AX378" s="201"/>
      <c r="AY378" s="202"/>
      <c r="AZ378" s="46"/>
      <c r="BA378" s="45"/>
      <c r="BB378" s="45"/>
      <c r="BC378" s="73"/>
      <c r="BD378" s="165"/>
      <c r="BE378" s="165"/>
      <c r="BF378" s="173"/>
      <c r="BG378" s="304"/>
      <c r="BH378" s="601"/>
      <c r="BI378" s="45">
        <v>294</v>
      </c>
      <c r="BJ378" s="46">
        <v>271</v>
      </c>
      <c r="BK378" s="45"/>
      <c r="BL378" s="53"/>
      <c r="BM378" s="200"/>
      <c r="BN378" s="165"/>
      <c r="BO378" s="173"/>
      <c r="BP378" s="190"/>
      <c r="BQ378" s="173"/>
      <c r="BR378" s="168"/>
      <c r="BS378" s="165"/>
      <c r="BT378" s="167"/>
      <c r="BU378" s="45">
        <v>260</v>
      </c>
      <c r="BV378" s="53">
        <v>236</v>
      </c>
      <c r="BW378" s="54">
        <v>103</v>
      </c>
      <c r="BX378" s="54">
        <v>318</v>
      </c>
      <c r="BY378" s="46">
        <v>131</v>
      </c>
      <c r="BZ378" s="45"/>
      <c r="CA378" s="54"/>
      <c r="CB378" s="53"/>
      <c r="CC378" s="46"/>
      <c r="CD378" s="45"/>
      <c r="CE378" s="54"/>
      <c r="CF378" s="54"/>
      <c r="CG378" s="73"/>
      <c r="CH378" s="165"/>
      <c r="CI378" s="167"/>
    </row>
    <row r="379" spans="1:87" x14ac:dyDescent="0.3">
      <c r="A379" s="10">
        <v>5928</v>
      </c>
      <c r="B379" s="11" t="s">
        <v>502</v>
      </c>
      <c r="C379" s="471">
        <v>1306</v>
      </c>
      <c r="D379" s="54">
        <v>730</v>
      </c>
      <c r="E379" s="367">
        <f t="shared" si="6"/>
        <v>0.55895865237366005</v>
      </c>
      <c r="F379" s="45"/>
      <c r="G379" s="45"/>
      <c r="H379" s="45"/>
      <c r="I379" s="45"/>
      <c r="J379" s="46"/>
      <c r="K379" s="45"/>
      <c r="L379" s="107"/>
      <c r="M379" s="541"/>
      <c r="N379" s="45"/>
      <c r="O379" s="45"/>
      <c r="P379" s="53"/>
      <c r="Q379" s="57"/>
      <c r="R379" s="57"/>
      <c r="S379" s="74"/>
      <c r="T379" s="45"/>
      <c r="U379" s="45"/>
      <c r="V379" s="73"/>
      <c r="W379" s="169"/>
      <c r="X379" s="173"/>
      <c r="Y379" s="190"/>
      <c r="Z379" s="167"/>
      <c r="AA379" s="45"/>
      <c r="AB379" s="57"/>
      <c r="AC379" s="169"/>
      <c r="AD379" s="165"/>
      <c r="AE379" s="165"/>
      <c r="AF379" s="167"/>
      <c r="AG379" s="106"/>
      <c r="AH379" s="199"/>
      <c r="AI379" s="200"/>
      <c r="AJ379" s="165"/>
      <c r="AK379" s="173"/>
      <c r="AL379" s="167"/>
      <c r="AM379" s="199"/>
      <c r="AN379" s="201"/>
      <c r="AO379" s="201"/>
      <c r="AP379" s="106"/>
      <c r="AQ379" s="165"/>
      <c r="AR379" s="168"/>
      <c r="AS379" s="165"/>
      <c r="AT379" s="190"/>
      <c r="AU379" s="167"/>
      <c r="AV379" s="199"/>
      <c r="AW379" s="201"/>
      <c r="AX379" s="201"/>
      <c r="AY379" s="202"/>
      <c r="AZ379" s="46"/>
      <c r="BA379" s="199"/>
      <c r="BB379" s="199"/>
      <c r="BC379" s="106"/>
      <c r="BD379" s="165"/>
      <c r="BE379" s="165"/>
      <c r="BF379" s="173"/>
      <c r="BG379" s="304"/>
      <c r="BH379" s="601"/>
      <c r="BI379" s="45">
        <v>301</v>
      </c>
      <c r="BJ379" s="46">
        <v>301</v>
      </c>
      <c r="BK379" s="45"/>
      <c r="BL379" s="53"/>
      <c r="BM379" s="200"/>
      <c r="BN379" s="165"/>
      <c r="BO379" s="173"/>
      <c r="BP379" s="190"/>
      <c r="BQ379" s="173"/>
      <c r="BR379" s="168"/>
      <c r="BS379" s="165"/>
      <c r="BT379" s="167"/>
      <c r="BU379" s="45">
        <v>296</v>
      </c>
      <c r="BV379" s="53">
        <v>186</v>
      </c>
      <c r="BW379" s="54">
        <v>111</v>
      </c>
      <c r="BX379" s="54">
        <v>321</v>
      </c>
      <c r="BY379" s="46">
        <v>112</v>
      </c>
      <c r="BZ379" s="45"/>
      <c r="CA379" s="54"/>
      <c r="CB379" s="53"/>
      <c r="CC379" s="46"/>
      <c r="CD379" s="45"/>
      <c r="CE379" s="54"/>
      <c r="CF379" s="54"/>
      <c r="CG379" s="73"/>
      <c r="CH379" s="165"/>
      <c r="CI379" s="167"/>
    </row>
    <row r="380" spans="1:87" x14ac:dyDescent="0.3">
      <c r="A380" s="10">
        <v>5929</v>
      </c>
      <c r="B380" s="11" t="s">
        <v>503</v>
      </c>
      <c r="C380" s="471">
        <v>1172</v>
      </c>
      <c r="D380" s="54">
        <v>338</v>
      </c>
      <c r="E380" s="367">
        <f t="shared" si="6"/>
        <v>0.28839590443686008</v>
      </c>
      <c r="F380" s="45"/>
      <c r="G380" s="45"/>
      <c r="H380" s="45"/>
      <c r="I380" s="45"/>
      <c r="J380" s="46"/>
      <c r="K380" s="45"/>
      <c r="L380" s="107"/>
      <c r="M380" s="541"/>
      <c r="N380" s="45"/>
      <c r="O380" s="45"/>
      <c r="P380" s="53"/>
      <c r="Q380" s="57"/>
      <c r="R380" s="57"/>
      <c r="S380" s="74"/>
      <c r="T380" s="45"/>
      <c r="U380" s="45"/>
      <c r="V380" s="73"/>
      <c r="W380" s="169"/>
      <c r="X380" s="173"/>
      <c r="Y380" s="190"/>
      <c r="Z380" s="167"/>
      <c r="AA380" s="45"/>
      <c r="AB380" s="57"/>
      <c r="AC380" s="169"/>
      <c r="AD380" s="165"/>
      <c r="AE380" s="165"/>
      <c r="AF380" s="167"/>
      <c r="AG380" s="73">
        <v>12</v>
      </c>
      <c r="AH380" s="45"/>
      <c r="AI380" s="46"/>
      <c r="AJ380" s="165"/>
      <c r="AK380" s="173"/>
      <c r="AL380" s="167"/>
      <c r="AM380" s="45"/>
      <c r="AN380" s="54"/>
      <c r="AO380" s="54"/>
      <c r="AP380" s="73"/>
      <c r="AQ380" s="165"/>
      <c r="AR380" s="168"/>
      <c r="AS380" s="165"/>
      <c r="AT380" s="190"/>
      <c r="AU380" s="167"/>
      <c r="AV380" s="45"/>
      <c r="AW380" s="54"/>
      <c r="AX380" s="54"/>
      <c r="AY380" s="53"/>
      <c r="AZ380" s="46"/>
      <c r="BA380" s="199"/>
      <c r="BB380" s="199"/>
      <c r="BC380" s="106"/>
      <c r="BD380" s="165"/>
      <c r="BE380" s="165"/>
      <c r="BF380" s="173"/>
      <c r="BG380" s="304"/>
      <c r="BH380" s="601"/>
      <c r="BI380" s="45">
        <v>144</v>
      </c>
      <c r="BJ380" s="46">
        <v>151</v>
      </c>
      <c r="BK380" s="45"/>
      <c r="BL380" s="53"/>
      <c r="BM380" s="200"/>
      <c r="BN380" s="165"/>
      <c r="BO380" s="173"/>
      <c r="BP380" s="190"/>
      <c r="BQ380" s="173"/>
      <c r="BR380" s="168"/>
      <c r="BS380" s="165"/>
      <c r="BT380" s="167"/>
      <c r="BU380" s="45">
        <v>73</v>
      </c>
      <c r="BV380" s="53">
        <v>92</v>
      </c>
      <c r="BW380" s="54">
        <v>83</v>
      </c>
      <c r="BX380" s="54">
        <v>80</v>
      </c>
      <c r="BY380" s="46">
        <v>54</v>
      </c>
      <c r="BZ380" s="45"/>
      <c r="CA380" s="54"/>
      <c r="CB380" s="53"/>
      <c r="CC380" s="46"/>
      <c r="CD380" s="45"/>
      <c r="CE380" s="54"/>
      <c r="CF380" s="54"/>
      <c r="CG380" s="73"/>
      <c r="CH380" s="165"/>
      <c r="CI380" s="167"/>
    </row>
    <row r="381" spans="1:87" x14ac:dyDescent="0.3">
      <c r="A381" s="10">
        <v>5930</v>
      </c>
      <c r="B381" s="11" t="s">
        <v>504</v>
      </c>
      <c r="C381" s="471">
        <v>966</v>
      </c>
      <c r="D381" s="54">
        <v>352</v>
      </c>
      <c r="E381" s="367">
        <f t="shared" si="6"/>
        <v>0.36438923395445133</v>
      </c>
      <c r="F381" s="45"/>
      <c r="G381" s="45"/>
      <c r="H381" s="45"/>
      <c r="I381" s="45"/>
      <c r="J381" s="46"/>
      <c r="K381" s="45"/>
      <c r="L381" s="107"/>
      <c r="M381" s="541"/>
      <c r="N381" s="45"/>
      <c r="O381" s="45"/>
      <c r="P381" s="53"/>
      <c r="Q381" s="57"/>
      <c r="R381" s="57"/>
      <c r="S381" s="74"/>
      <c r="T381" s="45"/>
      <c r="U381" s="45"/>
      <c r="V381" s="73"/>
      <c r="W381" s="169"/>
      <c r="X381" s="173"/>
      <c r="Y381" s="190"/>
      <c r="Z381" s="167"/>
      <c r="AA381" s="45"/>
      <c r="AB381" s="57"/>
      <c r="AC381" s="169"/>
      <c r="AD381" s="165"/>
      <c r="AE381" s="165"/>
      <c r="AF381" s="167"/>
      <c r="AG381" s="106"/>
      <c r="AH381" s="199"/>
      <c r="AI381" s="200"/>
      <c r="AJ381" s="165"/>
      <c r="AK381" s="173"/>
      <c r="AL381" s="167"/>
      <c r="AM381" s="199"/>
      <c r="AN381" s="201"/>
      <c r="AO381" s="201"/>
      <c r="AP381" s="106"/>
      <c r="AQ381" s="165"/>
      <c r="AR381" s="168"/>
      <c r="AS381" s="165"/>
      <c r="AT381" s="190"/>
      <c r="AU381" s="167"/>
      <c r="AV381" s="199"/>
      <c r="AW381" s="201"/>
      <c r="AX381" s="201"/>
      <c r="AY381" s="202"/>
      <c r="AZ381" s="46"/>
      <c r="BA381" s="45"/>
      <c r="BB381" s="45"/>
      <c r="BC381" s="73"/>
      <c r="BD381" s="165"/>
      <c r="BE381" s="165"/>
      <c r="BF381" s="173"/>
      <c r="BG381" s="304"/>
      <c r="BH381" s="601"/>
      <c r="BI381" s="45">
        <v>125</v>
      </c>
      <c r="BJ381" s="46">
        <v>174</v>
      </c>
      <c r="BK381" s="45"/>
      <c r="BL381" s="53"/>
      <c r="BM381" s="200"/>
      <c r="BN381" s="165"/>
      <c r="BO381" s="173"/>
      <c r="BP381" s="190"/>
      <c r="BQ381" s="173"/>
      <c r="BR381" s="168"/>
      <c r="BS381" s="165"/>
      <c r="BT381" s="167"/>
      <c r="BU381" s="45">
        <v>83</v>
      </c>
      <c r="BV381" s="53">
        <v>48</v>
      </c>
      <c r="BW381" s="54">
        <v>207</v>
      </c>
      <c r="BX381" s="54">
        <v>66</v>
      </c>
      <c r="BY381" s="46">
        <v>39</v>
      </c>
      <c r="BZ381" s="45"/>
      <c r="CA381" s="54"/>
      <c r="CB381" s="53"/>
      <c r="CC381" s="46"/>
      <c r="CD381" s="45"/>
      <c r="CE381" s="54"/>
      <c r="CF381" s="54"/>
      <c r="CG381" s="73"/>
      <c r="CH381" s="165"/>
      <c r="CI381" s="167"/>
    </row>
    <row r="382" spans="1:87" x14ac:dyDescent="0.3">
      <c r="A382" s="10">
        <v>5931</v>
      </c>
      <c r="B382" s="11" t="s">
        <v>505</v>
      </c>
      <c r="C382" s="471">
        <v>1175</v>
      </c>
      <c r="D382" s="54">
        <v>524</v>
      </c>
      <c r="E382" s="367">
        <f t="shared" si="6"/>
        <v>0.44595744680851063</v>
      </c>
      <c r="F382" s="45"/>
      <c r="G382" s="45"/>
      <c r="H382" s="45"/>
      <c r="I382" s="45"/>
      <c r="J382" s="46"/>
      <c r="K382" s="45"/>
      <c r="L382" s="107"/>
      <c r="M382" s="541"/>
      <c r="N382" s="45"/>
      <c r="O382" s="45"/>
      <c r="P382" s="53"/>
      <c r="Q382" s="57"/>
      <c r="R382" s="57"/>
      <c r="S382" s="74"/>
      <c r="T382" s="45"/>
      <c r="U382" s="45"/>
      <c r="V382" s="73"/>
      <c r="W382" s="169"/>
      <c r="X382" s="173"/>
      <c r="Y382" s="190"/>
      <c r="Z382" s="167"/>
      <c r="AA382" s="45"/>
      <c r="AB382" s="57"/>
      <c r="AC382" s="169"/>
      <c r="AD382" s="165"/>
      <c r="AE382" s="165"/>
      <c r="AF382" s="167"/>
      <c r="AG382" s="106"/>
      <c r="AH382" s="199"/>
      <c r="AI382" s="200"/>
      <c r="AJ382" s="165"/>
      <c r="AK382" s="173"/>
      <c r="AL382" s="167"/>
      <c r="AM382" s="199"/>
      <c r="AN382" s="201"/>
      <c r="AO382" s="201"/>
      <c r="AP382" s="106"/>
      <c r="AQ382" s="165"/>
      <c r="AR382" s="168"/>
      <c r="AS382" s="165"/>
      <c r="AT382" s="190"/>
      <c r="AU382" s="167"/>
      <c r="AV382" s="199"/>
      <c r="AW382" s="201"/>
      <c r="AX382" s="201"/>
      <c r="AY382" s="202"/>
      <c r="AZ382" s="46"/>
      <c r="BA382" s="199"/>
      <c r="BB382" s="199"/>
      <c r="BC382" s="106"/>
      <c r="BD382" s="165"/>
      <c r="BE382" s="165"/>
      <c r="BF382" s="173"/>
      <c r="BG382" s="304"/>
      <c r="BH382" s="601"/>
      <c r="BI382" s="45">
        <v>227</v>
      </c>
      <c r="BJ382" s="46">
        <v>228</v>
      </c>
      <c r="BK382" s="45"/>
      <c r="BL382" s="53"/>
      <c r="BM382" s="200"/>
      <c r="BN382" s="165"/>
      <c r="BO382" s="173"/>
      <c r="BP382" s="190"/>
      <c r="BQ382" s="173"/>
      <c r="BR382" s="168"/>
      <c r="BS382" s="165"/>
      <c r="BT382" s="167"/>
      <c r="BU382" s="45">
        <v>140</v>
      </c>
      <c r="BV382" s="53">
        <v>172</v>
      </c>
      <c r="BW382" s="54">
        <v>130</v>
      </c>
      <c r="BX382" s="54">
        <v>128</v>
      </c>
      <c r="BY382" s="46">
        <v>118</v>
      </c>
      <c r="BZ382" s="45"/>
      <c r="CA382" s="54"/>
      <c r="CB382" s="53"/>
      <c r="CC382" s="46"/>
      <c r="CD382" s="45"/>
      <c r="CE382" s="54"/>
      <c r="CF382" s="54"/>
      <c r="CG382" s="73"/>
      <c r="CH382" s="165"/>
      <c r="CI382" s="167"/>
    </row>
    <row r="383" spans="1:87" x14ac:dyDescent="0.3">
      <c r="A383" s="10">
        <v>5932</v>
      </c>
      <c r="B383" s="11" t="s">
        <v>506</v>
      </c>
      <c r="C383" s="471">
        <v>480</v>
      </c>
      <c r="D383" s="54">
        <v>178</v>
      </c>
      <c r="E383" s="367">
        <f t="shared" si="6"/>
        <v>0.37083333333333335</v>
      </c>
      <c r="F383" s="45"/>
      <c r="G383" s="45"/>
      <c r="H383" s="45"/>
      <c r="I383" s="45"/>
      <c r="J383" s="46"/>
      <c r="K383" s="45"/>
      <c r="L383" s="107"/>
      <c r="M383" s="541"/>
      <c r="N383" s="45"/>
      <c r="O383" s="45"/>
      <c r="P383" s="53"/>
      <c r="Q383" s="57"/>
      <c r="R383" s="57"/>
      <c r="S383" s="74"/>
      <c r="T383" s="45"/>
      <c r="U383" s="45"/>
      <c r="V383" s="73"/>
      <c r="W383" s="169"/>
      <c r="X383" s="173"/>
      <c r="Y383" s="190"/>
      <c r="Z383" s="167"/>
      <c r="AA383" s="45"/>
      <c r="AB383" s="57"/>
      <c r="AC383" s="169"/>
      <c r="AD383" s="165"/>
      <c r="AE383" s="165"/>
      <c r="AF383" s="167"/>
      <c r="AG383" s="106"/>
      <c r="AH383" s="199"/>
      <c r="AI383" s="200"/>
      <c r="AJ383" s="165"/>
      <c r="AK383" s="173"/>
      <c r="AL383" s="167"/>
      <c r="AM383" s="199"/>
      <c r="AN383" s="201"/>
      <c r="AO383" s="201"/>
      <c r="AP383" s="106"/>
      <c r="AQ383" s="165"/>
      <c r="AR383" s="168"/>
      <c r="AS383" s="165"/>
      <c r="AT383" s="190"/>
      <c r="AU383" s="167"/>
      <c r="AV383" s="199"/>
      <c r="AW383" s="201"/>
      <c r="AX383" s="201"/>
      <c r="AY383" s="202"/>
      <c r="AZ383" s="46"/>
      <c r="BA383" s="199"/>
      <c r="BB383" s="199"/>
      <c r="BC383" s="106"/>
      <c r="BD383" s="165"/>
      <c r="BE383" s="165"/>
      <c r="BF383" s="173"/>
      <c r="BG383" s="304"/>
      <c r="BH383" s="601"/>
      <c r="BI383" s="45">
        <v>77</v>
      </c>
      <c r="BJ383" s="46">
        <v>65</v>
      </c>
      <c r="BK383" s="45"/>
      <c r="BL383" s="53"/>
      <c r="BM383" s="200"/>
      <c r="BN383" s="165"/>
      <c r="BO383" s="173"/>
      <c r="BP383" s="190"/>
      <c r="BQ383" s="173"/>
      <c r="BR383" s="168"/>
      <c r="BS383" s="165"/>
      <c r="BT383" s="167"/>
      <c r="BU383" s="45">
        <v>38</v>
      </c>
      <c r="BV383" s="53">
        <v>61</v>
      </c>
      <c r="BW383" s="54">
        <v>36</v>
      </c>
      <c r="BX383" s="54">
        <v>67</v>
      </c>
      <c r="BY383" s="46">
        <v>34</v>
      </c>
      <c r="BZ383" s="45"/>
      <c r="CA383" s="54"/>
      <c r="CB383" s="53"/>
      <c r="CC383" s="46"/>
      <c r="CD383" s="45"/>
      <c r="CE383" s="54"/>
      <c r="CF383" s="54"/>
      <c r="CG383" s="73"/>
      <c r="CH383" s="165"/>
      <c r="CI383" s="167"/>
    </row>
    <row r="384" spans="1:87" x14ac:dyDescent="0.3">
      <c r="A384" s="10">
        <v>5933</v>
      </c>
      <c r="B384" s="11" t="s">
        <v>507</v>
      </c>
      <c r="C384" s="471">
        <v>1171</v>
      </c>
      <c r="D384" s="54">
        <v>508</v>
      </c>
      <c r="E384" s="367">
        <f t="shared" si="6"/>
        <v>0.43381725021349277</v>
      </c>
      <c r="F384" s="45"/>
      <c r="G384" s="45"/>
      <c r="H384" s="45"/>
      <c r="I384" s="45"/>
      <c r="J384" s="46"/>
      <c r="K384" s="45"/>
      <c r="L384" s="107"/>
      <c r="M384" s="541"/>
      <c r="N384" s="45"/>
      <c r="O384" s="45"/>
      <c r="P384" s="53"/>
      <c r="Q384" s="57"/>
      <c r="R384" s="57"/>
      <c r="S384" s="74"/>
      <c r="T384" s="45"/>
      <c r="U384" s="45"/>
      <c r="V384" s="73"/>
      <c r="W384" s="169"/>
      <c r="X384" s="173"/>
      <c r="Y384" s="190"/>
      <c r="Z384" s="167"/>
      <c r="AA384" s="45"/>
      <c r="AB384" s="57"/>
      <c r="AC384" s="169"/>
      <c r="AD384" s="165"/>
      <c r="AE384" s="165"/>
      <c r="AF384" s="167"/>
      <c r="AG384" s="73">
        <v>302</v>
      </c>
      <c r="AH384" s="45"/>
      <c r="AI384" s="46"/>
      <c r="AJ384" s="165"/>
      <c r="AK384" s="173"/>
      <c r="AL384" s="167"/>
      <c r="AM384" s="45"/>
      <c r="AN384" s="54"/>
      <c r="AO384" s="54"/>
      <c r="AP384" s="73"/>
      <c r="AQ384" s="165"/>
      <c r="AR384" s="168"/>
      <c r="AS384" s="165"/>
      <c r="AT384" s="190"/>
      <c r="AU384" s="167"/>
      <c r="AV384" s="45"/>
      <c r="AW384" s="54"/>
      <c r="AX384" s="54"/>
      <c r="AY384" s="53"/>
      <c r="AZ384" s="46"/>
      <c r="BA384" s="199"/>
      <c r="BB384" s="199"/>
      <c r="BC384" s="106"/>
      <c r="BD384" s="165"/>
      <c r="BE384" s="165"/>
      <c r="BF384" s="173"/>
      <c r="BG384" s="304"/>
      <c r="BH384" s="601"/>
      <c r="BI384" s="45">
        <v>29</v>
      </c>
      <c r="BJ384" s="46">
        <v>24</v>
      </c>
      <c r="BK384" s="45"/>
      <c r="BL384" s="53"/>
      <c r="BM384" s="200"/>
      <c r="BN384" s="165"/>
      <c r="BO384" s="173"/>
      <c r="BP384" s="190"/>
      <c r="BQ384" s="173"/>
      <c r="BR384" s="168"/>
      <c r="BS384" s="165"/>
      <c r="BT384" s="167"/>
      <c r="BU384" s="45">
        <v>15</v>
      </c>
      <c r="BV384" s="53">
        <v>23</v>
      </c>
      <c r="BW384" s="54">
        <v>24</v>
      </c>
      <c r="BX384" s="54">
        <v>17</v>
      </c>
      <c r="BY384" s="46">
        <v>9</v>
      </c>
      <c r="BZ384" s="45"/>
      <c r="CA384" s="54"/>
      <c r="CB384" s="53"/>
      <c r="CC384" s="46"/>
      <c r="CD384" s="45"/>
      <c r="CE384" s="54"/>
      <c r="CF384" s="54"/>
      <c r="CG384" s="73"/>
      <c r="CH384" s="165"/>
      <c r="CI384" s="167"/>
    </row>
    <row r="385" spans="1:87" x14ac:dyDescent="0.3">
      <c r="A385" s="10">
        <v>5934</v>
      </c>
      <c r="B385" s="11" t="s">
        <v>508</v>
      </c>
      <c r="C385" s="471">
        <v>1030</v>
      </c>
      <c r="D385" s="54">
        <v>375</v>
      </c>
      <c r="E385" s="367">
        <f t="shared" si="6"/>
        <v>0.36407766990291263</v>
      </c>
      <c r="F385" s="45"/>
      <c r="G385" s="45"/>
      <c r="H385" s="45"/>
      <c r="I385" s="45"/>
      <c r="J385" s="46"/>
      <c r="K385" s="45"/>
      <c r="L385" s="107"/>
      <c r="M385" s="541"/>
      <c r="N385" s="45"/>
      <c r="O385" s="45"/>
      <c r="P385" s="53"/>
      <c r="Q385" s="57"/>
      <c r="R385" s="57"/>
      <c r="S385" s="74"/>
      <c r="T385" s="45"/>
      <c r="U385" s="45"/>
      <c r="V385" s="73"/>
      <c r="W385" s="169"/>
      <c r="X385" s="173"/>
      <c r="Y385" s="190"/>
      <c r="Z385" s="167"/>
      <c r="AA385" s="45"/>
      <c r="AB385" s="57"/>
      <c r="AC385" s="169"/>
      <c r="AD385" s="165"/>
      <c r="AE385" s="165"/>
      <c r="AF385" s="167"/>
      <c r="AG385" s="106"/>
      <c r="AH385" s="199"/>
      <c r="AI385" s="200"/>
      <c r="AJ385" s="165"/>
      <c r="AK385" s="173"/>
      <c r="AL385" s="167"/>
      <c r="AM385" s="199"/>
      <c r="AN385" s="201"/>
      <c r="AO385" s="201"/>
      <c r="AP385" s="106"/>
      <c r="AQ385" s="165"/>
      <c r="AR385" s="168"/>
      <c r="AS385" s="165"/>
      <c r="AT385" s="190"/>
      <c r="AU385" s="167"/>
      <c r="AV385" s="199"/>
      <c r="AW385" s="201"/>
      <c r="AX385" s="201"/>
      <c r="AY385" s="202"/>
      <c r="AZ385" s="46"/>
      <c r="BA385" s="45"/>
      <c r="BB385" s="45"/>
      <c r="BC385" s="73"/>
      <c r="BD385" s="165"/>
      <c r="BE385" s="165"/>
      <c r="BF385" s="173"/>
      <c r="BG385" s="304"/>
      <c r="BH385" s="601"/>
      <c r="BI385" s="45">
        <v>143</v>
      </c>
      <c r="BJ385" s="46">
        <v>178</v>
      </c>
      <c r="BK385" s="45"/>
      <c r="BL385" s="53"/>
      <c r="BM385" s="200"/>
      <c r="BN385" s="165"/>
      <c r="BO385" s="173"/>
      <c r="BP385" s="190"/>
      <c r="BQ385" s="173"/>
      <c r="BR385" s="168"/>
      <c r="BS385" s="165"/>
      <c r="BT385" s="167"/>
      <c r="BU385" s="45">
        <v>107</v>
      </c>
      <c r="BV385" s="53">
        <v>120</v>
      </c>
      <c r="BW385" s="54">
        <v>91</v>
      </c>
      <c r="BX385" s="54">
        <v>91</v>
      </c>
      <c r="BY385" s="46">
        <v>66</v>
      </c>
      <c r="BZ385" s="45"/>
      <c r="CA385" s="54"/>
      <c r="CB385" s="53"/>
      <c r="CC385" s="46"/>
      <c r="CD385" s="45"/>
      <c r="CE385" s="54"/>
      <c r="CF385" s="54"/>
      <c r="CG385" s="73"/>
      <c r="CH385" s="165"/>
      <c r="CI385" s="167"/>
    </row>
    <row r="386" spans="1:87" x14ac:dyDescent="0.3">
      <c r="A386" s="10">
        <v>5935</v>
      </c>
      <c r="B386" s="11" t="s">
        <v>509</v>
      </c>
      <c r="C386" s="471">
        <v>475</v>
      </c>
      <c r="D386" s="54">
        <v>279</v>
      </c>
      <c r="E386" s="367">
        <f t="shared" si="6"/>
        <v>0.58736842105263154</v>
      </c>
      <c r="F386" s="45"/>
      <c r="G386" s="45"/>
      <c r="H386" s="45"/>
      <c r="I386" s="45"/>
      <c r="J386" s="46"/>
      <c r="K386" s="45"/>
      <c r="L386" s="107"/>
      <c r="M386" s="541"/>
      <c r="N386" s="45"/>
      <c r="O386" s="45"/>
      <c r="P386" s="53"/>
      <c r="Q386" s="57"/>
      <c r="R386" s="57"/>
      <c r="S386" s="74"/>
      <c r="T386" s="45"/>
      <c r="U386" s="45"/>
      <c r="V386" s="73"/>
      <c r="W386" s="169"/>
      <c r="X386" s="173"/>
      <c r="Y386" s="190"/>
      <c r="Z386" s="167"/>
      <c r="AA386" s="45"/>
      <c r="AB386" s="57"/>
      <c r="AC386" s="169"/>
      <c r="AD386" s="165"/>
      <c r="AE386" s="165"/>
      <c r="AF386" s="167"/>
      <c r="AG386" s="106"/>
      <c r="AH386" s="199"/>
      <c r="AI386" s="200"/>
      <c r="AJ386" s="165"/>
      <c r="AK386" s="173"/>
      <c r="AL386" s="167"/>
      <c r="AM386" s="199"/>
      <c r="AN386" s="201"/>
      <c r="AO386" s="201"/>
      <c r="AP386" s="106"/>
      <c r="AQ386" s="165"/>
      <c r="AR386" s="168"/>
      <c r="AS386" s="165"/>
      <c r="AT386" s="190"/>
      <c r="AU386" s="167"/>
      <c r="AV386" s="199"/>
      <c r="AW386" s="201"/>
      <c r="AX386" s="201"/>
      <c r="AY386" s="202"/>
      <c r="AZ386" s="46"/>
      <c r="BA386" s="199"/>
      <c r="BB386" s="199"/>
      <c r="BC386" s="106"/>
      <c r="BD386" s="165"/>
      <c r="BE386" s="165"/>
      <c r="BF386" s="173"/>
      <c r="BG386" s="304"/>
      <c r="BH386" s="601"/>
      <c r="BI386" s="45">
        <v>108</v>
      </c>
      <c r="BJ386" s="46">
        <v>110</v>
      </c>
      <c r="BK386" s="45"/>
      <c r="BL386" s="53"/>
      <c r="BM386" s="200"/>
      <c r="BN386" s="165"/>
      <c r="BO386" s="173"/>
      <c r="BP386" s="190"/>
      <c r="BQ386" s="173"/>
      <c r="BR386" s="168"/>
      <c r="BS386" s="165"/>
      <c r="BT386" s="167"/>
      <c r="BU386" s="45">
        <v>73</v>
      </c>
      <c r="BV386" s="53">
        <v>106</v>
      </c>
      <c r="BW386" s="54">
        <v>49</v>
      </c>
      <c r="BX386" s="54">
        <v>66</v>
      </c>
      <c r="BY386" s="46">
        <v>48</v>
      </c>
      <c r="BZ386" s="45"/>
      <c r="CA386" s="54"/>
      <c r="CB386" s="53"/>
      <c r="CC386" s="46"/>
      <c r="CD386" s="45"/>
      <c r="CE386" s="54"/>
      <c r="CF386" s="54"/>
      <c r="CG386" s="73"/>
      <c r="CH386" s="165"/>
      <c r="CI386" s="167"/>
    </row>
    <row r="387" spans="1:87" x14ac:dyDescent="0.3">
      <c r="A387" s="10">
        <v>5936</v>
      </c>
      <c r="B387" s="11" t="s">
        <v>510</v>
      </c>
      <c r="C387" s="471">
        <v>1239</v>
      </c>
      <c r="D387" s="54">
        <v>572</v>
      </c>
      <c r="E387" s="367">
        <f t="shared" si="6"/>
        <v>0.46166263115415657</v>
      </c>
      <c r="F387" s="45"/>
      <c r="G387" s="45"/>
      <c r="H387" s="45"/>
      <c r="I387" s="45"/>
      <c r="J387" s="46"/>
      <c r="K387" s="45"/>
      <c r="L387" s="107"/>
      <c r="M387" s="541"/>
      <c r="N387" s="45"/>
      <c r="O387" s="45"/>
      <c r="P387" s="53"/>
      <c r="Q387" s="57"/>
      <c r="R387" s="57"/>
      <c r="S387" s="74"/>
      <c r="T387" s="45"/>
      <c r="U387" s="45"/>
      <c r="V387" s="73"/>
      <c r="W387" s="169"/>
      <c r="X387" s="173"/>
      <c r="Y387" s="190"/>
      <c r="Z387" s="167"/>
      <c r="AA387" s="45"/>
      <c r="AB387" s="57"/>
      <c r="AC387" s="169"/>
      <c r="AD387" s="165"/>
      <c r="AE387" s="165"/>
      <c r="AF387" s="167"/>
      <c r="AG387" s="106"/>
      <c r="AH387" s="199"/>
      <c r="AI387" s="200"/>
      <c r="AJ387" s="165"/>
      <c r="AK387" s="173"/>
      <c r="AL387" s="167"/>
      <c r="AM387" s="199"/>
      <c r="AN387" s="201"/>
      <c r="AO387" s="201"/>
      <c r="AP387" s="106"/>
      <c r="AQ387" s="165"/>
      <c r="AR387" s="168"/>
      <c r="AS387" s="165"/>
      <c r="AT387" s="190"/>
      <c r="AU387" s="167"/>
      <c r="AV387" s="199"/>
      <c r="AW387" s="201"/>
      <c r="AX387" s="201"/>
      <c r="AY387" s="202"/>
      <c r="AZ387" s="46"/>
      <c r="BA387" s="199"/>
      <c r="BB387" s="199"/>
      <c r="BC387" s="106"/>
      <c r="BD387" s="165"/>
      <c r="BE387" s="165"/>
      <c r="BF387" s="173"/>
      <c r="BG387" s="304"/>
      <c r="BH387" s="601"/>
      <c r="BI387" s="45">
        <v>237</v>
      </c>
      <c r="BJ387" s="46">
        <v>266</v>
      </c>
      <c r="BK387" s="45"/>
      <c r="BL387" s="53"/>
      <c r="BM387" s="200"/>
      <c r="BN387" s="165"/>
      <c r="BO387" s="173"/>
      <c r="BP387" s="190"/>
      <c r="BQ387" s="173"/>
      <c r="BR387" s="168"/>
      <c r="BS387" s="165"/>
      <c r="BT387" s="167"/>
      <c r="BU387" s="45">
        <v>148</v>
      </c>
      <c r="BV387" s="53">
        <v>189</v>
      </c>
      <c r="BW387" s="54">
        <v>172</v>
      </c>
      <c r="BX387" s="54">
        <v>153</v>
      </c>
      <c r="BY387" s="46">
        <v>118</v>
      </c>
      <c r="BZ387" s="45"/>
      <c r="CA387" s="54"/>
      <c r="CB387" s="53"/>
      <c r="CC387" s="46"/>
      <c r="CD387" s="45"/>
      <c r="CE387" s="54"/>
      <c r="CF387" s="54"/>
      <c r="CG387" s="73"/>
      <c r="CH387" s="165"/>
      <c r="CI387" s="167"/>
    </row>
    <row r="388" spans="1:87" x14ac:dyDescent="0.3">
      <c r="A388" s="10">
        <v>5937</v>
      </c>
      <c r="B388" s="11" t="s">
        <v>511</v>
      </c>
      <c r="C388" s="471">
        <v>1334</v>
      </c>
      <c r="D388" s="54">
        <v>548</v>
      </c>
      <c r="E388" s="367">
        <f t="shared" si="6"/>
        <v>0.4107946026986507</v>
      </c>
      <c r="F388" s="45"/>
      <c r="G388" s="45"/>
      <c r="H388" s="45"/>
      <c r="I388" s="45"/>
      <c r="J388" s="46"/>
      <c r="K388" s="45"/>
      <c r="L388" s="107"/>
      <c r="M388" s="541"/>
      <c r="N388" s="45"/>
      <c r="O388" s="45"/>
      <c r="P388" s="53"/>
      <c r="Q388" s="57"/>
      <c r="R388" s="57"/>
      <c r="S388" s="74"/>
      <c r="T388" s="45"/>
      <c r="U388" s="45"/>
      <c r="V388" s="73"/>
      <c r="W388" s="169"/>
      <c r="X388" s="173"/>
      <c r="Y388" s="190"/>
      <c r="Z388" s="167"/>
      <c r="AA388" s="45"/>
      <c r="AB388" s="57"/>
      <c r="AC388" s="169"/>
      <c r="AD388" s="165"/>
      <c r="AE388" s="165"/>
      <c r="AF388" s="167"/>
      <c r="AG388" s="106"/>
      <c r="AH388" s="199"/>
      <c r="AI388" s="200"/>
      <c r="AJ388" s="165"/>
      <c r="AK388" s="173"/>
      <c r="AL388" s="167"/>
      <c r="AM388" s="199"/>
      <c r="AN388" s="201"/>
      <c r="AO388" s="201"/>
      <c r="AP388" s="106"/>
      <c r="AQ388" s="165"/>
      <c r="AR388" s="168"/>
      <c r="AS388" s="165"/>
      <c r="AT388" s="190"/>
      <c r="AU388" s="167"/>
      <c r="AV388" s="199"/>
      <c r="AW388" s="201"/>
      <c r="AX388" s="201"/>
      <c r="AY388" s="202"/>
      <c r="AZ388" s="46"/>
      <c r="BA388" s="199"/>
      <c r="BB388" s="199"/>
      <c r="BC388" s="106"/>
      <c r="BD388" s="165"/>
      <c r="BE388" s="165"/>
      <c r="BF388" s="173"/>
      <c r="BG388" s="304"/>
      <c r="BH388" s="601"/>
      <c r="BI388" s="45">
        <v>199</v>
      </c>
      <c r="BJ388" s="46">
        <v>293</v>
      </c>
      <c r="BK388" s="45"/>
      <c r="BL388" s="53"/>
      <c r="BM388" s="200"/>
      <c r="BN388" s="165"/>
      <c r="BO388" s="173"/>
      <c r="BP388" s="190"/>
      <c r="BQ388" s="173"/>
      <c r="BR388" s="168"/>
      <c r="BS388" s="165"/>
      <c r="BT388" s="167"/>
      <c r="BU388" s="45">
        <v>134</v>
      </c>
      <c r="BV388" s="53">
        <v>122</v>
      </c>
      <c r="BW388" s="54">
        <v>222</v>
      </c>
      <c r="BX388" s="54">
        <v>135</v>
      </c>
      <c r="BY388" s="46">
        <v>98</v>
      </c>
      <c r="BZ388" s="45"/>
      <c r="CA388" s="54"/>
      <c r="CB388" s="53"/>
      <c r="CC388" s="46"/>
      <c r="CD388" s="45"/>
      <c r="CE388" s="54"/>
      <c r="CF388" s="54"/>
      <c r="CG388" s="73"/>
      <c r="CH388" s="165"/>
      <c r="CI388" s="167"/>
    </row>
    <row r="389" spans="1:87" x14ac:dyDescent="0.3">
      <c r="A389" s="10">
        <v>5938</v>
      </c>
      <c r="B389" s="11" t="s">
        <v>512</v>
      </c>
      <c r="C389" s="471">
        <v>685</v>
      </c>
      <c r="D389" s="54">
        <v>340</v>
      </c>
      <c r="E389" s="367">
        <f t="shared" si="6"/>
        <v>0.49635036496350365</v>
      </c>
      <c r="F389" s="45"/>
      <c r="G389" s="45"/>
      <c r="H389" s="45"/>
      <c r="I389" s="45"/>
      <c r="J389" s="46"/>
      <c r="K389" s="45"/>
      <c r="L389" s="107"/>
      <c r="M389" s="541"/>
      <c r="N389" s="45"/>
      <c r="O389" s="45"/>
      <c r="P389" s="53"/>
      <c r="Q389" s="57"/>
      <c r="R389" s="57"/>
      <c r="S389" s="74"/>
      <c r="T389" s="45"/>
      <c r="U389" s="45"/>
      <c r="V389" s="73"/>
      <c r="W389" s="169"/>
      <c r="X389" s="173"/>
      <c r="Y389" s="190"/>
      <c r="Z389" s="167"/>
      <c r="AA389" s="45"/>
      <c r="AB389" s="57"/>
      <c r="AC389" s="169"/>
      <c r="AD389" s="165"/>
      <c r="AE389" s="165"/>
      <c r="AF389" s="167"/>
      <c r="AG389" s="106"/>
      <c r="AH389" s="199"/>
      <c r="AI389" s="200"/>
      <c r="AJ389" s="165"/>
      <c r="AK389" s="173"/>
      <c r="AL389" s="167"/>
      <c r="AM389" s="199"/>
      <c r="AN389" s="201"/>
      <c r="AO389" s="201"/>
      <c r="AP389" s="106"/>
      <c r="AQ389" s="165"/>
      <c r="AR389" s="168"/>
      <c r="AS389" s="165"/>
      <c r="AT389" s="190"/>
      <c r="AU389" s="167"/>
      <c r="AV389" s="199"/>
      <c r="AW389" s="201"/>
      <c r="AX389" s="201"/>
      <c r="AY389" s="202"/>
      <c r="AZ389" s="46"/>
      <c r="BA389" s="199"/>
      <c r="BB389" s="199"/>
      <c r="BC389" s="106"/>
      <c r="BD389" s="165"/>
      <c r="BE389" s="165"/>
      <c r="BF389" s="173"/>
      <c r="BG389" s="304"/>
      <c r="BH389" s="601"/>
      <c r="BI389" s="45">
        <v>112</v>
      </c>
      <c r="BJ389" s="46">
        <v>167</v>
      </c>
      <c r="BK389" s="45"/>
      <c r="BL389" s="53"/>
      <c r="BM389" s="200"/>
      <c r="BN389" s="165"/>
      <c r="BO389" s="173"/>
      <c r="BP389" s="190"/>
      <c r="BQ389" s="173"/>
      <c r="BR389" s="168"/>
      <c r="BS389" s="165"/>
      <c r="BT389" s="167"/>
      <c r="BU389" s="45">
        <v>119</v>
      </c>
      <c r="BV389" s="53">
        <v>70</v>
      </c>
      <c r="BW389" s="54">
        <v>105</v>
      </c>
      <c r="BX389" s="54">
        <v>91</v>
      </c>
      <c r="BY389" s="46">
        <v>78</v>
      </c>
      <c r="BZ389" s="45"/>
      <c r="CA389" s="54"/>
      <c r="CB389" s="53"/>
      <c r="CC389" s="46"/>
      <c r="CD389" s="45"/>
      <c r="CE389" s="54"/>
      <c r="CF389" s="54"/>
      <c r="CG389" s="73"/>
      <c r="CH389" s="165"/>
      <c r="CI389" s="167"/>
    </row>
    <row r="390" spans="1:87" x14ac:dyDescent="0.3">
      <c r="A390" s="10">
        <v>6201</v>
      </c>
      <c r="B390" s="11" t="s">
        <v>513</v>
      </c>
      <c r="C390" s="471">
        <v>165</v>
      </c>
      <c r="D390" s="54">
        <v>103</v>
      </c>
      <c r="E390" s="367">
        <f t="shared" si="6"/>
        <v>0.62424242424242427</v>
      </c>
      <c r="F390" s="45">
        <v>62</v>
      </c>
      <c r="G390" s="45">
        <v>27</v>
      </c>
      <c r="H390" s="45">
        <v>44</v>
      </c>
      <c r="I390" s="45">
        <v>51</v>
      </c>
      <c r="J390" s="46">
        <v>19</v>
      </c>
      <c r="K390" s="45"/>
      <c r="L390" s="107"/>
      <c r="M390" s="541"/>
      <c r="N390" s="45"/>
      <c r="O390" s="45"/>
      <c r="P390" s="53"/>
      <c r="Q390" s="57"/>
      <c r="R390" s="57"/>
      <c r="S390" s="74"/>
      <c r="T390" s="45"/>
      <c r="U390" s="45"/>
      <c r="V390" s="73"/>
      <c r="W390" s="169"/>
      <c r="X390" s="173"/>
      <c r="Y390" s="190"/>
      <c r="Z390" s="167"/>
      <c r="AA390" s="45"/>
      <c r="AB390" s="57"/>
      <c r="AC390" s="169"/>
      <c r="AD390" s="165"/>
      <c r="AE390" s="165"/>
      <c r="AF390" s="167"/>
      <c r="AG390" s="106"/>
      <c r="AH390" s="199"/>
      <c r="AI390" s="200"/>
      <c r="AJ390" s="165"/>
      <c r="AK390" s="173"/>
      <c r="AL390" s="167"/>
      <c r="AM390" s="199"/>
      <c r="AN390" s="201"/>
      <c r="AO390" s="201"/>
      <c r="AP390" s="106"/>
      <c r="AQ390" s="165"/>
      <c r="AR390" s="168"/>
      <c r="AS390" s="165"/>
      <c r="AT390" s="190"/>
      <c r="AU390" s="167"/>
      <c r="AV390" s="199"/>
      <c r="AW390" s="201"/>
      <c r="AX390" s="201"/>
      <c r="AY390" s="202"/>
      <c r="AZ390" s="46"/>
      <c r="BA390" s="199"/>
      <c r="BB390" s="199"/>
      <c r="BC390" s="106"/>
      <c r="BD390" s="165"/>
      <c r="BE390" s="165"/>
      <c r="BF390" s="173"/>
      <c r="BG390" s="304"/>
      <c r="BH390" s="601"/>
      <c r="BI390" s="45"/>
      <c r="BJ390" s="46"/>
      <c r="BK390" s="45"/>
      <c r="BL390" s="53"/>
      <c r="BM390" s="200"/>
      <c r="BN390" s="165"/>
      <c r="BO390" s="173"/>
      <c r="BP390" s="190"/>
      <c r="BQ390" s="173"/>
      <c r="BR390" s="168"/>
      <c r="BS390" s="165"/>
      <c r="BT390" s="167"/>
      <c r="BU390" s="199"/>
      <c r="BV390" s="202"/>
      <c r="BW390" s="201"/>
      <c r="BX390" s="201"/>
      <c r="BY390" s="200"/>
      <c r="BZ390" s="199"/>
      <c r="CA390" s="201"/>
      <c r="CB390" s="202"/>
      <c r="CC390" s="200"/>
      <c r="CD390" s="199"/>
      <c r="CE390" s="201"/>
      <c r="CF390" s="201"/>
      <c r="CG390" s="106"/>
      <c r="CH390" s="165"/>
      <c r="CI390" s="167"/>
    </row>
    <row r="391" spans="1:87" x14ac:dyDescent="0.3">
      <c r="A391" s="10">
        <v>6202</v>
      </c>
      <c r="B391" s="11" t="s">
        <v>514</v>
      </c>
      <c r="C391" s="471">
        <v>378</v>
      </c>
      <c r="D391" s="54">
        <v>194</v>
      </c>
      <c r="E391" s="367">
        <f t="shared" si="6"/>
        <v>0.51322751322751325</v>
      </c>
      <c r="F391" s="45">
        <v>92</v>
      </c>
      <c r="G391" s="45">
        <v>43</v>
      </c>
      <c r="H391" s="45">
        <v>81</v>
      </c>
      <c r="I391" s="45">
        <v>78</v>
      </c>
      <c r="J391" s="46">
        <v>33</v>
      </c>
      <c r="K391" s="45"/>
      <c r="L391" s="107"/>
      <c r="M391" s="541"/>
      <c r="N391" s="45"/>
      <c r="O391" s="45"/>
      <c r="P391" s="53"/>
      <c r="Q391" s="57"/>
      <c r="R391" s="57"/>
      <c r="S391" s="74"/>
      <c r="T391" s="45"/>
      <c r="U391" s="45"/>
      <c r="V391" s="73"/>
      <c r="W391" s="169"/>
      <c r="X391" s="173"/>
      <c r="Y391" s="190"/>
      <c r="Z391" s="167"/>
      <c r="AA391" s="45"/>
      <c r="AB391" s="57"/>
      <c r="AC391" s="169"/>
      <c r="AD391" s="165"/>
      <c r="AE391" s="165"/>
      <c r="AF391" s="167"/>
      <c r="AG391" s="106"/>
      <c r="AH391" s="199"/>
      <c r="AI391" s="200"/>
      <c r="AJ391" s="165"/>
      <c r="AK391" s="173"/>
      <c r="AL391" s="167"/>
      <c r="AM391" s="199"/>
      <c r="AN391" s="201"/>
      <c r="AO391" s="201"/>
      <c r="AP391" s="106"/>
      <c r="AQ391" s="165"/>
      <c r="AR391" s="168"/>
      <c r="AS391" s="165"/>
      <c r="AT391" s="190"/>
      <c r="AU391" s="167"/>
      <c r="AV391" s="199"/>
      <c r="AW391" s="201"/>
      <c r="AX391" s="201"/>
      <c r="AY391" s="202"/>
      <c r="AZ391" s="46"/>
      <c r="BA391" s="199"/>
      <c r="BB391" s="199"/>
      <c r="BC391" s="106"/>
      <c r="BD391" s="165"/>
      <c r="BE391" s="165"/>
      <c r="BF391" s="173"/>
      <c r="BG391" s="304"/>
      <c r="BH391" s="601"/>
      <c r="BI391" s="45"/>
      <c r="BJ391" s="46"/>
      <c r="BK391" s="45"/>
      <c r="BL391" s="53"/>
      <c r="BM391" s="200"/>
      <c r="BN391" s="165"/>
      <c r="BO391" s="173"/>
      <c r="BP391" s="190"/>
      <c r="BQ391" s="173"/>
      <c r="BR391" s="168"/>
      <c r="BS391" s="165"/>
      <c r="BT391" s="167"/>
      <c r="BU391" s="199"/>
      <c r="BV391" s="202"/>
      <c r="BW391" s="201"/>
      <c r="BX391" s="201"/>
      <c r="BY391" s="200"/>
      <c r="BZ391" s="199"/>
      <c r="CA391" s="201"/>
      <c r="CB391" s="202"/>
      <c r="CC391" s="200"/>
      <c r="CD391" s="199"/>
      <c r="CE391" s="201"/>
      <c r="CF391" s="201"/>
      <c r="CG391" s="106"/>
      <c r="CH391" s="165"/>
      <c r="CI391" s="167"/>
    </row>
    <row r="392" spans="1:87" x14ac:dyDescent="0.3">
      <c r="A392" s="10">
        <v>6203</v>
      </c>
      <c r="B392" s="11" t="s">
        <v>515</v>
      </c>
      <c r="C392" s="471">
        <v>430</v>
      </c>
      <c r="D392" s="54">
        <v>317</v>
      </c>
      <c r="E392" s="367">
        <f t="shared" si="6"/>
        <v>0.73720930232558135</v>
      </c>
      <c r="F392" s="45">
        <v>193</v>
      </c>
      <c r="G392" s="45">
        <v>61</v>
      </c>
      <c r="H392" s="45">
        <v>158</v>
      </c>
      <c r="I392" s="45">
        <v>148</v>
      </c>
      <c r="J392" s="46">
        <v>48</v>
      </c>
      <c r="K392" s="45"/>
      <c r="L392" s="107"/>
      <c r="M392" s="541"/>
      <c r="N392" s="45"/>
      <c r="O392" s="45"/>
      <c r="P392" s="53"/>
      <c r="Q392" s="57"/>
      <c r="R392" s="57"/>
      <c r="S392" s="74"/>
      <c r="T392" s="45"/>
      <c r="U392" s="45"/>
      <c r="V392" s="73"/>
      <c r="W392" s="169"/>
      <c r="X392" s="173"/>
      <c r="Y392" s="190"/>
      <c r="Z392" s="167"/>
      <c r="AA392" s="45"/>
      <c r="AB392" s="57"/>
      <c r="AC392" s="169"/>
      <c r="AD392" s="165"/>
      <c r="AE392" s="165"/>
      <c r="AF392" s="167"/>
      <c r="AG392" s="106"/>
      <c r="AH392" s="199"/>
      <c r="AI392" s="200"/>
      <c r="AJ392" s="165"/>
      <c r="AK392" s="173"/>
      <c r="AL392" s="167"/>
      <c r="AM392" s="199"/>
      <c r="AN392" s="201"/>
      <c r="AO392" s="201"/>
      <c r="AP392" s="106"/>
      <c r="AQ392" s="165"/>
      <c r="AR392" s="168"/>
      <c r="AS392" s="165"/>
      <c r="AT392" s="190"/>
      <c r="AU392" s="167"/>
      <c r="AV392" s="199"/>
      <c r="AW392" s="201"/>
      <c r="AX392" s="201"/>
      <c r="AY392" s="202"/>
      <c r="AZ392" s="46"/>
      <c r="BA392" s="199"/>
      <c r="BB392" s="199"/>
      <c r="BC392" s="106"/>
      <c r="BD392" s="165"/>
      <c r="BE392" s="165"/>
      <c r="BF392" s="173"/>
      <c r="BG392" s="304"/>
      <c r="BH392" s="601"/>
      <c r="BI392" s="45"/>
      <c r="BJ392" s="46"/>
      <c r="BK392" s="45"/>
      <c r="BL392" s="53"/>
      <c r="BM392" s="200"/>
      <c r="BN392" s="165"/>
      <c r="BO392" s="173"/>
      <c r="BP392" s="190"/>
      <c r="BQ392" s="173"/>
      <c r="BR392" s="168"/>
      <c r="BS392" s="165"/>
      <c r="BT392" s="167"/>
      <c r="BU392" s="199"/>
      <c r="BV392" s="202"/>
      <c r="BW392" s="201"/>
      <c r="BX392" s="201"/>
      <c r="BY392" s="200"/>
      <c r="BZ392" s="199"/>
      <c r="CA392" s="201"/>
      <c r="CB392" s="202"/>
      <c r="CC392" s="200"/>
      <c r="CD392" s="199"/>
      <c r="CE392" s="201"/>
      <c r="CF392" s="201"/>
      <c r="CG392" s="106"/>
      <c r="CH392" s="165"/>
      <c r="CI392" s="167"/>
    </row>
    <row r="393" spans="1:87" x14ac:dyDescent="0.3">
      <c r="A393" s="10">
        <v>6204</v>
      </c>
      <c r="B393" s="11" t="s">
        <v>516</v>
      </c>
      <c r="C393" s="471">
        <v>582</v>
      </c>
      <c r="D393" s="54">
        <v>217</v>
      </c>
      <c r="E393" s="367">
        <f t="shared" si="6"/>
        <v>0.37285223367697595</v>
      </c>
      <c r="F393" s="45">
        <v>121</v>
      </c>
      <c r="G393" s="45">
        <v>53</v>
      </c>
      <c r="H393" s="45">
        <v>74</v>
      </c>
      <c r="I393" s="45">
        <v>124</v>
      </c>
      <c r="J393" s="46">
        <v>21</v>
      </c>
      <c r="K393" s="45"/>
      <c r="L393" s="107"/>
      <c r="M393" s="541"/>
      <c r="N393" s="45"/>
      <c r="O393" s="45"/>
      <c r="P393" s="53"/>
      <c r="Q393" s="57"/>
      <c r="R393" s="57"/>
      <c r="S393" s="74"/>
      <c r="T393" s="45"/>
      <c r="U393" s="45"/>
      <c r="V393" s="73"/>
      <c r="W393" s="169"/>
      <c r="X393" s="173"/>
      <c r="Y393" s="190"/>
      <c r="Z393" s="167"/>
      <c r="AA393" s="45"/>
      <c r="AB393" s="57"/>
      <c r="AC393" s="169"/>
      <c r="AD393" s="165"/>
      <c r="AE393" s="165"/>
      <c r="AF393" s="167"/>
      <c r="AG393" s="106"/>
      <c r="AH393" s="199"/>
      <c r="AI393" s="200"/>
      <c r="AJ393" s="165"/>
      <c r="AK393" s="173"/>
      <c r="AL393" s="167"/>
      <c r="AM393" s="199"/>
      <c r="AN393" s="201"/>
      <c r="AO393" s="201"/>
      <c r="AP393" s="106"/>
      <c r="AQ393" s="165"/>
      <c r="AR393" s="168"/>
      <c r="AS393" s="165"/>
      <c r="AT393" s="190"/>
      <c r="AU393" s="167"/>
      <c r="AV393" s="199"/>
      <c r="AW393" s="201"/>
      <c r="AX393" s="201"/>
      <c r="AY393" s="202"/>
      <c r="AZ393" s="46"/>
      <c r="BA393" s="199"/>
      <c r="BB393" s="199"/>
      <c r="BC393" s="106"/>
      <c r="BD393" s="165"/>
      <c r="BE393" s="165"/>
      <c r="BF393" s="173"/>
      <c r="BG393" s="304"/>
      <c r="BH393" s="601"/>
      <c r="BI393" s="45"/>
      <c r="BJ393" s="46"/>
      <c r="BK393" s="45"/>
      <c r="BL393" s="53"/>
      <c r="BM393" s="200"/>
      <c r="BN393" s="165"/>
      <c r="BO393" s="173"/>
      <c r="BP393" s="190"/>
      <c r="BQ393" s="173"/>
      <c r="BR393" s="168"/>
      <c r="BS393" s="165"/>
      <c r="BT393" s="167"/>
      <c r="BU393" s="199"/>
      <c r="BV393" s="202"/>
      <c r="BW393" s="201"/>
      <c r="BX393" s="201"/>
      <c r="BY393" s="200"/>
      <c r="BZ393" s="199"/>
      <c r="CA393" s="201"/>
      <c r="CB393" s="202"/>
      <c r="CC393" s="200"/>
      <c r="CD393" s="199"/>
      <c r="CE393" s="201"/>
      <c r="CF393" s="201"/>
      <c r="CG393" s="106"/>
      <c r="CH393" s="165"/>
      <c r="CI393" s="167"/>
    </row>
    <row r="394" spans="1:87" x14ac:dyDescent="0.3">
      <c r="A394" s="10">
        <v>6205</v>
      </c>
      <c r="B394" s="11" t="s">
        <v>517</v>
      </c>
      <c r="C394" s="471">
        <v>349</v>
      </c>
      <c r="D394" s="54">
        <v>171</v>
      </c>
      <c r="E394" s="367">
        <f t="shared" si="6"/>
        <v>0.48997134670487108</v>
      </c>
      <c r="F394" s="45">
        <v>94</v>
      </c>
      <c r="G394" s="45">
        <v>40</v>
      </c>
      <c r="H394" s="45">
        <v>56</v>
      </c>
      <c r="I394" s="45">
        <v>80</v>
      </c>
      <c r="J394" s="46">
        <v>36</v>
      </c>
      <c r="K394" s="45"/>
      <c r="L394" s="107"/>
      <c r="M394" s="541"/>
      <c r="N394" s="45"/>
      <c r="O394" s="45"/>
      <c r="P394" s="53"/>
      <c r="Q394" s="57"/>
      <c r="R394" s="57"/>
      <c r="S394" s="74"/>
      <c r="T394" s="45"/>
      <c r="U394" s="45"/>
      <c r="V394" s="73"/>
      <c r="W394" s="169"/>
      <c r="X394" s="173"/>
      <c r="Y394" s="190"/>
      <c r="Z394" s="167"/>
      <c r="AA394" s="45"/>
      <c r="AB394" s="57"/>
      <c r="AC394" s="169"/>
      <c r="AD394" s="165"/>
      <c r="AE394" s="165"/>
      <c r="AF394" s="167"/>
      <c r="AG394" s="106"/>
      <c r="AH394" s="199"/>
      <c r="AI394" s="200"/>
      <c r="AJ394" s="165"/>
      <c r="AK394" s="173"/>
      <c r="AL394" s="167"/>
      <c r="AM394" s="199"/>
      <c r="AN394" s="201"/>
      <c r="AO394" s="201"/>
      <c r="AP394" s="106"/>
      <c r="AQ394" s="165"/>
      <c r="AR394" s="168"/>
      <c r="AS394" s="165"/>
      <c r="AT394" s="190"/>
      <c r="AU394" s="167"/>
      <c r="AV394" s="199"/>
      <c r="AW394" s="201"/>
      <c r="AX394" s="201"/>
      <c r="AY394" s="202"/>
      <c r="AZ394" s="46"/>
      <c r="BA394" s="199"/>
      <c r="BB394" s="199"/>
      <c r="BC394" s="106"/>
      <c r="BD394" s="165"/>
      <c r="BE394" s="165"/>
      <c r="BF394" s="173"/>
      <c r="BG394" s="304"/>
      <c r="BH394" s="601"/>
      <c r="BI394" s="45"/>
      <c r="BJ394" s="46"/>
      <c r="BK394" s="45"/>
      <c r="BL394" s="53"/>
      <c r="BM394" s="200"/>
      <c r="BN394" s="165"/>
      <c r="BO394" s="173"/>
      <c r="BP394" s="190"/>
      <c r="BQ394" s="173"/>
      <c r="BR394" s="168"/>
      <c r="BS394" s="165"/>
      <c r="BT394" s="167"/>
      <c r="BU394" s="199"/>
      <c r="BV394" s="202"/>
      <c r="BW394" s="201"/>
      <c r="BX394" s="201"/>
      <c r="BY394" s="200"/>
      <c r="BZ394" s="199"/>
      <c r="CA394" s="201"/>
      <c r="CB394" s="202"/>
      <c r="CC394" s="200"/>
      <c r="CD394" s="199"/>
      <c r="CE394" s="201"/>
      <c r="CF394" s="201"/>
      <c r="CG394" s="106"/>
      <c r="CH394" s="165"/>
      <c r="CI394" s="167"/>
    </row>
    <row r="395" spans="1:87" x14ac:dyDescent="0.3">
      <c r="A395" s="10">
        <v>6206</v>
      </c>
      <c r="B395" s="11" t="s">
        <v>518</v>
      </c>
      <c r="C395" s="471">
        <v>619</v>
      </c>
      <c r="D395" s="54">
        <v>350</v>
      </c>
      <c r="E395" s="367">
        <f t="shared" si="6"/>
        <v>0.56542810985460423</v>
      </c>
      <c r="F395" s="45">
        <v>176</v>
      </c>
      <c r="G395" s="45">
        <v>77</v>
      </c>
      <c r="H395" s="45">
        <v>133</v>
      </c>
      <c r="I395" s="45">
        <v>148</v>
      </c>
      <c r="J395" s="46">
        <v>46</v>
      </c>
      <c r="K395" s="45"/>
      <c r="L395" s="107"/>
      <c r="M395" s="541"/>
      <c r="N395" s="45"/>
      <c r="O395" s="45"/>
      <c r="P395" s="53"/>
      <c r="Q395" s="57"/>
      <c r="R395" s="57"/>
      <c r="S395" s="74"/>
      <c r="T395" s="45"/>
      <c r="U395" s="45"/>
      <c r="V395" s="73"/>
      <c r="W395" s="169"/>
      <c r="X395" s="173"/>
      <c r="Y395" s="190"/>
      <c r="Z395" s="167"/>
      <c r="AA395" s="45"/>
      <c r="AB395" s="57"/>
      <c r="AC395" s="169"/>
      <c r="AD395" s="165"/>
      <c r="AE395" s="165"/>
      <c r="AF395" s="167"/>
      <c r="AG395" s="73"/>
      <c r="AH395" s="45"/>
      <c r="AI395" s="46"/>
      <c r="AJ395" s="165"/>
      <c r="AK395" s="173"/>
      <c r="AL395" s="167"/>
      <c r="AM395" s="45"/>
      <c r="AN395" s="54"/>
      <c r="AO395" s="54"/>
      <c r="AP395" s="73"/>
      <c r="AQ395" s="165"/>
      <c r="AR395" s="168"/>
      <c r="AS395" s="165"/>
      <c r="AT395" s="190"/>
      <c r="AU395" s="167"/>
      <c r="AV395" s="45"/>
      <c r="AW395" s="54"/>
      <c r="AX395" s="54"/>
      <c r="AY395" s="53"/>
      <c r="AZ395" s="46"/>
      <c r="BA395" s="199"/>
      <c r="BB395" s="199"/>
      <c r="BC395" s="106"/>
      <c r="BD395" s="165"/>
      <c r="BE395" s="165"/>
      <c r="BF395" s="173"/>
      <c r="BG395" s="304"/>
      <c r="BH395" s="601"/>
      <c r="BI395" s="45"/>
      <c r="BJ395" s="46"/>
      <c r="BK395" s="45"/>
      <c r="BL395" s="53"/>
      <c r="BM395" s="200"/>
      <c r="BN395" s="165"/>
      <c r="BO395" s="173"/>
      <c r="BP395" s="190"/>
      <c r="BQ395" s="173"/>
      <c r="BR395" s="168"/>
      <c r="BS395" s="165"/>
      <c r="BT395" s="167"/>
      <c r="BU395" s="199"/>
      <c r="BV395" s="202"/>
      <c r="BW395" s="201"/>
      <c r="BX395" s="201"/>
      <c r="BY395" s="200"/>
      <c r="BZ395" s="199"/>
      <c r="CA395" s="201"/>
      <c r="CB395" s="202"/>
      <c r="CC395" s="200"/>
      <c r="CD395" s="199"/>
      <c r="CE395" s="201"/>
      <c r="CF395" s="201"/>
      <c r="CG395" s="106"/>
      <c r="CH395" s="165"/>
      <c r="CI395" s="167"/>
    </row>
    <row r="396" spans="1:87" x14ac:dyDescent="0.3">
      <c r="A396" s="10">
        <v>6207</v>
      </c>
      <c r="B396" s="11" t="s">
        <v>519</v>
      </c>
      <c r="C396" s="471">
        <v>811</v>
      </c>
      <c r="D396" s="54">
        <v>432</v>
      </c>
      <c r="E396" s="367">
        <f t="shared" si="6"/>
        <v>0.53267570900123307</v>
      </c>
      <c r="F396" s="45"/>
      <c r="G396" s="45"/>
      <c r="H396" s="45"/>
      <c r="I396" s="45"/>
      <c r="J396" s="46"/>
      <c r="K396" s="45"/>
      <c r="L396" s="107"/>
      <c r="M396" s="541"/>
      <c r="N396" s="45"/>
      <c r="O396" s="45"/>
      <c r="P396" s="53"/>
      <c r="Q396" s="57"/>
      <c r="R396" s="57"/>
      <c r="S396" s="74"/>
      <c r="T396" s="45"/>
      <c r="U396" s="45"/>
      <c r="V396" s="73"/>
      <c r="W396" s="169"/>
      <c r="X396" s="173"/>
      <c r="Y396" s="190"/>
      <c r="Z396" s="167"/>
      <c r="AA396" s="45">
        <v>232</v>
      </c>
      <c r="AB396" s="57">
        <v>234</v>
      </c>
      <c r="AC396" s="169"/>
      <c r="AD396" s="165"/>
      <c r="AE396" s="165"/>
      <c r="AF396" s="167"/>
      <c r="AG396" s="73"/>
      <c r="AH396" s="45"/>
      <c r="AI396" s="46"/>
      <c r="AJ396" s="165"/>
      <c r="AK396" s="173"/>
      <c r="AL396" s="167"/>
      <c r="AM396" s="45"/>
      <c r="AN396" s="54"/>
      <c r="AO396" s="54"/>
      <c r="AP396" s="73"/>
      <c r="AQ396" s="165"/>
      <c r="AR396" s="168"/>
      <c r="AS396" s="165"/>
      <c r="AT396" s="190"/>
      <c r="AU396" s="167"/>
      <c r="AV396" s="45"/>
      <c r="AW396" s="54"/>
      <c r="AX396" s="54"/>
      <c r="AY396" s="53"/>
      <c r="AZ396" s="46"/>
      <c r="BA396" s="45"/>
      <c r="BB396" s="45"/>
      <c r="BC396" s="73"/>
      <c r="BD396" s="165"/>
      <c r="BE396" s="165"/>
      <c r="BF396" s="173"/>
      <c r="BG396" s="304"/>
      <c r="BH396" s="601"/>
      <c r="BI396" s="45"/>
      <c r="BJ396" s="46"/>
      <c r="BK396" s="45"/>
      <c r="BL396" s="53"/>
      <c r="BM396" s="200"/>
      <c r="BN396" s="165"/>
      <c r="BO396" s="173"/>
      <c r="BP396" s="190"/>
      <c r="BQ396" s="173"/>
      <c r="BR396" s="168"/>
      <c r="BS396" s="165"/>
      <c r="BT396" s="167"/>
      <c r="BU396" s="199"/>
      <c r="BV396" s="202"/>
      <c r="BW396" s="201"/>
      <c r="BX396" s="201"/>
      <c r="BY396" s="200"/>
      <c r="BZ396" s="199"/>
      <c r="CA396" s="201"/>
      <c r="CB396" s="202"/>
      <c r="CC396" s="200"/>
      <c r="CD396" s="199"/>
      <c r="CE396" s="201"/>
      <c r="CF396" s="201"/>
      <c r="CG396" s="106"/>
      <c r="CH396" s="165"/>
      <c r="CI396" s="167"/>
    </row>
    <row r="397" spans="1:87" x14ac:dyDescent="0.3">
      <c r="A397" s="10">
        <v>6208</v>
      </c>
      <c r="B397" s="11" t="s">
        <v>520</v>
      </c>
      <c r="C397" s="471">
        <v>1</v>
      </c>
      <c r="D397" s="54">
        <v>1</v>
      </c>
      <c r="E397" s="367">
        <f t="shared" si="6"/>
        <v>1</v>
      </c>
      <c r="F397" s="45"/>
      <c r="G397" s="45"/>
      <c r="H397" s="45"/>
      <c r="I397" s="45"/>
      <c r="J397" s="46"/>
      <c r="K397" s="45"/>
      <c r="L397" s="107"/>
      <c r="M397" s="541"/>
      <c r="N397" s="45">
        <v>0</v>
      </c>
      <c r="O397" s="45">
        <v>1</v>
      </c>
      <c r="P397" s="53">
        <v>1</v>
      </c>
      <c r="Q397" s="57">
        <v>0</v>
      </c>
      <c r="R397" s="57">
        <v>0</v>
      </c>
      <c r="S397" s="74"/>
      <c r="T397" s="45"/>
      <c r="U397" s="45"/>
      <c r="V397" s="73"/>
      <c r="W397" s="169"/>
      <c r="X397" s="173"/>
      <c r="Y397" s="190"/>
      <c r="Z397" s="167"/>
      <c r="AA397" s="199"/>
      <c r="AB397" s="203"/>
      <c r="AC397" s="169"/>
      <c r="AD397" s="165"/>
      <c r="AE397" s="165"/>
      <c r="AF397" s="167"/>
      <c r="AG397" s="106"/>
      <c r="AH397" s="199"/>
      <c r="AI397" s="200"/>
      <c r="AJ397" s="165"/>
      <c r="AK397" s="173"/>
      <c r="AL397" s="167"/>
      <c r="AM397" s="199"/>
      <c r="AN397" s="201"/>
      <c r="AO397" s="201"/>
      <c r="AP397" s="106"/>
      <c r="AQ397" s="165"/>
      <c r="AR397" s="168"/>
      <c r="AS397" s="165"/>
      <c r="AT397" s="190"/>
      <c r="AU397" s="167"/>
      <c r="AV397" s="199"/>
      <c r="AW397" s="201"/>
      <c r="AX397" s="201"/>
      <c r="AY397" s="202"/>
      <c r="AZ397" s="46"/>
      <c r="BA397" s="45"/>
      <c r="BB397" s="45"/>
      <c r="BC397" s="73"/>
      <c r="BD397" s="165"/>
      <c r="BE397" s="165"/>
      <c r="BF397" s="173"/>
      <c r="BG397" s="304"/>
      <c r="BH397" s="601"/>
      <c r="BI397" s="45"/>
      <c r="BJ397" s="46"/>
      <c r="BK397" s="45"/>
      <c r="BL397" s="53"/>
      <c r="BM397" s="200"/>
      <c r="BN397" s="165"/>
      <c r="BO397" s="173"/>
      <c r="BP397" s="190"/>
      <c r="BQ397" s="173"/>
      <c r="BR397" s="168"/>
      <c r="BS397" s="165"/>
      <c r="BT397" s="167"/>
      <c r="BU397" s="199"/>
      <c r="BV397" s="202"/>
      <c r="BW397" s="201"/>
      <c r="BX397" s="201"/>
      <c r="BY397" s="200"/>
      <c r="BZ397" s="199"/>
      <c r="CA397" s="201"/>
      <c r="CB397" s="202"/>
      <c r="CC397" s="200"/>
      <c r="CD397" s="199"/>
      <c r="CE397" s="201"/>
      <c r="CF397" s="201"/>
      <c r="CG397" s="106"/>
      <c r="CH397" s="165"/>
      <c r="CI397" s="167"/>
    </row>
    <row r="398" spans="1:87" x14ac:dyDescent="0.3">
      <c r="A398" s="10">
        <v>6209</v>
      </c>
      <c r="B398" s="11" t="s">
        <v>521</v>
      </c>
      <c r="C398" s="471">
        <v>95</v>
      </c>
      <c r="D398" s="54">
        <v>42</v>
      </c>
      <c r="E398" s="367">
        <f t="shared" si="6"/>
        <v>0.44210526315789472</v>
      </c>
      <c r="F398" s="45">
        <v>21</v>
      </c>
      <c r="G398" s="45">
        <v>10</v>
      </c>
      <c r="H398" s="45">
        <v>22</v>
      </c>
      <c r="I398" s="45">
        <v>28</v>
      </c>
      <c r="J398" s="46">
        <v>5</v>
      </c>
      <c r="K398" s="45"/>
      <c r="L398" s="107"/>
      <c r="M398" s="541"/>
      <c r="N398" s="45"/>
      <c r="O398" s="45"/>
      <c r="P398" s="53"/>
      <c r="Q398" s="57"/>
      <c r="R398" s="57"/>
      <c r="S398" s="74"/>
      <c r="T398" s="45"/>
      <c r="U398" s="45"/>
      <c r="V398" s="73"/>
      <c r="W398" s="169"/>
      <c r="X398" s="173"/>
      <c r="Y398" s="190"/>
      <c r="Z398" s="167"/>
      <c r="AA398" s="199"/>
      <c r="AB398" s="203"/>
      <c r="AC398" s="169"/>
      <c r="AD398" s="165"/>
      <c r="AE398" s="165"/>
      <c r="AF398" s="167"/>
      <c r="AG398" s="106"/>
      <c r="AH398" s="199"/>
      <c r="AI398" s="200"/>
      <c r="AJ398" s="165"/>
      <c r="AK398" s="173"/>
      <c r="AL398" s="167"/>
      <c r="AM398" s="199"/>
      <c r="AN398" s="201"/>
      <c r="AO398" s="201"/>
      <c r="AP398" s="106"/>
      <c r="AQ398" s="165"/>
      <c r="AR398" s="168"/>
      <c r="AS398" s="165"/>
      <c r="AT398" s="190"/>
      <c r="AU398" s="167"/>
      <c r="AV398" s="199"/>
      <c r="AW398" s="201"/>
      <c r="AX398" s="201"/>
      <c r="AY398" s="202"/>
      <c r="AZ398" s="46"/>
      <c r="BA398" s="199"/>
      <c r="BB398" s="199"/>
      <c r="BC398" s="106"/>
      <c r="BD398" s="165"/>
      <c r="BE398" s="165"/>
      <c r="BF398" s="173"/>
      <c r="BG398" s="304"/>
      <c r="BH398" s="601"/>
      <c r="BI398" s="45"/>
      <c r="BJ398" s="46"/>
      <c r="BK398" s="45"/>
      <c r="BL398" s="53"/>
      <c r="BM398" s="200"/>
      <c r="BN398" s="165"/>
      <c r="BO398" s="173"/>
      <c r="BP398" s="190"/>
      <c r="BQ398" s="173"/>
      <c r="BR398" s="168"/>
      <c r="BS398" s="165"/>
      <c r="BT398" s="167"/>
      <c r="BU398" s="199"/>
      <c r="BV398" s="202"/>
      <c r="BW398" s="201"/>
      <c r="BX398" s="201"/>
      <c r="BY398" s="200"/>
      <c r="BZ398" s="199"/>
      <c r="CA398" s="201"/>
      <c r="CB398" s="202"/>
      <c r="CC398" s="200"/>
      <c r="CD398" s="199"/>
      <c r="CE398" s="201"/>
      <c r="CF398" s="201"/>
      <c r="CG398" s="106"/>
      <c r="CH398" s="165"/>
      <c r="CI398" s="167"/>
    </row>
    <row r="399" spans="1:87" x14ac:dyDescent="0.3">
      <c r="A399" s="10">
        <v>6401</v>
      </c>
      <c r="B399" s="11" t="s">
        <v>522</v>
      </c>
      <c r="C399" s="471">
        <v>1467</v>
      </c>
      <c r="D399" s="54">
        <v>696</v>
      </c>
      <c r="E399" s="367">
        <f t="shared" si="6"/>
        <v>0.47443762781186094</v>
      </c>
      <c r="F399" s="45"/>
      <c r="G399" s="45"/>
      <c r="H399" s="45"/>
      <c r="I399" s="45"/>
      <c r="J399" s="46"/>
      <c r="K399" s="45"/>
      <c r="L399" s="107"/>
      <c r="M399" s="541"/>
      <c r="N399" s="199"/>
      <c r="O399" s="199"/>
      <c r="P399" s="202"/>
      <c r="Q399" s="203"/>
      <c r="R399" s="203"/>
      <c r="S399" s="98"/>
      <c r="T399" s="199"/>
      <c r="U399" s="199"/>
      <c r="V399" s="73"/>
      <c r="W399" s="169"/>
      <c r="X399" s="173"/>
      <c r="Y399" s="190"/>
      <c r="Z399" s="167"/>
      <c r="AA399" s="199"/>
      <c r="AB399" s="203"/>
      <c r="AC399" s="169"/>
      <c r="AD399" s="165"/>
      <c r="AE399" s="165"/>
      <c r="AF399" s="167"/>
      <c r="AG399" s="106"/>
      <c r="AH399" s="199"/>
      <c r="AI399" s="200"/>
      <c r="AJ399" s="165"/>
      <c r="AK399" s="173"/>
      <c r="AL399" s="167"/>
      <c r="AM399" s="199"/>
      <c r="AN399" s="201"/>
      <c r="AO399" s="201"/>
      <c r="AP399" s="106"/>
      <c r="AQ399" s="165"/>
      <c r="AR399" s="168"/>
      <c r="AS399" s="165"/>
      <c r="AT399" s="190"/>
      <c r="AU399" s="167"/>
      <c r="AV399" s="199"/>
      <c r="AW399" s="201"/>
      <c r="AX399" s="201"/>
      <c r="AY399" s="202"/>
      <c r="AZ399" s="46"/>
      <c r="BA399" s="199"/>
      <c r="BB399" s="199"/>
      <c r="BC399" s="106"/>
      <c r="BD399" s="165"/>
      <c r="BE399" s="165"/>
      <c r="BF399" s="173"/>
      <c r="BG399" s="304"/>
      <c r="BH399" s="601"/>
      <c r="BI399" s="45">
        <v>339</v>
      </c>
      <c r="BJ399" s="46">
        <v>349</v>
      </c>
      <c r="BK399" s="45"/>
      <c r="BL399" s="53"/>
      <c r="BM399" s="200"/>
      <c r="BN399" s="165"/>
      <c r="BO399" s="173"/>
      <c r="BP399" s="190"/>
      <c r="BQ399" s="173"/>
      <c r="BR399" s="168"/>
      <c r="BS399" s="165"/>
      <c r="BT399" s="167"/>
      <c r="BU399" s="199"/>
      <c r="BV399" s="202"/>
      <c r="BW399" s="201"/>
      <c r="BX399" s="201"/>
      <c r="BY399" s="200"/>
      <c r="BZ399" s="199"/>
      <c r="CA399" s="201"/>
      <c r="CB399" s="202"/>
      <c r="CC399" s="200"/>
      <c r="CD399" s="45">
        <v>327</v>
      </c>
      <c r="CE399" s="54">
        <v>297</v>
      </c>
      <c r="CF399" s="54">
        <v>322</v>
      </c>
      <c r="CG399" s="73">
        <v>180</v>
      </c>
      <c r="CH399" s="165"/>
      <c r="CI399" s="167"/>
    </row>
    <row r="400" spans="1:87" x14ac:dyDescent="0.3">
      <c r="A400" s="10">
        <v>6402</v>
      </c>
      <c r="B400" s="11" t="s">
        <v>523</v>
      </c>
      <c r="C400" s="471">
        <v>1331</v>
      </c>
      <c r="D400" s="54">
        <v>733</v>
      </c>
      <c r="E400" s="367">
        <f t="shared" si="6"/>
        <v>0.55071374906085646</v>
      </c>
      <c r="F400" s="45"/>
      <c r="G400" s="45"/>
      <c r="H400" s="45"/>
      <c r="I400" s="45"/>
      <c r="J400" s="46"/>
      <c r="K400" s="45"/>
      <c r="L400" s="107"/>
      <c r="M400" s="541"/>
      <c r="N400" s="199"/>
      <c r="O400" s="199"/>
      <c r="P400" s="202"/>
      <c r="Q400" s="203"/>
      <c r="R400" s="203"/>
      <c r="S400" s="98"/>
      <c r="T400" s="199"/>
      <c r="U400" s="199"/>
      <c r="V400" s="73"/>
      <c r="W400" s="169"/>
      <c r="X400" s="173"/>
      <c r="Y400" s="190"/>
      <c r="Z400" s="167"/>
      <c r="AA400" s="199"/>
      <c r="AB400" s="203"/>
      <c r="AC400" s="169"/>
      <c r="AD400" s="165"/>
      <c r="AE400" s="165"/>
      <c r="AF400" s="167"/>
      <c r="AG400" s="106"/>
      <c r="AH400" s="199"/>
      <c r="AI400" s="200"/>
      <c r="AJ400" s="165"/>
      <c r="AK400" s="173"/>
      <c r="AL400" s="167"/>
      <c r="AM400" s="199"/>
      <c r="AN400" s="201"/>
      <c r="AO400" s="201"/>
      <c r="AP400" s="106"/>
      <c r="AQ400" s="165"/>
      <c r="AR400" s="168"/>
      <c r="AS400" s="165"/>
      <c r="AT400" s="190"/>
      <c r="AU400" s="167"/>
      <c r="AV400" s="199"/>
      <c r="AW400" s="201"/>
      <c r="AX400" s="201"/>
      <c r="AY400" s="202"/>
      <c r="AZ400" s="46"/>
      <c r="BA400" s="199"/>
      <c r="BB400" s="199"/>
      <c r="BC400" s="106"/>
      <c r="BD400" s="165"/>
      <c r="BE400" s="165"/>
      <c r="BF400" s="173"/>
      <c r="BG400" s="304"/>
      <c r="BH400" s="601"/>
      <c r="BI400" s="45">
        <v>363</v>
      </c>
      <c r="BJ400" s="46">
        <v>318</v>
      </c>
      <c r="BK400" s="45"/>
      <c r="BL400" s="53"/>
      <c r="BM400" s="200"/>
      <c r="BN400" s="165"/>
      <c r="BO400" s="173"/>
      <c r="BP400" s="190"/>
      <c r="BQ400" s="173"/>
      <c r="BR400" s="168"/>
      <c r="BS400" s="165"/>
      <c r="BT400" s="167"/>
      <c r="BU400" s="199"/>
      <c r="BV400" s="202"/>
      <c r="BW400" s="201"/>
      <c r="BX400" s="201"/>
      <c r="BY400" s="200"/>
      <c r="BZ400" s="199"/>
      <c r="CA400" s="201"/>
      <c r="CB400" s="202"/>
      <c r="CC400" s="200"/>
      <c r="CD400" s="45">
        <v>424</v>
      </c>
      <c r="CE400" s="54">
        <v>275</v>
      </c>
      <c r="CF400" s="54">
        <v>326</v>
      </c>
      <c r="CG400" s="73">
        <v>239</v>
      </c>
      <c r="CH400" s="165"/>
      <c r="CI400" s="167"/>
    </row>
    <row r="401" spans="1:87" x14ac:dyDescent="0.3">
      <c r="A401" s="10">
        <v>6501</v>
      </c>
      <c r="B401" s="11" t="s">
        <v>524</v>
      </c>
      <c r="C401" s="471">
        <v>1297</v>
      </c>
      <c r="D401" s="54">
        <v>501</v>
      </c>
      <c r="E401" s="367">
        <f t="shared" si="6"/>
        <v>0.38627602158828067</v>
      </c>
      <c r="F401" s="45"/>
      <c r="G401" s="45"/>
      <c r="H401" s="45"/>
      <c r="I401" s="45"/>
      <c r="J401" s="46"/>
      <c r="K401" s="45"/>
      <c r="L401" s="107"/>
      <c r="M401" s="541"/>
      <c r="N401" s="199"/>
      <c r="O401" s="199"/>
      <c r="P401" s="202"/>
      <c r="Q401" s="203"/>
      <c r="R401" s="203"/>
      <c r="S401" s="98"/>
      <c r="T401" s="199"/>
      <c r="U401" s="199"/>
      <c r="V401" s="73"/>
      <c r="W401" s="169"/>
      <c r="X401" s="173"/>
      <c r="Y401" s="190"/>
      <c r="Z401" s="167"/>
      <c r="AA401" s="199"/>
      <c r="AB401" s="203"/>
      <c r="AC401" s="169"/>
      <c r="AD401" s="165"/>
      <c r="AE401" s="165"/>
      <c r="AF401" s="167"/>
      <c r="AG401" s="106"/>
      <c r="AH401" s="199"/>
      <c r="AI401" s="200"/>
      <c r="AJ401" s="165"/>
      <c r="AK401" s="173"/>
      <c r="AL401" s="167"/>
      <c r="AM401" s="199"/>
      <c r="AN401" s="201"/>
      <c r="AO401" s="201"/>
      <c r="AP401" s="106"/>
      <c r="AQ401" s="165"/>
      <c r="AR401" s="168"/>
      <c r="AS401" s="165"/>
      <c r="AT401" s="190"/>
      <c r="AU401" s="167"/>
      <c r="AV401" s="199"/>
      <c r="AW401" s="201"/>
      <c r="AX401" s="201"/>
      <c r="AY401" s="202"/>
      <c r="AZ401" s="46"/>
      <c r="BA401" s="199"/>
      <c r="BB401" s="199"/>
      <c r="BC401" s="106"/>
      <c r="BD401" s="165"/>
      <c r="BE401" s="165"/>
      <c r="BF401" s="173"/>
      <c r="BG401" s="304"/>
      <c r="BH401" s="601"/>
      <c r="BI401" s="45">
        <v>207</v>
      </c>
      <c r="BJ401" s="46">
        <v>215</v>
      </c>
      <c r="BK401" s="45"/>
      <c r="BL401" s="53"/>
      <c r="BM401" s="200"/>
      <c r="BN401" s="165"/>
      <c r="BO401" s="173"/>
      <c r="BP401" s="190"/>
      <c r="BQ401" s="173"/>
      <c r="BR401" s="168"/>
      <c r="BS401" s="165"/>
      <c r="BT401" s="167"/>
      <c r="BU401" s="199"/>
      <c r="BV401" s="202"/>
      <c r="BW401" s="201"/>
      <c r="BX401" s="201"/>
      <c r="BY401" s="200"/>
      <c r="BZ401" s="45">
        <v>134</v>
      </c>
      <c r="CA401" s="54">
        <v>256</v>
      </c>
      <c r="CB401" s="53">
        <v>108</v>
      </c>
      <c r="CC401" s="46">
        <v>174</v>
      </c>
      <c r="CD401" s="199"/>
      <c r="CE401" s="201"/>
      <c r="CF401" s="201"/>
      <c r="CG401" s="106"/>
      <c r="CH401" s="165"/>
      <c r="CI401" s="167"/>
    </row>
    <row r="402" spans="1:87" x14ac:dyDescent="0.3">
      <c r="A402" s="10">
        <v>6502</v>
      </c>
      <c r="B402" s="11" t="s">
        <v>525</v>
      </c>
      <c r="C402" s="471">
        <v>1166</v>
      </c>
      <c r="D402" s="54">
        <v>476</v>
      </c>
      <c r="E402" s="367">
        <f t="shared" si="6"/>
        <v>0.40823327615780447</v>
      </c>
      <c r="F402" s="45">
        <v>13</v>
      </c>
      <c r="G402" s="45">
        <v>11</v>
      </c>
      <c r="H402" s="45">
        <v>12</v>
      </c>
      <c r="I402" s="45">
        <v>11</v>
      </c>
      <c r="J402" s="46">
        <v>11</v>
      </c>
      <c r="K402" s="45"/>
      <c r="L402" s="107"/>
      <c r="M402" s="541"/>
      <c r="N402" s="199"/>
      <c r="O402" s="199"/>
      <c r="P402" s="202"/>
      <c r="Q402" s="203"/>
      <c r="R402" s="203"/>
      <c r="S402" s="98"/>
      <c r="T402" s="199"/>
      <c r="U402" s="199"/>
      <c r="V402" s="73"/>
      <c r="W402" s="169"/>
      <c r="X402" s="173"/>
      <c r="Y402" s="190"/>
      <c r="Z402" s="167"/>
      <c r="AA402" s="45"/>
      <c r="AB402" s="57"/>
      <c r="AC402" s="169"/>
      <c r="AD402" s="165"/>
      <c r="AE402" s="165"/>
      <c r="AF402" s="167"/>
      <c r="AG402" s="73"/>
      <c r="AH402" s="45"/>
      <c r="AI402" s="46"/>
      <c r="AJ402" s="165"/>
      <c r="AK402" s="173"/>
      <c r="AL402" s="167"/>
      <c r="AM402" s="45"/>
      <c r="AN402" s="54"/>
      <c r="AO402" s="54"/>
      <c r="AP402" s="73"/>
      <c r="AQ402" s="165"/>
      <c r="AR402" s="168"/>
      <c r="AS402" s="165"/>
      <c r="AT402" s="190"/>
      <c r="AU402" s="167"/>
      <c r="AV402" s="45"/>
      <c r="AW402" s="54"/>
      <c r="AX402" s="54"/>
      <c r="AY402" s="53"/>
      <c r="AZ402" s="46"/>
      <c r="BA402" s="199"/>
      <c r="BB402" s="199"/>
      <c r="BC402" s="106"/>
      <c r="BD402" s="165"/>
      <c r="BE402" s="165"/>
      <c r="BF402" s="173"/>
      <c r="BG402" s="304"/>
      <c r="BH402" s="601"/>
      <c r="BI402" s="45">
        <v>169</v>
      </c>
      <c r="BJ402" s="46">
        <v>191</v>
      </c>
      <c r="BK402" s="45"/>
      <c r="BL402" s="53"/>
      <c r="BM402" s="200"/>
      <c r="BN402" s="165"/>
      <c r="BO402" s="173"/>
      <c r="BP402" s="190"/>
      <c r="BQ402" s="173"/>
      <c r="BR402" s="168"/>
      <c r="BS402" s="165"/>
      <c r="BT402" s="167"/>
      <c r="BU402" s="199"/>
      <c r="BV402" s="202"/>
      <c r="BW402" s="201"/>
      <c r="BX402" s="201"/>
      <c r="BY402" s="200"/>
      <c r="BZ402" s="45">
        <v>157</v>
      </c>
      <c r="CA402" s="54">
        <v>233</v>
      </c>
      <c r="CB402" s="53">
        <v>86</v>
      </c>
      <c r="CC402" s="46">
        <v>144</v>
      </c>
      <c r="CD402" s="199"/>
      <c r="CE402" s="201"/>
      <c r="CF402" s="201"/>
      <c r="CG402" s="106"/>
      <c r="CH402" s="165"/>
      <c r="CI402" s="167"/>
    </row>
    <row r="403" spans="1:87" x14ac:dyDescent="0.3">
      <c r="A403" s="10">
        <v>6503</v>
      </c>
      <c r="B403" s="11" t="s">
        <v>526</v>
      </c>
      <c r="C403" s="471">
        <v>1128</v>
      </c>
      <c r="D403" s="54">
        <v>685</v>
      </c>
      <c r="E403" s="367">
        <f t="shared" si="6"/>
        <v>0.60726950354609932</v>
      </c>
      <c r="F403" s="45"/>
      <c r="G403" s="45"/>
      <c r="H403" s="45"/>
      <c r="I403" s="45"/>
      <c r="J403" s="46"/>
      <c r="K403" s="45"/>
      <c r="L403" s="107"/>
      <c r="M403" s="541"/>
      <c r="N403" s="199"/>
      <c r="O403" s="199"/>
      <c r="P403" s="202"/>
      <c r="Q403" s="203"/>
      <c r="R403" s="203"/>
      <c r="S403" s="98"/>
      <c r="T403" s="199"/>
      <c r="U403" s="199"/>
      <c r="V403" s="73"/>
      <c r="W403" s="169"/>
      <c r="X403" s="173"/>
      <c r="Y403" s="190"/>
      <c r="Z403" s="167"/>
      <c r="AA403" s="45"/>
      <c r="AB403" s="57"/>
      <c r="AC403" s="169"/>
      <c r="AD403" s="165"/>
      <c r="AE403" s="165"/>
      <c r="AF403" s="167"/>
      <c r="AG403" s="73"/>
      <c r="AH403" s="45"/>
      <c r="AI403" s="46"/>
      <c r="AJ403" s="165"/>
      <c r="AK403" s="173"/>
      <c r="AL403" s="167"/>
      <c r="AM403" s="45"/>
      <c r="AN403" s="54"/>
      <c r="AO403" s="54"/>
      <c r="AP403" s="73"/>
      <c r="AQ403" s="165"/>
      <c r="AR403" s="168"/>
      <c r="AS403" s="165"/>
      <c r="AT403" s="190"/>
      <c r="AU403" s="167"/>
      <c r="AV403" s="45"/>
      <c r="AW403" s="54"/>
      <c r="AX403" s="54"/>
      <c r="AY403" s="53"/>
      <c r="AZ403" s="46"/>
      <c r="BA403" s="45"/>
      <c r="BB403" s="45"/>
      <c r="BC403" s="73"/>
      <c r="BD403" s="165"/>
      <c r="BE403" s="165"/>
      <c r="BF403" s="173"/>
      <c r="BG403" s="304"/>
      <c r="BH403" s="601"/>
      <c r="BI403" s="45">
        <v>311</v>
      </c>
      <c r="BJ403" s="46">
        <v>271</v>
      </c>
      <c r="BK403" s="45"/>
      <c r="BL403" s="53"/>
      <c r="BM403" s="200"/>
      <c r="BN403" s="165"/>
      <c r="BO403" s="173"/>
      <c r="BP403" s="190"/>
      <c r="BQ403" s="173"/>
      <c r="BR403" s="168"/>
      <c r="BS403" s="165"/>
      <c r="BT403" s="167"/>
      <c r="BU403" s="199"/>
      <c r="BV403" s="202"/>
      <c r="BW403" s="201"/>
      <c r="BX403" s="201"/>
      <c r="BY403" s="200"/>
      <c r="BZ403" s="45">
        <v>169</v>
      </c>
      <c r="CA403" s="54">
        <v>390</v>
      </c>
      <c r="CB403" s="53">
        <v>125</v>
      </c>
      <c r="CC403" s="46">
        <v>330</v>
      </c>
      <c r="CD403" s="199"/>
      <c r="CE403" s="201"/>
      <c r="CF403" s="201"/>
      <c r="CG403" s="106"/>
      <c r="CH403" s="165"/>
      <c r="CI403" s="167"/>
    </row>
    <row r="404" spans="1:87" x14ac:dyDescent="0.3">
      <c r="A404" s="10">
        <v>6504</v>
      </c>
      <c r="B404" s="11" t="s">
        <v>527</v>
      </c>
      <c r="C404" s="471">
        <v>948</v>
      </c>
      <c r="D404" s="54">
        <v>446</v>
      </c>
      <c r="E404" s="367">
        <f t="shared" si="6"/>
        <v>0.47046413502109707</v>
      </c>
      <c r="F404" s="45"/>
      <c r="G404" s="45"/>
      <c r="H404" s="45"/>
      <c r="I404" s="45"/>
      <c r="J404" s="46"/>
      <c r="K404" s="45"/>
      <c r="L404" s="107"/>
      <c r="M404" s="541"/>
      <c r="N404" s="45"/>
      <c r="O404" s="45"/>
      <c r="P404" s="53"/>
      <c r="Q404" s="57"/>
      <c r="R404" s="57"/>
      <c r="S404" s="74"/>
      <c r="T404" s="45"/>
      <c r="U404" s="45"/>
      <c r="V404" s="73"/>
      <c r="W404" s="169"/>
      <c r="X404" s="173"/>
      <c r="Y404" s="190"/>
      <c r="Z404" s="167"/>
      <c r="AA404" s="45"/>
      <c r="AB404" s="57"/>
      <c r="AC404" s="169"/>
      <c r="AD404" s="165"/>
      <c r="AE404" s="165"/>
      <c r="AF404" s="167"/>
      <c r="AG404" s="73"/>
      <c r="AH404" s="45"/>
      <c r="AI404" s="46"/>
      <c r="AJ404" s="165"/>
      <c r="AK404" s="173"/>
      <c r="AL404" s="167"/>
      <c r="AM404" s="45"/>
      <c r="AN404" s="54"/>
      <c r="AO404" s="54"/>
      <c r="AP404" s="73"/>
      <c r="AQ404" s="165"/>
      <c r="AR404" s="168"/>
      <c r="AS404" s="165"/>
      <c r="AT404" s="190"/>
      <c r="AU404" s="167"/>
      <c r="AV404" s="45"/>
      <c r="AW404" s="54"/>
      <c r="AX404" s="54"/>
      <c r="AY404" s="53"/>
      <c r="AZ404" s="46"/>
      <c r="BA404" s="45"/>
      <c r="BB404" s="45"/>
      <c r="BC404" s="73"/>
      <c r="BD404" s="165"/>
      <c r="BE404" s="165"/>
      <c r="BF404" s="173"/>
      <c r="BG404" s="304"/>
      <c r="BH404" s="601"/>
      <c r="BI404" s="45">
        <v>209</v>
      </c>
      <c r="BJ404" s="46">
        <v>178</v>
      </c>
      <c r="BK404" s="45"/>
      <c r="BL404" s="53"/>
      <c r="BM404" s="200"/>
      <c r="BN404" s="165"/>
      <c r="BO404" s="173"/>
      <c r="BP404" s="190"/>
      <c r="BQ404" s="173"/>
      <c r="BR404" s="168"/>
      <c r="BS404" s="165"/>
      <c r="BT404" s="167"/>
      <c r="BU404" s="45"/>
      <c r="BV404" s="53"/>
      <c r="BW404" s="54"/>
      <c r="BX404" s="54"/>
      <c r="BY404" s="200"/>
      <c r="BZ404" s="45">
        <v>119</v>
      </c>
      <c r="CA404" s="54">
        <v>231</v>
      </c>
      <c r="CB404" s="53">
        <v>92</v>
      </c>
      <c r="CC404" s="46">
        <v>159</v>
      </c>
      <c r="CD404" s="199"/>
      <c r="CE404" s="201"/>
      <c r="CF404" s="201"/>
      <c r="CG404" s="106"/>
      <c r="CH404" s="165"/>
      <c r="CI404" s="167"/>
    </row>
    <row r="405" spans="1:87" x14ac:dyDescent="0.3">
      <c r="A405" s="10">
        <v>6505</v>
      </c>
      <c r="B405" s="11" t="s">
        <v>528</v>
      </c>
      <c r="C405" s="471">
        <v>984</v>
      </c>
      <c r="D405" s="54">
        <v>594</v>
      </c>
      <c r="E405" s="367">
        <f t="shared" si="6"/>
        <v>0.60365853658536583</v>
      </c>
      <c r="F405" s="45">
        <v>10</v>
      </c>
      <c r="G405" s="45">
        <v>4</v>
      </c>
      <c r="H405" s="45">
        <v>6</v>
      </c>
      <c r="I405" s="45">
        <v>5</v>
      </c>
      <c r="J405" s="46">
        <v>7</v>
      </c>
      <c r="K405" s="45"/>
      <c r="L405" s="107"/>
      <c r="M405" s="541"/>
      <c r="N405" s="45"/>
      <c r="O405" s="45"/>
      <c r="P405" s="53"/>
      <c r="Q405" s="57"/>
      <c r="R405" s="57"/>
      <c r="S405" s="74"/>
      <c r="T405" s="45"/>
      <c r="U405" s="45"/>
      <c r="V405" s="73"/>
      <c r="W405" s="169"/>
      <c r="X405" s="173"/>
      <c r="Y405" s="190"/>
      <c r="Z405" s="167"/>
      <c r="AA405" s="45"/>
      <c r="AB405" s="57"/>
      <c r="AC405" s="169"/>
      <c r="AD405" s="165"/>
      <c r="AE405" s="165"/>
      <c r="AF405" s="167"/>
      <c r="AG405" s="73"/>
      <c r="AH405" s="45"/>
      <c r="AI405" s="46"/>
      <c r="AJ405" s="165"/>
      <c r="AK405" s="173"/>
      <c r="AL405" s="167"/>
      <c r="AM405" s="45"/>
      <c r="AN405" s="54"/>
      <c r="AO405" s="54"/>
      <c r="AP405" s="73"/>
      <c r="AQ405" s="165"/>
      <c r="AR405" s="168"/>
      <c r="AS405" s="165"/>
      <c r="AT405" s="190"/>
      <c r="AU405" s="167"/>
      <c r="AV405" s="45"/>
      <c r="AW405" s="54"/>
      <c r="AX405" s="54"/>
      <c r="AY405" s="53"/>
      <c r="AZ405" s="46"/>
      <c r="BA405" s="45"/>
      <c r="BB405" s="45"/>
      <c r="BC405" s="73"/>
      <c r="BD405" s="165"/>
      <c r="BE405" s="165"/>
      <c r="BF405" s="173"/>
      <c r="BG405" s="304"/>
      <c r="BH405" s="601"/>
      <c r="BI405" s="45">
        <v>222</v>
      </c>
      <c r="BJ405" s="46">
        <v>223</v>
      </c>
      <c r="BK405" s="45"/>
      <c r="BL405" s="53"/>
      <c r="BM405" s="200"/>
      <c r="BN405" s="165"/>
      <c r="BO405" s="173"/>
      <c r="BP405" s="190"/>
      <c r="BQ405" s="173"/>
      <c r="BR405" s="168"/>
      <c r="BS405" s="165"/>
      <c r="BT405" s="167"/>
      <c r="BU405" s="45"/>
      <c r="BV405" s="53"/>
      <c r="BW405" s="54"/>
      <c r="BX405" s="54"/>
      <c r="BY405" s="200"/>
      <c r="BZ405" s="45">
        <v>145</v>
      </c>
      <c r="CA405" s="54">
        <v>326</v>
      </c>
      <c r="CB405" s="53">
        <v>92</v>
      </c>
      <c r="CC405" s="46">
        <v>281</v>
      </c>
      <c r="CD405" s="199"/>
      <c r="CE405" s="201"/>
      <c r="CF405" s="201"/>
      <c r="CG405" s="106"/>
      <c r="CH405" s="165"/>
      <c r="CI405" s="167"/>
    </row>
    <row r="406" spans="1:87" x14ac:dyDescent="0.3">
      <c r="A406" s="10">
        <v>6506</v>
      </c>
      <c r="B406" s="11" t="s">
        <v>529</v>
      </c>
      <c r="C406" s="471">
        <v>1184</v>
      </c>
      <c r="D406" s="54">
        <v>590</v>
      </c>
      <c r="E406" s="367">
        <f t="shared" ref="E406:E469" si="7">SUM(D406/C406)</f>
        <v>0.4983108108108108</v>
      </c>
      <c r="F406" s="45"/>
      <c r="G406" s="45"/>
      <c r="H406" s="45"/>
      <c r="I406" s="45"/>
      <c r="J406" s="46"/>
      <c r="K406" s="45"/>
      <c r="L406" s="107"/>
      <c r="M406" s="541"/>
      <c r="N406" s="45"/>
      <c r="O406" s="45"/>
      <c r="P406" s="53"/>
      <c r="Q406" s="57"/>
      <c r="R406" s="57"/>
      <c r="S406" s="74"/>
      <c r="T406" s="45"/>
      <c r="U406" s="45"/>
      <c r="V406" s="73"/>
      <c r="W406" s="169"/>
      <c r="X406" s="173"/>
      <c r="Y406" s="190"/>
      <c r="Z406" s="167"/>
      <c r="AA406" s="45"/>
      <c r="AB406" s="57"/>
      <c r="AC406" s="169"/>
      <c r="AD406" s="165"/>
      <c r="AE406" s="165"/>
      <c r="AF406" s="167"/>
      <c r="AG406" s="73"/>
      <c r="AH406" s="45"/>
      <c r="AI406" s="46"/>
      <c r="AJ406" s="165"/>
      <c r="AK406" s="173"/>
      <c r="AL406" s="167"/>
      <c r="AM406" s="45"/>
      <c r="AN406" s="54"/>
      <c r="AO406" s="54"/>
      <c r="AP406" s="73"/>
      <c r="AQ406" s="165"/>
      <c r="AR406" s="168"/>
      <c r="AS406" s="165"/>
      <c r="AT406" s="190"/>
      <c r="AU406" s="167"/>
      <c r="AV406" s="45"/>
      <c r="AW406" s="54"/>
      <c r="AX406" s="54"/>
      <c r="AY406" s="53"/>
      <c r="AZ406" s="46"/>
      <c r="BA406" s="45"/>
      <c r="BB406" s="45"/>
      <c r="BC406" s="73"/>
      <c r="BD406" s="165"/>
      <c r="BE406" s="165"/>
      <c r="BF406" s="173"/>
      <c r="BG406" s="304"/>
      <c r="BH406" s="601"/>
      <c r="BI406" s="45">
        <v>249</v>
      </c>
      <c r="BJ406" s="46">
        <v>239</v>
      </c>
      <c r="BK406" s="45"/>
      <c r="BL406" s="53"/>
      <c r="BM406" s="200"/>
      <c r="BN406" s="165"/>
      <c r="BO406" s="173"/>
      <c r="BP406" s="190"/>
      <c r="BQ406" s="173"/>
      <c r="BR406" s="168"/>
      <c r="BS406" s="165"/>
      <c r="BT406" s="167"/>
      <c r="BU406" s="45"/>
      <c r="BV406" s="53"/>
      <c r="BW406" s="54"/>
      <c r="BX406" s="54"/>
      <c r="BY406" s="200"/>
      <c r="BZ406" s="45">
        <v>163</v>
      </c>
      <c r="CA406" s="54">
        <v>308</v>
      </c>
      <c r="CB406" s="53">
        <v>102</v>
      </c>
      <c r="CC406" s="46">
        <v>221</v>
      </c>
      <c r="CD406" s="199"/>
      <c r="CE406" s="201"/>
      <c r="CF406" s="201"/>
      <c r="CG406" s="106"/>
      <c r="CH406" s="165"/>
      <c r="CI406" s="167"/>
    </row>
    <row r="407" spans="1:87" x14ac:dyDescent="0.3">
      <c r="A407" s="10">
        <v>6507</v>
      </c>
      <c r="B407" s="11" t="s">
        <v>530</v>
      </c>
      <c r="C407" s="471">
        <v>1175</v>
      </c>
      <c r="D407" s="54">
        <v>717</v>
      </c>
      <c r="E407" s="367">
        <f t="shared" si="7"/>
        <v>0.61021276595744678</v>
      </c>
      <c r="F407" s="45"/>
      <c r="G407" s="45"/>
      <c r="H407" s="45"/>
      <c r="I407" s="45"/>
      <c r="J407" s="46"/>
      <c r="K407" s="45"/>
      <c r="L407" s="107"/>
      <c r="M407" s="541"/>
      <c r="N407" s="45"/>
      <c r="O407" s="45"/>
      <c r="P407" s="53"/>
      <c r="Q407" s="57"/>
      <c r="R407" s="57"/>
      <c r="S407" s="74"/>
      <c r="T407" s="45"/>
      <c r="U407" s="45"/>
      <c r="V407" s="73"/>
      <c r="W407" s="169"/>
      <c r="X407" s="173"/>
      <c r="Y407" s="190"/>
      <c r="Z407" s="167"/>
      <c r="AA407" s="45"/>
      <c r="AB407" s="57"/>
      <c r="AC407" s="169"/>
      <c r="AD407" s="165"/>
      <c r="AE407" s="165"/>
      <c r="AF407" s="167"/>
      <c r="AG407" s="73"/>
      <c r="AH407" s="45"/>
      <c r="AI407" s="46"/>
      <c r="AJ407" s="165"/>
      <c r="AK407" s="173"/>
      <c r="AL407" s="167"/>
      <c r="AM407" s="45"/>
      <c r="AN407" s="54"/>
      <c r="AO407" s="54"/>
      <c r="AP407" s="73"/>
      <c r="AQ407" s="165"/>
      <c r="AR407" s="168"/>
      <c r="AS407" s="165"/>
      <c r="AT407" s="190"/>
      <c r="AU407" s="167"/>
      <c r="AV407" s="45"/>
      <c r="AW407" s="54"/>
      <c r="AX407" s="54"/>
      <c r="AY407" s="53"/>
      <c r="AZ407" s="46"/>
      <c r="BA407" s="45"/>
      <c r="BB407" s="45"/>
      <c r="BC407" s="73"/>
      <c r="BD407" s="165"/>
      <c r="BE407" s="165"/>
      <c r="BF407" s="173"/>
      <c r="BG407" s="304"/>
      <c r="BH407" s="601"/>
      <c r="BI407" s="45">
        <v>297</v>
      </c>
      <c r="BJ407" s="46">
        <v>284</v>
      </c>
      <c r="BK407" s="45"/>
      <c r="BL407" s="53"/>
      <c r="BM407" s="200"/>
      <c r="BN407" s="165"/>
      <c r="BO407" s="173"/>
      <c r="BP407" s="190"/>
      <c r="BQ407" s="173"/>
      <c r="BR407" s="168"/>
      <c r="BS407" s="165"/>
      <c r="BT407" s="167"/>
      <c r="BU407" s="45"/>
      <c r="BV407" s="53"/>
      <c r="BW407" s="54"/>
      <c r="BX407" s="54"/>
      <c r="BY407" s="200"/>
      <c r="BZ407" s="45">
        <v>184</v>
      </c>
      <c r="CA407" s="54">
        <v>403</v>
      </c>
      <c r="CB407" s="53">
        <v>111</v>
      </c>
      <c r="CC407" s="46">
        <v>283</v>
      </c>
      <c r="CD407" s="45"/>
      <c r="CE407" s="54"/>
      <c r="CF407" s="54"/>
      <c r="CG407" s="73"/>
      <c r="CH407" s="165"/>
      <c r="CI407" s="167"/>
    </row>
    <row r="408" spans="1:87" x14ac:dyDescent="0.3">
      <c r="A408" s="10">
        <v>6508</v>
      </c>
      <c r="B408" s="11" t="s">
        <v>531</v>
      </c>
      <c r="C408" s="471">
        <v>1340</v>
      </c>
      <c r="D408" s="54">
        <v>777</v>
      </c>
      <c r="E408" s="367">
        <f t="shared" si="7"/>
        <v>0.57985074626865674</v>
      </c>
      <c r="F408" s="45"/>
      <c r="G408" s="45"/>
      <c r="H408" s="45"/>
      <c r="I408" s="45"/>
      <c r="J408" s="46"/>
      <c r="K408" s="45"/>
      <c r="L408" s="107"/>
      <c r="M408" s="541"/>
      <c r="N408" s="45"/>
      <c r="O408" s="45"/>
      <c r="P408" s="53"/>
      <c r="Q408" s="57"/>
      <c r="R408" s="57"/>
      <c r="S408" s="74"/>
      <c r="T408" s="45"/>
      <c r="U408" s="45"/>
      <c r="V408" s="73"/>
      <c r="W408" s="169"/>
      <c r="X408" s="173"/>
      <c r="Y408" s="190"/>
      <c r="Z408" s="167"/>
      <c r="AA408" s="45"/>
      <c r="AB408" s="57"/>
      <c r="AC408" s="169"/>
      <c r="AD408" s="165"/>
      <c r="AE408" s="165"/>
      <c r="AF408" s="167"/>
      <c r="AG408" s="73"/>
      <c r="AH408" s="45"/>
      <c r="AI408" s="46"/>
      <c r="AJ408" s="165"/>
      <c r="AK408" s="173"/>
      <c r="AL408" s="167"/>
      <c r="AM408" s="45"/>
      <c r="AN408" s="54"/>
      <c r="AO408" s="54"/>
      <c r="AP408" s="73"/>
      <c r="AQ408" s="165"/>
      <c r="AR408" s="168"/>
      <c r="AS408" s="165"/>
      <c r="AT408" s="190"/>
      <c r="AU408" s="167"/>
      <c r="AV408" s="45"/>
      <c r="AW408" s="54"/>
      <c r="AX408" s="54"/>
      <c r="AY408" s="53"/>
      <c r="AZ408" s="46"/>
      <c r="BA408" s="45"/>
      <c r="BB408" s="45"/>
      <c r="BC408" s="73"/>
      <c r="BD408" s="165"/>
      <c r="BE408" s="165"/>
      <c r="BF408" s="173"/>
      <c r="BG408" s="304"/>
      <c r="BH408" s="601"/>
      <c r="BI408" s="45">
        <v>360</v>
      </c>
      <c r="BJ408" s="46">
        <v>360</v>
      </c>
      <c r="BK408" s="45"/>
      <c r="BL408" s="53"/>
      <c r="BM408" s="200"/>
      <c r="BN408" s="165"/>
      <c r="BO408" s="173"/>
      <c r="BP408" s="190"/>
      <c r="BQ408" s="173"/>
      <c r="BR408" s="168"/>
      <c r="BS408" s="165"/>
      <c r="BT408" s="167"/>
      <c r="BU408" s="45"/>
      <c r="BV408" s="53"/>
      <c r="BW408" s="54"/>
      <c r="BX408" s="54"/>
      <c r="BY408" s="200"/>
      <c r="BZ408" s="45">
        <v>254</v>
      </c>
      <c r="CA408" s="54">
        <v>402</v>
      </c>
      <c r="CB408" s="53">
        <v>151</v>
      </c>
      <c r="CC408" s="46">
        <v>333</v>
      </c>
      <c r="CD408" s="45"/>
      <c r="CE408" s="54"/>
      <c r="CF408" s="54"/>
      <c r="CG408" s="73"/>
      <c r="CH408" s="165"/>
      <c r="CI408" s="167"/>
    </row>
    <row r="409" spans="1:87" x14ac:dyDescent="0.3">
      <c r="A409" s="10">
        <v>6509</v>
      </c>
      <c r="B409" s="11" t="s">
        <v>532</v>
      </c>
      <c r="C409" s="471">
        <v>681</v>
      </c>
      <c r="D409" s="54">
        <v>356</v>
      </c>
      <c r="E409" s="367">
        <f t="shared" si="7"/>
        <v>0.52276064610866368</v>
      </c>
      <c r="F409" s="45"/>
      <c r="G409" s="45"/>
      <c r="H409" s="45"/>
      <c r="I409" s="45"/>
      <c r="J409" s="46"/>
      <c r="K409" s="45"/>
      <c r="L409" s="107"/>
      <c r="M409" s="541"/>
      <c r="N409" s="45"/>
      <c r="O409" s="45"/>
      <c r="P409" s="53"/>
      <c r="Q409" s="57"/>
      <c r="R409" s="57"/>
      <c r="S409" s="74"/>
      <c r="T409" s="45"/>
      <c r="U409" s="45"/>
      <c r="V409" s="73"/>
      <c r="W409" s="169"/>
      <c r="X409" s="173"/>
      <c r="Y409" s="190"/>
      <c r="Z409" s="167"/>
      <c r="AA409" s="45"/>
      <c r="AB409" s="57"/>
      <c r="AC409" s="169"/>
      <c r="AD409" s="165"/>
      <c r="AE409" s="165"/>
      <c r="AF409" s="167"/>
      <c r="AG409" s="73"/>
      <c r="AH409" s="45"/>
      <c r="AI409" s="46"/>
      <c r="AJ409" s="165"/>
      <c r="AK409" s="173"/>
      <c r="AL409" s="167"/>
      <c r="AM409" s="45"/>
      <c r="AN409" s="54"/>
      <c r="AO409" s="54"/>
      <c r="AP409" s="73"/>
      <c r="AQ409" s="165"/>
      <c r="AR409" s="168"/>
      <c r="AS409" s="165"/>
      <c r="AT409" s="190"/>
      <c r="AU409" s="167"/>
      <c r="AV409" s="45"/>
      <c r="AW409" s="54"/>
      <c r="AX409" s="54"/>
      <c r="AY409" s="53"/>
      <c r="AZ409" s="46"/>
      <c r="BA409" s="45"/>
      <c r="BB409" s="45"/>
      <c r="BC409" s="73"/>
      <c r="BD409" s="165"/>
      <c r="BE409" s="165"/>
      <c r="BF409" s="173"/>
      <c r="BG409" s="304"/>
      <c r="BH409" s="601"/>
      <c r="BI409" s="45">
        <v>150</v>
      </c>
      <c r="BJ409" s="46">
        <v>135</v>
      </c>
      <c r="BK409" s="45"/>
      <c r="BL409" s="53"/>
      <c r="BM409" s="200"/>
      <c r="BN409" s="165"/>
      <c r="BO409" s="173"/>
      <c r="BP409" s="190"/>
      <c r="BQ409" s="173"/>
      <c r="BR409" s="168"/>
      <c r="BS409" s="165"/>
      <c r="BT409" s="167"/>
      <c r="BU409" s="45"/>
      <c r="BV409" s="53"/>
      <c r="BW409" s="54"/>
      <c r="BX409" s="54"/>
      <c r="BY409" s="200"/>
      <c r="BZ409" s="45">
        <v>87</v>
      </c>
      <c r="CA409" s="54">
        <v>180</v>
      </c>
      <c r="CB409" s="53">
        <v>86</v>
      </c>
      <c r="CC409" s="46">
        <v>126</v>
      </c>
      <c r="CD409" s="45"/>
      <c r="CE409" s="54"/>
      <c r="CF409" s="54"/>
      <c r="CG409" s="73"/>
      <c r="CH409" s="165"/>
      <c r="CI409" s="167"/>
    </row>
    <row r="410" spans="1:87" x14ac:dyDescent="0.3">
      <c r="A410" s="10">
        <v>6510</v>
      </c>
      <c r="B410" s="11" t="s">
        <v>533</v>
      </c>
      <c r="C410" s="471">
        <v>1372</v>
      </c>
      <c r="D410" s="54">
        <v>660</v>
      </c>
      <c r="E410" s="367">
        <f t="shared" si="7"/>
        <v>0.48104956268221577</v>
      </c>
      <c r="F410" s="45"/>
      <c r="G410" s="45"/>
      <c r="H410" s="45"/>
      <c r="I410" s="45"/>
      <c r="J410" s="46"/>
      <c r="K410" s="45"/>
      <c r="L410" s="107"/>
      <c r="M410" s="541"/>
      <c r="N410" s="45"/>
      <c r="O410" s="45"/>
      <c r="P410" s="53"/>
      <c r="Q410" s="57"/>
      <c r="R410" s="57"/>
      <c r="S410" s="74"/>
      <c r="T410" s="45"/>
      <c r="U410" s="45"/>
      <c r="V410" s="73"/>
      <c r="W410" s="169"/>
      <c r="X410" s="173"/>
      <c r="Y410" s="190"/>
      <c r="Z410" s="167"/>
      <c r="AA410" s="45"/>
      <c r="AB410" s="57"/>
      <c r="AC410" s="169"/>
      <c r="AD410" s="165"/>
      <c r="AE410" s="165"/>
      <c r="AF410" s="167"/>
      <c r="AG410" s="73"/>
      <c r="AH410" s="45"/>
      <c r="AI410" s="46"/>
      <c r="AJ410" s="165"/>
      <c r="AK410" s="173"/>
      <c r="AL410" s="167"/>
      <c r="AM410" s="45"/>
      <c r="AN410" s="54"/>
      <c r="AO410" s="54"/>
      <c r="AP410" s="73"/>
      <c r="AQ410" s="165"/>
      <c r="AR410" s="168"/>
      <c r="AS410" s="165"/>
      <c r="AT410" s="190"/>
      <c r="AU410" s="167"/>
      <c r="AV410" s="45"/>
      <c r="AW410" s="54"/>
      <c r="AX410" s="54"/>
      <c r="AY410" s="53"/>
      <c r="AZ410" s="46"/>
      <c r="BA410" s="45"/>
      <c r="BB410" s="45"/>
      <c r="BC410" s="73"/>
      <c r="BD410" s="165"/>
      <c r="BE410" s="165"/>
      <c r="BF410" s="173"/>
      <c r="BG410" s="304"/>
      <c r="BH410" s="601"/>
      <c r="BI410" s="45">
        <v>269</v>
      </c>
      <c r="BJ410" s="46">
        <v>295</v>
      </c>
      <c r="BK410" s="45"/>
      <c r="BL410" s="53"/>
      <c r="BM410" s="200"/>
      <c r="BN410" s="165"/>
      <c r="BO410" s="173"/>
      <c r="BP410" s="190"/>
      <c r="BQ410" s="173"/>
      <c r="BR410" s="168"/>
      <c r="BS410" s="165"/>
      <c r="BT410" s="167"/>
      <c r="BU410" s="45"/>
      <c r="BV410" s="53"/>
      <c r="BW410" s="54"/>
      <c r="BX410" s="54"/>
      <c r="BY410" s="200"/>
      <c r="BZ410" s="45">
        <v>190</v>
      </c>
      <c r="CA410" s="54">
        <v>361</v>
      </c>
      <c r="CB410" s="53">
        <v>103</v>
      </c>
      <c r="CC410" s="46">
        <v>245</v>
      </c>
      <c r="CD410" s="45"/>
      <c r="CE410" s="54"/>
      <c r="CF410" s="54"/>
      <c r="CG410" s="73"/>
      <c r="CH410" s="165"/>
      <c r="CI410" s="167"/>
    </row>
    <row r="411" spans="1:87" x14ac:dyDescent="0.3">
      <c r="A411" s="10">
        <v>6511</v>
      </c>
      <c r="B411" s="11" t="s">
        <v>534</v>
      </c>
      <c r="C411" s="471">
        <v>824</v>
      </c>
      <c r="D411" s="54">
        <v>516</v>
      </c>
      <c r="E411" s="367">
        <f t="shared" si="7"/>
        <v>0.62621359223300976</v>
      </c>
      <c r="F411" s="45"/>
      <c r="G411" s="45"/>
      <c r="H411" s="45"/>
      <c r="I411" s="45"/>
      <c r="J411" s="46"/>
      <c r="K411" s="45"/>
      <c r="L411" s="107"/>
      <c r="M411" s="541"/>
      <c r="N411" s="45"/>
      <c r="O411" s="45"/>
      <c r="P411" s="53"/>
      <c r="Q411" s="57"/>
      <c r="R411" s="57"/>
      <c r="S411" s="74"/>
      <c r="T411" s="45"/>
      <c r="U411" s="45"/>
      <c r="V411" s="73"/>
      <c r="W411" s="169"/>
      <c r="X411" s="173"/>
      <c r="Y411" s="190"/>
      <c r="Z411" s="167"/>
      <c r="AA411" s="45"/>
      <c r="AB411" s="57"/>
      <c r="AC411" s="169"/>
      <c r="AD411" s="165"/>
      <c r="AE411" s="165"/>
      <c r="AF411" s="167"/>
      <c r="AG411" s="73"/>
      <c r="AH411" s="45"/>
      <c r="AI411" s="46"/>
      <c r="AJ411" s="165"/>
      <c r="AK411" s="173"/>
      <c r="AL411" s="167"/>
      <c r="AM411" s="45"/>
      <c r="AN411" s="54"/>
      <c r="AO411" s="54"/>
      <c r="AP411" s="73"/>
      <c r="AQ411" s="165"/>
      <c r="AR411" s="168"/>
      <c r="AS411" s="165"/>
      <c r="AT411" s="190"/>
      <c r="AU411" s="167"/>
      <c r="AV411" s="45"/>
      <c r="AW411" s="54"/>
      <c r="AX411" s="54"/>
      <c r="AY411" s="53"/>
      <c r="AZ411" s="46"/>
      <c r="BA411" s="45"/>
      <c r="BB411" s="45"/>
      <c r="BC411" s="73"/>
      <c r="BD411" s="165"/>
      <c r="BE411" s="165"/>
      <c r="BF411" s="173"/>
      <c r="BG411" s="304"/>
      <c r="BH411" s="601"/>
      <c r="BI411" s="45">
        <v>243</v>
      </c>
      <c r="BJ411" s="46">
        <v>244</v>
      </c>
      <c r="BK411" s="45"/>
      <c r="BL411" s="53"/>
      <c r="BM411" s="200"/>
      <c r="BN411" s="165"/>
      <c r="BO411" s="173"/>
      <c r="BP411" s="190"/>
      <c r="BQ411" s="173"/>
      <c r="BR411" s="168"/>
      <c r="BS411" s="165"/>
      <c r="BT411" s="167"/>
      <c r="BU411" s="45"/>
      <c r="BV411" s="53"/>
      <c r="BW411" s="54"/>
      <c r="BX411" s="54"/>
      <c r="BY411" s="200"/>
      <c r="BZ411" s="45">
        <v>148</v>
      </c>
      <c r="CA411" s="54">
        <v>296</v>
      </c>
      <c r="CB411" s="53">
        <v>112</v>
      </c>
      <c r="CC411" s="46">
        <v>222</v>
      </c>
      <c r="CD411" s="45"/>
      <c r="CE411" s="54"/>
      <c r="CF411" s="54"/>
      <c r="CG411" s="73"/>
      <c r="CH411" s="165"/>
      <c r="CI411" s="167"/>
    </row>
    <row r="412" spans="1:87" x14ac:dyDescent="0.3">
      <c r="A412" s="10">
        <v>6512</v>
      </c>
      <c r="B412" s="11" t="s">
        <v>535</v>
      </c>
      <c r="C412" s="471">
        <v>1069</v>
      </c>
      <c r="D412" s="54">
        <v>659</v>
      </c>
      <c r="E412" s="367">
        <f t="shared" si="7"/>
        <v>0.61646398503274091</v>
      </c>
      <c r="F412" s="45"/>
      <c r="G412" s="45"/>
      <c r="H412" s="45"/>
      <c r="I412" s="45"/>
      <c r="J412" s="46"/>
      <c r="K412" s="45"/>
      <c r="L412" s="107"/>
      <c r="M412" s="541"/>
      <c r="N412" s="45"/>
      <c r="O412" s="45"/>
      <c r="P412" s="53"/>
      <c r="Q412" s="57"/>
      <c r="R412" s="57"/>
      <c r="S412" s="74"/>
      <c r="T412" s="45"/>
      <c r="U412" s="45"/>
      <c r="V412" s="73"/>
      <c r="W412" s="169"/>
      <c r="X412" s="173"/>
      <c r="Y412" s="190"/>
      <c r="Z412" s="167"/>
      <c r="AA412" s="45"/>
      <c r="AB412" s="57"/>
      <c r="AC412" s="169"/>
      <c r="AD412" s="165"/>
      <c r="AE412" s="165"/>
      <c r="AF412" s="167"/>
      <c r="AG412" s="73"/>
      <c r="AH412" s="45"/>
      <c r="AI412" s="46"/>
      <c r="AJ412" s="165"/>
      <c r="AK412" s="173"/>
      <c r="AL412" s="167"/>
      <c r="AM412" s="45"/>
      <c r="AN412" s="54"/>
      <c r="AO412" s="54"/>
      <c r="AP412" s="73"/>
      <c r="AQ412" s="165"/>
      <c r="AR412" s="168"/>
      <c r="AS412" s="165"/>
      <c r="AT412" s="190"/>
      <c r="AU412" s="167"/>
      <c r="AV412" s="45"/>
      <c r="AW412" s="54"/>
      <c r="AX412" s="54"/>
      <c r="AY412" s="53"/>
      <c r="AZ412" s="46"/>
      <c r="BA412" s="45"/>
      <c r="BB412" s="45"/>
      <c r="BC412" s="73"/>
      <c r="BD412" s="165"/>
      <c r="BE412" s="165"/>
      <c r="BF412" s="173"/>
      <c r="BG412" s="304"/>
      <c r="BH412" s="601"/>
      <c r="BI412" s="45">
        <v>279</v>
      </c>
      <c r="BJ412" s="46">
        <v>248</v>
      </c>
      <c r="BK412" s="45"/>
      <c r="BL412" s="53"/>
      <c r="BM412" s="200"/>
      <c r="BN412" s="165"/>
      <c r="BO412" s="173"/>
      <c r="BP412" s="190"/>
      <c r="BQ412" s="173"/>
      <c r="BR412" s="168"/>
      <c r="BS412" s="165"/>
      <c r="BT412" s="167"/>
      <c r="BU412" s="45"/>
      <c r="BV412" s="53"/>
      <c r="BW412" s="54"/>
      <c r="BX412" s="54"/>
      <c r="BY412" s="200"/>
      <c r="BZ412" s="45">
        <v>174</v>
      </c>
      <c r="CA412" s="54">
        <v>373</v>
      </c>
      <c r="CB412" s="53">
        <v>98</v>
      </c>
      <c r="CC412" s="46">
        <v>285</v>
      </c>
      <c r="CD412" s="45"/>
      <c r="CE412" s="54"/>
      <c r="CF412" s="54"/>
      <c r="CG412" s="73"/>
      <c r="CH412" s="165"/>
      <c r="CI412" s="167"/>
    </row>
    <row r="413" spans="1:87" x14ac:dyDescent="0.3">
      <c r="A413" s="10">
        <v>6513</v>
      </c>
      <c r="B413" s="11" t="s">
        <v>536</v>
      </c>
      <c r="C413" s="471">
        <v>1055</v>
      </c>
      <c r="D413" s="54">
        <v>521</v>
      </c>
      <c r="E413" s="367">
        <f t="shared" si="7"/>
        <v>0.4938388625592417</v>
      </c>
      <c r="F413" s="45"/>
      <c r="G413" s="45"/>
      <c r="H413" s="45"/>
      <c r="I413" s="45"/>
      <c r="J413" s="46"/>
      <c r="K413" s="45"/>
      <c r="L413" s="107"/>
      <c r="M413" s="541"/>
      <c r="N413" s="45"/>
      <c r="O413" s="45"/>
      <c r="P413" s="53"/>
      <c r="Q413" s="57"/>
      <c r="R413" s="57"/>
      <c r="S413" s="74"/>
      <c r="T413" s="45"/>
      <c r="U413" s="45"/>
      <c r="V413" s="73"/>
      <c r="W413" s="169"/>
      <c r="X413" s="173"/>
      <c r="Y413" s="190"/>
      <c r="Z413" s="167"/>
      <c r="AA413" s="45"/>
      <c r="AB413" s="57"/>
      <c r="AC413" s="169"/>
      <c r="AD413" s="165"/>
      <c r="AE413" s="165"/>
      <c r="AF413" s="167"/>
      <c r="AG413" s="73"/>
      <c r="AH413" s="45"/>
      <c r="AI413" s="46"/>
      <c r="AJ413" s="165"/>
      <c r="AK413" s="173"/>
      <c r="AL413" s="167"/>
      <c r="AM413" s="45"/>
      <c r="AN413" s="54"/>
      <c r="AO413" s="54"/>
      <c r="AP413" s="73"/>
      <c r="AQ413" s="165"/>
      <c r="AR413" s="168"/>
      <c r="AS413" s="165"/>
      <c r="AT413" s="190"/>
      <c r="AU413" s="167"/>
      <c r="AV413" s="45"/>
      <c r="AW413" s="54"/>
      <c r="AX413" s="54"/>
      <c r="AY413" s="53"/>
      <c r="AZ413" s="46"/>
      <c r="BA413" s="45"/>
      <c r="BB413" s="45"/>
      <c r="BC413" s="73"/>
      <c r="BD413" s="165"/>
      <c r="BE413" s="165"/>
      <c r="BF413" s="173"/>
      <c r="BG413" s="304"/>
      <c r="BH413" s="601"/>
      <c r="BI413" s="45">
        <v>238</v>
      </c>
      <c r="BJ413" s="46">
        <v>223</v>
      </c>
      <c r="BK413" s="45"/>
      <c r="BL413" s="53"/>
      <c r="BM413" s="200"/>
      <c r="BN413" s="165"/>
      <c r="BO413" s="173"/>
      <c r="BP413" s="190"/>
      <c r="BQ413" s="173"/>
      <c r="BR413" s="168"/>
      <c r="BS413" s="165"/>
      <c r="BT413" s="167"/>
      <c r="BU413" s="45"/>
      <c r="BV413" s="53"/>
      <c r="BW413" s="54"/>
      <c r="BX413" s="54"/>
      <c r="BY413" s="200"/>
      <c r="BZ413" s="45">
        <v>165</v>
      </c>
      <c r="CA413" s="54">
        <v>264</v>
      </c>
      <c r="CB413" s="53">
        <v>98</v>
      </c>
      <c r="CC413" s="46">
        <v>220</v>
      </c>
      <c r="CD413" s="45"/>
      <c r="CE413" s="54"/>
      <c r="CF413" s="54"/>
      <c r="CG413" s="73"/>
      <c r="CH413" s="165"/>
      <c r="CI413" s="167"/>
    </row>
    <row r="414" spans="1:87" x14ac:dyDescent="0.3">
      <c r="A414" s="10">
        <v>6514</v>
      </c>
      <c r="B414" s="11" t="s">
        <v>537</v>
      </c>
      <c r="C414" s="471">
        <v>621</v>
      </c>
      <c r="D414" s="54">
        <v>275</v>
      </c>
      <c r="E414" s="367">
        <f t="shared" si="7"/>
        <v>0.44283413848631242</v>
      </c>
      <c r="F414" s="45"/>
      <c r="G414" s="45"/>
      <c r="H414" s="45"/>
      <c r="I414" s="45"/>
      <c r="J414" s="46"/>
      <c r="K414" s="45"/>
      <c r="L414" s="107"/>
      <c r="M414" s="541"/>
      <c r="N414" s="45"/>
      <c r="O414" s="45"/>
      <c r="P414" s="53"/>
      <c r="Q414" s="57"/>
      <c r="R414" s="57"/>
      <c r="S414" s="74"/>
      <c r="T414" s="45"/>
      <c r="U414" s="45"/>
      <c r="V414" s="73"/>
      <c r="W414" s="169"/>
      <c r="X414" s="173"/>
      <c r="Y414" s="190"/>
      <c r="Z414" s="167"/>
      <c r="AA414" s="45"/>
      <c r="AB414" s="57"/>
      <c r="AC414" s="169"/>
      <c r="AD414" s="165"/>
      <c r="AE414" s="165"/>
      <c r="AF414" s="167"/>
      <c r="AG414" s="73"/>
      <c r="AH414" s="45"/>
      <c r="AI414" s="46"/>
      <c r="AJ414" s="165"/>
      <c r="AK414" s="173"/>
      <c r="AL414" s="167"/>
      <c r="AM414" s="45"/>
      <c r="AN414" s="54"/>
      <c r="AO414" s="54"/>
      <c r="AP414" s="73"/>
      <c r="AQ414" s="165"/>
      <c r="AR414" s="168"/>
      <c r="AS414" s="165"/>
      <c r="AT414" s="190"/>
      <c r="AU414" s="167"/>
      <c r="AV414" s="45"/>
      <c r="AW414" s="54"/>
      <c r="AX414" s="54"/>
      <c r="AY414" s="53"/>
      <c r="AZ414" s="46"/>
      <c r="BA414" s="45"/>
      <c r="BB414" s="45"/>
      <c r="BC414" s="73"/>
      <c r="BD414" s="165"/>
      <c r="BE414" s="165"/>
      <c r="BF414" s="173"/>
      <c r="BG414" s="304"/>
      <c r="BH414" s="601"/>
      <c r="BI414" s="45">
        <v>129</v>
      </c>
      <c r="BJ414" s="46">
        <v>126</v>
      </c>
      <c r="BK414" s="45"/>
      <c r="BL414" s="53"/>
      <c r="BM414" s="200"/>
      <c r="BN414" s="165"/>
      <c r="BO414" s="173"/>
      <c r="BP414" s="190"/>
      <c r="BQ414" s="173"/>
      <c r="BR414" s="168"/>
      <c r="BS414" s="165"/>
      <c r="BT414" s="167"/>
      <c r="BU414" s="45"/>
      <c r="BV414" s="53"/>
      <c r="BW414" s="54"/>
      <c r="BX414" s="54"/>
      <c r="BY414" s="200"/>
      <c r="BZ414" s="45">
        <v>90</v>
      </c>
      <c r="CA414" s="54">
        <v>158</v>
      </c>
      <c r="CB414" s="53">
        <v>64</v>
      </c>
      <c r="CC414" s="46">
        <v>96</v>
      </c>
      <c r="CD414" s="45"/>
      <c r="CE414" s="54"/>
      <c r="CF414" s="54"/>
      <c r="CG414" s="73"/>
      <c r="CH414" s="165"/>
      <c r="CI414" s="167"/>
    </row>
    <row r="415" spans="1:87" x14ac:dyDescent="0.3">
      <c r="A415" s="10">
        <v>6515</v>
      </c>
      <c r="B415" s="11" t="s">
        <v>538</v>
      </c>
      <c r="C415" s="471">
        <v>1203</v>
      </c>
      <c r="D415" s="54">
        <v>703</v>
      </c>
      <c r="E415" s="367">
        <f t="shared" si="7"/>
        <v>0.58437240232751453</v>
      </c>
      <c r="F415" s="45"/>
      <c r="G415" s="45"/>
      <c r="H415" s="45"/>
      <c r="I415" s="45"/>
      <c r="J415" s="46"/>
      <c r="K415" s="45"/>
      <c r="L415" s="107"/>
      <c r="M415" s="541"/>
      <c r="N415" s="45"/>
      <c r="O415" s="45"/>
      <c r="P415" s="53"/>
      <c r="Q415" s="57"/>
      <c r="R415" s="57"/>
      <c r="S415" s="74"/>
      <c r="T415" s="45"/>
      <c r="U415" s="45"/>
      <c r="V415" s="73"/>
      <c r="W415" s="169"/>
      <c r="X415" s="173"/>
      <c r="Y415" s="190"/>
      <c r="Z415" s="167"/>
      <c r="AA415" s="45"/>
      <c r="AB415" s="57"/>
      <c r="AC415" s="169"/>
      <c r="AD415" s="165"/>
      <c r="AE415" s="165"/>
      <c r="AF415" s="167"/>
      <c r="AG415" s="73"/>
      <c r="AH415" s="45"/>
      <c r="AI415" s="46"/>
      <c r="AJ415" s="165"/>
      <c r="AK415" s="173"/>
      <c r="AL415" s="167"/>
      <c r="AM415" s="45"/>
      <c r="AN415" s="54"/>
      <c r="AO415" s="54"/>
      <c r="AP415" s="73"/>
      <c r="AQ415" s="165"/>
      <c r="AR415" s="168"/>
      <c r="AS415" s="165"/>
      <c r="AT415" s="190"/>
      <c r="AU415" s="167"/>
      <c r="AV415" s="45"/>
      <c r="AW415" s="54"/>
      <c r="AX415" s="54"/>
      <c r="AY415" s="53"/>
      <c r="AZ415" s="46"/>
      <c r="BA415" s="45"/>
      <c r="BB415" s="45"/>
      <c r="BC415" s="73"/>
      <c r="BD415" s="165"/>
      <c r="BE415" s="165"/>
      <c r="BF415" s="173"/>
      <c r="BG415" s="304"/>
      <c r="BH415" s="601"/>
      <c r="BI415" s="45">
        <v>284</v>
      </c>
      <c r="BJ415" s="46">
        <v>292</v>
      </c>
      <c r="BK415" s="45"/>
      <c r="BL415" s="53"/>
      <c r="BM415" s="200"/>
      <c r="BN415" s="165"/>
      <c r="BO415" s="173"/>
      <c r="BP415" s="190"/>
      <c r="BQ415" s="173"/>
      <c r="BR415" s="168"/>
      <c r="BS415" s="165"/>
      <c r="BT415" s="167"/>
      <c r="BU415" s="45"/>
      <c r="BV415" s="53"/>
      <c r="BW415" s="54"/>
      <c r="BX415" s="54"/>
      <c r="BY415" s="200"/>
      <c r="BZ415" s="45">
        <v>231</v>
      </c>
      <c r="CA415" s="54">
        <v>343</v>
      </c>
      <c r="CB415" s="53">
        <v>138</v>
      </c>
      <c r="CC415" s="46">
        <v>270</v>
      </c>
      <c r="CD415" s="45"/>
      <c r="CE415" s="54"/>
      <c r="CF415" s="54"/>
      <c r="CG415" s="73"/>
      <c r="CH415" s="165"/>
      <c r="CI415" s="167"/>
    </row>
    <row r="416" spans="1:87" x14ac:dyDescent="0.3">
      <c r="A416" s="10">
        <v>6516</v>
      </c>
      <c r="B416" s="11" t="s">
        <v>539</v>
      </c>
      <c r="C416" s="471">
        <v>1009</v>
      </c>
      <c r="D416" s="54">
        <v>583</v>
      </c>
      <c r="E416" s="367">
        <f t="shared" si="7"/>
        <v>0.57779980178394452</v>
      </c>
      <c r="F416" s="45">
        <v>4</v>
      </c>
      <c r="G416" s="45">
        <v>5</v>
      </c>
      <c r="H416" s="45">
        <v>7</v>
      </c>
      <c r="I416" s="45">
        <v>3</v>
      </c>
      <c r="J416" s="46">
        <v>3</v>
      </c>
      <c r="K416" s="45"/>
      <c r="L416" s="107"/>
      <c r="M416" s="541"/>
      <c r="N416" s="45"/>
      <c r="O416" s="45"/>
      <c r="P416" s="53"/>
      <c r="Q416" s="57"/>
      <c r="R416" s="57"/>
      <c r="S416" s="74"/>
      <c r="T416" s="45"/>
      <c r="U416" s="45"/>
      <c r="V416" s="73"/>
      <c r="W416" s="169"/>
      <c r="X416" s="173"/>
      <c r="Y416" s="190"/>
      <c r="Z416" s="167"/>
      <c r="AA416" s="45"/>
      <c r="AB416" s="57"/>
      <c r="AC416" s="169"/>
      <c r="AD416" s="165"/>
      <c r="AE416" s="165"/>
      <c r="AF416" s="167"/>
      <c r="AG416" s="73"/>
      <c r="AH416" s="45"/>
      <c r="AI416" s="46"/>
      <c r="AJ416" s="165"/>
      <c r="AK416" s="173"/>
      <c r="AL416" s="167"/>
      <c r="AM416" s="45"/>
      <c r="AN416" s="54"/>
      <c r="AO416" s="54"/>
      <c r="AP416" s="73"/>
      <c r="AQ416" s="165"/>
      <c r="AR416" s="168"/>
      <c r="AS416" s="165"/>
      <c r="AT416" s="190"/>
      <c r="AU416" s="167"/>
      <c r="AV416" s="45"/>
      <c r="AW416" s="54"/>
      <c r="AX416" s="54"/>
      <c r="AY416" s="53"/>
      <c r="AZ416" s="46"/>
      <c r="BA416" s="45"/>
      <c r="BB416" s="45"/>
      <c r="BC416" s="73"/>
      <c r="BD416" s="165"/>
      <c r="BE416" s="165"/>
      <c r="BF416" s="173"/>
      <c r="BG416" s="304"/>
      <c r="BH416" s="601"/>
      <c r="BI416" s="45">
        <v>219</v>
      </c>
      <c r="BJ416" s="46">
        <v>219</v>
      </c>
      <c r="BK416" s="45"/>
      <c r="BL416" s="53"/>
      <c r="BM416" s="200"/>
      <c r="BN416" s="165"/>
      <c r="BO416" s="173"/>
      <c r="BP416" s="190"/>
      <c r="BQ416" s="173"/>
      <c r="BR416" s="168"/>
      <c r="BS416" s="165"/>
      <c r="BT416" s="167"/>
      <c r="BU416" s="45"/>
      <c r="BV416" s="53"/>
      <c r="BW416" s="54"/>
      <c r="BX416" s="54"/>
      <c r="BY416" s="200"/>
      <c r="BZ416" s="45">
        <v>127</v>
      </c>
      <c r="CA416" s="54">
        <v>312</v>
      </c>
      <c r="CB416" s="53">
        <v>105</v>
      </c>
      <c r="CC416" s="46">
        <v>241</v>
      </c>
      <c r="CD416" s="45"/>
      <c r="CE416" s="54"/>
      <c r="CF416" s="54"/>
      <c r="CG416" s="73"/>
      <c r="CH416" s="165"/>
      <c r="CI416" s="167"/>
    </row>
    <row r="417" spans="1:87" x14ac:dyDescent="0.3">
      <c r="A417" s="10">
        <v>6517</v>
      </c>
      <c r="B417" s="11" t="s">
        <v>540</v>
      </c>
      <c r="C417" s="471">
        <v>1148</v>
      </c>
      <c r="D417" s="54">
        <v>743</v>
      </c>
      <c r="E417" s="367">
        <f t="shared" si="7"/>
        <v>0.64721254355400692</v>
      </c>
      <c r="F417" s="45">
        <v>10</v>
      </c>
      <c r="G417" s="45">
        <v>6</v>
      </c>
      <c r="H417" s="45">
        <v>13</v>
      </c>
      <c r="I417" s="45">
        <v>6</v>
      </c>
      <c r="J417" s="46">
        <v>9</v>
      </c>
      <c r="K417" s="45"/>
      <c r="L417" s="107"/>
      <c r="M417" s="541"/>
      <c r="N417" s="45"/>
      <c r="O417" s="45"/>
      <c r="P417" s="53"/>
      <c r="Q417" s="57"/>
      <c r="R417" s="57"/>
      <c r="S417" s="74"/>
      <c r="T417" s="45"/>
      <c r="U417" s="45"/>
      <c r="V417" s="73"/>
      <c r="W417" s="169"/>
      <c r="X417" s="173"/>
      <c r="Y417" s="190"/>
      <c r="Z417" s="167"/>
      <c r="AA417" s="45"/>
      <c r="AB417" s="57"/>
      <c r="AC417" s="169"/>
      <c r="AD417" s="165"/>
      <c r="AE417" s="165"/>
      <c r="AF417" s="167"/>
      <c r="AG417" s="73"/>
      <c r="AH417" s="45"/>
      <c r="AI417" s="46"/>
      <c r="AJ417" s="165"/>
      <c r="AK417" s="173"/>
      <c r="AL417" s="167"/>
      <c r="AM417" s="45"/>
      <c r="AN417" s="54"/>
      <c r="AO417" s="54"/>
      <c r="AP417" s="73"/>
      <c r="AQ417" s="165"/>
      <c r="AR417" s="168"/>
      <c r="AS417" s="165"/>
      <c r="AT417" s="190"/>
      <c r="AU417" s="167"/>
      <c r="AV417" s="45"/>
      <c r="AW417" s="54"/>
      <c r="AX417" s="54"/>
      <c r="AY417" s="53"/>
      <c r="AZ417" s="46"/>
      <c r="BA417" s="45"/>
      <c r="BB417" s="45"/>
      <c r="BC417" s="73"/>
      <c r="BD417" s="165"/>
      <c r="BE417" s="165"/>
      <c r="BF417" s="173"/>
      <c r="BG417" s="304"/>
      <c r="BH417" s="601"/>
      <c r="BI417" s="45">
        <v>276</v>
      </c>
      <c r="BJ417" s="46">
        <v>271</v>
      </c>
      <c r="BK417" s="45"/>
      <c r="BL417" s="53"/>
      <c r="BM417" s="200"/>
      <c r="BN417" s="165"/>
      <c r="BO417" s="173"/>
      <c r="BP417" s="190"/>
      <c r="BQ417" s="173"/>
      <c r="BR417" s="168"/>
      <c r="BS417" s="165"/>
      <c r="BT417" s="167"/>
      <c r="BU417" s="45"/>
      <c r="BV417" s="53"/>
      <c r="BW417" s="54"/>
      <c r="BX417" s="54"/>
      <c r="BY417" s="200"/>
      <c r="BZ417" s="45">
        <v>209</v>
      </c>
      <c r="CA417" s="54">
        <v>427</v>
      </c>
      <c r="CB417" s="53">
        <v>114</v>
      </c>
      <c r="CC417" s="46">
        <v>346</v>
      </c>
      <c r="CD417" s="45"/>
      <c r="CE417" s="54"/>
      <c r="CF417" s="54"/>
      <c r="CG417" s="73"/>
      <c r="CH417" s="165"/>
      <c r="CI417" s="167"/>
    </row>
    <row r="418" spans="1:87" x14ac:dyDescent="0.3">
      <c r="A418" s="10">
        <v>6518</v>
      </c>
      <c r="B418" s="11" t="s">
        <v>541</v>
      </c>
      <c r="C418" s="471">
        <v>888</v>
      </c>
      <c r="D418" s="54">
        <v>452</v>
      </c>
      <c r="E418" s="367">
        <f t="shared" si="7"/>
        <v>0.50900900900900903</v>
      </c>
      <c r="F418" s="45">
        <v>2</v>
      </c>
      <c r="G418" s="45">
        <v>3</v>
      </c>
      <c r="H418" s="45">
        <v>1</v>
      </c>
      <c r="I418" s="45">
        <v>2</v>
      </c>
      <c r="J418" s="46">
        <v>3</v>
      </c>
      <c r="K418" s="45"/>
      <c r="L418" s="107"/>
      <c r="M418" s="541"/>
      <c r="N418" s="45"/>
      <c r="O418" s="45"/>
      <c r="P418" s="53"/>
      <c r="Q418" s="57"/>
      <c r="R418" s="57"/>
      <c r="S418" s="74"/>
      <c r="T418" s="45"/>
      <c r="U418" s="45"/>
      <c r="V418" s="73"/>
      <c r="W418" s="169"/>
      <c r="X418" s="173"/>
      <c r="Y418" s="190"/>
      <c r="Z418" s="167"/>
      <c r="AA418" s="45"/>
      <c r="AB418" s="57"/>
      <c r="AC418" s="169"/>
      <c r="AD418" s="165"/>
      <c r="AE418" s="165"/>
      <c r="AF418" s="167"/>
      <c r="AG418" s="73"/>
      <c r="AH418" s="45"/>
      <c r="AI418" s="46"/>
      <c r="AJ418" s="165"/>
      <c r="AK418" s="173"/>
      <c r="AL418" s="167"/>
      <c r="AM418" s="45"/>
      <c r="AN418" s="54"/>
      <c r="AO418" s="54"/>
      <c r="AP418" s="73"/>
      <c r="AQ418" s="165"/>
      <c r="AR418" s="168"/>
      <c r="AS418" s="165"/>
      <c r="AT418" s="190"/>
      <c r="AU418" s="167"/>
      <c r="AV418" s="45"/>
      <c r="AW418" s="54"/>
      <c r="AX418" s="54"/>
      <c r="AY418" s="53"/>
      <c r="AZ418" s="46"/>
      <c r="BA418" s="45"/>
      <c r="BB418" s="45"/>
      <c r="BC418" s="73"/>
      <c r="BD418" s="165"/>
      <c r="BE418" s="165"/>
      <c r="BF418" s="173"/>
      <c r="BG418" s="304"/>
      <c r="BH418" s="601"/>
      <c r="BI418" s="45">
        <v>195</v>
      </c>
      <c r="BJ418" s="46">
        <v>225</v>
      </c>
      <c r="BK418" s="45"/>
      <c r="BL418" s="53"/>
      <c r="BM418" s="200"/>
      <c r="BN418" s="165"/>
      <c r="BO418" s="173"/>
      <c r="BP418" s="190"/>
      <c r="BQ418" s="173"/>
      <c r="BR418" s="168"/>
      <c r="BS418" s="165"/>
      <c r="BT418" s="167"/>
      <c r="BU418" s="45"/>
      <c r="BV418" s="53"/>
      <c r="BW418" s="54"/>
      <c r="BX418" s="54"/>
      <c r="BY418" s="200"/>
      <c r="BZ418" s="45">
        <v>125</v>
      </c>
      <c r="CA418" s="54">
        <v>240</v>
      </c>
      <c r="CB418" s="53">
        <v>84</v>
      </c>
      <c r="CC418" s="46">
        <v>166</v>
      </c>
      <c r="CD418" s="45"/>
      <c r="CE418" s="54"/>
      <c r="CF418" s="54"/>
      <c r="CG418" s="73"/>
      <c r="CH418" s="165"/>
      <c r="CI418" s="167"/>
    </row>
    <row r="419" spans="1:87" x14ac:dyDescent="0.3">
      <c r="A419" s="10">
        <v>6519</v>
      </c>
      <c r="B419" s="11" t="s">
        <v>542</v>
      </c>
      <c r="C419" s="471">
        <v>1094</v>
      </c>
      <c r="D419" s="54">
        <v>607</v>
      </c>
      <c r="E419" s="367">
        <f t="shared" si="7"/>
        <v>0.55484460694698357</v>
      </c>
      <c r="F419" s="45"/>
      <c r="G419" s="45"/>
      <c r="H419" s="45"/>
      <c r="I419" s="45"/>
      <c r="J419" s="46"/>
      <c r="K419" s="45"/>
      <c r="L419" s="107"/>
      <c r="M419" s="541"/>
      <c r="N419" s="45"/>
      <c r="O419" s="45"/>
      <c r="P419" s="53"/>
      <c r="Q419" s="57"/>
      <c r="R419" s="57"/>
      <c r="S419" s="74"/>
      <c r="T419" s="45"/>
      <c r="U419" s="45"/>
      <c r="V419" s="73"/>
      <c r="W419" s="169"/>
      <c r="X419" s="173"/>
      <c r="Y419" s="190"/>
      <c r="Z419" s="167"/>
      <c r="AA419" s="45"/>
      <c r="AB419" s="57"/>
      <c r="AC419" s="169"/>
      <c r="AD419" s="165"/>
      <c r="AE419" s="165"/>
      <c r="AF419" s="167"/>
      <c r="AG419" s="73"/>
      <c r="AH419" s="45"/>
      <c r="AI419" s="46"/>
      <c r="AJ419" s="165"/>
      <c r="AK419" s="173"/>
      <c r="AL419" s="167"/>
      <c r="AM419" s="45"/>
      <c r="AN419" s="54"/>
      <c r="AO419" s="54"/>
      <c r="AP419" s="73"/>
      <c r="AQ419" s="165"/>
      <c r="AR419" s="168"/>
      <c r="AS419" s="45"/>
      <c r="AT419" s="53"/>
      <c r="AU419" s="46"/>
      <c r="AV419" s="45"/>
      <c r="AW419" s="54"/>
      <c r="AX419" s="54"/>
      <c r="AY419" s="53"/>
      <c r="AZ419" s="46"/>
      <c r="BA419" s="45"/>
      <c r="BB419" s="45"/>
      <c r="BC419" s="73"/>
      <c r="BD419" s="165"/>
      <c r="BE419" s="165"/>
      <c r="BF419" s="173"/>
      <c r="BG419" s="304"/>
      <c r="BH419" s="601"/>
      <c r="BI419" s="45">
        <v>244</v>
      </c>
      <c r="BJ419" s="46">
        <v>249</v>
      </c>
      <c r="BK419" s="45"/>
      <c r="BL419" s="53"/>
      <c r="BM419" s="200"/>
      <c r="BN419" s="165"/>
      <c r="BO419" s="173"/>
      <c r="BP419" s="190"/>
      <c r="BQ419" s="173"/>
      <c r="BR419" s="168"/>
      <c r="BS419" s="165"/>
      <c r="BT419" s="167"/>
      <c r="BU419" s="45"/>
      <c r="BV419" s="53"/>
      <c r="BW419" s="54"/>
      <c r="BX419" s="54"/>
      <c r="BY419" s="200"/>
      <c r="BZ419" s="45">
        <v>162</v>
      </c>
      <c r="CA419" s="54">
        <v>328</v>
      </c>
      <c r="CB419" s="53">
        <v>113</v>
      </c>
      <c r="CC419" s="46">
        <v>242</v>
      </c>
      <c r="CD419" s="45"/>
      <c r="CE419" s="54"/>
      <c r="CF419" s="54"/>
      <c r="CG419" s="73"/>
      <c r="CH419" s="165"/>
      <c r="CI419" s="167"/>
    </row>
    <row r="420" spans="1:87" x14ac:dyDescent="0.3">
      <c r="A420" s="10">
        <v>6701</v>
      </c>
      <c r="B420" s="11" t="s">
        <v>543</v>
      </c>
      <c r="C420" s="471">
        <v>1122</v>
      </c>
      <c r="D420" s="54">
        <v>275</v>
      </c>
      <c r="E420" s="367">
        <f t="shared" si="7"/>
        <v>0.24509803921568626</v>
      </c>
      <c r="F420" s="45"/>
      <c r="G420" s="45"/>
      <c r="H420" s="45"/>
      <c r="I420" s="45"/>
      <c r="J420" s="46"/>
      <c r="K420" s="45"/>
      <c r="L420" s="107"/>
      <c r="M420" s="541"/>
      <c r="N420" s="45"/>
      <c r="O420" s="45"/>
      <c r="P420" s="53"/>
      <c r="Q420" s="57"/>
      <c r="R420" s="57"/>
      <c r="S420" s="74"/>
      <c r="T420" s="45"/>
      <c r="U420" s="45"/>
      <c r="V420" s="73"/>
      <c r="W420" s="169"/>
      <c r="X420" s="173"/>
      <c r="Y420" s="190"/>
      <c r="Z420" s="167"/>
      <c r="AA420" s="45"/>
      <c r="AB420" s="57"/>
      <c r="AC420" s="169"/>
      <c r="AD420" s="165"/>
      <c r="AE420" s="165"/>
      <c r="AF420" s="167"/>
      <c r="AG420" s="73"/>
      <c r="AH420" s="45"/>
      <c r="AI420" s="46"/>
      <c r="AJ420" s="165"/>
      <c r="AK420" s="173"/>
      <c r="AL420" s="167"/>
      <c r="AM420" s="45"/>
      <c r="AN420" s="54"/>
      <c r="AO420" s="54"/>
      <c r="AP420" s="73"/>
      <c r="AQ420" s="165"/>
      <c r="AR420" s="168"/>
      <c r="AS420" s="153">
        <v>107</v>
      </c>
      <c r="AT420" s="189">
        <v>124</v>
      </c>
      <c r="AU420" s="158">
        <v>111</v>
      </c>
      <c r="AV420" s="45"/>
      <c r="AW420" s="54"/>
      <c r="AX420" s="54"/>
      <c r="AY420" s="53"/>
      <c r="AZ420" s="46"/>
      <c r="BA420" s="45"/>
      <c r="BB420" s="45"/>
      <c r="BC420" s="73"/>
      <c r="BD420" s="165"/>
      <c r="BE420" s="165"/>
      <c r="BF420" s="173"/>
      <c r="BG420" s="304"/>
      <c r="BH420" s="601"/>
      <c r="BI420" s="45"/>
      <c r="BJ420" s="46"/>
      <c r="BK420" s="45"/>
      <c r="BL420" s="53"/>
      <c r="BM420" s="200"/>
      <c r="BN420" s="165"/>
      <c r="BO420" s="173"/>
      <c r="BP420" s="190"/>
      <c r="BQ420" s="173"/>
      <c r="BR420" s="168"/>
      <c r="BS420" s="165"/>
      <c r="BT420" s="167"/>
      <c r="BU420" s="45"/>
      <c r="BV420" s="53"/>
      <c r="BW420" s="54"/>
      <c r="BX420" s="54"/>
      <c r="BY420" s="200"/>
      <c r="BZ420" s="199"/>
      <c r="CA420" s="201"/>
      <c r="CB420" s="202"/>
      <c r="CC420" s="200"/>
      <c r="CD420" s="199"/>
      <c r="CE420" s="201"/>
      <c r="CF420" s="201"/>
      <c r="CG420" s="106"/>
      <c r="CH420" s="165"/>
      <c r="CI420" s="167"/>
    </row>
    <row r="421" spans="1:87" x14ac:dyDescent="0.3">
      <c r="A421" s="10">
        <v>6801</v>
      </c>
      <c r="B421" s="11" t="s">
        <v>544</v>
      </c>
      <c r="C421" s="471">
        <v>1127</v>
      </c>
      <c r="D421" s="54">
        <v>805</v>
      </c>
      <c r="E421" s="367">
        <f t="shared" si="7"/>
        <v>0.7142857142857143</v>
      </c>
      <c r="F421" s="45"/>
      <c r="G421" s="45"/>
      <c r="H421" s="45"/>
      <c r="I421" s="45"/>
      <c r="J421" s="46"/>
      <c r="K421" s="45"/>
      <c r="L421" s="107"/>
      <c r="M421" s="541"/>
      <c r="N421" s="45"/>
      <c r="O421" s="45"/>
      <c r="P421" s="53"/>
      <c r="Q421" s="57"/>
      <c r="R421" s="57"/>
      <c r="S421" s="74"/>
      <c r="T421" s="45"/>
      <c r="U421" s="45"/>
      <c r="V421" s="73"/>
      <c r="W421" s="169"/>
      <c r="X421" s="173"/>
      <c r="Y421" s="190"/>
      <c r="Z421" s="167"/>
      <c r="AA421" s="45"/>
      <c r="AB421" s="57"/>
      <c r="AC421" s="169"/>
      <c r="AD421" s="165"/>
      <c r="AE421" s="165"/>
      <c r="AF421" s="167"/>
      <c r="AG421" s="73"/>
      <c r="AH421" s="45"/>
      <c r="AI421" s="46"/>
      <c r="AJ421" s="165"/>
      <c r="AK421" s="173"/>
      <c r="AL421" s="167"/>
      <c r="AM421" s="45">
        <v>390</v>
      </c>
      <c r="AN421" s="54">
        <v>181</v>
      </c>
      <c r="AO421" s="54">
        <v>328</v>
      </c>
      <c r="AP421" s="73">
        <v>361</v>
      </c>
      <c r="AQ421" s="165"/>
      <c r="AR421" s="168"/>
      <c r="AS421" s="153"/>
      <c r="AT421" s="189"/>
      <c r="AU421" s="158"/>
      <c r="AV421" s="45"/>
      <c r="AW421" s="54"/>
      <c r="AX421" s="54"/>
      <c r="AY421" s="53"/>
      <c r="AZ421" s="46"/>
      <c r="BA421" s="45"/>
      <c r="BB421" s="45"/>
      <c r="BC421" s="73"/>
      <c r="BD421" s="165"/>
      <c r="BE421" s="165"/>
      <c r="BF421" s="173"/>
      <c r="BG421" s="304"/>
      <c r="BH421" s="601"/>
      <c r="BI421" s="45"/>
      <c r="BJ421" s="46"/>
      <c r="BK421" s="45"/>
      <c r="BL421" s="53"/>
      <c r="BM421" s="200"/>
      <c r="BN421" s="165"/>
      <c r="BO421" s="173"/>
      <c r="BP421" s="190"/>
      <c r="BQ421" s="173"/>
      <c r="BR421" s="168"/>
      <c r="BS421" s="165"/>
      <c r="BT421" s="167"/>
      <c r="BU421" s="45"/>
      <c r="BV421" s="53"/>
      <c r="BW421" s="54"/>
      <c r="BX421" s="54"/>
      <c r="BY421" s="200"/>
      <c r="BZ421" s="199"/>
      <c r="CA421" s="201"/>
      <c r="CB421" s="202"/>
      <c r="CC421" s="200"/>
      <c r="CD421" s="199"/>
      <c r="CE421" s="201"/>
      <c r="CF421" s="201"/>
      <c r="CG421" s="106"/>
      <c r="CH421" s="165"/>
      <c r="CI421" s="167"/>
    </row>
    <row r="422" spans="1:87" x14ac:dyDescent="0.3">
      <c r="A422" s="10">
        <v>6802</v>
      </c>
      <c r="B422" s="11" t="s">
        <v>545</v>
      </c>
      <c r="C422" s="471">
        <v>926</v>
      </c>
      <c r="D422" s="54">
        <v>605</v>
      </c>
      <c r="E422" s="367">
        <f t="shared" si="7"/>
        <v>0.6533477321814255</v>
      </c>
      <c r="F422" s="45"/>
      <c r="G422" s="45"/>
      <c r="H422" s="45"/>
      <c r="I422" s="45"/>
      <c r="J422" s="46"/>
      <c r="K422" s="45"/>
      <c r="L422" s="107"/>
      <c r="M422" s="541"/>
      <c r="N422" s="45"/>
      <c r="O422" s="45"/>
      <c r="P422" s="53"/>
      <c r="Q422" s="57"/>
      <c r="R422" s="57"/>
      <c r="S422" s="74"/>
      <c r="T422" s="45"/>
      <c r="U422" s="45"/>
      <c r="V422" s="73"/>
      <c r="W422" s="169"/>
      <c r="X422" s="173"/>
      <c r="Y422" s="190"/>
      <c r="Z422" s="167"/>
      <c r="AA422" s="45"/>
      <c r="AB422" s="57"/>
      <c r="AC422" s="169"/>
      <c r="AD422" s="165"/>
      <c r="AE422" s="165"/>
      <c r="AF422" s="167"/>
      <c r="AG422" s="73"/>
      <c r="AH422" s="45"/>
      <c r="AI422" s="46"/>
      <c r="AJ422" s="165"/>
      <c r="AK422" s="173"/>
      <c r="AL422" s="167"/>
      <c r="AM422" s="45">
        <v>231</v>
      </c>
      <c r="AN422" s="54">
        <v>137</v>
      </c>
      <c r="AO422" s="54">
        <v>238</v>
      </c>
      <c r="AP422" s="73">
        <v>272</v>
      </c>
      <c r="AQ422" s="165"/>
      <c r="AR422" s="168"/>
      <c r="AS422" s="153"/>
      <c r="AT422" s="189"/>
      <c r="AU422" s="158"/>
      <c r="AV422" s="45"/>
      <c r="AW422" s="54"/>
      <c r="AX422" s="54"/>
      <c r="AY422" s="53"/>
      <c r="AZ422" s="46"/>
      <c r="BA422" s="45"/>
      <c r="BB422" s="45"/>
      <c r="BC422" s="73"/>
      <c r="BD422" s="165"/>
      <c r="BE422" s="165"/>
      <c r="BF422" s="173"/>
      <c r="BG422" s="304"/>
      <c r="BH422" s="601"/>
      <c r="BI422" s="45"/>
      <c r="BJ422" s="46"/>
      <c r="BK422" s="45"/>
      <c r="BL422" s="53"/>
      <c r="BM422" s="200"/>
      <c r="BN422" s="165"/>
      <c r="BO422" s="173"/>
      <c r="BP422" s="190"/>
      <c r="BQ422" s="173"/>
      <c r="BR422" s="168"/>
      <c r="BS422" s="165"/>
      <c r="BT422" s="167"/>
      <c r="BU422" s="45"/>
      <c r="BV422" s="53"/>
      <c r="BW422" s="54"/>
      <c r="BX422" s="54"/>
      <c r="BY422" s="200"/>
      <c r="BZ422" s="199"/>
      <c r="CA422" s="201"/>
      <c r="CB422" s="202"/>
      <c r="CC422" s="200"/>
      <c r="CD422" s="199"/>
      <c r="CE422" s="201"/>
      <c r="CF422" s="201"/>
      <c r="CG422" s="106"/>
      <c r="CH422" s="165"/>
      <c r="CI422" s="167"/>
    </row>
    <row r="423" spans="1:87" x14ac:dyDescent="0.3">
      <c r="A423" s="10">
        <v>6803</v>
      </c>
      <c r="B423" s="11" t="s">
        <v>546</v>
      </c>
      <c r="C423" s="471">
        <v>236</v>
      </c>
      <c r="D423" s="54">
        <v>155</v>
      </c>
      <c r="E423" s="367">
        <f t="shared" si="7"/>
        <v>0.65677966101694918</v>
      </c>
      <c r="F423" s="45"/>
      <c r="G423" s="45"/>
      <c r="H423" s="45"/>
      <c r="I423" s="45"/>
      <c r="J423" s="46"/>
      <c r="K423" s="45"/>
      <c r="L423" s="107"/>
      <c r="M423" s="541"/>
      <c r="N423" s="45"/>
      <c r="O423" s="45"/>
      <c r="P423" s="53"/>
      <c r="Q423" s="57"/>
      <c r="R423" s="57"/>
      <c r="S423" s="74"/>
      <c r="T423" s="45"/>
      <c r="U423" s="45"/>
      <c r="V423" s="73"/>
      <c r="W423" s="169"/>
      <c r="X423" s="173"/>
      <c r="Y423" s="190"/>
      <c r="Z423" s="167"/>
      <c r="AA423" s="45"/>
      <c r="AB423" s="57"/>
      <c r="AC423" s="169"/>
      <c r="AD423" s="165"/>
      <c r="AE423" s="165"/>
      <c r="AF423" s="167"/>
      <c r="AG423" s="73"/>
      <c r="AH423" s="45"/>
      <c r="AI423" s="46"/>
      <c r="AJ423" s="165"/>
      <c r="AK423" s="173"/>
      <c r="AL423" s="167"/>
      <c r="AM423" s="199"/>
      <c r="AN423" s="201"/>
      <c r="AO423" s="201"/>
      <c r="AP423" s="106"/>
      <c r="AQ423" s="165"/>
      <c r="AR423" s="168"/>
      <c r="AS423" s="153"/>
      <c r="AT423" s="189"/>
      <c r="AU423" s="158"/>
      <c r="AV423" s="45">
        <v>74</v>
      </c>
      <c r="AW423" s="54">
        <v>58</v>
      </c>
      <c r="AX423" s="54">
        <v>79</v>
      </c>
      <c r="AY423" s="53">
        <v>23</v>
      </c>
      <c r="AZ423" s="46">
        <v>8</v>
      </c>
      <c r="BA423" s="45"/>
      <c r="BB423" s="45"/>
      <c r="BC423" s="73"/>
      <c r="BD423" s="165"/>
      <c r="BE423" s="165"/>
      <c r="BF423" s="173"/>
      <c r="BG423" s="304"/>
      <c r="BH423" s="601"/>
      <c r="BI423" s="45"/>
      <c r="BJ423" s="46"/>
      <c r="BK423" s="45"/>
      <c r="BL423" s="53"/>
      <c r="BM423" s="200"/>
      <c r="BN423" s="165"/>
      <c r="BO423" s="173"/>
      <c r="BP423" s="190"/>
      <c r="BQ423" s="173"/>
      <c r="BR423" s="168"/>
      <c r="BS423" s="165"/>
      <c r="BT423" s="167"/>
      <c r="BU423" s="45"/>
      <c r="BV423" s="53"/>
      <c r="BW423" s="54"/>
      <c r="BX423" s="54"/>
      <c r="BY423" s="200"/>
      <c r="BZ423" s="199"/>
      <c r="CA423" s="201"/>
      <c r="CB423" s="202"/>
      <c r="CC423" s="200"/>
      <c r="CD423" s="199"/>
      <c r="CE423" s="201"/>
      <c r="CF423" s="201"/>
      <c r="CG423" s="106"/>
      <c r="CH423" s="165"/>
      <c r="CI423" s="167"/>
    </row>
    <row r="424" spans="1:87" x14ac:dyDescent="0.3">
      <c r="A424" s="10">
        <v>6901</v>
      </c>
      <c r="B424" s="11" t="s">
        <v>547</v>
      </c>
      <c r="C424" s="471">
        <v>1310</v>
      </c>
      <c r="D424" s="54">
        <v>742</v>
      </c>
      <c r="E424" s="367">
        <f t="shared" si="7"/>
        <v>0.56641221374045803</v>
      </c>
      <c r="F424" s="45">
        <v>0</v>
      </c>
      <c r="G424" s="45">
        <v>0</v>
      </c>
      <c r="H424" s="45">
        <v>0</v>
      </c>
      <c r="I424" s="45">
        <v>0</v>
      </c>
      <c r="J424" s="46">
        <v>0</v>
      </c>
      <c r="K424" s="45"/>
      <c r="L424" s="107"/>
      <c r="M424" s="541"/>
      <c r="N424" s="45"/>
      <c r="O424" s="45"/>
      <c r="P424" s="53"/>
      <c r="Q424" s="57"/>
      <c r="R424" s="57"/>
      <c r="S424" s="74"/>
      <c r="T424" s="45"/>
      <c r="U424" s="45"/>
      <c r="V424" s="73"/>
      <c r="W424" s="169"/>
      <c r="X424" s="173"/>
      <c r="Y424" s="190"/>
      <c r="Z424" s="167"/>
      <c r="AA424" s="45">
        <v>367</v>
      </c>
      <c r="AB424" s="57">
        <v>372</v>
      </c>
      <c r="AC424" s="169"/>
      <c r="AD424" s="165"/>
      <c r="AE424" s="165"/>
      <c r="AF424" s="167"/>
      <c r="AG424" s="73"/>
      <c r="AH424" s="45"/>
      <c r="AI424" s="46"/>
      <c r="AJ424" s="165"/>
      <c r="AK424" s="173"/>
      <c r="AL424" s="167"/>
      <c r="AM424" s="199"/>
      <c r="AN424" s="201"/>
      <c r="AO424" s="201"/>
      <c r="AP424" s="106"/>
      <c r="AQ424" s="165"/>
      <c r="AR424" s="168"/>
      <c r="AS424" s="165"/>
      <c r="AT424" s="190"/>
      <c r="AU424" s="167"/>
      <c r="AV424" s="199"/>
      <c r="AW424" s="201"/>
      <c r="AX424" s="201"/>
      <c r="AY424" s="202"/>
      <c r="AZ424" s="200"/>
      <c r="BA424" s="45"/>
      <c r="BB424" s="45"/>
      <c r="BC424" s="73"/>
      <c r="BD424" s="165"/>
      <c r="BE424" s="165"/>
      <c r="BF424" s="173"/>
      <c r="BG424" s="304"/>
      <c r="BH424" s="601"/>
      <c r="BI424" s="45"/>
      <c r="BJ424" s="46"/>
      <c r="BK424" s="45"/>
      <c r="BL424" s="53"/>
      <c r="BM424" s="200"/>
      <c r="BN424" s="165"/>
      <c r="BO424" s="173"/>
      <c r="BP424" s="190"/>
      <c r="BQ424" s="173"/>
      <c r="BR424" s="168"/>
      <c r="BS424" s="165"/>
      <c r="BT424" s="167"/>
      <c r="BU424" s="45"/>
      <c r="BV424" s="53"/>
      <c r="BW424" s="54"/>
      <c r="BX424" s="54"/>
      <c r="BY424" s="200"/>
      <c r="BZ424" s="199"/>
      <c r="CA424" s="201"/>
      <c r="CB424" s="202"/>
      <c r="CC424" s="200"/>
      <c r="CD424" s="199"/>
      <c r="CE424" s="201"/>
      <c r="CF424" s="201"/>
      <c r="CG424" s="106"/>
      <c r="CH424" s="165"/>
      <c r="CI424" s="167"/>
    </row>
    <row r="425" spans="1:87" x14ac:dyDescent="0.3">
      <c r="A425" s="10">
        <v>7001</v>
      </c>
      <c r="B425" s="11" t="s">
        <v>548</v>
      </c>
      <c r="C425" s="471">
        <v>997</v>
      </c>
      <c r="D425" s="54">
        <v>654</v>
      </c>
      <c r="E425" s="367">
        <f t="shared" si="7"/>
        <v>0.65596790371113345</v>
      </c>
      <c r="F425" s="45"/>
      <c r="G425" s="45"/>
      <c r="H425" s="45"/>
      <c r="I425" s="45"/>
      <c r="J425" s="46"/>
      <c r="K425" s="45"/>
      <c r="L425" s="107"/>
      <c r="M425" s="541"/>
      <c r="N425" s="45"/>
      <c r="O425" s="45"/>
      <c r="P425" s="53"/>
      <c r="Q425" s="57"/>
      <c r="R425" s="57"/>
      <c r="S425" s="74"/>
      <c r="T425" s="45"/>
      <c r="U425" s="45"/>
      <c r="V425" s="73"/>
      <c r="W425" s="169"/>
      <c r="X425" s="173"/>
      <c r="Y425" s="190"/>
      <c r="Z425" s="167"/>
      <c r="AA425" s="199"/>
      <c r="AB425" s="203"/>
      <c r="AC425" s="169"/>
      <c r="AD425" s="165"/>
      <c r="AE425" s="165"/>
      <c r="AF425" s="167"/>
      <c r="AG425" s="106"/>
      <c r="AH425" s="199"/>
      <c r="AI425" s="200"/>
      <c r="AJ425" s="165"/>
      <c r="AK425" s="173"/>
      <c r="AL425" s="167"/>
      <c r="AM425" s="45">
        <v>264</v>
      </c>
      <c r="AN425" s="54">
        <v>148</v>
      </c>
      <c r="AO425" s="54">
        <v>282</v>
      </c>
      <c r="AP425" s="73">
        <v>277</v>
      </c>
      <c r="AQ425" s="165"/>
      <c r="AR425" s="168"/>
      <c r="AS425" s="165"/>
      <c r="AT425" s="190"/>
      <c r="AU425" s="167"/>
      <c r="AV425" s="199"/>
      <c r="AW425" s="201"/>
      <c r="AX425" s="201"/>
      <c r="AY425" s="202"/>
      <c r="AZ425" s="200"/>
      <c r="BA425" s="199"/>
      <c r="BB425" s="199"/>
      <c r="BC425" s="106"/>
      <c r="BD425" s="165"/>
      <c r="BE425" s="165"/>
      <c r="BF425" s="173"/>
      <c r="BG425" s="304"/>
      <c r="BH425" s="601"/>
      <c r="BI425" s="45"/>
      <c r="BJ425" s="46"/>
      <c r="BK425" s="45"/>
      <c r="BL425" s="53"/>
      <c r="BM425" s="200"/>
      <c r="BN425" s="165"/>
      <c r="BO425" s="173"/>
      <c r="BP425" s="190"/>
      <c r="BQ425" s="173"/>
      <c r="BR425" s="168"/>
      <c r="BS425" s="165"/>
      <c r="BT425" s="167"/>
      <c r="BU425" s="45"/>
      <c r="BV425" s="53"/>
      <c r="BW425" s="54"/>
      <c r="BX425" s="54"/>
      <c r="BY425" s="200"/>
      <c r="BZ425" s="199"/>
      <c r="CA425" s="201"/>
      <c r="CB425" s="202"/>
      <c r="CC425" s="200"/>
      <c r="CD425" s="199"/>
      <c r="CE425" s="201"/>
      <c r="CF425" s="201"/>
      <c r="CG425" s="106"/>
      <c r="CH425" s="165"/>
      <c r="CI425" s="167"/>
    </row>
    <row r="426" spans="1:87" x14ac:dyDescent="0.3">
      <c r="A426" s="10">
        <v>7002</v>
      </c>
      <c r="B426" s="11" t="s">
        <v>549</v>
      </c>
      <c r="C426" s="471">
        <v>1084</v>
      </c>
      <c r="D426" s="54">
        <v>712</v>
      </c>
      <c r="E426" s="367">
        <f t="shared" si="7"/>
        <v>0.65682656826568264</v>
      </c>
      <c r="F426" s="45"/>
      <c r="G426" s="45"/>
      <c r="H426" s="45"/>
      <c r="I426" s="45"/>
      <c r="J426" s="46"/>
      <c r="K426" s="45"/>
      <c r="L426" s="107"/>
      <c r="M426" s="541"/>
      <c r="N426" s="45"/>
      <c r="O426" s="45"/>
      <c r="P426" s="53"/>
      <c r="Q426" s="57"/>
      <c r="R426" s="57"/>
      <c r="S426" s="74"/>
      <c r="T426" s="45"/>
      <c r="U426" s="45"/>
      <c r="V426" s="73"/>
      <c r="W426" s="169"/>
      <c r="X426" s="173"/>
      <c r="Y426" s="190"/>
      <c r="Z426" s="167"/>
      <c r="AA426" s="199"/>
      <c r="AB426" s="203"/>
      <c r="AC426" s="169"/>
      <c r="AD426" s="165"/>
      <c r="AE426" s="165"/>
      <c r="AF426" s="167"/>
      <c r="AG426" s="106"/>
      <c r="AH426" s="199"/>
      <c r="AI426" s="200"/>
      <c r="AJ426" s="165"/>
      <c r="AK426" s="173"/>
      <c r="AL426" s="167"/>
      <c r="AM426" s="45">
        <v>296</v>
      </c>
      <c r="AN426" s="54">
        <v>194</v>
      </c>
      <c r="AO426" s="54">
        <v>321</v>
      </c>
      <c r="AP426" s="73">
        <v>308</v>
      </c>
      <c r="AQ426" s="165"/>
      <c r="AR426" s="168"/>
      <c r="AS426" s="165"/>
      <c r="AT426" s="190"/>
      <c r="AU426" s="167"/>
      <c r="AV426" s="199"/>
      <c r="AW426" s="201"/>
      <c r="AX426" s="201"/>
      <c r="AY426" s="202"/>
      <c r="AZ426" s="200"/>
      <c r="BA426" s="199"/>
      <c r="BB426" s="199"/>
      <c r="BC426" s="106"/>
      <c r="BD426" s="165"/>
      <c r="BE426" s="165"/>
      <c r="BF426" s="173"/>
      <c r="BG426" s="304"/>
      <c r="BH426" s="601"/>
      <c r="BI426" s="45"/>
      <c r="BJ426" s="46"/>
      <c r="BK426" s="45"/>
      <c r="BL426" s="53"/>
      <c r="BM426" s="200"/>
      <c r="BN426" s="165"/>
      <c r="BO426" s="173"/>
      <c r="BP426" s="190"/>
      <c r="BQ426" s="173"/>
      <c r="BR426" s="168"/>
      <c r="BS426" s="165"/>
      <c r="BT426" s="167"/>
      <c r="BU426" s="45"/>
      <c r="BV426" s="53"/>
      <c r="BW426" s="54"/>
      <c r="BX426" s="54"/>
      <c r="BY426" s="200"/>
      <c r="BZ426" s="199"/>
      <c r="CA426" s="201"/>
      <c r="CB426" s="202"/>
      <c r="CC426" s="200"/>
      <c r="CD426" s="199"/>
      <c r="CE426" s="201"/>
      <c r="CF426" s="201"/>
      <c r="CG426" s="106"/>
      <c r="CH426" s="165"/>
      <c r="CI426" s="167"/>
    </row>
    <row r="427" spans="1:87" x14ac:dyDescent="0.3">
      <c r="A427" s="10">
        <v>7101</v>
      </c>
      <c r="B427" s="11" t="s">
        <v>550</v>
      </c>
      <c r="C427" s="471">
        <v>1431</v>
      </c>
      <c r="D427" s="54">
        <v>634</v>
      </c>
      <c r="E427" s="367">
        <f t="shared" si="7"/>
        <v>0.44304682040531096</v>
      </c>
      <c r="F427" s="45">
        <v>329</v>
      </c>
      <c r="G427" s="45">
        <v>147</v>
      </c>
      <c r="H427" s="45">
        <v>206</v>
      </c>
      <c r="I427" s="45">
        <v>350</v>
      </c>
      <c r="J427" s="46">
        <v>95</v>
      </c>
      <c r="K427" s="45"/>
      <c r="L427" s="107"/>
      <c r="M427" s="541"/>
      <c r="N427" s="45"/>
      <c r="O427" s="45"/>
      <c r="P427" s="53"/>
      <c r="Q427" s="57"/>
      <c r="R427" s="57"/>
      <c r="S427" s="74"/>
      <c r="T427" s="45"/>
      <c r="U427" s="45"/>
      <c r="V427" s="73"/>
      <c r="W427" s="169"/>
      <c r="X427" s="173"/>
      <c r="Y427" s="190"/>
      <c r="Z427" s="167"/>
      <c r="AA427" s="199"/>
      <c r="AB427" s="203"/>
      <c r="AC427" s="169"/>
      <c r="AD427" s="165"/>
      <c r="AE427" s="165"/>
      <c r="AF427" s="167"/>
      <c r="AG427" s="106"/>
      <c r="AH427" s="199"/>
      <c r="AI427" s="200"/>
      <c r="AJ427" s="165"/>
      <c r="AK427" s="173"/>
      <c r="AL427" s="167"/>
      <c r="AM427" s="199"/>
      <c r="AN427" s="201"/>
      <c r="AO427" s="201"/>
      <c r="AP427" s="106"/>
      <c r="AQ427" s="165"/>
      <c r="AR427" s="168"/>
      <c r="AS427" s="165"/>
      <c r="AT427" s="190"/>
      <c r="AU427" s="167"/>
      <c r="AV427" s="199"/>
      <c r="AW427" s="201"/>
      <c r="AX427" s="201"/>
      <c r="AY427" s="202"/>
      <c r="AZ427" s="200"/>
      <c r="BA427" s="199"/>
      <c r="BB427" s="199"/>
      <c r="BC427" s="106"/>
      <c r="BD427" s="165"/>
      <c r="BE427" s="165"/>
      <c r="BF427" s="173"/>
      <c r="BG427" s="304"/>
      <c r="BH427" s="601"/>
      <c r="BI427" s="45"/>
      <c r="BJ427" s="46"/>
      <c r="BK427" s="45"/>
      <c r="BL427" s="53"/>
      <c r="BM427" s="200"/>
      <c r="BN427" s="165"/>
      <c r="BO427" s="173"/>
      <c r="BP427" s="190"/>
      <c r="BQ427" s="173"/>
      <c r="BR427" s="168"/>
      <c r="BS427" s="165"/>
      <c r="BT427" s="167"/>
      <c r="BU427" s="45"/>
      <c r="BV427" s="53"/>
      <c r="BW427" s="54"/>
      <c r="BX427" s="54"/>
      <c r="BY427" s="200"/>
      <c r="BZ427" s="199"/>
      <c r="CA427" s="201"/>
      <c r="CB427" s="202"/>
      <c r="CC427" s="200"/>
      <c r="CD427" s="199"/>
      <c r="CE427" s="201"/>
      <c r="CF427" s="201"/>
      <c r="CG427" s="106"/>
      <c r="CH427" s="165"/>
      <c r="CI427" s="167"/>
    </row>
    <row r="428" spans="1:87" x14ac:dyDescent="0.3">
      <c r="A428" s="10">
        <v>7102</v>
      </c>
      <c r="B428" s="11" t="s">
        <v>551</v>
      </c>
      <c r="C428" s="471">
        <v>1246</v>
      </c>
      <c r="D428" s="54">
        <v>525</v>
      </c>
      <c r="E428" s="367">
        <f t="shared" si="7"/>
        <v>0.42134831460674155</v>
      </c>
      <c r="F428" s="45">
        <v>295</v>
      </c>
      <c r="G428" s="45">
        <v>135</v>
      </c>
      <c r="H428" s="45">
        <v>120</v>
      </c>
      <c r="I428" s="45">
        <v>309</v>
      </c>
      <c r="J428" s="46">
        <v>72</v>
      </c>
      <c r="K428" s="45"/>
      <c r="L428" s="107"/>
      <c r="M428" s="541"/>
      <c r="N428" s="45"/>
      <c r="O428" s="45"/>
      <c r="P428" s="53"/>
      <c r="Q428" s="57"/>
      <c r="R428" s="57"/>
      <c r="S428" s="74"/>
      <c r="T428" s="45"/>
      <c r="U428" s="45"/>
      <c r="V428" s="73"/>
      <c r="W428" s="169"/>
      <c r="X428" s="173"/>
      <c r="Y428" s="190"/>
      <c r="Z428" s="167"/>
      <c r="AA428" s="199"/>
      <c r="AB428" s="203"/>
      <c r="AC428" s="169"/>
      <c r="AD428" s="165"/>
      <c r="AE428" s="165"/>
      <c r="AF428" s="167"/>
      <c r="AG428" s="106"/>
      <c r="AH428" s="199"/>
      <c r="AI428" s="200"/>
      <c r="AJ428" s="165"/>
      <c r="AK428" s="173"/>
      <c r="AL428" s="167"/>
      <c r="AM428" s="199"/>
      <c r="AN428" s="201"/>
      <c r="AO428" s="201"/>
      <c r="AP428" s="106"/>
      <c r="AQ428" s="165"/>
      <c r="AR428" s="168"/>
      <c r="AS428" s="165"/>
      <c r="AT428" s="190"/>
      <c r="AU428" s="167"/>
      <c r="AV428" s="199"/>
      <c r="AW428" s="201"/>
      <c r="AX428" s="201"/>
      <c r="AY428" s="202"/>
      <c r="AZ428" s="200"/>
      <c r="BA428" s="199"/>
      <c r="BB428" s="199"/>
      <c r="BC428" s="106"/>
      <c r="BD428" s="165"/>
      <c r="BE428" s="165"/>
      <c r="BF428" s="173"/>
      <c r="BG428" s="304"/>
      <c r="BH428" s="601"/>
      <c r="BI428" s="45"/>
      <c r="BJ428" s="46"/>
      <c r="BK428" s="45"/>
      <c r="BL428" s="53"/>
      <c r="BM428" s="200"/>
      <c r="BN428" s="165"/>
      <c r="BO428" s="173"/>
      <c r="BP428" s="190"/>
      <c r="BQ428" s="173"/>
      <c r="BR428" s="168"/>
      <c r="BS428" s="165"/>
      <c r="BT428" s="167"/>
      <c r="BU428" s="45"/>
      <c r="BV428" s="53"/>
      <c r="BW428" s="54"/>
      <c r="BX428" s="54"/>
      <c r="BY428" s="200"/>
      <c r="BZ428" s="199"/>
      <c r="CA428" s="201"/>
      <c r="CB428" s="202"/>
      <c r="CC428" s="200"/>
      <c r="CD428" s="199"/>
      <c r="CE428" s="201"/>
      <c r="CF428" s="201"/>
      <c r="CG428" s="106"/>
      <c r="CH428" s="165"/>
      <c r="CI428" s="167"/>
    </row>
    <row r="429" spans="1:87" x14ac:dyDescent="0.3">
      <c r="A429" s="10">
        <v>7301</v>
      </c>
      <c r="B429" s="11" t="s">
        <v>552</v>
      </c>
      <c r="C429" s="471">
        <v>1173</v>
      </c>
      <c r="D429" s="54">
        <v>639</v>
      </c>
      <c r="E429" s="367">
        <f t="shared" si="7"/>
        <v>0.54475703324808189</v>
      </c>
      <c r="F429" s="45"/>
      <c r="G429" s="45"/>
      <c r="H429" s="45"/>
      <c r="I429" s="45"/>
      <c r="J429" s="46"/>
      <c r="K429" s="45"/>
      <c r="L429" s="107"/>
      <c r="M429" s="541"/>
      <c r="N429" s="45"/>
      <c r="O429" s="45"/>
      <c r="P429" s="53"/>
      <c r="Q429" s="57"/>
      <c r="R429" s="57"/>
      <c r="S429" s="74"/>
      <c r="T429" s="45"/>
      <c r="U429" s="45"/>
      <c r="V429" s="73"/>
      <c r="W429" s="169"/>
      <c r="X429" s="173"/>
      <c r="Y429" s="190"/>
      <c r="Z429" s="167"/>
      <c r="AA429" s="45"/>
      <c r="AB429" s="57"/>
      <c r="AC429" s="169"/>
      <c r="AD429" s="165"/>
      <c r="AE429" s="165"/>
      <c r="AF429" s="167"/>
      <c r="AG429" s="73"/>
      <c r="AH429" s="45"/>
      <c r="AI429" s="46"/>
      <c r="AJ429" s="165"/>
      <c r="AK429" s="173"/>
      <c r="AL429" s="167"/>
      <c r="AM429" s="199"/>
      <c r="AN429" s="201"/>
      <c r="AO429" s="201"/>
      <c r="AP429" s="106"/>
      <c r="AQ429" s="165"/>
      <c r="AR429" s="168"/>
      <c r="AS429" s="165"/>
      <c r="AT429" s="190"/>
      <c r="AU429" s="167"/>
      <c r="AV429" s="199"/>
      <c r="AW429" s="201"/>
      <c r="AX429" s="201"/>
      <c r="AY429" s="202"/>
      <c r="AZ429" s="200"/>
      <c r="BA429" s="199"/>
      <c r="BB429" s="199"/>
      <c r="BC429" s="106"/>
      <c r="BD429" s="165"/>
      <c r="BE429" s="165"/>
      <c r="BF429" s="173"/>
      <c r="BG429" s="304"/>
      <c r="BH429" s="601"/>
      <c r="BI429" s="45">
        <v>301</v>
      </c>
      <c r="BJ429" s="46">
        <v>300</v>
      </c>
      <c r="BK429" s="45"/>
      <c r="BL429" s="53"/>
      <c r="BM429" s="200"/>
      <c r="BN429" s="165"/>
      <c r="BO429" s="173"/>
      <c r="BP429" s="190"/>
      <c r="BQ429" s="173"/>
      <c r="BR429" s="168"/>
      <c r="BS429" s="165"/>
      <c r="BT429" s="167"/>
      <c r="BU429" s="45"/>
      <c r="BV429" s="53"/>
      <c r="BW429" s="54"/>
      <c r="BX429" s="54"/>
      <c r="BY429" s="200"/>
      <c r="BZ429" s="45">
        <v>170</v>
      </c>
      <c r="CA429" s="54">
        <v>373</v>
      </c>
      <c r="CB429" s="53">
        <v>122</v>
      </c>
      <c r="CC429" s="46">
        <v>254</v>
      </c>
      <c r="CD429" s="45"/>
      <c r="CE429" s="54"/>
      <c r="CF429" s="54"/>
      <c r="CG429" s="73"/>
      <c r="CH429" s="165"/>
      <c r="CI429" s="167"/>
    </row>
    <row r="430" spans="1:87" x14ac:dyDescent="0.3">
      <c r="A430" s="10">
        <v>7302</v>
      </c>
      <c r="B430" s="11" t="s">
        <v>553</v>
      </c>
      <c r="C430" s="471">
        <v>1206</v>
      </c>
      <c r="D430" s="54">
        <v>684</v>
      </c>
      <c r="E430" s="367">
        <f t="shared" si="7"/>
        <v>0.56716417910447758</v>
      </c>
      <c r="F430" s="45">
        <v>263</v>
      </c>
      <c r="G430" s="45">
        <v>146</v>
      </c>
      <c r="H430" s="45">
        <v>227</v>
      </c>
      <c r="I430" s="45">
        <v>210</v>
      </c>
      <c r="J430" s="46">
        <v>144</v>
      </c>
      <c r="K430" s="45"/>
      <c r="L430" s="107"/>
      <c r="M430" s="541"/>
      <c r="N430" s="45"/>
      <c r="O430" s="45"/>
      <c r="P430" s="53"/>
      <c r="Q430" s="57"/>
      <c r="R430" s="57"/>
      <c r="S430" s="74"/>
      <c r="T430" s="45"/>
      <c r="U430" s="45"/>
      <c r="V430" s="73"/>
      <c r="W430" s="169"/>
      <c r="X430" s="173"/>
      <c r="Y430" s="190"/>
      <c r="Z430" s="167"/>
      <c r="AA430" s="45"/>
      <c r="AB430" s="57"/>
      <c r="AC430" s="169"/>
      <c r="AD430" s="165"/>
      <c r="AE430" s="165"/>
      <c r="AF430" s="167"/>
      <c r="AG430" s="73"/>
      <c r="AH430" s="45"/>
      <c r="AI430" s="46"/>
      <c r="AJ430" s="165"/>
      <c r="AK430" s="173"/>
      <c r="AL430" s="167"/>
      <c r="AM430" s="199"/>
      <c r="AN430" s="201"/>
      <c r="AO430" s="201"/>
      <c r="AP430" s="106"/>
      <c r="AQ430" s="165"/>
      <c r="AR430" s="168"/>
      <c r="AS430" s="165"/>
      <c r="AT430" s="190"/>
      <c r="AU430" s="167"/>
      <c r="AV430" s="199"/>
      <c r="AW430" s="201"/>
      <c r="AX430" s="201"/>
      <c r="AY430" s="202"/>
      <c r="AZ430" s="200"/>
      <c r="BA430" s="199"/>
      <c r="BB430" s="199"/>
      <c r="BC430" s="106"/>
      <c r="BD430" s="165"/>
      <c r="BE430" s="165"/>
      <c r="BF430" s="173"/>
      <c r="BG430" s="304"/>
      <c r="BH430" s="601"/>
      <c r="BI430" s="45">
        <v>58</v>
      </c>
      <c r="BJ430" s="46">
        <v>53</v>
      </c>
      <c r="BK430" s="45"/>
      <c r="BL430" s="53"/>
      <c r="BM430" s="200"/>
      <c r="BN430" s="165"/>
      <c r="BO430" s="173"/>
      <c r="BP430" s="190"/>
      <c r="BQ430" s="173"/>
      <c r="BR430" s="168"/>
      <c r="BS430" s="165"/>
      <c r="BT430" s="167"/>
      <c r="BU430" s="45">
        <v>29</v>
      </c>
      <c r="BV430" s="53">
        <v>38</v>
      </c>
      <c r="BW430" s="54">
        <v>29</v>
      </c>
      <c r="BX430" s="54">
        <v>31</v>
      </c>
      <c r="BY430" s="46">
        <v>18</v>
      </c>
      <c r="BZ430" s="45"/>
      <c r="CA430" s="54"/>
      <c r="CB430" s="53"/>
      <c r="CC430" s="46"/>
      <c r="CD430" s="45"/>
      <c r="CE430" s="54"/>
      <c r="CF430" s="54"/>
      <c r="CG430" s="73"/>
      <c r="CH430" s="165"/>
      <c r="CI430" s="167"/>
    </row>
    <row r="431" spans="1:87" x14ac:dyDescent="0.3">
      <c r="A431" s="10">
        <v>7303</v>
      </c>
      <c r="B431" s="11" t="s">
        <v>554</v>
      </c>
      <c r="C431" s="471">
        <v>945</v>
      </c>
      <c r="D431" s="54">
        <v>487</v>
      </c>
      <c r="E431" s="367">
        <f t="shared" si="7"/>
        <v>0.51534391534391533</v>
      </c>
      <c r="F431" s="45">
        <v>18</v>
      </c>
      <c r="G431" s="45">
        <v>6</v>
      </c>
      <c r="H431" s="45">
        <v>10</v>
      </c>
      <c r="I431" s="45">
        <v>16</v>
      </c>
      <c r="J431" s="46">
        <v>2</v>
      </c>
      <c r="K431" s="45"/>
      <c r="L431" s="107"/>
      <c r="M431" s="541"/>
      <c r="N431" s="45"/>
      <c r="O431" s="45"/>
      <c r="P431" s="53"/>
      <c r="Q431" s="57"/>
      <c r="R431" s="57"/>
      <c r="S431" s="74"/>
      <c r="T431" s="45"/>
      <c r="U431" s="45"/>
      <c r="V431" s="73"/>
      <c r="W431" s="169"/>
      <c r="X431" s="173"/>
      <c r="Y431" s="190"/>
      <c r="Z431" s="167"/>
      <c r="AA431" s="45"/>
      <c r="AB431" s="57"/>
      <c r="AC431" s="169"/>
      <c r="AD431" s="165"/>
      <c r="AE431" s="165"/>
      <c r="AF431" s="167"/>
      <c r="AG431" s="73"/>
      <c r="AH431" s="45"/>
      <c r="AI431" s="46"/>
      <c r="AJ431" s="165"/>
      <c r="AK431" s="173"/>
      <c r="AL431" s="167"/>
      <c r="AM431" s="199"/>
      <c r="AN431" s="201"/>
      <c r="AO431" s="201"/>
      <c r="AP431" s="106"/>
      <c r="AQ431" s="165"/>
      <c r="AR431" s="168"/>
      <c r="AS431" s="165"/>
      <c r="AT431" s="190"/>
      <c r="AU431" s="167"/>
      <c r="AV431" s="199"/>
      <c r="AW431" s="201"/>
      <c r="AX431" s="201"/>
      <c r="AY431" s="202"/>
      <c r="AZ431" s="200"/>
      <c r="BA431" s="199"/>
      <c r="BB431" s="199"/>
      <c r="BC431" s="106"/>
      <c r="BD431" s="165"/>
      <c r="BE431" s="165"/>
      <c r="BF431" s="173"/>
      <c r="BG431" s="304"/>
      <c r="BH431" s="601"/>
      <c r="BI431" s="45">
        <v>196</v>
      </c>
      <c r="BJ431" s="46">
        <v>181</v>
      </c>
      <c r="BK431" s="45"/>
      <c r="BL431" s="53"/>
      <c r="BM431" s="200"/>
      <c r="BN431" s="165"/>
      <c r="BO431" s="173"/>
      <c r="BP431" s="190"/>
      <c r="BQ431" s="173"/>
      <c r="BR431" s="168"/>
      <c r="BS431" s="165"/>
      <c r="BT431" s="167"/>
      <c r="BU431" s="45">
        <v>96</v>
      </c>
      <c r="BV431" s="53">
        <v>165</v>
      </c>
      <c r="BW431" s="54">
        <v>132</v>
      </c>
      <c r="BX431" s="54">
        <v>129</v>
      </c>
      <c r="BY431" s="46">
        <v>82</v>
      </c>
      <c r="BZ431" s="45"/>
      <c r="CA431" s="54"/>
      <c r="CB431" s="53"/>
      <c r="CC431" s="46"/>
      <c r="CD431" s="45"/>
      <c r="CE431" s="54"/>
      <c r="CF431" s="54"/>
      <c r="CG431" s="73"/>
      <c r="CH431" s="165"/>
      <c r="CI431" s="167"/>
    </row>
    <row r="432" spans="1:87" x14ac:dyDescent="0.3">
      <c r="A432" s="10">
        <v>7304</v>
      </c>
      <c r="B432" s="11" t="s">
        <v>555</v>
      </c>
      <c r="C432" s="471">
        <v>1259</v>
      </c>
      <c r="D432" s="54">
        <v>693</v>
      </c>
      <c r="E432" s="367">
        <f t="shared" si="7"/>
        <v>0.5504368546465449</v>
      </c>
      <c r="F432" s="45"/>
      <c r="G432" s="45"/>
      <c r="H432" s="45"/>
      <c r="I432" s="45"/>
      <c r="J432" s="46"/>
      <c r="K432" s="45"/>
      <c r="L432" s="107"/>
      <c r="M432" s="541"/>
      <c r="N432" s="45"/>
      <c r="O432" s="45"/>
      <c r="P432" s="53"/>
      <c r="Q432" s="57"/>
      <c r="R432" s="57"/>
      <c r="S432" s="74"/>
      <c r="T432" s="45"/>
      <c r="U432" s="45"/>
      <c r="V432" s="73"/>
      <c r="W432" s="169"/>
      <c r="X432" s="173"/>
      <c r="Y432" s="190"/>
      <c r="Z432" s="167"/>
      <c r="AA432" s="45"/>
      <c r="AB432" s="57"/>
      <c r="AC432" s="169"/>
      <c r="AD432" s="165"/>
      <c r="AE432" s="165"/>
      <c r="AF432" s="167"/>
      <c r="AG432" s="73"/>
      <c r="AH432" s="45"/>
      <c r="AI432" s="46"/>
      <c r="AJ432" s="165"/>
      <c r="AK432" s="173"/>
      <c r="AL432" s="167"/>
      <c r="AM432" s="199"/>
      <c r="AN432" s="201"/>
      <c r="AO432" s="201"/>
      <c r="AP432" s="106"/>
      <c r="AQ432" s="165"/>
      <c r="AR432" s="168"/>
      <c r="AS432" s="165"/>
      <c r="AT432" s="190"/>
      <c r="AU432" s="167"/>
      <c r="AV432" s="199"/>
      <c r="AW432" s="201"/>
      <c r="AX432" s="201"/>
      <c r="AY432" s="202"/>
      <c r="AZ432" s="200"/>
      <c r="BA432" s="199"/>
      <c r="BB432" s="199"/>
      <c r="BC432" s="106"/>
      <c r="BD432" s="165"/>
      <c r="BE432" s="165"/>
      <c r="BF432" s="173"/>
      <c r="BG432" s="304"/>
      <c r="BH432" s="601"/>
      <c r="BI432" s="45">
        <v>311</v>
      </c>
      <c r="BJ432" s="46">
        <v>324</v>
      </c>
      <c r="BK432" s="45"/>
      <c r="BL432" s="53"/>
      <c r="BM432" s="200"/>
      <c r="BN432" s="165"/>
      <c r="BO432" s="173"/>
      <c r="BP432" s="190"/>
      <c r="BQ432" s="173"/>
      <c r="BR432" s="168"/>
      <c r="BS432" s="165"/>
      <c r="BT432" s="167"/>
      <c r="BU432" s="199"/>
      <c r="BV432" s="202"/>
      <c r="BW432" s="201"/>
      <c r="BX432" s="201"/>
      <c r="BY432" s="200"/>
      <c r="BZ432" s="45">
        <v>176</v>
      </c>
      <c r="CA432" s="54">
        <v>395</v>
      </c>
      <c r="CB432" s="53">
        <v>141</v>
      </c>
      <c r="CC432" s="46">
        <v>291</v>
      </c>
      <c r="CD432" s="45"/>
      <c r="CE432" s="54"/>
      <c r="CF432" s="54"/>
      <c r="CG432" s="73"/>
      <c r="CH432" s="165"/>
      <c r="CI432" s="167"/>
    </row>
    <row r="433" spans="1:87" x14ac:dyDescent="0.3">
      <c r="A433" s="10">
        <v>7305</v>
      </c>
      <c r="B433" s="11" t="s">
        <v>556</v>
      </c>
      <c r="C433" s="471">
        <v>1262</v>
      </c>
      <c r="D433" s="54">
        <v>808</v>
      </c>
      <c r="E433" s="367">
        <f t="shared" si="7"/>
        <v>0.64025356576862125</v>
      </c>
      <c r="F433" s="45">
        <v>95</v>
      </c>
      <c r="G433" s="45">
        <v>43</v>
      </c>
      <c r="H433" s="45">
        <v>73</v>
      </c>
      <c r="I433" s="45">
        <v>58</v>
      </c>
      <c r="J433" s="46">
        <v>113</v>
      </c>
      <c r="K433" s="45"/>
      <c r="L433" s="107"/>
      <c r="M433" s="541"/>
      <c r="N433" s="45"/>
      <c r="O433" s="45"/>
      <c r="P433" s="53"/>
      <c r="Q433" s="57"/>
      <c r="R433" s="57"/>
      <c r="S433" s="74"/>
      <c r="T433" s="45"/>
      <c r="U433" s="45"/>
      <c r="V433" s="73"/>
      <c r="W433" s="169"/>
      <c r="X433" s="173"/>
      <c r="Y433" s="190"/>
      <c r="Z433" s="167"/>
      <c r="AA433" s="45"/>
      <c r="AB433" s="57"/>
      <c r="AC433" s="169"/>
      <c r="AD433" s="165"/>
      <c r="AE433" s="165"/>
      <c r="AF433" s="167"/>
      <c r="AG433" s="73"/>
      <c r="AH433" s="45"/>
      <c r="AI433" s="46"/>
      <c r="AJ433" s="165"/>
      <c r="AK433" s="173"/>
      <c r="AL433" s="167"/>
      <c r="AM433" s="199"/>
      <c r="AN433" s="201"/>
      <c r="AO433" s="201"/>
      <c r="AP433" s="106"/>
      <c r="AQ433" s="165"/>
      <c r="AR433" s="168"/>
      <c r="AS433" s="165"/>
      <c r="AT433" s="190"/>
      <c r="AU433" s="167"/>
      <c r="AV433" s="199"/>
      <c r="AW433" s="201"/>
      <c r="AX433" s="201"/>
      <c r="AY433" s="202"/>
      <c r="AZ433" s="200"/>
      <c r="BA433" s="199"/>
      <c r="BB433" s="199"/>
      <c r="BC433" s="106"/>
      <c r="BD433" s="165"/>
      <c r="BE433" s="165"/>
      <c r="BF433" s="173"/>
      <c r="BG433" s="304"/>
      <c r="BH433" s="601"/>
      <c r="BI433" s="45">
        <v>243</v>
      </c>
      <c r="BJ433" s="46">
        <v>241</v>
      </c>
      <c r="BK433" s="45"/>
      <c r="BL433" s="53"/>
      <c r="BM433" s="200"/>
      <c r="BN433" s="165"/>
      <c r="BO433" s="173"/>
      <c r="BP433" s="190"/>
      <c r="BQ433" s="173"/>
      <c r="BR433" s="168"/>
      <c r="BS433" s="165"/>
      <c r="BT433" s="167"/>
      <c r="BU433" s="199"/>
      <c r="BV433" s="202"/>
      <c r="BW433" s="201"/>
      <c r="BX433" s="201"/>
      <c r="BY433" s="200"/>
      <c r="BZ433" s="45">
        <v>183</v>
      </c>
      <c r="CA433" s="54">
        <v>347</v>
      </c>
      <c r="CB433" s="53">
        <v>97</v>
      </c>
      <c r="CC433" s="46">
        <v>265</v>
      </c>
      <c r="CD433" s="45"/>
      <c r="CE433" s="54"/>
      <c r="CF433" s="54"/>
      <c r="CG433" s="73"/>
      <c r="CH433" s="165"/>
      <c r="CI433" s="167"/>
    </row>
    <row r="434" spans="1:87" x14ac:dyDescent="0.3">
      <c r="A434" s="10">
        <v>7306</v>
      </c>
      <c r="B434" s="11" t="s">
        <v>557</v>
      </c>
      <c r="C434" s="471">
        <v>1121</v>
      </c>
      <c r="D434" s="54">
        <v>587</v>
      </c>
      <c r="E434" s="367">
        <f t="shared" si="7"/>
        <v>0.52363960749330951</v>
      </c>
      <c r="F434" s="45"/>
      <c r="G434" s="45"/>
      <c r="H434" s="45"/>
      <c r="I434" s="45"/>
      <c r="J434" s="46"/>
      <c r="K434" s="45"/>
      <c r="L434" s="107"/>
      <c r="M434" s="541"/>
      <c r="N434" s="45"/>
      <c r="O434" s="45"/>
      <c r="P434" s="53"/>
      <c r="Q434" s="57"/>
      <c r="R434" s="57"/>
      <c r="S434" s="74"/>
      <c r="T434" s="45"/>
      <c r="U434" s="45"/>
      <c r="V434" s="73"/>
      <c r="W434" s="169"/>
      <c r="X434" s="173"/>
      <c r="Y434" s="190"/>
      <c r="Z434" s="167"/>
      <c r="AA434" s="45"/>
      <c r="AB434" s="57"/>
      <c r="AC434" s="169"/>
      <c r="AD434" s="165"/>
      <c r="AE434" s="165"/>
      <c r="AF434" s="167"/>
      <c r="AG434" s="73"/>
      <c r="AH434" s="45"/>
      <c r="AI434" s="46"/>
      <c r="AJ434" s="165"/>
      <c r="AK434" s="173"/>
      <c r="AL434" s="167"/>
      <c r="AM434" s="199"/>
      <c r="AN434" s="201"/>
      <c r="AO434" s="201"/>
      <c r="AP434" s="106"/>
      <c r="AQ434" s="165"/>
      <c r="AR434" s="168"/>
      <c r="AS434" s="165"/>
      <c r="AT434" s="190"/>
      <c r="AU434" s="167"/>
      <c r="AV434" s="199"/>
      <c r="AW434" s="201"/>
      <c r="AX434" s="201"/>
      <c r="AY434" s="202"/>
      <c r="AZ434" s="200"/>
      <c r="BA434" s="199"/>
      <c r="BB434" s="199"/>
      <c r="BC434" s="106"/>
      <c r="BD434" s="165"/>
      <c r="BE434" s="165"/>
      <c r="BF434" s="173"/>
      <c r="BG434" s="304"/>
      <c r="BH434" s="601"/>
      <c r="BI434" s="45">
        <v>249</v>
      </c>
      <c r="BJ434" s="46">
        <v>241</v>
      </c>
      <c r="BK434" s="45"/>
      <c r="BL434" s="53"/>
      <c r="BM434" s="200"/>
      <c r="BN434" s="165"/>
      <c r="BO434" s="173"/>
      <c r="BP434" s="190"/>
      <c r="BQ434" s="173"/>
      <c r="BR434" s="168"/>
      <c r="BS434" s="165"/>
      <c r="BT434" s="167"/>
      <c r="BU434" s="199"/>
      <c r="BV434" s="202"/>
      <c r="BW434" s="201"/>
      <c r="BX434" s="201"/>
      <c r="BY434" s="200"/>
      <c r="BZ434" s="45">
        <v>168</v>
      </c>
      <c r="CA434" s="54">
        <v>365</v>
      </c>
      <c r="CB434" s="53">
        <v>112</v>
      </c>
      <c r="CC434" s="46">
        <v>250</v>
      </c>
      <c r="CD434" s="45"/>
      <c r="CE434" s="54"/>
      <c r="CF434" s="54"/>
      <c r="CG434" s="73"/>
      <c r="CH434" s="165"/>
      <c r="CI434" s="167"/>
    </row>
    <row r="435" spans="1:87" x14ac:dyDescent="0.3">
      <c r="A435" s="10">
        <v>7307</v>
      </c>
      <c r="B435" s="11" t="s">
        <v>558</v>
      </c>
      <c r="C435" s="471">
        <v>822</v>
      </c>
      <c r="D435" s="54">
        <v>534</v>
      </c>
      <c r="E435" s="367">
        <f t="shared" si="7"/>
        <v>0.64963503649635035</v>
      </c>
      <c r="F435" s="45"/>
      <c r="G435" s="45"/>
      <c r="H435" s="45"/>
      <c r="I435" s="45"/>
      <c r="J435" s="46"/>
      <c r="K435" s="45"/>
      <c r="L435" s="107"/>
      <c r="M435" s="541"/>
      <c r="N435" s="45"/>
      <c r="O435" s="45"/>
      <c r="P435" s="53"/>
      <c r="Q435" s="57"/>
      <c r="R435" s="57"/>
      <c r="S435" s="74"/>
      <c r="T435" s="45"/>
      <c r="U435" s="45"/>
      <c r="V435" s="73"/>
      <c r="W435" s="169"/>
      <c r="X435" s="173"/>
      <c r="Y435" s="190"/>
      <c r="Z435" s="167"/>
      <c r="AA435" s="45"/>
      <c r="AB435" s="57"/>
      <c r="AC435" s="169"/>
      <c r="AD435" s="165"/>
      <c r="AE435" s="165"/>
      <c r="AF435" s="167"/>
      <c r="AG435" s="73"/>
      <c r="AH435" s="45"/>
      <c r="AI435" s="46"/>
      <c r="AJ435" s="165"/>
      <c r="AK435" s="173"/>
      <c r="AL435" s="167"/>
      <c r="AM435" s="45"/>
      <c r="AN435" s="54"/>
      <c r="AO435" s="54"/>
      <c r="AP435" s="73"/>
      <c r="AQ435" s="165"/>
      <c r="AR435" s="168"/>
      <c r="AS435" s="165"/>
      <c r="AT435" s="190"/>
      <c r="AU435" s="167"/>
      <c r="AV435" s="199"/>
      <c r="AW435" s="201"/>
      <c r="AX435" s="201"/>
      <c r="AY435" s="202"/>
      <c r="AZ435" s="200"/>
      <c r="BA435" s="199"/>
      <c r="BB435" s="199"/>
      <c r="BC435" s="106"/>
      <c r="BD435" s="165"/>
      <c r="BE435" s="165"/>
      <c r="BF435" s="173"/>
      <c r="BG435" s="304"/>
      <c r="BH435" s="601"/>
      <c r="BI435" s="45">
        <v>242</v>
      </c>
      <c r="BJ435" s="46">
        <v>218</v>
      </c>
      <c r="BK435" s="45"/>
      <c r="BL435" s="53"/>
      <c r="BM435" s="200"/>
      <c r="BN435" s="165"/>
      <c r="BO435" s="173"/>
      <c r="BP435" s="190"/>
      <c r="BQ435" s="173"/>
      <c r="BR435" s="168"/>
      <c r="BS435" s="165"/>
      <c r="BT435" s="167"/>
      <c r="BU435" s="199"/>
      <c r="BV435" s="202"/>
      <c r="BW435" s="201"/>
      <c r="BX435" s="201"/>
      <c r="BY435" s="200"/>
      <c r="BZ435" s="45">
        <v>119</v>
      </c>
      <c r="CA435" s="54">
        <v>357</v>
      </c>
      <c r="CB435" s="53">
        <v>83</v>
      </c>
      <c r="CC435" s="46">
        <v>299</v>
      </c>
      <c r="CD435" s="45"/>
      <c r="CE435" s="54"/>
      <c r="CF435" s="54"/>
      <c r="CG435" s="73"/>
      <c r="CH435" s="165"/>
      <c r="CI435" s="167"/>
    </row>
    <row r="436" spans="1:87" x14ac:dyDescent="0.3">
      <c r="A436" s="10">
        <v>7308</v>
      </c>
      <c r="B436" s="11" t="s">
        <v>559</v>
      </c>
      <c r="C436" s="471">
        <v>829</v>
      </c>
      <c r="D436" s="54">
        <v>429</v>
      </c>
      <c r="E436" s="367">
        <f t="shared" si="7"/>
        <v>0.51749095295536796</v>
      </c>
      <c r="F436" s="45">
        <v>173</v>
      </c>
      <c r="G436" s="45">
        <v>80</v>
      </c>
      <c r="H436" s="45">
        <v>148</v>
      </c>
      <c r="I436" s="45">
        <v>172</v>
      </c>
      <c r="J436" s="46">
        <v>130</v>
      </c>
      <c r="K436" s="45"/>
      <c r="L436" s="107"/>
      <c r="M436" s="541"/>
      <c r="N436" s="45"/>
      <c r="O436" s="45"/>
      <c r="P436" s="53"/>
      <c r="Q436" s="57"/>
      <c r="R436" s="57"/>
      <c r="S436" s="74"/>
      <c r="T436" s="45"/>
      <c r="U436" s="45"/>
      <c r="V436" s="73"/>
      <c r="W436" s="169"/>
      <c r="X436" s="173"/>
      <c r="Y436" s="190"/>
      <c r="Z436" s="167"/>
      <c r="AA436" s="45"/>
      <c r="AB436" s="57"/>
      <c r="AC436" s="169"/>
      <c r="AD436" s="165"/>
      <c r="AE436" s="165"/>
      <c r="AF436" s="167"/>
      <c r="AG436" s="73"/>
      <c r="AH436" s="45"/>
      <c r="AI436" s="46"/>
      <c r="AJ436" s="165"/>
      <c r="AK436" s="173"/>
      <c r="AL436" s="167"/>
      <c r="AM436" s="45"/>
      <c r="AN436" s="54"/>
      <c r="AO436" s="54"/>
      <c r="AP436" s="73"/>
      <c r="AQ436" s="165"/>
      <c r="AR436" s="168"/>
      <c r="AS436" s="165"/>
      <c r="AT436" s="190"/>
      <c r="AU436" s="167"/>
      <c r="AV436" s="199"/>
      <c r="AW436" s="201"/>
      <c r="AX436" s="201"/>
      <c r="AY436" s="202"/>
      <c r="AZ436" s="200"/>
      <c r="BA436" s="199"/>
      <c r="BB436" s="199"/>
      <c r="BC436" s="106"/>
      <c r="BD436" s="165"/>
      <c r="BE436" s="165"/>
      <c r="BF436" s="173"/>
      <c r="BG436" s="304"/>
      <c r="BH436" s="601"/>
      <c r="BI436" s="45"/>
      <c r="BJ436" s="46"/>
      <c r="BK436" s="45"/>
      <c r="BL436" s="53"/>
      <c r="BM436" s="200"/>
      <c r="BN436" s="165"/>
      <c r="BO436" s="173"/>
      <c r="BP436" s="190"/>
      <c r="BQ436" s="173"/>
      <c r="BR436" s="168"/>
      <c r="BS436" s="165"/>
      <c r="BT436" s="167"/>
      <c r="BU436" s="199"/>
      <c r="BV436" s="202"/>
      <c r="BW436" s="201"/>
      <c r="BX436" s="201"/>
      <c r="BY436" s="200"/>
      <c r="BZ436" s="45"/>
      <c r="CA436" s="54"/>
      <c r="CB436" s="53"/>
      <c r="CC436" s="46"/>
      <c r="CD436" s="45"/>
      <c r="CE436" s="54"/>
      <c r="CF436" s="54"/>
      <c r="CG436" s="73"/>
      <c r="CH436" s="165"/>
      <c r="CI436" s="167"/>
    </row>
    <row r="437" spans="1:87" x14ac:dyDescent="0.3">
      <c r="A437" s="10">
        <v>7309</v>
      </c>
      <c r="B437" s="11" t="s">
        <v>560</v>
      </c>
      <c r="C437" s="471">
        <v>1157</v>
      </c>
      <c r="D437" s="54">
        <v>511</v>
      </c>
      <c r="E437" s="367">
        <f t="shared" si="7"/>
        <v>0.44165946413137425</v>
      </c>
      <c r="F437" s="45"/>
      <c r="G437" s="45"/>
      <c r="H437" s="45"/>
      <c r="I437" s="45"/>
      <c r="J437" s="46"/>
      <c r="K437" s="45"/>
      <c r="L437" s="107"/>
      <c r="M437" s="541"/>
      <c r="N437" s="45"/>
      <c r="O437" s="45"/>
      <c r="P437" s="53"/>
      <c r="Q437" s="57"/>
      <c r="R437" s="57"/>
      <c r="S437" s="74"/>
      <c r="T437" s="45"/>
      <c r="U437" s="45"/>
      <c r="V437" s="73"/>
      <c r="W437" s="169"/>
      <c r="X437" s="173"/>
      <c r="Y437" s="190"/>
      <c r="Z437" s="167"/>
      <c r="AA437" s="45"/>
      <c r="AB437" s="57"/>
      <c r="AC437" s="169"/>
      <c r="AD437" s="165"/>
      <c r="AE437" s="165"/>
      <c r="AF437" s="167"/>
      <c r="AG437" s="73"/>
      <c r="AH437" s="45"/>
      <c r="AI437" s="46"/>
      <c r="AJ437" s="165"/>
      <c r="AK437" s="173"/>
      <c r="AL437" s="167"/>
      <c r="AM437" s="45"/>
      <c r="AN437" s="54"/>
      <c r="AO437" s="54"/>
      <c r="AP437" s="73"/>
      <c r="AQ437" s="165"/>
      <c r="AR437" s="168"/>
      <c r="AS437" s="165"/>
      <c r="AT437" s="190"/>
      <c r="AU437" s="167"/>
      <c r="AV437" s="45"/>
      <c r="AW437" s="54"/>
      <c r="AX437" s="54"/>
      <c r="AY437" s="53"/>
      <c r="AZ437" s="46"/>
      <c r="BA437" s="199"/>
      <c r="BB437" s="199"/>
      <c r="BC437" s="106"/>
      <c r="BD437" s="165"/>
      <c r="BE437" s="165"/>
      <c r="BF437" s="173"/>
      <c r="BG437" s="304"/>
      <c r="BH437" s="601"/>
      <c r="BI437" s="45">
        <v>232</v>
      </c>
      <c r="BJ437" s="46">
        <v>254</v>
      </c>
      <c r="BK437" s="45"/>
      <c r="BL437" s="53"/>
      <c r="BM437" s="200"/>
      <c r="BN437" s="165"/>
      <c r="BO437" s="173"/>
      <c r="BP437" s="190"/>
      <c r="BQ437" s="173"/>
      <c r="BR437" s="168"/>
      <c r="BS437" s="165"/>
      <c r="BT437" s="167"/>
      <c r="BU437" s="199"/>
      <c r="BV437" s="202"/>
      <c r="BW437" s="201"/>
      <c r="BX437" s="201"/>
      <c r="BY437" s="200"/>
      <c r="BZ437" s="45">
        <v>165</v>
      </c>
      <c r="CA437" s="54">
        <v>292</v>
      </c>
      <c r="CB437" s="53">
        <v>112</v>
      </c>
      <c r="CC437" s="46">
        <v>168</v>
      </c>
      <c r="CD437" s="45"/>
      <c r="CE437" s="54"/>
      <c r="CF437" s="54"/>
      <c r="CG437" s="73"/>
      <c r="CH437" s="165"/>
      <c r="CI437" s="167"/>
    </row>
    <row r="438" spans="1:87" x14ac:dyDescent="0.3">
      <c r="A438" s="10">
        <v>7310</v>
      </c>
      <c r="B438" s="11" t="s">
        <v>561</v>
      </c>
      <c r="C438" s="471">
        <v>901</v>
      </c>
      <c r="D438" s="54">
        <v>567</v>
      </c>
      <c r="E438" s="367">
        <f t="shared" si="7"/>
        <v>0.62930077691453945</v>
      </c>
      <c r="F438" s="45"/>
      <c r="G438" s="45"/>
      <c r="H438" s="45"/>
      <c r="I438" s="45"/>
      <c r="J438" s="46"/>
      <c r="K438" s="45"/>
      <c r="L438" s="107"/>
      <c r="M438" s="541"/>
      <c r="N438" s="45"/>
      <c r="O438" s="45"/>
      <c r="P438" s="53"/>
      <c r="Q438" s="57"/>
      <c r="R438" s="57"/>
      <c r="S438" s="74"/>
      <c r="T438" s="45"/>
      <c r="U438" s="45"/>
      <c r="V438" s="73"/>
      <c r="W438" s="169"/>
      <c r="X438" s="173"/>
      <c r="Y438" s="190"/>
      <c r="Z438" s="167"/>
      <c r="AA438" s="45"/>
      <c r="AB438" s="57"/>
      <c r="AC438" s="169"/>
      <c r="AD438" s="165"/>
      <c r="AE438" s="165"/>
      <c r="AF438" s="167"/>
      <c r="AG438" s="73"/>
      <c r="AH438" s="45"/>
      <c r="AI438" s="46"/>
      <c r="AJ438" s="165"/>
      <c r="AK438" s="173"/>
      <c r="AL438" s="167"/>
      <c r="AM438" s="45"/>
      <c r="AN438" s="54"/>
      <c r="AO438" s="54"/>
      <c r="AP438" s="73"/>
      <c r="AQ438" s="165"/>
      <c r="AR438" s="168"/>
      <c r="AS438" s="165"/>
      <c r="AT438" s="190"/>
      <c r="AU438" s="167"/>
      <c r="AV438" s="45"/>
      <c r="AW438" s="54"/>
      <c r="AX438" s="54"/>
      <c r="AY438" s="53"/>
      <c r="AZ438" s="46"/>
      <c r="BA438" s="45"/>
      <c r="BB438" s="45"/>
      <c r="BC438" s="73"/>
      <c r="BD438" s="165"/>
      <c r="BE438" s="165"/>
      <c r="BF438" s="173"/>
      <c r="BG438" s="304"/>
      <c r="BH438" s="601"/>
      <c r="BI438" s="45">
        <v>256</v>
      </c>
      <c r="BJ438" s="46">
        <v>253</v>
      </c>
      <c r="BK438" s="45"/>
      <c r="BL438" s="53"/>
      <c r="BM438" s="200"/>
      <c r="BN438" s="165"/>
      <c r="BO438" s="173"/>
      <c r="BP438" s="190"/>
      <c r="BQ438" s="173"/>
      <c r="BR438" s="168"/>
      <c r="BS438" s="165"/>
      <c r="BT438" s="167"/>
      <c r="BU438" s="45">
        <v>148</v>
      </c>
      <c r="BV438" s="53">
        <v>165</v>
      </c>
      <c r="BW438" s="54">
        <v>154</v>
      </c>
      <c r="BX438" s="54">
        <v>211</v>
      </c>
      <c r="BY438" s="46">
        <v>91</v>
      </c>
      <c r="BZ438" s="199"/>
      <c r="CA438" s="201"/>
      <c r="CB438" s="202"/>
      <c r="CC438" s="200"/>
      <c r="CD438" s="199"/>
      <c r="CE438" s="201"/>
      <c r="CF438" s="201"/>
      <c r="CG438" s="106"/>
      <c r="CH438" s="165"/>
      <c r="CI438" s="167"/>
    </row>
    <row r="439" spans="1:87" x14ac:dyDescent="0.3">
      <c r="A439" s="10">
        <v>7311</v>
      </c>
      <c r="B439" s="11" t="s">
        <v>562</v>
      </c>
      <c r="C439" s="471">
        <v>1178</v>
      </c>
      <c r="D439" s="54">
        <v>765</v>
      </c>
      <c r="E439" s="367">
        <f t="shared" si="7"/>
        <v>0.64940577249575548</v>
      </c>
      <c r="F439" s="45"/>
      <c r="G439" s="45"/>
      <c r="H439" s="45"/>
      <c r="I439" s="45"/>
      <c r="J439" s="46"/>
      <c r="K439" s="45"/>
      <c r="L439" s="107"/>
      <c r="M439" s="541"/>
      <c r="N439" s="45"/>
      <c r="O439" s="45"/>
      <c r="P439" s="53"/>
      <c r="Q439" s="57"/>
      <c r="R439" s="57"/>
      <c r="S439" s="74"/>
      <c r="T439" s="45"/>
      <c r="U439" s="45"/>
      <c r="V439" s="73"/>
      <c r="W439" s="169"/>
      <c r="X439" s="173"/>
      <c r="Y439" s="190"/>
      <c r="Z439" s="167"/>
      <c r="AA439" s="45"/>
      <c r="AB439" s="57"/>
      <c r="AC439" s="169"/>
      <c r="AD439" s="165"/>
      <c r="AE439" s="165"/>
      <c r="AF439" s="167"/>
      <c r="AG439" s="73"/>
      <c r="AH439" s="45"/>
      <c r="AI439" s="46"/>
      <c r="AJ439" s="165"/>
      <c r="AK439" s="173"/>
      <c r="AL439" s="167"/>
      <c r="AM439" s="45"/>
      <c r="AN439" s="54"/>
      <c r="AO439" s="54"/>
      <c r="AP439" s="73"/>
      <c r="AQ439" s="165"/>
      <c r="AR439" s="168"/>
      <c r="AS439" s="165"/>
      <c r="AT439" s="190"/>
      <c r="AU439" s="167"/>
      <c r="AV439" s="45"/>
      <c r="AW439" s="54"/>
      <c r="AX439" s="54"/>
      <c r="AY439" s="53"/>
      <c r="AZ439" s="46"/>
      <c r="BA439" s="45"/>
      <c r="BB439" s="45"/>
      <c r="BC439" s="73"/>
      <c r="BD439" s="165"/>
      <c r="BE439" s="165"/>
      <c r="BF439" s="173"/>
      <c r="BG439" s="304"/>
      <c r="BH439" s="601"/>
      <c r="BI439" s="45">
        <v>370</v>
      </c>
      <c r="BJ439" s="46">
        <v>360</v>
      </c>
      <c r="BK439" s="45"/>
      <c r="BL439" s="53"/>
      <c r="BM439" s="200"/>
      <c r="BN439" s="165"/>
      <c r="BO439" s="173"/>
      <c r="BP439" s="190"/>
      <c r="BQ439" s="173"/>
      <c r="BR439" s="168"/>
      <c r="BS439" s="165"/>
      <c r="BT439" s="167"/>
      <c r="BU439" s="45">
        <v>193</v>
      </c>
      <c r="BV439" s="53">
        <v>261</v>
      </c>
      <c r="BW439" s="54">
        <v>148</v>
      </c>
      <c r="BX439" s="54">
        <v>338</v>
      </c>
      <c r="BY439" s="46">
        <v>107</v>
      </c>
      <c r="BZ439" s="199"/>
      <c r="CA439" s="201"/>
      <c r="CB439" s="202"/>
      <c r="CC439" s="200"/>
      <c r="CD439" s="199"/>
      <c r="CE439" s="201"/>
      <c r="CF439" s="201"/>
      <c r="CG439" s="106"/>
      <c r="CH439" s="165"/>
      <c r="CI439" s="167"/>
    </row>
    <row r="440" spans="1:87" x14ac:dyDescent="0.3">
      <c r="A440" s="10">
        <v>7312</v>
      </c>
      <c r="B440" s="11" t="s">
        <v>563</v>
      </c>
      <c r="C440" s="471">
        <v>1344</v>
      </c>
      <c r="D440" s="54">
        <v>761</v>
      </c>
      <c r="E440" s="367">
        <f t="shared" si="7"/>
        <v>0.56622023809523814</v>
      </c>
      <c r="F440" s="45"/>
      <c r="G440" s="45"/>
      <c r="H440" s="45"/>
      <c r="I440" s="45"/>
      <c r="J440" s="46"/>
      <c r="K440" s="45"/>
      <c r="L440" s="107"/>
      <c r="M440" s="541"/>
      <c r="N440" s="45"/>
      <c r="O440" s="45"/>
      <c r="P440" s="53"/>
      <c r="Q440" s="57"/>
      <c r="R440" s="57"/>
      <c r="S440" s="74"/>
      <c r="T440" s="45"/>
      <c r="U440" s="45"/>
      <c r="V440" s="73"/>
      <c r="W440" s="169"/>
      <c r="X440" s="173"/>
      <c r="Y440" s="190"/>
      <c r="Z440" s="167"/>
      <c r="AA440" s="45"/>
      <c r="AB440" s="57"/>
      <c r="AC440" s="169"/>
      <c r="AD440" s="165"/>
      <c r="AE440" s="165"/>
      <c r="AF440" s="167"/>
      <c r="AG440" s="73"/>
      <c r="AH440" s="45"/>
      <c r="AI440" s="46"/>
      <c r="AJ440" s="165"/>
      <c r="AK440" s="173"/>
      <c r="AL440" s="167"/>
      <c r="AM440" s="45"/>
      <c r="AN440" s="54"/>
      <c r="AO440" s="54"/>
      <c r="AP440" s="73"/>
      <c r="AQ440" s="165"/>
      <c r="AR440" s="168"/>
      <c r="AS440" s="165"/>
      <c r="AT440" s="190"/>
      <c r="AU440" s="167"/>
      <c r="AV440" s="45"/>
      <c r="AW440" s="54"/>
      <c r="AX440" s="54"/>
      <c r="AY440" s="53"/>
      <c r="AZ440" s="46"/>
      <c r="BA440" s="45"/>
      <c r="BB440" s="45"/>
      <c r="BC440" s="73"/>
      <c r="BD440" s="165"/>
      <c r="BE440" s="165"/>
      <c r="BF440" s="173"/>
      <c r="BG440" s="304"/>
      <c r="BH440" s="601"/>
      <c r="BI440" s="45">
        <v>375</v>
      </c>
      <c r="BJ440" s="46">
        <v>393</v>
      </c>
      <c r="BK440" s="45"/>
      <c r="BL440" s="53"/>
      <c r="BM440" s="200"/>
      <c r="BN440" s="165"/>
      <c r="BO440" s="173"/>
      <c r="BP440" s="190"/>
      <c r="BQ440" s="173"/>
      <c r="BR440" s="168"/>
      <c r="BS440" s="165"/>
      <c r="BT440" s="167"/>
      <c r="BU440" s="199"/>
      <c r="BV440" s="202"/>
      <c r="BW440" s="201"/>
      <c r="BX440" s="201"/>
      <c r="BY440" s="200"/>
      <c r="BZ440" s="45">
        <v>185</v>
      </c>
      <c r="CA440" s="54">
        <v>459</v>
      </c>
      <c r="CB440" s="53">
        <v>149</v>
      </c>
      <c r="CC440" s="46">
        <v>288</v>
      </c>
      <c r="CD440" s="45"/>
      <c r="CE440" s="54"/>
      <c r="CF440" s="54"/>
      <c r="CG440" s="73"/>
      <c r="CH440" s="165"/>
      <c r="CI440" s="167"/>
    </row>
    <row r="441" spans="1:87" x14ac:dyDescent="0.3">
      <c r="A441" s="10">
        <v>7313</v>
      </c>
      <c r="B441" s="11" t="s">
        <v>564</v>
      </c>
      <c r="C441" s="471">
        <v>711</v>
      </c>
      <c r="D441" s="54">
        <v>438</v>
      </c>
      <c r="E441" s="367">
        <f t="shared" si="7"/>
        <v>0.61603375527426163</v>
      </c>
      <c r="F441" s="45"/>
      <c r="G441" s="45"/>
      <c r="H441" s="45"/>
      <c r="I441" s="45"/>
      <c r="J441" s="46"/>
      <c r="K441" s="45"/>
      <c r="L441" s="107"/>
      <c r="M441" s="541"/>
      <c r="N441" s="45"/>
      <c r="O441" s="45"/>
      <c r="P441" s="53"/>
      <c r="Q441" s="57"/>
      <c r="R441" s="57"/>
      <c r="S441" s="74"/>
      <c r="T441" s="45"/>
      <c r="U441" s="45"/>
      <c r="V441" s="73"/>
      <c r="W441" s="169"/>
      <c r="X441" s="173"/>
      <c r="Y441" s="190"/>
      <c r="Z441" s="167"/>
      <c r="AA441" s="45"/>
      <c r="AB441" s="57"/>
      <c r="AC441" s="169"/>
      <c r="AD441" s="165"/>
      <c r="AE441" s="165"/>
      <c r="AF441" s="167"/>
      <c r="AG441" s="73"/>
      <c r="AH441" s="45"/>
      <c r="AI441" s="46"/>
      <c r="AJ441" s="165"/>
      <c r="AK441" s="173"/>
      <c r="AL441" s="167"/>
      <c r="AM441" s="45"/>
      <c r="AN441" s="54"/>
      <c r="AO441" s="54"/>
      <c r="AP441" s="73"/>
      <c r="AQ441" s="165"/>
      <c r="AR441" s="168"/>
      <c r="AS441" s="165"/>
      <c r="AT441" s="190"/>
      <c r="AU441" s="167"/>
      <c r="AV441" s="45"/>
      <c r="AW441" s="54"/>
      <c r="AX441" s="54"/>
      <c r="AY441" s="53"/>
      <c r="AZ441" s="46"/>
      <c r="BA441" s="45"/>
      <c r="BB441" s="45"/>
      <c r="BC441" s="73"/>
      <c r="BD441" s="165"/>
      <c r="BE441" s="165"/>
      <c r="BF441" s="173"/>
      <c r="BG441" s="304"/>
      <c r="BH441" s="601"/>
      <c r="BI441" s="45">
        <v>208</v>
      </c>
      <c r="BJ441" s="46">
        <v>189</v>
      </c>
      <c r="BK441" s="45"/>
      <c r="BL441" s="53"/>
      <c r="BM441" s="200"/>
      <c r="BN441" s="165"/>
      <c r="BO441" s="173"/>
      <c r="BP441" s="190"/>
      <c r="BQ441" s="173"/>
      <c r="BR441" s="168"/>
      <c r="BS441" s="165"/>
      <c r="BT441" s="167"/>
      <c r="BU441" s="199"/>
      <c r="BV441" s="202"/>
      <c r="BW441" s="201"/>
      <c r="BX441" s="201"/>
      <c r="BY441" s="200"/>
      <c r="BZ441" s="45">
        <v>117</v>
      </c>
      <c r="CA441" s="54">
        <v>282</v>
      </c>
      <c r="CB441" s="53">
        <v>65</v>
      </c>
      <c r="CC441" s="46">
        <v>227</v>
      </c>
      <c r="CD441" s="45"/>
      <c r="CE441" s="54"/>
      <c r="CF441" s="54"/>
      <c r="CG441" s="73"/>
      <c r="CH441" s="165"/>
      <c r="CI441" s="167"/>
    </row>
    <row r="442" spans="1:87" x14ac:dyDescent="0.3">
      <c r="A442" s="10">
        <v>7314</v>
      </c>
      <c r="B442" s="11" t="s">
        <v>565</v>
      </c>
      <c r="C442" s="471">
        <v>1295</v>
      </c>
      <c r="D442" s="54">
        <v>613</v>
      </c>
      <c r="E442" s="367">
        <f t="shared" si="7"/>
        <v>0.47335907335907335</v>
      </c>
      <c r="F442" s="45"/>
      <c r="G442" s="45"/>
      <c r="H442" s="45"/>
      <c r="I442" s="45"/>
      <c r="J442" s="46"/>
      <c r="K442" s="45"/>
      <c r="L442" s="107"/>
      <c r="M442" s="541"/>
      <c r="N442" s="45"/>
      <c r="O442" s="45"/>
      <c r="P442" s="53"/>
      <c r="Q442" s="57"/>
      <c r="R442" s="57"/>
      <c r="S442" s="74"/>
      <c r="T442" s="45"/>
      <c r="U442" s="45"/>
      <c r="V442" s="73"/>
      <c r="W442" s="169"/>
      <c r="X442" s="173"/>
      <c r="Y442" s="190"/>
      <c r="Z442" s="167"/>
      <c r="AA442" s="45"/>
      <c r="AB442" s="57"/>
      <c r="AC442" s="169"/>
      <c r="AD442" s="165"/>
      <c r="AE442" s="165"/>
      <c r="AF442" s="167"/>
      <c r="AG442" s="73"/>
      <c r="AH442" s="45"/>
      <c r="AI442" s="46"/>
      <c r="AJ442" s="165"/>
      <c r="AK442" s="173"/>
      <c r="AL442" s="167"/>
      <c r="AM442" s="45"/>
      <c r="AN442" s="54"/>
      <c r="AO442" s="54"/>
      <c r="AP442" s="73"/>
      <c r="AQ442" s="165"/>
      <c r="AR442" s="168"/>
      <c r="AS442" s="165"/>
      <c r="AT442" s="190"/>
      <c r="AU442" s="167"/>
      <c r="AV442" s="45"/>
      <c r="AW442" s="54"/>
      <c r="AX442" s="54"/>
      <c r="AY442" s="53"/>
      <c r="AZ442" s="46"/>
      <c r="BA442" s="45"/>
      <c r="BB442" s="45"/>
      <c r="BC442" s="73"/>
      <c r="BD442" s="165"/>
      <c r="BE442" s="165"/>
      <c r="BF442" s="173"/>
      <c r="BG442" s="304"/>
      <c r="BH442" s="601"/>
      <c r="BI442" s="45">
        <v>273</v>
      </c>
      <c r="BJ442" s="46">
        <v>274</v>
      </c>
      <c r="BK442" s="45"/>
      <c r="BL442" s="53"/>
      <c r="BM442" s="200"/>
      <c r="BN442" s="165"/>
      <c r="BO442" s="173"/>
      <c r="BP442" s="190"/>
      <c r="BQ442" s="173"/>
      <c r="BR442" s="168"/>
      <c r="BS442" s="165"/>
      <c r="BT442" s="167"/>
      <c r="BU442" s="199"/>
      <c r="BV442" s="202"/>
      <c r="BW442" s="201"/>
      <c r="BX442" s="201"/>
      <c r="BY442" s="200"/>
      <c r="BZ442" s="45">
        <v>166</v>
      </c>
      <c r="CA442" s="54">
        <v>351</v>
      </c>
      <c r="CB442" s="53">
        <v>132</v>
      </c>
      <c r="CC442" s="46">
        <v>222</v>
      </c>
      <c r="CD442" s="45"/>
      <c r="CE442" s="54"/>
      <c r="CF442" s="54"/>
      <c r="CG442" s="73"/>
      <c r="CH442" s="165"/>
      <c r="CI442" s="167"/>
    </row>
    <row r="443" spans="1:87" x14ac:dyDescent="0.3">
      <c r="A443" s="10">
        <v>7315</v>
      </c>
      <c r="B443" s="11" t="s">
        <v>566</v>
      </c>
      <c r="C443" s="471">
        <v>1318</v>
      </c>
      <c r="D443" s="54">
        <v>677</v>
      </c>
      <c r="E443" s="367">
        <f t="shared" si="7"/>
        <v>0.51365705614567525</v>
      </c>
      <c r="F443" s="45"/>
      <c r="G443" s="45"/>
      <c r="H443" s="45"/>
      <c r="I443" s="45"/>
      <c r="J443" s="46"/>
      <c r="K443" s="45"/>
      <c r="L443" s="107"/>
      <c r="M443" s="541"/>
      <c r="N443" s="45"/>
      <c r="O443" s="45"/>
      <c r="P443" s="53"/>
      <c r="Q443" s="57"/>
      <c r="R443" s="57"/>
      <c r="S443" s="74"/>
      <c r="T443" s="45"/>
      <c r="U443" s="45"/>
      <c r="V443" s="73"/>
      <c r="W443" s="169"/>
      <c r="X443" s="173"/>
      <c r="Y443" s="190"/>
      <c r="Z443" s="167"/>
      <c r="AA443" s="45"/>
      <c r="AB443" s="57"/>
      <c r="AC443" s="169"/>
      <c r="AD443" s="165"/>
      <c r="AE443" s="165"/>
      <c r="AF443" s="167"/>
      <c r="AG443" s="73"/>
      <c r="AH443" s="45"/>
      <c r="AI443" s="46"/>
      <c r="AJ443" s="165"/>
      <c r="AK443" s="173"/>
      <c r="AL443" s="167"/>
      <c r="AM443" s="45"/>
      <c r="AN443" s="54"/>
      <c r="AO443" s="54"/>
      <c r="AP443" s="73"/>
      <c r="AQ443" s="165"/>
      <c r="AR443" s="168"/>
      <c r="AS443" s="165"/>
      <c r="AT443" s="190"/>
      <c r="AU443" s="167"/>
      <c r="AV443" s="45"/>
      <c r="AW443" s="54"/>
      <c r="AX443" s="54"/>
      <c r="AY443" s="53"/>
      <c r="AZ443" s="46"/>
      <c r="BA443" s="45"/>
      <c r="BB443" s="45"/>
      <c r="BC443" s="73"/>
      <c r="BD443" s="165"/>
      <c r="BE443" s="165"/>
      <c r="BF443" s="173"/>
      <c r="BG443" s="304"/>
      <c r="BH443" s="601"/>
      <c r="BI443" s="45">
        <v>300</v>
      </c>
      <c r="BJ443" s="46">
        <v>323</v>
      </c>
      <c r="BK443" s="45"/>
      <c r="BL443" s="53"/>
      <c r="BM443" s="200"/>
      <c r="BN443" s="165"/>
      <c r="BO443" s="173"/>
      <c r="BP443" s="190"/>
      <c r="BQ443" s="173"/>
      <c r="BR443" s="168"/>
      <c r="BS443" s="165"/>
      <c r="BT443" s="167"/>
      <c r="BU443" s="45">
        <v>148</v>
      </c>
      <c r="BV443" s="53">
        <v>203</v>
      </c>
      <c r="BW443" s="54">
        <v>223</v>
      </c>
      <c r="BX443" s="54">
        <v>195</v>
      </c>
      <c r="BY443" s="46">
        <v>105</v>
      </c>
      <c r="BZ443" s="45"/>
      <c r="CA443" s="54"/>
      <c r="CB443" s="53"/>
      <c r="CC443" s="46"/>
      <c r="CD443" s="45"/>
      <c r="CE443" s="54"/>
      <c r="CF443" s="54"/>
      <c r="CG443" s="73"/>
      <c r="CH443" s="165"/>
      <c r="CI443" s="167"/>
    </row>
    <row r="444" spans="1:87" x14ac:dyDescent="0.3">
      <c r="A444" s="10">
        <v>7316</v>
      </c>
      <c r="B444" s="11" t="s">
        <v>567</v>
      </c>
      <c r="C444" s="471">
        <v>1051</v>
      </c>
      <c r="D444" s="54">
        <v>627</v>
      </c>
      <c r="E444" s="367">
        <f t="shared" si="7"/>
        <v>0.59657469077069458</v>
      </c>
      <c r="F444" s="45"/>
      <c r="G444" s="45"/>
      <c r="H444" s="45"/>
      <c r="I444" s="45"/>
      <c r="J444" s="46"/>
      <c r="K444" s="45"/>
      <c r="L444" s="107"/>
      <c r="M444" s="541"/>
      <c r="N444" s="45"/>
      <c r="O444" s="45"/>
      <c r="P444" s="53"/>
      <c r="Q444" s="57"/>
      <c r="R444" s="57"/>
      <c r="S444" s="74"/>
      <c r="T444" s="45"/>
      <c r="U444" s="45"/>
      <c r="V444" s="73"/>
      <c r="W444" s="169"/>
      <c r="X444" s="173"/>
      <c r="Y444" s="190"/>
      <c r="Z444" s="167"/>
      <c r="AA444" s="45"/>
      <c r="AB444" s="57"/>
      <c r="AC444" s="169"/>
      <c r="AD444" s="165"/>
      <c r="AE444" s="165"/>
      <c r="AF444" s="167"/>
      <c r="AG444" s="73"/>
      <c r="AH444" s="45"/>
      <c r="AI444" s="46"/>
      <c r="AJ444" s="165"/>
      <c r="AK444" s="173"/>
      <c r="AL444" s="167"/>
      <c r="AM444" s="45"/>
      <c r="AN444" s="54"/>
      <c r="AO444" s="54"/>
      <c r="AP444" s="73"/>
      <c r="AQ444" s="165"/>
      <c r="AR444" s="168"/>
      <c r="AS444" s="165"/>
      <c r="AT444" s="190"/>
      <c r="AU444" s="167"/>
      <c r="AV444" s="45"/>
      <c r="AW444" s="54"/>
      <c r="AX444" s="54"/>
      <c r="AY444" s="53"/>
      <c r="AZ444" s="46"/>
      <c r="BA444" s="45"/>
      <c r="BB444" s="45"/>
      <c r="BC444" s="73"/>
      <c r="BD444" s="165"/>
      <c r="BE444" s="165"/>
      <c r="BF444" s="173"/>
      <c r="BG444" s="304"/>
      <c r="BH444" s="601"/>
      <c r="BI444" s="45">
        <v>272</v>
      </c>
      <c r="BJ444" s="46">
        <v>251</v>
      </c>
      <c r="BK444" s="45"/>
      <c r="BL444" s="53"/>
      <c r="BM444" s="200"/>
      <c r="BN444" s="165"/>
      <c r="BO444" s="173"/>
      <c r="BP444" s="190"/>
      <c r="BQ444" s="173"/>
      <c r="BR444" s="168"/>
      <c r="BS444" s="165"/>
      <c r="BT444" s="167"/>
      <c r="BU444" s="45">
        <v>156</v>
      </c>
      <c r="BV444" s="53">
        <v>180</v>
      </c>
      <c r="BW444" s="54">
        <v>82</v>
      </c>
      <c r="BX444" s="54">
        <v>244</v>
      </c>
      <c r="BY444" s="46">
        <v>82</v>
      </c>
      <c r="BZ444" s="45">
        <v>9</v>
      </c>
      <c r="CA444" s="54">
        <v>23</v>
      </c>
      <c r="CB444" s="53">
        <v>4</v>
      </c>
      <c r="CC444" s="46">
        <v>12</v>
      </c>
      <c r="CD444" s="45"/>
      <c r="CE444" s="54"/>
      <c r="CF444" s="54"/>
      <c r="CG444" s="73"/>
      <c r="CH444" s="165"/>
      <c r="CI444" s="167"/>
    </row>
    <row r="445" spans="1:87" x14ac:dyDescent="0.3">
      <c r="A445" s="10">
        <v>7317</v>
      </c>
      <c r="B445" s="11" t="s">
        <v>568</v>
      </c>
      <c r="C445" s="471">
        <v>1182</v>
      </c>
      <c r="D445" s="54">
        <v>719</v>
      </c>
      <c r="E445" s="367">
        <f t="shared" si="7"/>
        <v>0.60829103214890012</v>
      </c>
      <c r="F445" s="45"/>
      <c r="G445" s="45"/>
      <c r="H445" s="45"/>
      <c r="I445" s="45"/>
      <c r="J445" s="46"/>
      <c r="K445" s="45"/>
      <c r="L445" s="107"/>
      <c r="M445" s="541"/>
      <c r="N445" s="45"/>
      <c r="O445" s="45"/>
      <c r="P445" s="53"/>
      <c r="Q445" s="57"/>
      <c r="R445" s="57"/>
      <c r="S445" s="74"/>
      <c r="T445" s="45"/>
      <c r="U445" s="45"/>
      <c r="V445" s="73"/>
      <c r="W445" s="169"/>
      <c r="X445" s="173"/>
      <c r="Y445" s="190"/>
      <c r="Z445" s="167"/>
      <c r="AA445" s="45"/>
      <c r="AB445" s="57"/>
      <c r="AC445" s="169"/>
      <c r="AD445" s="165"/>
      <c r="AE445" s="165"/>
      <c r="AF445" s="167"/>
      <c r="AG445" s="73"/>
      <c r="AH445" s="45"/>
      <c r="AI445" s="46"/>
      <c r="AJ445" s="165"/>
      <c r="AK445" s="173"/>
      <c r="AL445" s="167"/>
      <c r="AM445" s="45"/>
      <c r="AN445" s="54"/>
      <c r="AO445" s="54"/>
      <c r="AP445" s="73"/>
      <c r="AQ445" s="165"/>
      <c r="AR445" s="168"/>
      <c r="AS445" s="165"/>
      <c r="AT445" s="190"/>
      <c r="AU445" s="167"/>
      <c r="AV445" s="45"/>
      <c r="AW445" s="54"/>
      <c r="AX445" s="54"/>
      <c r="AY445" s="53"/>
      <c r="AZ445" s="46"/>
      <c r="BA445" s="45"/>
      <c r="BB445" s="45"/>
      <c r="BC445" s="73"/>
      <c r="BD445" s="165"/>
      <c r="BE445" s="165"/>
      <c r="BF445" s="173"/>
      <c r="BG445" s="304"/>
      <c r="BH445" s="601"/>
      <c r="BI445" s="45">
        <v>317</v>
      </c>
      <c r="BJ445" s="46">
        <v>289</v>
      </c>
      <c r="BK445" s="45"/>
      <c r="BL445" s="53"/>
      <c r="BM445" s="200"/>
      <c r="BN445" s="165"/>
      <c r="BO445" s="173"/>
      <c r="BP445" s="190"/>
      <c r="BQ445" s="173"/>
      <c r="BR445" s="168"/>
      <c r="BS445" s="165"/>
      <c r="BT445" s="167"/>
      <c r="BU445" s="199"/>
      <c r="BV445" s="202"/>
      <c r="BW445" s="201"/>
      <c r="BX445" s="201"/>
      <c r="BY445" s="200"/>
      <c r="BZ445" s="45">
        <v>189</v>
      </c>
      <c r="CA445" s="54">
        <v>456</v>
      </c>
      <c r="CB445" s="53">
        <v>111</v>
      </c>
      <c r="CC445" s="46">
        <v>360</v>
      </c>
      <c r="CD445" s="45"/>
      <c r="CE445" s="54"/>
      <c r="CF445" s="54"/>
      <c r="CG445" s="73"/>
      <c r="CH445" s="165"/>
      <c r="CI445" s="167"/>
    </row>
    <row r="446" spans="1:87" x14ac:dyDescent="0.3">
      <c r="A446" s="10">
        <v>7318</v>
      </c>
      <c r="B446" s="11" t="s">
        <v>569</v>
      </c>
      <c r="C446" s="471">
        <v>725</v>
      </c>
      <c r="D446" s="54">
        <v>422</v>
      </c>
      <c r="E446" s="367">
        <f t="shared" si="7"/>
        <v>0.58206896551724141</v>
      </c>
      <c r="F446" s="45"/>
      <c r="G446" s="45"/>
      <c r="H446" s="45"/>
      <c r="I446" s="45"/>
      <c r="J446" s="46"/>
      <c r="K446" s="45"/>
      <c r="L446" s="107"/>
      <c r="M446" s="541"/>
      <c r="N446" s="45"/>
      <c r="O446" s="45"/>
      <c r="P446" s="53"/>
      <c r="Q446" s="57"/>
      <c r="R446" s="57"/>
      <c r="S446" s="74"/>
      <c r="T446" s="45"/>
      <c r="U446" s="45"/>
      <c r="V446" s="73"/>
      <c r="W446" s="169"/>
      <c r="X446" s="173"/>
      <c r="Y446" s="190"/>
      <c r="Z446" s="167"/>
      <c r="AA446" s="45"/>
      <c r="AB446" s="57"/>
      <c r="AC446" s="169"/>
      <c r="AD446" s="165"/>
      <c r="AE446" s="165"/>
      <c r="AF446" s="167"/>
      <c r="AG446" s="73"/>
      <c r="AH446" s="45"/>
      <c r="AI446" s="46"/>
      <c r="AJ446" s="165"/>
      <c r="AK446" s="173"/>
      <c r="AL446" s="167"/>
      <c r="AM446" s="45"/>
      <c r="AN446" s="54"/>
      <c r="AO446" s="54"/>
      <c r="AP446" s="73"/>
      <c r="AQ446" s="165"/>
      <c r="AR446" s="168"/>
      <c r="AS446" s="165"/>
      <c r="AT446" s="190"/>
      <c r="AU446" s="167"/>
      <c r="AV446" s="45"/>
      <c r="AW446" s="54"/>
      <c r="AX446" s="54"/>
      <c r="AY446" s="53"/>
      <c r="AZ446" s="46"/>
      <c r="BA446" s="45"/>
      <c r="BB446" s="45"/>
      <c r="BC446" s="73"/>
      <c r="BD446" s="165"/>
      <c r="BE446" s="165"/>
      <c r="BF446" s="173"/>
      <c r="BG446" s="304"/>
      <c r="BH446" s="601"/>
      <c r="BI446" s="45">
        <v>184</v>
      </c>
      <c r="BJ446" s="46">
        <v>172</v>
      </c>
      <c r="BK446" s="45"/>
      <c r="BL446" s="53"/>
      <c r="BM446" s="200"/>
      <c r="BN446" s="165"/>
      <c r="BO446" s="173"/>
      <c r="BP446" s="190"/>
      <c r="BQ446" s="173"/>
      <c r="BR446" s="168"/>
      <c r="BS446" s="165"/>
      <c r="BT446" s="167"/>
      <c r="BU446" s="199"/>
      <c r="BV446" s="202"/>
      <c r="BW446" s="201"/>
      <c r="BX446" s="201"/>
      <c r="BY446" s="200"/>
      <c r="BZ446" s="45">
        <v>100</v>
      </c>
      <c r="CA446" s="54">
        <v>271</v>
      </c>
      <c r="CB446" s="53">
        <v>66</v>
      </c>
      <c r="CC446" s="46">
        <v>207</v>
      </c>
      <c r="CD446" s="45"/>
      <c r="CE446" s="54"/>
      <c r="CF446" s="54"/>
      <c r="CG446" s="73"/>
      <c r="CH446" s="165"/>
      <c r="CI446" s="167"/>
    </row>
    <row r="447" spans="1:87" x14ac:dyDescent="0.3">
      <c r="A447" s="10">
        <v>7319</v>
      </c>
      <c r="B447" s="11" t="s">
        <v>570</v>
      </c>
      <c r="C447" s="471">
        <v>1252</v>
      </c>
      <c r="D447" s="54">
        <v>569</v>
      </c>
      <c r="E447" s="367">
        <f t="shared" si="7"/>
        <v>0.45447284345047922</v>
      </c>
      <c r="F447" s="45"/>
      <c r="G447" s="45"/>
      <c r="H447" s="45"/>
      <c r="I447" s="45"/>
      <c r="J447" s="46"/>
      <c r="K447" s="45"/>
      <c r="L447" s="107"/>
      <c r="M447" s="541"/>
      <c r="N447" s="45"/>
      <c r="O447" s="45"/>
      <c r="P447" s="53"/>
      <c r="Q447" s="57"/>
      <c r="R447" s="57"/>
      <c r="S447" s="74"/>
      <c r="T447" s="45"/>
      <c r="U447" s="45"/>
      <c r="V447" s="73"/>
      <c r="W447" s="169"/>
      <c r="X447" s="173"/>
      <c r="Y447" s="190"/>
      <c r="Z447" s="167"/>
      <c r="AA447" s="45"/>
      <c r="AB447" s="57"/>
      <c r="AC447" s="169"/>
      <c r="AD447" s="165"/>
      <c r="AE447" s="165"/>
      <c r="AF447" s="167"/>
      <c r="AG447" s="73"/>
      <c r="AH447" s="45"/>
      <c r="AI447" s="46"/>
      <c r="AJ447" s="165"/>
      <c r="AK447" s="173"/>
      <c r="AL447" s="167"/>
      <c r="AM447" s="45"/>
      <c r="AN447" s="54"/>
      <c r="AO447" s="54"/>
      <c r="AP447" s="73"/>
      <c r="AQ447" s="165"/>
      <c r="AR447" s="168"/>
      <c r="AS447" s="165"/>
      <c r="AT447" s="190"/>
      <c r="AU447" s="167"/>
      <c r="AV447" s="45"/>
      <c r="AW447" s="54"/>
      <c r="AX447" s="54"/>
      <c r="AY447" s="53"/>
      <c r="AZ447" s="46"/>
      <c r="BA447" s="45"/>
      <c r="BB447" s="45"/>
      <c r="BC447" s="73"/>
      <c r="BD447" s="165"/>
      <c r="BE447" s="165"/>
      <c r="BF447" s="173"/>
      <c r="BG447" s="304"/>
      <c r="BH447" s="601"/>
      <c r="BI447" s="45">
        <v>258</v>
      </c>
      <c r="BJ447" s="46">
        <v>249</v>
      </c>
      <c r="BK447" s="45"/>
      <c r="BL447" s="53"/>
      <c r="BM447" s="200"/>
      <c r="BN447" s="165"/>
      <c r="BO447" s="173"/>
      <c r="BP447" s="190"/>
      <c r="BQ447" s="173"/>
      <c r="BR447" s="168"/>
      <c r="BS447" s="165"/>
      <c r="BT447" s="167"/>
      <c r="BU447" s="199"/>
      <c r="BV447" s="202"/>
      <c r="BW447" s="201"/>
      <c r="BX447" s="201"/>
      <c r="BY447" s="200"/>
      <c r="BZ447" s="45">
        <v>148</v>
      </c>
      <c r="CA447" s="54">
        <v>344</v>
      </c>
      <c r="CB447" s="53">
        <v>116</v>
      </c>
      <c r="CC447" s="46">
        <v>207</v>
      </c>
      <c r="CD447" s="45"/>
      <c r="CE447" s="54"/>
      <c r="CF447" s="54"/>
      <c r="CG447" s="73"/>
      <c r="CH447" s="165"/>
      <c r="CI447" s="167"/>
    </row>
    <row r="448" spans="1:87" x14ac:dyDescent="0.3">
      <c r="A448" s="10">
        <v>7320</v>
      </c>
      <c r="B448" s="11" t="s">
        <v>571</v>
      </c>
      <c r="C448" s="471">
        <v>538</v>
      </c>
      <c r="D448" s="54">
        <v>265</v>
      </c>
      <c r="E448" s="367">
        <f t="shared" si="7"/>
        <v>0.49256505576208176</v>
      </c>
      <c r="F448" s="45"/>
      <c r="G448" s="45"/>
      <c r="H448" s="45"/>
      <c r="I448" s="45"/>
      <c r="J448" s="46"/>
      <c r="K448" s="45"/>
      <c r="L448" s="107"/>
      <c r="M448" s="541"/>
      <c r="N448" s="45"/>
      <c r="O448" s="45"/>
      <c r="P448" s="53"/>
      <c r="Q448" s="57"/>
      <c r="R448" s="57"/>
      <c r="S448" s="74"/>
      <c r="T448" s="45"/>
      <c r="U448" s="45"/>
      <c r="V448" s="73"/>
      <c r="W448" s="169"/>
      <c r="X448" s="173"/>
      <c r="Y448" s="190"/>
      <c r="Z448" s="167"/>
      <c r="AA448" s="45"/>
      <c r="AB448" s="57"/>
      <c r="AC448" s="169"/>
      <c r="AD448" s="165"/>
      <c r="AE448" s="165"/>
      <c r="AF448" s="167"/>
      <c r="AG448" s="73"/>
      <c r="AH448" s="45"/>
      <c r="AI448" s="46"/>
      <c r="AJ448" s="165"/>
      <c r="AK448" s="173"/>
      <c r="AL448" s="167"/>
      <c r="AM448" s="45"/>
      <c r="AN448" s="54"/>
      <c r="AO448" s="54"/>
      <c r="AP448" s="73"/>
      <c r="AQ448" s="165"/>
      <c r="AR448" s="168"/>
      <c r="AS448" s="165"/>
      <c r="AT448" s="190"/>
      <c r="AU448" s="167"/>
      <c r="AV448" s="45"/>
      <c r="AW448" s="54"/>
      <c r="AX448" s="54"/>
      <c r="AY448" s="53"/>
      <c r="AZ448" s="46"/>
      <c r="BA448" s="45"/>
      <c r="BB448" s="45"/>
      <c r="BC448" s="73"/>
      <c r="BD448" s="165"/>
      <c r="BE448" s="165"/>
      <c r="BF448" s="173"/>
      <c r="BG448" s="304"/>
      <c r="BH448" s="601"/>
      <c r="BI448" s="45">
        <v>125</v>
      </c>
      <c r="BJ448" s="46">
        <v>133</v>
      </c>
      <c r="BK448" s="45"/>
      <c r="BL448" s="53"/>
      <c r="BM448" s="200"/>
      <c r="BN448" s="165"/>
      <c r="BO448" s="173"/>
      <c r="BP448" s="190"/>
      <c r="BQ448" s="173"/>
      <c r="BR448" s="168"/>
      <c r="BS448" s="165"/>
      <c r="BT448" s="167"/>
      <c r="BU448" s="199"/>
      <c r="BV448" s="202"/>
      <c r="BW448" s="201"/>
      <c r="BX448" s="201"/>
      <c r="BY448" s="200"/>
      <c r="BZ448" s="45">
        <v>80</v>
      </c>
      <c r="CA448" s="54">
        <v>147</v>
      </c>
      <c r="CB448" s="53">
        <v>70</v>
      </c>
      <c r="CC448" s="46">
        <v>114</v>
      </c>
      <c r="CD448" s="45"/>
      <c r="CE448" s="54"/>
      <c r="CF448" s="54"/>
      <c r="CG448" s="73"/>
      <c r="CH448" s="165"/>
      <c r="CI448" s="167"/>
    </row>
    <row r="449" spans="1:87" x14ac:dyDescent="0.3">
      <c r="A449" s="10">
        <v>7321</v>
      </c>
      <c r="B449" s="11" t="s">
        <v>572</v>
      </c>
      <c r="C449" s="471">
        <v>696</v>
      </c>
      <c r="D449" s="54">
        <v>403</v>
      </c>
      <c r="E449" s="367">
        <f t="shared" si="7"/>
        <v>0.57902298850574707</v>
      </c>
      <c r="F449" s="45"/>
      <c r="G449" s="45"/>
      <c r="H449" s="45"/>
      <c r="I449" s="45"/>
      <c r="J449" s="46"/>
      <c r="K449" s="45"/>
      <c r="L449" s="107"/>
      <c r="M449" s="541"/>
      <c r="N449" s="45"/>
      <c r="O449" s="45"/>
      <c r="P449" s="53"/>
      <c r="Q449" s="57"/>
      <c r="R449" s="57"/>
      <c r="S449" s="74"/>
      <c r="T449" s="45"/>
      <c r="U449" s="45"/>
      <c r="V449" s="73"/>
      <c r="W449" s="169"/>
      <c r="X449" s="173"/>
      <c r="Y449" s="190"/>
      <c r="Z449" s="167"/>
      <c r="AA449" s="45"/>
      <c r="AB449" s="57"/>
      <c r="AC449" s="169"/>
      <c r="AD449" s="165"/>
      <c r="AE449" s="165"/>
      <c r="AF449" s="167"/>
      <c r="AG449" s="73"/>
      <c r="AH449" s="45"/>
      <c r="AI449" s="46"/>
      <c r="AJ449" s="165"/>
      <c r="AK449" s="173"/>
      <c r="AL449" s="167"/>
      <c r="AM449" s="45"/>
      <c r="AN449" s="54"/>
      <c r="AO449" s="54"/>
      <c r="AP449" s="73"/>
      <c r="AQ449" s="165"/>
      <c r="AR449" s="168"/>
      <c r="AS449" s="165"/>
      <c r="AT449" s="190"/>
      <c r="AU449" s="167"/>
      <c r="AV449" s="45"/>
      <c r="AW449" s="54"/>
      <c r="AX449" s="54"/>
      <c r="AY449" s="53"/>
      <c r="AZ449" s="46"/>
      <c r="BA449" s="45"/>
      <c r="BB449" s="45"/>
      <c r="BC449" s="73"/>
      <c r="BD449" s="165"/>
      <c r="BE449" s="165"/>
      <c r="BF449" s="173"/>
      <c r="BG449" s="304"/>
      <c r="BH449" s="601"/>
      <c r="BI449" s="45">
        <v>156</v>
      </c>
      <c r="BJ449" s="46">
        <v>151</v>
      </c>
      <c r="BK449" s="45"/>
      <c r="BL449" s="53"/>
      <c r="BM449" s="200"/>
      <c r="BN449" s="165"/>
      <c r="BO449" s="173"/>
      <c r="BP449" s="190"/>
      <c r="BQ449" s="173"/>
      <c r="BR449" s="168"/>
      <c r="BS449" s="165"/>
      <c r="BT449" s="167"/>
      <c r="BU449" s="199"/>
      <c r="BV449" s="202"/>
      <c r="BW449" s="201"/>
      <c r="BX449" s="201"/>
      <c r="BY449" s="200"/>
      <c r="BZ449" s="45">
        <v>102</v>
      </c>
      <c r="CA449" s="54">
        <v>252</v>
      </c>
      <c r="CB449" s="53">
        <v>60</v>
      </c>
      <c r="CC449" s="46">
        <v>166</v>
      </c>
      <c r="CD449" s="45"/>
      <c r="CE449" s="54"/>
      <c r="CF449" s="54"/>
      <c r="CG449" s="73"/>
      <c r="CH449" s="165"/>
      <c r="CI449" s="167"/>
    </row>
    <row r="450" spans="1:87" x14ac:dyDescent="0.3">
      <c r="A450" s="10">
        <v>7322</v>
      </c>
      <c r="B450" s="11" t="s">
        <v>573</v>
      </c>
      <c r="C450" s="471">
        <v>1084</v>
      </c>
      <c r="D450" s="54">
        <v>555</v>
      </c>
      <c r="E450" s="367">
        <f t="shared" si="7"/>
        <v>0.51199261992619927</v>
      </c>
      <c r="F450" s="45"/>
      <c r="G450" s="45"/>
      <c r="H450" s="45"/>
      <c r="I450" s="45"/>
      <c r="J450" s="46"/>
      <c r="K450" s="45"/>
      <c r="L450" s="107"/>
      <c r="M450" s="541"/>
      <c r="N450" s="45"/>
      <c r="O450" s="45"/>
      <c r="P450" s="53"/>
      <c r="Q450" s="57"/>
      <c r="R450" s="57"/>
      <c r="S450" s="74"/>
      <c r="T450" s="45"/>
      <c r="U450" s="45"/>
      <c r="V450" s="73"/>
      <c r="W450" s="169"/>
      <c r="X450" s="173"/>
      <c r="Y450" s="190"/>
      <c r="Z450" s="167"/>
      <c r="AA450" s="45"/>
      <c r="AB450" s="57"/>
      <c r="AC450" s="169"/>
      <c r="AD450" s="165"/>
      <c r="AE450" s="165"/>
      <c r="AF450" s="167"/>
      <c r="AG450" s="73"/>
      <c r="AH450" s="45"/>
      <c r="AI450" s="46"/>
      <c r="AJ450" s="165"/>
      <c r="AK450" s="173"/>
      <c r="AL450" s="167"/>
      <c r="AM450" s="45"/>
      <c r="AN450" s="54"/>
      <c r="AO450" s="54"/>
      <c r="AP450" s="73"/>
      <c r="AQ450" s="165"/>
      <c r="AR450" s="168"/>
      <c r="AS450" s="165"/>
      <c r="AT450" s="190"/>
      <c r="AU450" s="167"/>
      <c r="AV450" s="45"/>
      <c r="AW450" s="54"/>
      <c r="AX450" s="54"/>
      <c r="AY450" s="53"/>
      <c r="AZ450" s="46"/>
      <c r="BA450" s="45"/>
      <c r="BB450" s="45"/>
      <c r="BC450" s="73"/>
      <c r="BD450" s="165"/>
      <c r="BE450" s="165"/>
      <c r="BF450" s="173"/>
      <c r="BG450" s="304"/>
      <c r="BH450" s="601"/>
      <c r="BI450" s="45">
        <v>239</v>
      </c>
      <c r="BJ450" s="46">
        <v>239</v>
      </c>
      <c r="BK450" s="45"/>
      <c r="BL450" s="53"/>
      <c r="BM450" s="200"/>
      <c r="BN450" s="165"/>
      <c r="BO450" s="173"/>
      <c r="BP450" s="190"/>
      <c r="BQ450" s="173"/>
      <c r="BR450" s="168"/>
      <c r="BS450" s="165"/>
      <c r="BT450" s="167"/>
      <c r="BU450" s="45">
        <v>129</v>
      </c>
      <c r="BV450" s="53">
        <v>190</v>
      </c>
      <c r="BW450" s="54">
        <v>111</v>
      </c>
      <c r="BX450" s="54">
        <v>174</v>
      </c>
      <c r="BY450" s="46">
        <v>87</v>
      </c>
      <c r="BZ450" s="45"/>
      <c r="CA450" s="54"/>
      <c r="CB450" s="53"/>
      <c r="CC450" s="46"/>
      <c r="CD450" s="45"/>
      <c r="CE450" s="54"/>
      <c r="CF450" s="54"/>
      <c r="CG450" s="73"/>
      <c r="CH450" s="165"/>
      <c r="CI450" s="167"/>
    </row>
    <row r="451" spans="1:87" x14ac:dyDescent="0.3">
      <c r="A451" s="10">
        <v>7323</v>
      </c>
      <c r="B451" s="11" t="s">
        <v>574</v>
      </c>
      <c r="C451" s="471">
        <v>1288</v>
      </c>
      <c r="D451" s="54">
        <v>866</v>
      </c>
      <c r="E451" s="367">
        <f t="shared" si="7"/>
        <v>0.67236024844720499</v>
      </c>
      <c r="F451" s="45">
        <v>37</v>
      </c>
      <c r="G451" s="45">
        <v>21</v>
      </c>
      <c r="H451" s="45">
        <v>28</v>
      </c>
      <c r="I451" s="45">
        <v>33</v>
      </c>
      <c r="J451" s="46">
        <v>64</v>
      </c>
      <c r="K451" s="45"/>
      <c r="L451" s="107"/>
      <c r="M451" s="541"/>
      <c r="N451" s="45"/>
      <c r="O451" s="45"/>
      <c r="P451" s="53"/>
      <c r="Q451" s="57"/>
      <c r="R451" s="57"/>
      <c r="S451" s="74"/>
      <c r="T451" s="45"/>
      <c r="U451" s="45"/>
      <c r="V451" s="73"/>
      <c r="W451" s="169"/>
      <c r="X451" s="173"/>
      <c r="Y451" s="190"/>
      <c r="Z451" s="167"/>
      <c r="AA451" s="45"/>
      <c r="AB451" s="57"/>
      <c r="AC451" s="169"/>
      <c r="AD451" s="165"/>
      <c r="AE451" s="165"/>
      <c r="AF451" s="167"/>
      <c r="AG451" s="73"/>
      <c r="AH451" s="45"/>
      <c r="AI451" s="46"/>
      <c r="AJ451" s="165"/>
      <c r="AK451" s="173"/>
      <c r="AL451" s="167"/>
      <c r="AM451" s="45"/>
      <c r="AN451" s="54"/>
      <c r="AO451" s="54"/>
      <c r="AP451" s="73"/>
      <c r="AQ451" s="165"/>
      <c r="AR451" s="168"/>
      <c r="AS451" s="165"/>
      <c r="AT451" s="190"/>
      <c r="AU451" s="167"/>
      <c r="AV451" s="45"/>
      <c r="AW451" s="54"/>
      <c r="AX451" s="54"/>
      <c r="AY451" s="53"/>
      <c r="AZ451" s="46"/>
      <c r="BA451" s="45"/>
      <c r="BB451" s="45"/>
      <c r="BC451" s="73"/>
      <c r="BD451" s="165"/>
      <c r="BE451" s="165"/>
      <c r="BF451" s="173"/>
      <c r="BG451" s="304"/>
      <c r="BH451" s="601"/>
      <c r="BI451" s="45">
        <v>343</v>
      </c>
      <c r="BJ451" s="46">
        <v>331</v>
      </c>
      <c r="BK451" s="45"/>
      <c r="BL451" s="53"/>
      <c r="BM451" s="200"/>
      <c r="BN451" s="165"/>
      <c r="BO451" s="173"/>
      <c r="BP451" s="190"/>
      <c r="BQ451" s="173"/>
      <c r="BR451" s="168"/>
      <c r="BS451" s="165"/>
      <c r="BT451" s="167"/>
      <c r="BU451" s="199"/>
      <c r="BV451" s="202"/>
      <c r="BW451" s="201"/>
      <c r="BX451" s="201"/>
      <c r="BY451" s="200"/>
      <c r="BZ451" s="45">
        <v>179</v>
      </c>
      <c r="CA451" s="54">
        <v>510</v>
      </c>
      <c r="CB451" s="53">
        <v>106</v>
      </c>
      <c r="CC451" s="46">
        <v>418</v>
      </c>
      <c r="CD451" s="45"/>
      <c r="CE451" s="54"/>
      <c r="CF451" s="54"/>
      <c r="CG451" s="73"/>
      <c r="CH451" s="165"/>
      <c r="CI451" s="167"/>
    </row>
    <row r="452" spans="1:87" x14ac:dyDescent="0.3">
      <c r="A452" s="10">
        <v>7324</v>
      </c>
      <c r="B452" s="11" t="s">
        <v>575</v>
      </c>
      <c r="C452" s="471">
        <v>1310</v>
      </c>
      <c r="D452" s="54">
        <v>792</v>
      </c>
      <c r="E452" s="367">
        <f t="shared" si="7"/>
        <v>0.60458015267175569</v>
      </c>
      <c r="F452" s="45"/>
      <c r="G452" s="45"/>
      <c r="H452" s="45"/>
      <c r="I452" s="45"/>
      <c r="J452" s="46"/>
      <c r="K452" s="45"/>
      <c r="L452" s="107"/>
      <c r="M452" s="541"/>
      <c r="N452" s="45"/>
      <c r="O452" s="45"/>
      <c r="P452" s="53"/>
      <c r="Q452" s="57"/>
      <c r="R452" s="57"/>
      <c r="S452" s="74"/>
      <c r="T452" s="45"/>
      <c r="U452" s="45"/>
      <c r="V452" s="73"/>
      <c r="W452" s="169"/>
      <c r="X452" s="173"/>
      <c r="Y452" s="190"/>
      <c r="Z452" s="167"/>
      <c r="AA452" s="45"/>
      <c r="AB452" s="57"/>
      <c r="AC452" s="169"/>
      <c r="AD452" s="165"/>
      <c r="AE452" s="165"/>
      <c r="AF452" s="167"/>
      <c r="AG452" s="73"/>
      <c r="AH452" s="45"/>
      <c r="AI452" s="46"/>
      <c r="AJ452" s="165"/>
      <c r="AK452" s="173"/>
      <c r="AL452" s="167"/>
      <c r="AM452" s="45"/>
      <c r="AN452" s="54"/>
      <c r="AO452" s="54"/>
      <c r="AP452" s="73"/>
      <c r="AQ452" s="165"/>
      <c r="AR452" s="168"/>
      <c r="AS452" s="165"/>
      <c r="AT452" s="190"/>
      <c r="AU452" s="167"/>
      <c r="AV452" s="45"/>
      <c r="AW452" s="54"/>
      <c r="AX452" s="54"/>
      <c r="AY452" s="53"/>
      <c r="AZ452" s="46"/>
      <c r="BA452" s="45"/>
      <c r="BB452" s="45"/>
      <c r="BC452" s="73"/>
      <c r="BD452" s="165"/>
      <c r="BE452" s="165"/>
      <c r="BF452" s="173"/>
      <c r="BG452" s="304"/>
      <c r="BH452" s="601"/>
      <c r="BI452" s="45">
        <v>364</v>
      </c>
      <c r="BJ452" s="46">
        <v>339</v>
      </c>
      <c r="BK452" s="45"/>
      <c r="BL452" s="53"/>
      <c r="BM452" s="200"/>
      <c r="BN452" s="165"/>
      <c r="BO452" s="173"/>
      <c r="BP452" s="190"/>
      <c r="BQ452" s="173"/>
      <c r="BR452" s="168"/>
      <c r="BS452" s="165"/>
      <c r="BT452" s="167"/>
      <c r="BU452" s="45">
        <v>116</v>
      </c>
      <c r="BV452" s="53">
        <v>165</v>
      </c>
      <c r="BW452" s="54">
        <v>106</v>
      </c>
      <c r="BX452" s="54">
        <v>171</v>
      </c>
      <c r="BY452" s="46">
        <v>85</v>
      </c>
      <c r="BZ452" s="45">
        <v>58</v>
      </c>
      <c r="CA452" s="54">
        <v>148</v>
      </c>
      <c r="CB452" s="53">
        <v>46</v>
      </c>
      <c r="CC452" s="46">
        <v>120</v>
      </c>
      <c r="CD452" s="45"/>
      <c r="CE452" s="54"/>
      <c r="CF452" s="54"/>
      <c r="CG452" s="73"/>
      <c r="CH452" s="165"/>
      <c r="CI452" s="167"/>
    </row>
    <row r="453" spans="1:87" x14ac:dyDescent="0.3">
      <c r="A453" s="10">
        <v>7325</v>
      </c>
      <c r="B453" s="11" t="s">
        <v>576</v>
      </c>
      <c r="C453" s="471">
        <v>913</v>
      </c>
      <c r="D453" s="54">
        <v>576</v>
      </c>
      <c r="E453" s="367">
        <f t="shared" si="7"/>
        <v>0.63088718510405262</v>
      </c>
      <c r="F453" s="45"/>
      <c r="G453" s="45"/>
      <c r="H453" s="45"/>
      <c r="I453" s="45"/>
      <c r="J453" s="46"/>
      <c r="K453" s="45"/>
      <c r="L453" s="107"/>
      <c r="M453" s="541"/>
      <c r="N453" s="45"/>
      <c r="O453" s="45"/>
      <c r="P453" s="53"/>
      <c r="Q453" s="57"/>
      <c r="R453" s="57"/>
      <c r="S453" s="74"/>
      <c r="T453" s="45"/>
      <c r="U453" s="45"/>
      <c r="V453" s="73"/>
      <c r="W453" s="169"/>
      <c r="X453" s="173"/>
      <c r="Y453" s="190"/>
      <c r="Z453" s="167"/>
      <c r="AA453" s="45"/>
      <c r="AB453" s="57"/>
      <c r="AC453" s="169"/>
      <c r="AD453" s="165"/>
      <c r="AE453" s="165"/>
      <c r="AF453" s="167"/>
      <c r="AG453" s="73"/>
      <c r="AH453" s="45"/>
      <c r="AI453" s="46"/>
      <c r="AJ453" s="165"/>
      <c r="AK453" s="173"/>
      <c r="AL453" s="167"/>
      <c r="AM453" s="45"/>
      <c r="AN453" s="54"/>
      <c r="AO453" s="54"/>
      <c r="AP453" s="73"/>
      <c r="AQ453" s="165"/>
      <c r="AR453" s="168"/>
      <c r="AS453" s="165"/>
      <c r="AT453" s="190"/>
      <c r="AU453" s="167"/>
      <c r="AV453" s="45"/>
      <c r="AW453" s="54"/>
      <c r="AX453" s="54"/>
      <c r="AY453" s="53"/>
      <c r="AZ453" s="46"/>
      <c r="BA453" s="45"/>
      <c r="BB453" s="45"/>
      <c r="BC453" s="73"/>
      <c r="BD453" s="165"/>
      <c r="BE453" s="165"/>
      <c r="BF453" s="173"/>
      <c r="BG453" s="304"/>
      <c r="BH453" s="601"/>
      <c r="BI453" s="45">
        <v>245</v>
      </c>
      <c r="BJ453" s="46">
        <v>247</v>
      </c>
      <c r="BK453" s="45"/>
      <c r="BL453" s="53"/>
      <c r="BM453" s="200"/>
      <c r="BN453" s="165"/>
      <c r="BO453" s="173"/>
      <c r="BP453" s="190"/>
      <c r="BQ453" s="173"/>
      <c r="BR453" s="168"/>
      <c r="BS453" s="165"/>
      <c r="BT453" s="167"/>
      <c r="BU453" s="45">
        <v>157</v>
      </c>
      <c r="BV453" s="53">
        <v>203</v>
      </c>
      <c r="BW453" s="54">
        <v>113</v>
      </c>
      <c r="BX453" s="54">
        <v>224</v>
      </c>
      <c r="BY453" s="46">
        <v>97</v>
      </c>
      <c r="BZ453" s="45"/>
      <c r="CA453" s="54"/>
      <c r="CB453" s="53"/>
      <c r="CC453" s="46"/>
      <c r="CD453" s="45"/>
      <c r="CE453" s="54"/>
      <c r="CF453" s="54"/>
      <c r="CG453" s="73"/>
      <c r="CH453" s="165"/>
      <c r="CI453" s="167"/>
    </row>
    <row r="454" spans="1:87" x14ac:dyDescent="0.3">
      <c r="A454" s="10">
        <v>7326</v>
      </c>
      <c r="B454" s="11" t="s">
        <v>577</v>
      </c>
      <c r="C454" s="471">
        <v>1396</v>
      </c>
      <c r="D454" s="54">
        <v>761</v>
      </c>
      <c r="E454" s="367">
        <f t="shared" si="7"/>
        <v>0.54512893982808019</v>
      </c>
      <c r="F454" s="45"/>
      <c r="G454" s="45"/>
      <c r="H454" s="45"/>
      <c r="I454" s="45"/>
      <c r="J454" s="46"/>
      <c r="K454" s="45"/>
      <c r="L454" s="107"/>
      <c r="M454" s="541"/>
      <c r="N454" s="45"/>
      <c r="O454" s="45"/>
      <c r="P454" s="53"/>
      <c r="Q454" s="57"/>
      <c r="R454" s="57"/>
      <c r="S454" s="74"/>
      <c r="T454" s="45"/>
      <c r="U454" s="45"/>
      <c r="V454" s="73"/>
      <c r="W454" s="169"/>
      <c r="X454" s="173"/>
      <c r="Y454" s="190"/>
      <c r="Z454" s="167"/>
      <c r="AA454" s="45"/>
      <c r="AB454" s="57"/>
      <c r="AC454" s="169"/>
      <c r="AD454" s="165"/>
      <c r="AE454" s="165"/>
      <c r="AF454" s="167"/>
      <c r="AG454" s="73"/>
      <c r="AH454" s="45"/>
      <c r="AI454" s="46"/>
      <c r="AJ454" s="165"/>
      <c r="AK454" s="173"/>
      <c r="AL454" s="167"/>
      <c r="AM454" s="45"/>
      <c r="AN454" s="54"/>
      <c r="AO454" s="54"/>
      <c r="AP454" s="73"/>
      <c r="AQ454" s="165"/>
      <c r="AR454" s="168"/>
      <c r="AS454" s="165"/>
      <c r="AT454" s="190"/>
      <c r="AU454" s="167"/>
      <c r="AV454" s="45"/>
      <c r="AW454" s="54"/>
      <c r="AX454" s="54"/>
      <c r="AY454" s="53"/>
      <c r="AZ454" s="46"/>
      <c r="BA454" s="45"/>
      <c r="BB454" s="45"/>
      <c r="BC454" s="73"/>
      <c r="BD454" s="165"/>
      <c r="BE454" s="165"/>
      <c r="BF454" s="173"/>
      <c r="BG454" s="304"/>
      <c r="BH454" s="601"/>
      <c r="BI454" s="45">
        <v>334</v>
      </c>
      <c r="BJ454" s="46">
        <v>354</v>
      </c>
      <c r="BK454" s="45"/>
      <c r="BL454" s="53"/>
      <c r="BM454" s="200"/>
      <c r="BN454" s="165"/>
      <c r="BO454" s="173"/>
      <c r="BP454" s="190"/>
      <c r="BQ454" s="173"/>
      <c r="BR454" s="168"/>
      <c r="BS454" s="165"/>
      <c r="BT454" s="167"/>
      <c r="BU454" s="199"/>
      <c r="BV454" s="202"/>
      <c r="BW454" s="201"/>
      <c r="BX454" s="201"/>
      <c r="BY454" s="200"/>
      <c r="BZ454" s="45">
        <v>221</v>
      </c>
      <c r="CA454" s="54">
        <v>470</v>
      </c>
      <c r="CB454" s="53">
        <v>116</v>
      </c>
      <c r="CC454" s="46">
        <v>306</v>
      </c>
      <c r="CD454" s="45"/>
      <c r="CE454" s="54"/>
      <c r="CF454" s="54"/>
      <c r="CG454" s="73"/>
      <c r="CH454" s="165"/>
      <c r="CI454" s="167"/>
    </row>
    <row r="455" spans="1:87" x14ac:dyDescent="0.3">
      <c r="A455" s="10">
        <v>7327</v>
      </c>
      <c r="B455" s="11" t="s">
        <v>578</v>
      </c>
      <c r="C455" s="471">
        <v>966</v>
      </c>
      <c r="D455" s="54">
        <v>610</v>
      </c>
      <c r="E455" s="367">
        <f t="shared" si="7"/>
        <v>0.6314699792960663</v>
      </c>
      <c r="F455" s="45">
        <v>185</v>
      </c>
      <c r="G455" s="45">
        <v>95</v>
      </c>
      <c r="H455" s="45">
        <v>154</v>
      </c>
      <c r="I455" s="45">
        <v>105</v>
      </c>
      <c r="J455" s="46">
        <v>216</v>
      </c>
      <c r="K455" s="45"/>
      <c r="L455" s="107"/>
      <c r="M455" s="541"/>
      <c r="N455" s="45"/>
      <c r="O455" s="45"/>
      <c r="P455" s="53"/>
      <c r="Q455" s="57"/>
      <c r="R455" s="57"/>
      <c r="S455" s="74"/>
      <c r="T455" s="45"/>
      <c r="U455" s="45"/>
      <c r="V455" s="73"/>
      <c r="W455" s="169"/>
      <c r="X455" s="173"/>
      <c r="Y455" s="190"/>
      <c r="Z455" s="167"/>
      <c r="AA455" s="45"/>
      <c r="AB455" s="57"/>
      <c r="AC455" s="169"/>
      <c r="AD455" s="165"/>
      <c r="AE455" s="165"/>
      <c r="AF455" s="167"/>
      <c r="AG455" s="73"/>
      <c r="AH455" s="45"/>
      <c r="AI455" s="46"/>
      <c r="AJ455" s="165"/>
      <c r="AK455" s="173"/>
      <c r="AL455" s="167"/>
      <c r="AM455" s="45"/>
      <c r="AN455" s="54"/>
      <c r="AO455" s="54"/>
      <c r="AP455" s="73"/>
      <c r="AQ455" s="165"/>
      <c r="AR455" s="168"/>
      <c r="AS455" s="165"/>
      <c r="AT455" s="190"/>
      <c r="AU455" s="167"/>
      <c r="AV455" s="45"/>
      <c r="AW455" s="54"/>
      <c r="AX455" s="54"/>
      <c r="AY455" s="53"/>
      <c r="AZ455" s="46"/>
      <c r="BA455" s="45"/>
      <c r="BB455" s="45"/>
      <c r="BC455" s="73"/>
      <c r="BD455" s="165"/>
      <c r="BE455" s="165"/>
      <c r="BF455" s="173"/>
      <c r="BG455" s="304"/>
      <c r="BH455" s="601"/>
      <c r="BI455" s="45">
        <v>52</v>
      </c>
      <c r="BJ455" s="46">
        <v>49</v>
      </c>
      <c r="BK455" s="45"/>
      <c r="BL455" s="53"/>
      <c r="BM455" s="200"/>
      <c r="BN455" s="165"/>
      <c r="BO455" s="173"/>
      <c r="BP455" s="190"/>
      <c r="BQ455" s="173"/>
      <c r="BR455" s="168"/>
      <c r="BS455" s="165"/>
      <c r="BT455" s="167"/>
      <c r="BU455" s="199"/>
      <c r="BV455" s="202"/>
      <c r="BW455" s="201"/>
      <c r="BX455" s="201"/>
      <c r="BY455" s="200"/>
      <c r="BZ455" s="45">
        <v>30</v>
      </c>
      <c r="CA455" s="54">
        <v>76</v>
      </c>
      <c r="CB455" s="53">
        <v>17</v>
      </c>
      <c r="CC455" s="46">
        <v>54</v>
      </c>
      <c r="CD455" s="45"/>
      <c r="CE455" s="54"/>
      <c r="CF455" s="54"/>
      <c r="CG455" s="73"/>
      <c r="CH455" s="165"/>
      <c r="CI455" s="167"/>
    </row>
    <row r="456" spans="1:87" x14ac:dyDescent="0.3">
      <c r="A456" s="10">
        <v>7328</v>
      </c>
      <c r="B456" s="11" t="s">
        <v>579</v>
      </c>
      <c r="C456" s="471">
        <v>1059</v>
      </c>
      <c r="D456" s="54">
        <v>503</v>
      </c>
      <c r="E456" s="367">
        <f t="shared" si="7"/>
        <v>0.4749763928234183</v>
      </c>
      <c r="F456" s="45">
        <v>141</v>
      </c>
      <c r="G456" s="45">
        <v>71</v>
      </c>
      <c r="H456" s="45">
        <v>111</v>
      </c>
      <c r="I456" s="45">
        <v>87</v>
      </c>
      <c r="J456" s="46">
        <v>156</v>
      </c>
      <c r="K456" s="45"/>
      <c r="L456" s="107"/>
      <c r="M456" s="541"/>
      <c r="N456" s="45"/>
      <c r="O456" s="45"/>
      <c r="P456" s="53"/>
      <c r="Q456" s="57"/>
      <c r="R456" s="57"/>
      <c r="S456" s="74"/>
      <c r="T456" s="45"/>
      <c r="U456" s="45"/>
      <c r="V456" s="73"/>
      <c r="W456" s="169"/>
      <c r="X456" s="173"/>
      <c r="Y456" s="190"/>
      <c r="Z456" s="167"/>
      <c r="AA456" s="45"/>
      <c r="AB456" s="57"/>
      <c r="AC456" s="169"/>
      <c r="AD456" s="165"/>
      <c r="AE456" s="165"/>
      <c r="AF456" s="167"/>
      <c r="AG456" s="73"/>
      <c r="AH456" s="45"/>
      <c r="AI456" s="46"/>
      <c r="AJ456" s="165"/>
      <c r="AK456" s="173"/>
      <c r="AL456" s="167"/>
      <c r="AM456" s="45"/>
      <c r="AN456" s="54"/>
      <c r="AO456" s="54"/>
      <c r="AP456" s="73"/>
      <c r="AQ456" s="165"/>
      <c r="AR456" s="168"/>
      <c r="AS456" s="165"/>
      <c r="AT456" s="190"/>
      <c r="AU456" s="167"/>
      <c r="AV456" s="45"/>
      <c r="AW456" s="54"/>
      <c r="AX456" s="54"/>
      <c r="AY456" s="53"/>
      <c r="AZ456" s="46"/>
      <c r="BA456" s="45"/>
      <c r="BB456" s="45"/>
      <c r="BC456" s="73"/>
      <c r="BD456" s="165"/>
      <c r="BE456" s="165"/>
      <c r="BF456" s="173"/>
      <c r="BG456" s="304"/>
      <c r="BH456" s="601"/>
      <c r="BI456" s="45">
        <v>57</v>
      </c>
      <c r="BJ456" s="46">
        <v>60</v>
      </c>
      <c r="BK456" s="45"/>
      <c r="BL456" s="53"/>
      <c r="BM456" s="200"/>
      <c r="BN456" s="165"/>
      <c r="BO456" s="173"/>
      <c r="BP456" s="190"/>
      <c r="BQ456" s="173"/>
      <c r="BR456" s="168"/>
      <c r="BS456" s="165"/>
      <c r="BT456" s="167"/>
      <c r="BU456" s="199"/>
      <c r="BV456" s="202"/>
      <c r="BW456" s="201"/>
      <c r="BX456" s="201"/>
      <c r="BY456" s="200"/>
      <c r="BZ456" s="45">
        <v>36</v>
      </c>
      <c r="CA456" s="54">
        <v>91</v>
      </c>
      <c r="CB456" s="53">
        <v>30</v>
      </c>
      <c r="CC456" s="46">
        <v>62</v>
      </c>
      <c r="CD456" s="45"/>
      <c r="CE456" s="54"/>
      <c r="CF456" s="54"/>
      <c r="CG456" s="73"/>
      <c r="CH456" s="165"/>
      <c r="CI456" s="167"/>
    </row>
    <row r="457" spans="1:87" x14ac:dyDescent="0.3">
      <c r="A457" s="10">
        <v>7329</v>
      </c>
      <c r="B457" s="11" t="s">
        <v>580</v>
      </c>
      <c r="C457" s="471">
        <v>1138</v>
      </c>
      <c r="D457" s="54">
        <v>507</v>
      </c>
      <c r="E457" s="367">
        <f t="shared" si="7"/>
        <v>0.44551845342706503</v>
      </c>
      <c r="F457" s="45"/>
      <c r="G457" s="45"/>
      <c r="H457" s="45"/>
      <c r="I457" s="45"/>
      <c r="J457" s="46"/>
      <c r="K457" s="45"/>
      <c r="L457" s="107"/>
      <c r="M457" s="541"/>
      <c r="N457" s="45"/>
      <c r="O457" s="45"/>
      <c r="P457" s="53"/>
      <c r="Q457" s="57"/>
      <c r="R457" s="57"/>
      <c r="S457" s="74"/>
      <c r="T457" s="45"/>
      <c r="U457" s="45"/>
      <c r="V457" s="73"/>
      <c r="W457" s="169"/>
      <c r="X457" s="173"/>
      <c r="Y457" s="190"/>
      <c r="Z457" s="167"/>
      <c r="AA457" s="45"/>
      <c r="AB457" s="57"/>
      <c r="AC457" s="169"/>
      <c r="AD457" s="165"/>
      <c r="AE457" s="165"/>
      <c r="AF457" s="167"/>
      <c r="AG457" s="73"/>
      <c r="AH457" s="45"/>
      <c r="AI457" s="46"/>
      <c r="AJ457" s="165"/>
      <c r="AK457" s="173"/>
      <c r="AL457" s="167"/>
      <c r="AM457" s="45"/>
      <c r="AN457" s="54"/>
      <c r="AO457" s="54"/>
      <c r="AP457" s="73"/>
      <c r="AQ457" s="165"/>
      <c r="AR457" s="168"/>
      <c r="AS457" s="165"/>
      <c r="AT457" s="190"/>
      <c r="AU457" s="167"/>
      <c r="AV457" s="45"/>
      <c r="AW457" s="54"/>
      <c r="AX457" s="54"/>
      <c r="AY457" s="53"/>
      <c r="AZ457" s="46"/>
      <c r="BA457" s="45"/>
      <c r="BB457" s="45"/>
      <c r="BC457" s="73"/>
      <c r="BD457" s="165"/>
      <c r="BE457" s="165"/>
      <c r="BF457" s="173"/>
      <c r="BG457" s="304"/>
      <c r="BH457" s="601"/>
      <c r="BI457" s="45">
        <v>198</v>
      </c>
      <c r="BJ457" s="46">
        <v>242</v>
      </c>
      <c r="BK457" s="45"/>
      <c r="BL457" s="53"/>
      <c r="BM457" s="200"/>
      <c r="BN457" s="165"/>
      <c r="BO457" s="173"/>
      <c r="BP457" s="190"/>
      <c r="BQ457" s="173"/>
      <c r="BR457" s="168"/>
      <c r="BS457" s="165"/>
      <c r="BT457" s="167"/>
      <c r="BU457" s="199"/>
      <c r="BV457" s="202"/>
      <c r="BW457" s="201"/>
      <c r="BX457" s="201"/>
      <c r="BY457" s="200"/>
      <c r="BZ457" s="45">
        <v>118</v>
      </c>
      <c r="CA457" s="54">
        <v>312</v>
      </c>
      <c r="CB457" s="53">
        <v>92</v>
      </c>
      <c r="CC457" s="46">
        <v>196</v>
      </c>
      <c r="CD457" s="45"/>
      <c r="CE457" s="54"/>
      <c r="CF457" s="54"/>
      <c r="CG457" s="73"/>
      <c r="CH457" s="165"/>
      <c r="CI457" s="167"/>
    </row>
    <row r="458" spans="1:87" x14ac:dyDescent="0.3">
      <c r="A458" s="10">
        <v>7330</v>
      </c>
      <c r="B458" s="11" t="s">
        <v>581</v>
      </c>
      <c r="C458" s="471">
        <v>928</v>
      </c>
      <c r="D458" s="54">
        <v>521</v>
      </c>
      <c r="E458" s="367">
        <f t="shared" si="7"/>
        <v>0.56142241379310343</v>
      </c>
      <c r="F458" s="45"/>
      <c r="G458" s="45"/>
      <c r="H458" s="45"/>
      <c r="I458" s="45"/>
      <c r="J458" s="46"/>
      <c r="K458" s="45"/>
      <c r="L458" s="107"/>
      <c r="M458" s="541"/>
      <c r="N458" s="45"/>
      <c r="O458" s="45"/>
      <c r="P458" s="53"/>
      <c r="Q458" s="57"/>
      <c r="R458" s="57"/>
      <c r="S458" s="74"/>
      <c r="T458" s="45"/>
      <c r="U458" s="45"/>
      <c r="V458" s="73"/>
      <c r="W458" s="169"/>
      <c r="X458" s="173"/>
      <c r="Y458" s="190"/>
      <c r="Z458" s="167"/>
      <c r="AA458" s="45"/>
      <c r="AB458" s="57"/>
      <c r="AC458" s="169"/>
      <c r="AD458" s="165"/>
      <c r="AE458" s="165"/>
      <c r="AF458" s="167"/>
      <c r="AG458" s="73"/>
      <c r="AH458" s="45"/>
      <c r="AI458" s="46"/>
      <c r="AJ458" s="165"/>
      <c r="AK458" s="173"/>
      <c r="AL458" s="167"/>
      <c r="AM458" s="45"/>
      <c r="AN458" s="54"/>
      <c r="AO458" s="54"/>
      <c r="AP458" s="73"/>
      <c r="AQ458" s="165"/>
      <c r="AR458" s="168"/>
      <c r="AS458" s="165"/>
      <c r="AT458" s="190"/>
      <c r="AU458" s="167"/>
      <c r="AV458" s="45"/>
      <c r="AW458" s="54"/>
      <c r="AX458" s="54"/>
      <c r="AY458" s="53"/>
      <c r="AZ458" s="46"/>
      <c r="BA458" s="45"/>
      <c r="BB458" s="45"/>
      <c r="BC458" s="73"/>
      <c r="BD458" s="165"/>
      <c r="BE458" s="165"/>
      <c r="BF458" s="173"/>
      <c r="BG458" s="304"/>
      <c r="BH458" s="601"/>
      <c r="BI458" s="45">
        <v>254</v>
      </c>
      <c r="BJ458" s="46">
        <v>250</v>
      </c>
      <c r="BK458" s="45"/>
      <c r="BL458" s="53"/>
      <c r="BM458" s="200"/>
      <c r="BN458" s="165"/>
      <c r="BO458" s="173"/>
      <c r="BP458" s="190"/>
      <c r="BQ458" s="173"/>
      <c r="BR458" s="168"/>
      <c r="BS458" s="165"/>
      <c r="BT458" s="167"/>
      <c r="BU458" s="199"/>
      <c r="BV458" s="202"/>
      <c r="BW458" s="201"/>
      <c r="BX458" s="201"/>
      <c r="BY458" s="200"/>
      <c r="BZ458" s="45">
        <v>144</v>
      </c>
      <c r="CA458" s="54">
        <v>324</v>
      </c>
      <c r="CB458" s="53">
        <v>103</v>
      </c>
      <c r="CC458" s="46">
        <v>204</v>
      </c>
      <c r="CD458" s="45"/>
      <c r="CE458" s="54"/>
      <c r="CF458" s="54"/>
      <c r="CG458" s="73"/>
      <c r="CH458" s="165"/>
      <c r="CI458" s="167"/>
    </row>
    <row r="459" spans="1:87" x14ac:dyDescent="0.3">
      <c r="A459" s="10">
        <v>7331</v>
      </c>
      <c r="B459" s="11" t="s">
        <v>582</v>
      </c>
      <c r="C459" s="471">
        <v>1042</v>
      </c>
      <c r="D459" s="54">
        <v>545</v>
      </c>
      <c r="E459" s="367">
        <f t="shared" si="7"/>
        <v>0.52303262955854124</v>
      </c>
      <c r="F459" s="45"/>
      <c r="G459" s="45"/>
      <c r="H459" s="45"/>
      <c r="I459" s="45"/>
      <c r="J459" s="46"/>
      <c r="K459" s="45"/>
      <c r="L459" s="107"/>
      <c r="M459" s="541"/>
      <c r="N459" s="45"/>
      <c r="O459" s="45"/>
      <c r="P459" s="53"/>
      <c r="Q459" s="57"/>
      <c r="R459" s="57"/>
      <c r="S459" s="74"/>
      <c r="T459" s="45"/>
      <c r="U459" s="45"/>
      <c r="V459" s="73"/>
      <c r="W459" s="169"/>
      <c r="X459" s="173"/>
      <c r="Y459" s="190"/>
      <c r="Z459" s="167"/>
      <c r="AA459" s="45"/>
      <c r="AB459" s="57"/>
      <c r="AC459" s="169"/>
      <c r="AD459" s="165"/>
      <c r="AE459" s="165"/>
      <c r="AF459" s="167"/>
      <c r="AG459" s="73"/>
      <c r="AH459" s="45"/>
      <c r="AI459" s="46"/>
      <c r="AJ459" s="165"/>
      <c r="AK459" s="173"/>
      <c r="AL459" s="167"/>
      <c r="AM459" s="45"/>
      <c r="AN459" s="54"/>
      <c r="AO459" s="54"/>
      <c r="AP459" s="73"/>
      <c r="AQ459" s="165"/>
      <c r="AR459" s="168"/>
      <c r="AS459" s="165"/>
      <c r="AT459" s="190"/>
      <c r="AU459" s="167"/>
      <c r="AV459" s="45"/>
      <c r="AW459" s="54"/>
      <c r="AX459" s="54"/>
      <c r="AY459" s="53"/>
      <c r="AZ459" s="46"/>
      <c r="BA459" s="45"/>
      <c r="BB459" s="45"/>
      <c r="BC459" s="73"/>
      <c r="BD459" s="165"/>
      <c r="BE459" s="165"/>
      <c r="BF459" s="173"/>
      <c r="BG459" s="304"/>
      <c r="BH459" s="601"/>
      <c r="BI459" s="45">
        <v>248</v>
      </c>
      <c r="BJ459" s="46">
        <v>278</v>
      </c>
      <c r="BK459" s="45"/>
      <c r="BL459" s="53"/>
      <c r="BM459" s="200"/>
      <c r="BN459" s="165"/>
      <c r="BO459" s="173"/>
      <c r="BP459" s="190"/>
      <c r="BQ459" s="173"/>
      <c r="BR459" s="168"/>
      <c r="BS459" s="165"/>
      <c r="BT459" s="167"/>
      <c r="BU459" s="45">
        <v>131</v>
      </c>
      <c r="BV459" s="53">
        <v>208</v>
      </c>
      <c r="BW459" s="54">
        <v>126</v>
      </c>
      <c r="BX459" s="54">
        <v>171</v>
      </c>
      <c r="BY459" s="46">
        <v>119</v>
      </c>
      <c r="BZ459" s="45"/>
      <c r="CA459" s="54"/>
      <c r="CB459" s="53"/>
      <c r="CC459" s="46"/>
      <c r="CD459" s="45"/>
      <c r="CE459" s="54"/>
      <c r="CF459" s="54"/>
      <c r="CG459" s="73"/>
      <c r="CH459" s="165"/>
      <c r="CI459" s="167"/>
    </row>
    <row r="460" spans="1:87" x14ac:dyDescent="0.3">
      <c r="A460" s="10">
        <v>7332</v>
      </c>
      <c r="B460" s="11" t="s">
        <v>583</v>
      </c>
      <c r="C460" s="471">
        <v>1011</v>
      </c>
      <c r="D460" s="54">
        <v>549</v>
      </c>
      <c r="E460" s="367">
        <f t="shared" si="7"/>
        <v>0.54302670623145399</v>
      </c>
      <c r="F460" s="45">
        <v>44</v>
      </c>
      <c r="G460" s="45">
        <v>26</v>
      </c>
      <c r="H460" s="45">
        <v>42</v>
      </c>
      <c r="I460" s="45">
        <v>29</v>
      </c>
      <c r="J460" s="46">
        <v>29</v>
      </c>
      <c r="K460" s="45"/>
      <c r="L460" s="107"/>
      <c r="M460" s="541"/>
      <c r="N460" s="45"/>
      <c r="O460" s="45"/>
      <c r="P460" s="53"/>
      <c r="Q460" s="57"/>
      <c r="R460" s="57"/>
      <c r="S460" s="74"/>
      <c r="T460" s="45"/>
      <c r="U460" s="45"/>
      <c r="V460" s="73"/>
      <c r="W460" s="169"/>
      <c r="X460" s="173"/>
      <c r="Y460" s="190"/>
      <c r="Z460" s="167"/>
      <c r="AA460" s="45"/>
      <c r="AB460" s="57"/>
      <c r="AC460" s="169"/>
      <c r="AD460" s="165"/>
      <c r="AE460" s="165"/>
      <c r="AF460" s="167"/>
      <c r="AG460" s="73"/>
      <c r="AH460" s="45"/>
      <c r="AI460" s="46"/>
      <c r="AJ460" s="165"/>
      <c r="AK460" s="173"/>
      <c r="AL460" s="167"/>
      <c r="AM460" s="45"/>
      <c r="AN460" s="54"/>
      <c r="AO460" s="54"/>
      <c r="AP460" s="73"/>
      <c r="AQ460" s="165"/>
      <c r="AR460" s="168"/>
      <c r="AS460" s="165"/>
      <c r="AT460" s="190"/>
      <c r="AU460" s="167"/>
      <c r="AV460" s="45"/>
      <c r="AW460" s="54"/>
      <c r="AX460" s="54"/>
      <c r="AY460" s="53"/>
      <c r="AZ460" s="46"/>
      <c r="BA460" s="45"/>
      <c r="BB460" s="45"/>
      <c r="BC460" s="73"/>
      <c r="BD460" s="165"/>
      <c r="BE460" s="165"/>
      <c r="BF460" s="173"/>
      <c r="BG460" s="304"/>
      <c r="BH460" s="601"/>
      <c r="BI460" s="45">
        <v>188</v>
      </c>
      <c r="BJ460" s="46">
        <v>208</v>
      </c>
      <c r="BK460" s="45"/>
      <c r="BL460" s="53"/>
      <c r="BM460" s="200"/>
      <c r="BN460" s="165"/>
      <c r="BO460" s="173"/>
      <c r="BP460" s="190"/>
      <c r="BQ460" s="173"/>
      <c r="BR460" s="168"/>
      <c r="BS460" s="165"/>
      <c r="BT460" s="167"/>
      <c r="BU460" s="45">
        <v>87</v>
      </c>
      <c r="BV460" s="53">
        <v>141</v>
      </c>
      <c r="BW460" s="54">
        <v>77</v>
      </c>
      <c r="BX460" s="54">
        <v>141</v>
      </c>
      <c r="BY460" s="46">
        <v>66</v>
      </c>
      <c r="BZ460" s="45"/>
      <c r="CA460" s="54"/>
      <c r="CB460" s="53"/>
      <c r="CC460" s="46"/>
      <c r="CD460" s="45"/>
      <c r="CE460" s="54"/>
      <c r="CF460" s="54"/>
      <c r="CG460" s="73"/>
      <c r="CH460" s="165"/>
      <c r="CI460" s="167"/>
    </row>
    <row r="461" spans="1:87" x14ac:dyDescent="0.3">
      <c r="A461" s="10">
        <v>7333</v>
      </c>
      <c r="B461" s="11" t="s">
        <v>584</v>
      </c>
      <c r="C461" s="471">
        <v>1232</v>
      </c>
      <c r="D461" s="54">
        <v>734</v>
      </c>
      <c r="E461" s="367">
        <f t="shared" si="7"/>
        <v>0.59577922077922074</v>
      </c>
      <c r="F461" s="45"/>
      <c r="G461" s="45"/>
      <c r="H461" s="45"/>
      <c r="I461" s="45"/>
      <c r="J461" s="46"/>
      <c r="K461" s="45"/>
      <c r="L461" s="107"/>
      <c r="M461" s="541"/>
      <c r="N461" s="45"/>
      <c r="O461" s="45"/>
      <c r="P461" s="53"/>
      <c r="Q461" s="57"/>
      <c r="R461" s="57"/>
      <c r="S461" s="74"/>
      <c r="T461" s="45"/>
      <c r="U461" s="45"/>
      <c r="V461" s="73"/>
      <c r="W461" s="169"/>
      <c r="X461" s="173"/>
      <c r="Y461" s="190"/>
      <c r="Z461" s="167"/>
      <c r="AA461" s="45"/>
      <c r="AB461" s="57"/>
      <c r="AC461" s="169"/>
      <c r="AD461" s="165"/>
      <c r="AE461" s="165"/>
      <c r="AF461" s="167"/>
      <c r="AG461" s="73"/>
      <c r="AH461" s="45"/>
      <c r="AI461" s="46"/>
      <c r="AJ461" s="165"/>
      <c r="AK461" s="173"/>
      <c r="AL461" s="167"/>
      <c r="AM461" s="45"/>
      <c r="AN461" s="54"/>
      <c r="AO461" s="54"/>
      <c r="AP461" s="73"/>
      <c r="AQ461" s="165"/>
      <c r="AR461" s="168"/>
      <c r="AS461" s="165"/>
      <c r="AT461" s="190"/>
      <c r="AU461" s="167"/>
      <c r="AV461" s="45"/>
      <c r="AW461" s="54"/>
      <c r="AX461" s="54"/>
      <c r="AY461" s="53"/>
      <c r="AZ461" s="46"/>
      <c r="BA461" s="45"/>
      <c r="BB461" s="45"/>
      <c r="BC461" s="73"/>
      <c r="BD461" s="165"/>
      <c r="BE461" s="165"/>
      <c r="BF461" s="173"/>
      <c r="BG461" s="304"/>
      <c r="BH461" s="601"/>
      <c r="BI461" s="45">
        <v>345</v>
      </c>
      <c r="BJ461" s="46">
        <v>357</v>
      </c>
      <c r="BK461" s="45"/>
      <c r="BL461" s="53"/>
      <c r="BM461" s="200"/>
      <c r="BN461" s="165"/>
      <c r="BO461" s="173"/>
      <c r="BP461" s="190"/>
      <c r="BQ461" s="173"/>
      <c r="BR461" s="168"/>
      <c r="BS461" s="165"/>
      <c r="BT461" s="167"/>
      <c r="BU461" s="199"/>
      <c r="BV461" s="202"/>
      <c r="BW461" s="201"/>
      <c r="BX461" s="201"/>
      <c r="BY461" s="200"/>
      <c r="BZ461" s="45">
        <v>204</v>
      </c>
      <c r="CA461" s="54">
        <v>480</v>
      </c>
      <c r="CB461" s="53">
        <v>141</v>
      </c>
      <c r="CC461" s="46">
        <v>385</v>
      </c>
      <c r="CD461" s="45"/>
      <c r="CE461" s="54"/>
      <c r="CF461" s="54"/>
      <c r="CG461" s="73"/>
      <c r="CH461" s="165"/>
      <c r="CI461" s="167"/>
    </row>
    <row r="462" spans="1:87" x14ac:dyDescent="0.3">
      <c r="A462" s="10">
        <v>7334</v>
      </c>
      <c r="B462" s="11" t="s">
        <v>585</v>
      </c>
      <c r="C462" s="471">
        <v>1228</v>
      </c>
      <c r="D462" s="54">
        <v>622</v>
      </c>
      <c r="E462" s="367">
        <f t="shared" si="7"/>
        <v>0.50651465798045603</v>
      </c>
      <c r="F462" s="45"/>
      <c r="G462" s="45"/>
      <c r="H462" s="45"/>
      <c r="I462" s="45"/>
      <c r="J462" s="46"/>
      <c r="K462" s="45"/>
      <c r="L462" s="107"/>
      <c r="M462" s="541"/>
      <c r="N462" s="45"/>
      <c r="O462" s="45"/>
      <c r="P462" s="53"/>
      <c r="Q462" s="57"/>
      <c r="R462" s="57"/>
      <c r="S462" s="74"/>
      <c r="T462" s="45"/>
      <c r="U462" s="45"/>
      <c r="V462" s="73"/>
      <c r="W462" s="169"/>
      <c r="X462" s="173"/>
      <c r="Y462" s="190"/>
      <c r="Z462" s="167"/>
      <c r="AA462" s="45"/>
      <c r="AB462" s="57"/>
      <c r="AC462" s="169"/>
      <c r="AD462" s="165"/>
      <c r="AE462" s="165"/>
      <c r="AF462" s="167"/>
      <c r="AG462" s="73"/>
      <c r="AH462" s="45"/>
      <c r="AI462" s="46"/>
      <c r="AJ462" s="165"/>
      <c r="AK462" s="173"/>
      <c r="AL462" s="167"/>
      <c r="AM462" s="45"/>
      <c r="AN462" s="54"/>
      <c r="AO462" s="54"/>
      <c r="AP462" s="73"/>
      <c r="AQ462" s="165"/>
      <c r="AR462" s="168"/>
      <c r="AS462" s="165"/>
      <c r="AT462" s="190"/>
      <c r="AU462" s="167"/>
      <c r="AV462" s="45"/>
      <c r="AW462" s="54"/>
      <c r="AX462" s="54"/>
      <c r="AY462" s="53"/>
      <c r="AZ462" s="46"/>
      <c r="BA462" s="45"/>
      <c r="BB462" s="45"/>
      <c r="BC462" s="73"/>
      <c r="BD462" s="165"/>
      <c r="BE462" s="165"/>
      <c r="BF462" s="173"/>
      <c r="BG462" s="304"/>
      <c r="BH462" s="601"/>
      <c r="BI462" s="45">
        <v>274</v>
      </c>
      <c r="BJ462" s="46">
        <v>288</v>
      </c>
      <c r="BK462" s="45"/>
      <c r="BL462" s="53"/>
      <c r="BM462" s="200"/>
      <c r="BN462" s="165"/>
      <c r="BO462" s="173"/>
      <c r="BP462" s="190"/>
      <c r="BQ462" s="173"/>
      <c r="BR462" s="168"/>
      <c r="BS462" s="165"/>
      <c r="BT462" s="167"/>
      <c r="BU462" s="45">
        <v>156</v>
      </c>
      <c r="BV462" s="53">
        <v>200</v>
      </c>
      <c r="BW462" s="54">
        <v>136</v>
      </c>
      <c r="BX462" s="54">
        <v>248</v>
      </c>
      <c r="BY462" s="46">
        <v>120</v>
      </c>
      <c r="BZ462" s="45"/>
      <c r="CA462" s="54"/>
      <c r="CB462" s="53"/>
      <c r="CC462" s="46"/>
      <c r="CD462" s="45"/>
      <c r="CE462" s="54"/>
      <c r="CF462" s="54"/>
      <c r="CG462" s="73"/>
      <c r="CH462" s="165"/>
      <c r="CI462" s="167"/>
    </row>
    <row r="463" spans="1:87" x14ac:dyDescent="0.3">
      <c r="A463" s="10">
        <v>7335</v>
      </c>
      <c r="B463" s="11" t="s">
        <v>586</v>
      </c>
      <c r="C463" s="471">
        <v>722</v>
      </c>
      <c r="D463" s="54">
        <v>315</v>
      </c>
      <c r="E463" s="367">
        <f t="shared" si="7"/>
        <v>0.43628808864265928</v>
      </c>
      <c r="F463" s="45"/>
      <c r="G463" s="45"/>
      <c r="H463" s="45"/>
      <c r="I463" s="45"/>
      <c r="J463" s="46"/>
      <c r="K463" s="45"/>
      <c r="L463" s="107"/>
      <c r="M463" s="541"/>
      <c r="N463" s="45"/>
      <c r="O463" s="45"/>
      <c r="P463" s="53"/>
      <c r="Q463" s="57"/>
      <c r="R463" s="57"/>
      <c r="S463" s="74"/>
      <c r="T463" s="45"/>
      <c r="U463" s="45"/>
      <c r="V463" s="73"/>
      <c r="W463" s="169"/>
      <c r="X463" s="173"/>
      <c r="Y463" s="190"/>
      <c r="Z463" s="167"/>
      <c r="AA463" s="45"/>
      <c r="AB463" s="57"/>
      <c r="AC463" s="169"/>
      <c r="AD463" s="165"/>
      <c r="AE463" s="165"/>
      <c r="AF463" s="167"/>
      <c r="AG463" s="73"/>
      <c r="AH463" s="45"/>
      <c r="AI463" s="46"/>
      <c r="AJ463" s="165"/>
      <c r="AK463" s="173"/>
      <c r="AL463" s="167"/>
      <c r="AM463" s="45"/>
      <c r="AN463" s="54"/>
      <c r="AO463" s="54"/>
      <c r="AP463" s="73"/>
      <c r="AQ463" s="165"/>
      <c r="AR463" s="168"/>
      <c r="AS463" s="165"/>
      <c r="AT463" s="190"/>
      <c r="AU463" s="167"/>
      <c r="AV463" s="45"/>
      <c r="AW463" s="54"/>
      <c r="AX463" s="54"/>
      <c r="AY463" s="53"/>
      <c r="AZ463" s="46"/>
      <c r="BA463" s="45"/>
      <c r="BB463" s="45"/>
      <c r="BC463" s="73"/>
      <c r="BD463" s="165"/>
      <c r="BE463" s="165"/>
      <c r="BF463" s="173"/>
      <c r="BG463" s="304"/>
      <c r="BH463" s="601"/>
      <c r="BI463" s="45">
        <v>131</v>
      </c>
      <c r="BJ463" s="46">
        <v>164</v>
      </c>
      <c r="BK463" s="45"/>
      <c r="BL463" s="53"/>
      <c r="BM463" s="200"/>
      <c r="BN463" s="165"/>
      <c r="BO463" s="173"/>
      <c r="BP463" s="190"/>
      <c r="BQ463" s="173"/>
      <c r="BR463" s="168"/>
      <c r="BS463" s="165"/>
      <c r="BT463" s="167"/>
      <c r="BU463" s="45">
        <v>55</v>
      </c>
      <c r="BV463" s="53">
        <v>92</v>
      </c>
      <c r="BW463" s="54">
        <v>130</v>
      </c>
      <c r="BX463" s="54">
        <v>76</v>
      </c>
      <c r="BY463" s="46">
        <v>57</v>
      </c>
      <c r="BZ463" s="45"/>
      <c r="CA463" s="54"/>
      <c r="CB463" s="53"/>
      <c r="CC463" s="46"/>
      <c r="CD463" s="45"/>
      <c r="CE463" s="54"/>
      <c r="CF463" s="54"/>
      <c r="CG463" s="73"/>
      <c r="CH463" s="165"/>
      <c r="CI463" s="167"/>
    </row>
    <row r="464" spans="1:87" x14ac:dyDescent="0.3">
      <c r="A464" s="10">
        <v>7336</v>
      </c>
      <c r="B464" s="11" t="s">
        <v>587</v>
      </c>
      <c r="C464" s="471">
        <v>1175</v>
      </c>
      <c r="D464" s="54">
        <v>632</v>
      </c>
      <c r="E464" s="367">
        <f t="shared" si="7"/>
        <v>0.53787234042553189</v>
      </c>
      <c r="F464" s="45">
        <v>230</v>
      </c>
      <c r="G464" s="45">
        <v>85</v>
      </c>
      <c r="H464" s="45">
        <v>188</v>
      </c>
      <c r="I464" s="45">
        <v>190</v>
      </c>
      <c r="J464" s="46">
        <v>304</v>
      </c>
      <c r="K464" s="45"/>
      <c r="L464" s="107"/>
      <c r="M464" s="541"/>
      <c r="N464" s="45"/>
      <c r="O464" s="45"/>
      <c r="P464" s="53"/>
      <c r="Q464" s="57"/>
      <c r="R464" s="57"/>
      <c r="S464" s="74"/>
      <c r="T464" s="45"/>
      <c r="U464" s="45"/>
      <c r="V464" s="73"/>
      <c r="W464" s="169"/>
      <c r="X464" s="173"/>
      <c r="Y464" s="190"/>
      <c r="Z464" s="167"/>
      <c r="AA464" s="45"/>
      <c r="AB464" s="57"/>
      <c r="AC464" s="169"/>
      <c r="AD464" s="165"/>
      <c r="AE464" s="165"/>
      <c r="AF464" s="167"/>
      <c r="AG464" s="73"/>
      <c r="AH464" s="45"/>
      <c r="AI464" s="46"/>
      <c r="AJ464" s="165"/>
      <c r="AK464" s="173"/>
      <c r="AL464" s="167"/>
      <c r="AM464" s="45"/>
      <c r="AN464" s="54"/>
      <c r="AO464" s="54"/>
      <c r="AP464" s="73"/>
      <c r="AQ464" s="165"/>
      <c r="AR464" s="168"/>
      <c r="AS464" s="165"/>
      <c r="AT464" s="190"/>
      <c r="AU464" s="167"/>
      <c r="AV464" s="45"/>
      <c r="AW464" s="54"/>
      <c r="AX464" s="54"/>
      <c r="AY464" s="53"/>
      <c r="AZ464" s="46"/>
      <c r="BA464" s="45"/>
      <c r="BB464" s="45"/>
      <c r="BC464" s="73"/>
      <c r="BD464" s="165"/>
      <c r="BE464" s="165"/>
      <c r="BF464" s="173"/>
      <c r="BG464" s="304"/>
      <c r="BH464" s="601"/>
      <c r="BI464" s="45"/>
      <c r="BJ464" s="46"/>
      <c r="BK464" s="45"/>
      <c r="BL464" s="53"/>
      <c r="BM464" s="200"/>
      <c r="BN464" s="165"/>
      <c r="BO464" s="173"/>
      <c r="BP464" s="190"/>
      <c r="BQ464" s="173"/>
      <c r="BR464" s="168"/>
      <c r="BS464" s="165"/>
      <c r="BT464" s="167"/>
      <c r="BU464" s="199"/>
      <c r="BV464" s="202"/>
      <c r="BW464" s="201"/>
      <c r="BX464" s="201"/>
      <c r="BY464" s="200"/>
      <c r="BZ464" s="45"/>
      <c r="CA464" s="54"/>
      <c r="CB464" s="53"/>
      <c r="CC464" s="46"/>
      <c r="CD464" s="45"/>
      <c r="CE464" s="54"/>
      <c r="CF464" s="54"/>
      <c r="CG464" s="73"/>
      <c r="CH464" s="165"/>
      <c r="CI464" s="167"/>
    </row>
    <row r="465" spans="1:87" x14ac:dyDescent="0.3">
      <c r="A465" s="10">
        <v>7337</v>
      </c>
      <c r="B465" s="11" t="s">
        <v>588</v>
      </c>
      <c r="C465" s="471">
        <v>1095</v>
      </c>
      <c r="D465" s="54">
        <v>649</v>
      </c>
      <c r="E465" s="367">
        <f t="shared" si="7"/>
        <v>0.59269406392694068</v>
      </c>
      <c r="F465" s="45"/>
      <c r="G465" s="45"/>
      <c r="H465" s="45"/>
      <c r="I465" s="45"/>
      <c r="J465" s="46"/>
      <c r="K465" s="45"/>
      <c r="L465" s="107"/>
      <c r="M465" s="541"/>
      <c r="N465" s="45"/>
      <c r="O465" s="45"/>
      <c r="P465" s="53"/>
      <c r="Q465" s="57"/>
      <c r="R465" s="57"/>
      <c r="S465" s="74"/>
      <c r="T465" s="45"/>
      <c r="U465" s="45"/>
      <c r="V465" s="73"/>
      <c r="W465" s="169"/>
      <c r="X465" s="173"/>
      <c r="Y465" s="190"/>
      <c r="Z465" s="167"/>
      <c r="AA465" s="45"/>
      <c r="AB465" s="57"/>
      <c r="AC465" s="169"/>
      <c r="AD465" s="165"/>
      <c r="AE465" s="165"/>
      <c r="AF465" s="167"/>
      <c r="AG465" s="73"/>
      <c r="AH465" s="45"/>
      <c r="AI465" s="46"/>
      <c r="AJ465" s="165"/>
      <c r="AK465" s="173"/>
      <c r="AL465" s="167"/>
      <c r="AM465" s="45"/>
      <c r="AN465" s="54"/>
      <c r="AO465" s="54"/>
      <c r="AP465" s="73"/>
      <c r="AQ465" s="165"/>
      <c r="AR465" s="168"/>
      <c r="AS465" s="165"/>
      <c r="AT465" s="190"/>
      <c r="AU465" s="167"/>
      <c r="AV465" s="45"/>
      <c r="AW465" s="54"/>
      <c r="AX465" s="54"/>
      <c r="AY465" s="53"/>
      <c r="AZ465" s="46"/>
      <c r="BA465" s="45"/>
      <c r="BB465" s="45"/>
      <c r="BC465" s="73"/>
      <c r="BD465" s="165"/>
      <c r="BE465" s="165"/>
      <c r="BF465" s="173"/>
      <c r="BG465" s="304"/>
      <c r="BH465" s="601"/>
      <c r="BI465" s="45">
        <v>301</v>
      </c>
      <c r="BJ465" s="46">
        <v>259</v>
      </c>
      <c r="BK465" s="45"/>
      <c r="BL465" s="53"/>
      <c r="BM465" s="200"/>
      <c r="BN465" s="165"/>
      <c r="BO465" s="173"/>
      <c r="BP465" s="190"/>
      <c r="BQ465" s="173"/>
      <c r="BR465" s="168"/>
      <c r="BS465" s="165"/>
      <c r="BT465" s="167"/>
      <c r="BU465" s="199"/>
      <c r="BV465" s="202"/>
      <c r="BW465" s="201"/>
      <c r="BX465" s="201"/>
      <c r="BY465" s="200"/>
      <c r="BZ465" s="45">
        <v>173</v>
      </c>
      <c r="CA465" s="54">
        <v>410</v>
      </c>
      <c r="CB465" s="53">
        <v>111</v>
      </c>
      <c r="CC465" s="46">
        <v>289</v>
      </c>
      <c r="CD465" s="45"/>
      <c r="CE465" s="54"/>
      <c r="CF465" s="54"/>
      <c r="CG465" s="73"/>
      <c r="CH465" s="165"/>
      <c r="CI465" s="167"/>
    </row>
    <row r="466" spans="1:87" x14ac:dyDescent="0.3">
      <c r="A466" s="10">
        <v>7338</v>
      </c>
      <c r="B466" s="11" t="s">
        <v>589</v>
      </c>
      <c r="C466" s="471">
        <v>943</v>
      </c>
      <c r="D466" s="54">
        <v>591</v>
      </c>
      <c r="E466" s="367">
        <f t="shared" si="7"/>
        <v>0.62672322375397671</v>
      </c>
      <c r="F466" s="45"/>
      <c r="G466" s="45"/>
      <c r="H466" s="45"/>
      <c r="I466" s="45"/>
      <c r="J466" s="46"/>
      <c r="K466" s="45"/>
      <c r="L466" s="107"/>
      <c r="M466" s="541"/>
      <c r="N466" s="45"/>
      <c r="O466" s="45"/>
      <c r="P466" s="53"/>
      <c r="Q466" s="57"/>
      <c r="R466" s="57"/>
      <c r="S466" s="74"/>
      <c r="T466" s="45"/>
      <c r="U466" s="45"/>
      <c r="V466" s="73"/>
      <c r="W466" s="169"/>
      <c r="X466" s="173"/>
      <c r="Y466" s="190"/>
      <c r="Z466" s="167"/>
      <c r="AA466" s="45"/>
      <c r="AB466" s="57"/>
      <c r="AC466" s="169"/>
      <c r="AD466" s="165"/>
      <c r="AE466" s="173"/>
      <c r="AF466" s="168"/>
      <c r="AG466" s="73"/>
      <c r="AH466" s="45"/>
      <c r="AI466" s="46"/>
      <c r="AJ466" s="165"/>
      <c r="AK466" s="173"/>
      <c r="AL466" s="167"/>
      <c r="AM466" s="45"/>
      <c r="AN466" s="54"/>
      <c r="AO466" s="54"/>
      <c r="AP466" s="73"/>
      <c r="AQ466" s="165"/>
      <c r="AR466" s="168"/>
      <c r="AS466" s="165"/>
      <c r="AT466" s="190"/>
      <c r="AU466" s="167"/>
      <c r="AV466" s="45"/>
      <c r="AW466" s="54"/>
      <c r="AX466" s="54"/>
      <c r="AY466" s="53"/>
      <c r="AZ466" s="46"/>
      <c r="BA466" s="45"/>
      <c r="BB466" s="45"/>
      <c r="BC466" s="73"/>
      <c r="BD466" s="165"/>
      <c r="BE466" s="165"/>
      <c r="BF466" s="173"/>
      <c r="BG466" s="304"/>
      <c r="BH466" s="601"/>
      <c r="BI466" s="45">
        <v>255</v>
      </c>
      <c r="BJ466" s="46">
        <v>250</v>
      </c>
      <c r="BK466" s="45"/>
      <c r="BL466" s="53"/>
      <c r="BM466" s="200"/>
      <c r="BN466" s="165"/>
      <c r="BO466" s="173"/>
      <c r="BP466" s="190"/>
      <c r="BQ466" s="173"/>
      <c r="BR466" s="168"/>
      <c r="BS466" s="165"/>
      <c r="BT466" s="167"/>
      <c r="BU466" s="45">
        <v>103</v>
      </c>
      <c r="BV466" s="53">
        <v>123</v>
      </c>
      <c r="BW466" s="54">
        <v>60</v>
      </c>
      <c r="BX466" s="54">
        <v>166</v>
      </c>
      <c r="BY466" s="46">
        <v>81</v>
      </c>
      <c r="BZ466" s="45">
        <v>66</v>
      </c>
      <c r="CA466" s="54">
        <v>118</v>
      </c>
      <c r="CB466" s="53">
        <v>33</v>
      </c>
      <c r="CC466" s="46">
        <v>60</v>
      </c>
      <c r="CD466" s="45"/>
      <c r="CE466" s="54"/>
      <c r="CF466" s="54"/>
      <c r="CG466" s="73"/>
      <c r="CH466" s="165"/>
      <c r="CI466" s="167"/>
    </row>
    <row r="467" spans="1:87" x14ac:dyDescent="0.3">
      <c r="A467" s="10">
        <v>7339</v>
      </c>
      <c r="B467" s="11" t="s">
        <v>590</v>
      </c>
      <c r="C467" s="471">
        <v>697</v>
      </c>
      <c r="D467" s="54">
        <v>458</v>
      </c>
      <c r="E467" s="367">
        <f t="shared" si="7"/>
        <v>0.65710186513629842</v>
      </c>
      <c r="F467" s="45"/>
      <c r="G467" s="45"/>
      <c r="H467" s="45"/>
      <c r="I467" s="45"/>
      <c r="J467" s="46"/>
      <c r="K467" s="45"/>
      <c r="L467" s="107"/>
      <c r="M467" s="541"/>
      <c r="N467" s="45"/>
      <c r="O467" s="45"/>
      <c r="P467" s="53"/>
      <c r="Q467" s="57"/>
      <c r="R467" s="57"/>
      <c r="S467" s="74"/>
      <c r="T467" s="45"/>
      <c r="U467" s="45"/>
      <c r="V467" s="73"/>
      <c r="W467" s="169"/>
      <c r="X467" s="173"/>
      <c r="Y467" s="190"/>
      <c r="Z467" s="167"/>
      <c r="AA467" s="45"/>
      <c r="AB467" s="57"/>
      <c r="AC467" s="169"/>
      <c r="AD467" s="165"/>
      <c r="AE467" s="173"/>
      <c r="AF467" s="168"/>
      <c r="AG467" s="73"/>
      <c r="AH467" s="45"/>
      <c r="AI467" s="46"/>
      <c r="AJ467" s="165"/>
      <c r="AK467" s="173"/>
      <c r="AL467" s="167"/>
      <c r="AM467" s="45"/>
      <c r="AN467" s="54"/>
      <c r="AO467" s="54"/>
      <c r="AP467" s="73"/>
      <c r="AQ467" s="165"/>
      <c r="AR467" s="168"/>
      <c r="AS467" s="165"/>
      <c r="AT467" s="190"/>
      <c r="AU467" s="167"/>
      <c r="AV467" s="45"/>
      <c r="AW467" s="54"/>
      <c r="AX467" s="54"/>
      <c r="AY467" s="53"/>
      <c r="AZ467" s="46"/>
      <c r="BA467" s="45"/>
      <c r="BB467" s="45"/>
      <c r="BC467" s="73"/>
      <c r="BD467" s="165"/>
      <c r="BE467" s="165"/>
      <c r="BF467" s="173"/>
      <c r="BG467" s="304"/>
      <c r="BH467" s="601"/>
      <c r="BI467" s="45">
        <v>190</v>
      </c>
      <c r="BJ467" s="46">
        <v>180</v>
      </c>
      <c r="BK467" s="45"/>
      <c r="BL467" s="53"/>
      <c r="BM467" s="200"/>
      <c r="BN467" s="165"/>
      <c r="BO467" s="173"/>
      <c r="BP467" s="190"/>
      <c r="BQ467" s="173"/>
      <c r="BR467" s="168"/>
      <c r="BS467" s="165"/>
      <c r="BT467" s="167"/>
      <c r="BU467" s="199"/>
      <c r="BV467" s="202"/>
      <c r="BW467" s="201"/>
      <c r="BX467" s="201"/>
      <c r="BY467" s="200"/>
      <c r="BZ467" s="45">
        <v>140</v>
      </c>
      <c r="CA467" s="54">
        <v>288</v>
      </c>
      <c r="CB467" s="53">
        <v>82</v>
      </c>
      <c r="CC467" s="46">
        <v>212</v>
      </c>
      <c r="CD467" s="45"/>
      <c r="CE467" s="54"/>
      <c r="CF467" s="54"/>
      <c r="CG467" s="73"/>
      <c r="CH467" s="165"/>
      <c r="CI467" s="167"/>
    </row>
    <row r="468" spans="1:87" x14ac:dyDescent="0.3">
      <c r="A468" s="10">
        <v>7340</v>
      </c>
      <c r="B468" s="11" t="s">
        <v>591</v>
      </c>
      <c r="C468" s="471">
        <v>671</v>
      </c>
      <c r="D468" s="54">
        <v>385</v>
      </c>
      <c r="E468" s="367">
        <f t="shared" si="7"/>
        <v>0.57377049180327866</v>
      </c>
      <c r="F468" s="45"/>
      <c r="G468" s="45"/>
      <c r="H468" s="45"/>
      <c r="I468" s="45"/>
      <c r="J468" s="46"/>
      <c r="K468" s="45"/>
      <c r="L468" s="107"/>
      <c r="M468" s="541"/>
      <c r="N468" s="45"/>
      <c r="O468" s="45"/>
      <c r="P468" s="53"/>
      <c r="Q468" s="57"/>
      <c r="R468" s="57"/>
      <c r="S468" s="74"/>
      <c r="T468" s="45"/>
      <c r="U468" s="45"/>
      <c r="V468" s="73"/>
      <c r="W468" s="169"/>
      <c r="X468" s="173"/>
      <c r="Y468" s="190"/>
      <c r="Z468" s="167"/>
      <c r="AA468" s="45"/>
      <c r="AB468" s="57"/>
      <c r="AC468" s="169"/>
      <c r="AD468" s="165"/>
      <c r="AE468" s="173"/>
      <c r="AF468" s="168"/>
      <c r="AG468" s="73"/>
      <c r="AH468" s="45"/>
      <c r="AI468" s="46"/>
      <c r="AJ468" s="165"/>
      <c r="AK468" s="173"/>
      <c r="AL468" s="167"/>
      <c r="AM468" s="45"/>
      <c r="AN468" s="54"/>
      <c r="AO468" s="54"/>
      <c r="AP468" s="73"/>
      <c r="AQ468" s="165"/>
      <c r="AR468" s="168"/>
      <c r="AS468" s="165"/>
      <c r="AT468" s="190"/>
      <c r="AU468" s="167"/>
      <c r="AV468" s="45"/>
      <c r="AW468" s="54"/>
      <c r="AX468" s="54"/>
      <c r="AY468" s="53"/>
      <c r="AZ468" s="46"/>
      <c r="BA468" s="45"/>
      <c r="BB468" s="45"/>
      <c r="BC468" s="73"/>
      <c r="BD468" s="165"/>
      <c r="BE468" s="165"/>
      <c r="BF468" s="173"/>
      <c r="BG468" s="304"/>
      <c r="BH468" s="601"/>
      <c r="BI468" s="45">
        <v>171</v>
      </c>
      <c r="BJ468" s="46">
        <v>153</v>
      </c>
      <c r="BK468" s="45"/>
      <c r="BL468" s="53"/>
      <c r="BM468" s="200"/>
      <c r="BN468" s="165"/>
      <c r="BO468" s="173"/>
      <c r="BP468" s="190"/>
      <c r="BQ468" s="173"/>
      <c r="BR468" s="168"/>
      <c r="BS468" s="165"/>
      <c r="BT468" s="167"/>
      <c r="BU468" s="199"/>
      <c r="BV468" s="202"/>
      <c r="BW468" s="201"/>
      <c r="BX468" s="201"/>
      <c r="BY468" s="200"/>
      <c r="BZ468" s="45">
        <v>81</v>
      </c>
      <c r="CA468" s="54">
        <v>238</v>
      </c>
      <c r="CB468" s="53">
        <v>51</v>
      </c>
      <c r="CC468" s="46">
        <v>187</v>
      </c>
      <c r="CD468" s="45"/>
      <c r="CE468" s="54"/>
      <c r="CF468" s="54"/>
      <c r="CG468" s="73"/>
      <c r="CH468" s="165"/>
      <c r="CI468" s="167"/>
    </row>
    <row r="469" spans="1:87" x14ac:dyDescent="0.3">
      <c r="A469" s="10">
        <v>7341</v>
      </c>
      <c r="B469" s="11" t="s">
        <v>592</v>
      </c>
      <c r="C469" s="471">
        <v>615</v>
      </c>
      <c r="D469" s="54">
        <v>346</v>
      </c>
      <c r="E469" s="367">
        <f t="shared" si="7"/>
        <v>0.56260162601626018</v>
      </c>
      <c r="F469" s="45"/>
      <c r="G469" s="45"/>
      <c r="H469" s="45"/>
      <c r="I469" s="45"/>
      <c r="J469" s="46"/>
      <c r="K469" s="45"/>
      <c r="L469" s="107"/>
      <c r="M469" s="541"/>
      <c r="N469" s="45"/>
      <c r="O469" s="45"/>
      <c r="P469" s="53"/>
      <c r="Q469" s="57"/>
      <c r="R469" s="57"/>
      <c r="S469" s="74"/>
      <c r="T469" s="45"/>
      <c r="U469" s="45"/>
      <c r="V469" s="73"/>
      <c r="W469" s="169"/>
      <c r="X469" s="173"/>
      <c r="Y469" s="190"/>
      <c r="Z469" s="167"/>
      <c r="AA469" s="45"/>
      <c r="AB469" s="57"/>
      <c r="AC469" s="169"/>
      <c r="AD469" s="165"/>
      <c r="AE469" s="173"/>
      <c r="AF469" s="168"/>
      <c r="AG469" s="73"/>
      <c r="AH469" s="45"/>
      <c r="AI469" s="46"/>
      <c r="AJ469" s="165"/>
      <c r="AK469" s="173"/>
      <c r="AL469" s="167"/>
      <c r="AM469" s="45"/>
      <c r="AN469" s="54"/>
      <c r="AO469" s="54"/>
      <c r="AP469" s="73"/>
      <c r="AQ469" s="165"/>
      <c r="AR469" s="168"/>
      <c r="AS469" s="165"/>
      <c r="AT469" s="190"/>
      <c r="AU469" s="167"/>
      <c r="AV469" s="45"/>
      <c r="AW469" s="54"/>
      <c r="AX469" s="54"/>
      <c r="AY469" s="53"/>
      <c r="AZ469" s="46"/>
      <c r="BA469" s="45"/>
      <c r="BB469" s="45"/>
      <c r="BC469" s="73"/>
      <c r="BD469" s="165"/>
      <c r="BE469" s="165"/>
      <c r="BF469" s="173"/>
      <c r="BG469" s="304"/>
      <c r="BH469" s="601"/>
      <c r="BI469" s="45">
        <v>174</v>
      </c>
      <c r="BJ469" s="46">
        <v>159</v>
      </c>
      <c r="BK469" s="45"/>
      <c r="BL469" s="53"/>
      <c r="BM469" s="200"/>
      <c r="BN469" s="165"/>
      <c r="BO469" s="173"/>
      <c r="BP469" s="190"/>
      <c r="BQ469" s="173"/>
      <c r="BR469" s="168"/>
      <c r="BS469" s="165"/>
      <c r="BT469" s="167"/>
      <c r="BU469" s="199"/>
      <c r="BV469" s="202"/>
      <c r="BW469" s="201"/>
      <c r="BX469" s="201"/>
      <c r="BY469" s="200"/>
      <c r="BZ469" s="45">
        <v>111</v>
      </c>
      <c r="CA469" s="54">
        <v>215</v>
      </c>
      <c r="CB469" s="53">
        <v>75</v>
      </c>
      <c r="CC469" s="46">
        <v>165</v>
      </c>
      <c r="CD469" s="45"/>
      <c r="CE469" s="54"/>
      <c r="CF469" s="54"/>
      <c r="CG469" s="73"/>
      <c r="CH469" s="165"/>
      <c r="CI469" s="167"/>
    </row>
    <row r="470" spans="1:87" x14ac:dyDescent="0.3">
      <c r="A470" s="10">
        <v>7342</v>
      </c>
      <c r="B470" s="11" t="s">
        <v>593</v>
      </c>
      <c r="C470" s="471">
        <v>1320</v>
      </c>
      <c r="D470" s="54">
        <v>774</v>
      </c>
      <c r="E470" s="367">
        <f t="shared" ref="E470:E533" si="8">SUM(D470/C470)</f>
        <v>0.58636363636363631</v>
      </c>
      <c r="F470" s="45"/>
      <c r="G470" s="45"/>
      <c r="H470" s="45"/>
      <c r="I470" s="45"/>
      <c r="J470" s="46"/>
      <c r="K470" s="45"/>
      <c r="L470" s="107"/>
      <c r="M470" s="541"/>
      <c r="N470" s="45"/>
      <c r="O470" s="45"/>
      <c r="P470" s="53"/>
      <c r="Q470" s="57"/>
      <c r="R470" s="57"/>
      <c r="S470" s="74"/>
      <c r="T470" s="45"/>
      <c r="U470" s="45"/>
      <c r="V470" s="73"/>
      <c r="W470" s="169"/>
      <c r="X470" s="173"/>
      <c r="Y470" s="190"/>
      <c r="Z470" s="167"/>
      <c r="AA470" s="45"/>
      <c r="AB470" s="57"/>
      <c r="AC470" s="169"/>
      <c r="AD470" s="165"/>
      <c r="AE470" s="173"/>
      <c r="AF470" s="168"/>
      <c r="AG470" s="73"/>
      <c r="AH470" s="45"/>
      <c r="AI470" s="46"/>
      <c r="AJ470" s="165"/>
      <c r="AK470" s="173"/>
      <c r="AL470" s="167"/>
      <c r="AM470" s="45"/>
      <c r="AN470" s="54"/>
      <c r="AO470" s="54"/>
      <c r="AP470" s="73"/>
      <c r="AQ470" s="165"/>
      <c r="AR470" s="168"/>
      <c r="AS470" s="165"/>
      <c r="AT470" s="190"/>
      <c r="AU470" s="167"/>
      <c r="AV470" s="45"/>
      <c r="AW470" s="54"/>
      <c r="AX470" s="54"/>
      <c r="AY470" s="53"/>
      <c r="AZ470" s="46"/>
      <c r="BA470" s="45"/>
      <c r="BB470" s="45"/>
      <c r="BC470" s="73"/>
      <c r="BD470" s="165"/>
      <c r="BE470" s="165"/>
      <c r="BF470" s="173"/>
      <c r="BG470" s="304"/>
      <c r="BH470" s="601"/>
      <c r="BI470" s="45">
        <v>347</v>
      </c>
      <c r="BJ470" s="46">
        <v>346</v>
      </c>
      <c r="BK470" s="45"/>
      <c r="BL470" s="53"/>
      <c r="BM470" s="200"/>
      <c r="BN470" s="165"/>
      <c r="BO470" s="173"/>
      <c r="BP470" s="190"/>
      <c r="BQ470" s="173"/>
      <c r="BR470" s="168"/>
      <c r="BS470" s="165"/>
      <c r="BT470" s="167"/>
      <c r="BU470" s="45"/>
      <c r="BV470" s="53"/>
      <c r="BW470" s="54"/>
      <c r="BX470" s="54"/>
      <c r="BY470" s="200"/>
      <c r="BZ470" s="45">
        <v>238</v>
      </c>
      <c r="CA470" s="54">
        <v>440</v>
      </c>
      <c r="CB470" s="53">
        <v>137</v>
      </c>
      <c r="CC470" s="46">
        <v>350</v>
      </c>
      <c r="CD470" s="45"/>
      <c r="CE470" s="54"/>
      <c r="CF470" s="54"/>
      <c r="CG470" s="73"/>
      <c r="CH470" s="165"/>
      <c r="CI470" s="167"/>
    </row>
    <row r="471" spans="1:87" x14ac:dyDescent="0.3">
      <c r="A471" s="10">
        <v>7343</v>
      </c>
      <c r="B471" s="11" t="s">
        <v>594</v>
      </c>
      <c r="C471" s="471">
        <v>1160</v>
      </c>
      <c r="D471" s="54">
        <v>761</v>
      </c>
      <c r="E471" s="367">
        <f t="shared" si="8"/>
        <v>0.65603448275862064</v>
      </c>
      <c r="F471" s="45"/>
      <c r="G471" s="45"/>
      <c r="H471" s="45"/>
      <c r="I471" s="45"/>
      <c r="J471" s="46"/>
      <c r="K471" s="45"/>
      <c r="L471" s="107"/>
      <c r="M471" s="541"/>
      <c r="N471" s="45"/>
      <c r="O471" s="45"/>
      <c r="P471" s="53"/>
      <c r="Q471" s="57"/>
      <c r="R471" s="57"/>
      <c r="S471" s="74"/>
      <c r="T471" s="45"/>
      <c r="U471" s="45"/>
      <c r="V471" s="73"/>
      <c r="W471" s="169"/>
      <c r="X471" s="173"/>
      <c r="Y471" s="190"/>
      <c r="Z471" s="167"/>
      <c r="AA471" s="45"/>
      <c r="AB471" s="57"/>
      <c r="AC471" s="169"/>
      <c r="AD471" s="165"/>
      <c r="AE471" s="173"/>
      <c r="AF471" s="168"/>
      <c r="AG471" s="73"/>
      <c r="AH471" s="45"/>
      <c r="AI471" s="46"/>
      <c r="AJ471" s="165"/>
      <c r="AK471" s="173"/>
      <c r="AL471" s="167"/>
      <c r="AM471" s="45"/>
      <c r="AN471" s="54"/>
      <c r="AO471" s="54"/>
      <c r="AP471" s="73"/>
      <c r="AQ471" s="165"/>
      <c r="AR471" s="168"/>
      <c r="AS471" s="165"/>
      <c r="AT471" s="190"/>
      <c r="AU471" s="167"/>
      <c r="AV471" s="45"/>
      <c r="AW471" s="54"/>
      <c r="AX471" s="54"/>
      <c r="AY471" s="53"/>
      <c r="AZ471" s="46"/>
      <c r="BA471" s="45"/>
      <c r="BB471" s="45"/>
      <c r="BC471" s="73"/>
      <c r="BD471" s="165"/>
      <c r="BE471" s="165"/>
      <c r="BF471" s="173"/>
      <c r="BG471" s="304"/>
      <c r="BH471" s="601"/>
      <c r="BI471" s="45">
        <v>381</v>
      </c>
      <c r="BJ471" s="46">
        <v>334</v>
      </c>
      <c r="BK471" s="45"/>
      <c r="BL471" s="53"/>
      <c r="BM471" s="200"/>
      <c r="BN471" s="165"/>
      <c r="BO471" s="173"/>
      <c r="BP471" s="190"/>
      <c r="BQ471" s="173"/>
      <c r="BR471" s="168"/>
      <c r="BS471" s="165"/>
      <c r="BT471" s="167"/>
      <c r="BU471" s="45"/>
      <c r="BV471" s="53"/>
      <c r="BW471" s="54"/>
      <c r="BX471" s="54"/>
      <c r="BY471" s="200"/>
      <c r="BZ471" s="45">
        <v>191</v>
      </c>
      <c r="CA471" s="54">
        <v>493</v>
      </c>
      <c r="CB471" s="53">
        <v>131</v>
      </c>
      <c r="CC471" s="46">
        <v>388</v>
      </c>
      <c r="CD471" s="45"/>
      <c r="CE471" s="54"/>
      <c r="CF471" s="54"/>
      <c r="CG471" s="73"/>
      <c r="CH471" s="165"/>
      <c r="CI471" s="167"/>
    </row>
    <row r="472" spans="1:87" x14ac:dyDescent="0.3">
      <c r="A472" s="10">
        <v>7401</v>
      </c>
      <c r="B472" s="11" t="s">
        <v>595</v>
      </c>
      <c r="C472" s="471">
        <v>573</v>
      </c>
      <c r="D472" s="54">
        <v>275</v>
      </c>
      <c r="E472" s="367">
        <f t="shared" si="8"/>
        <v>0.47993019197207681</v>
      </c>
      <c r="F472" s="45"/>
      <c r="G472" s="45"/>
      <c r="H472" s="45"/>
      <c r="I472" s="45"/>
      <c r="J472" s="46"/>
      <c r="K472" s="45"/>
      <c r="L472" s="107"/>
      <c r="M472" s="541"/>
      <c r="N472" s="45"/>
      <c r="O472" s="45"/>
      <c r="P472" s="53"/>
      <c r="Q472" s="57"/>
      <c r="R472" s="57"/>
      <c r="S472" s="74"/>
      <c r="T472" s="45"/>
      <c r="U472" s="45"/>
      <c r="V472" s="73"/>
      <c r="W472" s="169"/>
      <c r="X472" s="173"/>
      <c r="Y472" s="190"/>
      <c r="Z472" s="167"/>
      <c r="AA472" s="45"/>
      <c r="AB472" s="57"/>
      <c r="AC472" s="169"/>
      <c r="AD472" s="165"/>
      <c r="AE472" s="173"/>
      <c r="AF472" s="168"/>
      <c r="AG472" s="73"/>
      <c r="AH472" s="45"/>
      <c r="AI472" s="46"/>
      <c r="AJ472" s="165"/>
      <c r="AK472" s="173"/>
      <c r="AL472" s="167"/>
      <c r="AM472" s="45"/>
      <c r="AN472" s="54"/>
      <c r="AO472" s="54"/>
      <c r="AP472" s="73"/>
      <c r="AQ472" s="165"/>
      <c r="AR472" s="168"/>
      <c r="AS472" s="165"/>
      <c r="AT472" s="190"/>
      <c r="AU472" s="167"/>
      <c r="AV472" s="45"/>
      <c r="AW472" s="54"/>
      <c r="AX472" s="54"/>
      <c r="AY472" s="53"/>
      <c r="AZ472" s="46"/>
      <c r="BA472" s="45">
        <v>98</v>
      </c>
      <c r="BB472" s="45">
        <v>95</v>
      </c>
      <c r="BC472" s="73">
        <v>128</v>
      </c>
      <c r="BD472" s="165"/>
      <c r="BE472" s="165"/>
      <c r="BF472" s="173"/>
      <c r="BG472" s="304"/>
      <c r="BH472" s="601"/>
      <c r="BI472" s="45"/>
      <c r="BJ472" s="46"/>
      <c r="BK472" s="45"/>
      <c r="BL472" s="53"/>
      <c r="BM472" s="200"/>
      <c r="BN472" s="165"/>
      <c r="BO472" s="173"/>
      <c r="BP472" s="190"/>
      <c r="BQ472" s="173"/>
      <c r="BR472" s="168"/>
      <c r="BS472" s="165"/>
      <c r="BT472" s="167"/>
      <c r="BU472" s="45"/>
      <c r="BV472" s="53"/>
      <c r="BW472" s="54"/>
      <c r="BX472" s="54"/>
      <c r="BY472" s="200"/>
      <c r="BZ472" s="165"/>
      <c r="CA472" s="173"/>
      <c r="CB472" s="190"/>
      <c r="CC472" s="167"/>
      <c r="CD472" s="199"/>
      <c r="CE472" s="201"/>
      <c r="CF472" s="201"/>
      <c r="CG472" s="106"/>
      <c r="CH472" s="165"/>
      <c r="CI472" s="167"/>
    </row>
    <row r="473" spans="1:87" x14ac:dyDescent="0.3">
      <c r="A473" s="10">
        <v>7402</v>
      </c>
      <c r="B473" s="11" t="s">
        <v>596</v>
      </c>
      <c r="C473" s="471">
        <v>1023</v>
      </c>
      <c r="D473" s="54">
        <v>627</v>
      </c>
      <c r="E473" s="367">
        <f t="shared" si="8"/>
        <v>0.61290322580645162</v>
      </c>
      <c r="F473" s="45"/>
      <c r="G473" s="45"/>
      <c r="H473" s="45"/>
      <c r="I473" s="45"/>
      <c r="J473" s="46"/>
      <c r="K473" s="45"/>
      <c r="L473" s="107"/>
      <c r="M473" s="541"/>
      <c r="N473" s="45"/>
      <c r="O473" s="45"/>
      <c r="P473" s="53"/>
      <c r="Q473" s="57"/>
      <c r="R473" s="57"/>
      <c r="S473" s="74"/>
      <c r="T473" s="45"/>
      <c r="U473" s="45"/>
      <c r="V473" s="73"/>
      <c r="W473" s="169"/>
      <c r="X473" s="173"/>
      <c r="Y473" s="190"/>
      <c r="Z473" s="167"/>
      <c r="AA473" s="45"/>
      <c r="AB473" s="57"/>
      <c r="AC473" s="169"/>
      <c r="AD473" s="165"/>
      <c r="AE473" s="173"/>
      <c r="AF473" s="168"/>
      <c r="AG473" s="73"/>
      <c r="AH473" s="45"/>
      <c r="AI473" s="46"/>
      <c r="AJ473" s="165"/>
      <c r="AK473" s="173"/>
      <c r="AL473" s="167"/>
      <c r="AM473" s="45"/>
      <c r="AN473" s="54"/>
      <c r="AO473" s="54"/>
      <c r="AP473" s="73"/>
      <c r="AQ473" s="165"/>
      <c r="AR473" s="168"/>
      <c r="AS473" s="165"/>
      <c r="AT473" s="190"/>
      <c r="AU473" s="167"/>
      <c r="AV473" s="45"/>
      <c r="AW473" s="54"/>
      <c r="AX473" s="54"/>
      <c r="AY473" s="53"/>
      <c r="AZ473" s="46"/>
      <c r="BA473" s="45">
        <v>192</v>
      </c>
      <c r="BB473" s="45">
        <v>257</v>
      </c>
      <c r="BC473" s="73">
        <v>326</v>
      </c>
      <c r="BD473" s="165"/>
      <c r="BE473" s="165"/>
      <c r="BF473" s="173"/>
      <c r="BG473" s="304"/>
      <c r="BH473" s="601"/>
      <c r="BI473" s="45"/>
      <c r="BJ473" s="46"/>
      <c r="BK473" s="45"/>
      <c r="BL473" s="53"/>
      <c r="BM473" s="200"/>
      <c r="BN473" s="165"/>
      <c r="BO473" s="173"/>
      <c r="BP473" s="190"/>
      <c r="BQ473" s="173"/>
      <c r="BR473" s="168"/>
      <c r="BS473" s="165"/>
      <c r="BT473" s="167"/>
      <c r="BU473" s="45"/>
      <c r="BV473" s="53"/>
      <c r="BW473" s="54"/>
      <c r="BX473" s="54"/>
      <c r="BY473" s="200"/>
      <c r="BZ473" s="165"/>
      <c r="CA473" s="173"/>
      <c r="CB473" s="190"/>
      <c r="CC473" s="167"/>
      <c r="CD473" s="45"/>
      <c r="CE473" s="54"/>
      <c r="CF473" s="54"/>
      <c r="CG473" s="73"/>
      <c r="CH473" s="165"/>
      <c r="CI473" s="167"/>
    </row>
    <row r="474" spans="1:87" x14ac:dyDescent="0.3">
      <c r="A474" s="10">
        <v>7403</v>
      </c>
      <c r="B474" s="11" t="s">
        <v>597</v>
      </c>
      <c r="C474" s="471">
        <v>1004</v>
      </c>
      <c r="D474" s="54">
        <v>521</v>
      </c>
      <c r="E474" s="367">
        <f t="shared" si="8"/>
        <v>0.5189243027888446</v>
      </c>
      <c r="F474" s="45"/>
      <c r="G474" s="45"/>
      <c r="H474" s="45"/>
      <c r="I474" s="45"/>
      <c r="J474" s="46"/>
      <c r="K474" s="45"/>
      <c r="L474" s="107"/>
      <c r="M474" s="541"/>
      <c r="N474" s="45"/>
      <c r="O474" s="45"/>
      <c r="P474" s="53"/>
      <c r="Q474" s="57"/>
      <c r="R474" s="57"/>
      <c r="S474" s="74"/>
      <c r="T474" s="45"/>
      <c r="U474" s="45"/>
      <c r="V474" s="73"/>
      <c r="W474" s="169"/>
      <c r="X474" s="173"/>
      <c r="Y474" s="190"/>
      <c r="Z474" s="167"/>
      <c r="AA474" s="45"/>
      <c r="AB474" s="57"/>
      <c r="AC474" s="169"/>
      <c r="AD474" s="165"/>
      <c r="AE474" s="173"/>
      <c r="AF474" s="168"/>
      <c r="AG474" s="73"/>
      <c r="AH474" s="45"/>
      <c r="AI474" s="46"/>
      <c r="AJ474" s="165"/>
      <c r="AK474" s="173"/>
      <c r="AL474" s="167"/>
      <c r="AM474" s="45"/>
      <c r="AN474" s="54"/>
      <c r="AO474" s="54"/>
      <c r="AP474" s="73"/>
      <c r="AQ474" s="165"/>
      <c r="AR474" s="168"/>
      <c r="AS474" s="165"/>
      <c r="AT474" s="190"/>
      <c r="AU474" s="167"/>
      <c r="AV474" s="45"/>
      <c r="AW474" s="54"/>
      <c r="AX474" s="54"/>
      <c r="AY474" s="53"/>
      <c r="AZ474" s="46"/>
      <c r="BA474" s="45">
        <v>138</v>
      </c>
      <c r="BB474" s="45">
        <v>217</v>
      </c>
      <c r="BC474" s="73">
        <v>250</v>
      </c>
      <c r="BD474" s="165"/>
      <c r="BE474" s="165"/>
      <c r="BF474" s="173"/>
      <c r="BG474" s="304"/>
      <c r="BH474" s="601"/>
      <c r="BI474" s="45"/>
      <c r="BJ474" s="46"/>
      <c r="BK474" s="45"/>
      <c r="BL474" s="53"/>
      <c r="BM474" s="200"/>
      <c r="BN474" s="165"/>
      <c r="BO474" s="173"/>
      <c r="BP474" s="190"/>
      <c r="BQ474" s="173"/>
      <c r="BR474" s="168"/>
      <c r="BS474" s="165"/>
      <c r="BT474" s="167"/>
      <c r="BU474" s="45"/>
      <c r="BV474" s="53"/>
      <c r="BW474" s="54"/>
      <c r="BX474" s="54"/>
      <c r="BY474" s="200"/>
      <c r="BZ474" s="165"/>
      <c r="CA474" s="173"/>
      <c r="CB474" s="190"/>
      <c r="CC474" s="167"/>
      <c r="CD474" s="45"/>
      <c r="CE474" s="54"/>
      <c r="CF474" s="54"/>
      <c r="CG474" s="73"/>
      <c r="CH474" s="165"/>
      <c r="CI474" s="167"/>
    </row>
    <row r="475" spans="1:87" x14ac:dyDescent="0.3">
      <c r="A475" s="10">
        <v>7601</v>
      </c>
      <c r="B475" s="11" t="s">
        <v>598</v>
      </c>
      <c r="C475" s="471">
        <v>728</v>
      </c>
      <c r="D475" s="54">
        <v>443</v>
      </c>
      <c r="E475" s="367">
        <f t="shared" si="8"/>
        <v>0.60851648351648346</v>
      </c>
      <c r="F475" s="45"/>
      <c r="G475" s="45"/>
      <c r="H475" s="45"/>
      <c r="I475" s="45"/>
      <c r="J475" s="46"/>
      <c r="K475" s="45"/>
      <c r="L475" s="107"/>
      <c r="M475" s="541"/>
      <c r="N475" s="45"/>
      <c r="O475" s="45"/>
      <c r="P475" s="53"/>
      <c r="Q475" s="57"/>
      <c r="R475" s="57"/>
      <c r="S475" s="74"/>
      <c r="T475" s="45"/>
      <c r="U475" s="45"/>
      <c r="V475" s="73"/>
      <c r="W475" s="169"/>
      <c r="X475" s="173"/>
      <c r="Y475" s="190"/>
      <c r="Z475" s="167"/>
      <c r="AA475" s="45"/>
      <c r="AB475" s="57"/>
      <c r="AC475" s="169"/>
      <c r="AD475" s="165"/>
      <c r="AE475" s="173"/>
      <c r="AF475" s="168"/>
      <c r="AG475" s="73"/>
      <c r="AH475" s="45"/>
      <c r="AI475" s="46"/>
      <c r="AJ475" s="165"/>
      <c r="AK475" s="173"/>
      <c r="AL475" s="167"/>
      <c r="AM475" s="45"/>
      <c r="AN475" s="54"/>
      <c r="AO475" s="54"/>
      <c r="AP475" s="73"/>
      <c r="AQ475" s="165"/>
      <c r="AR475" s="168"/>
      <c r="AS475" s="165"/>
      <c r="AT475" s="190"/>
      <c r="AU475" s="167"/>
      <c r="AV475" s="45"/>
      <c r="AW475" s="54"/>
      <c r="AX475" s="54"/>
      <c r="AY475" s="53"/>
      <c r="AZ475" s="46"/>
      <c r="BA475" s="199"/>
      <c r="BB475" s="199"/>
      <c r="BC475" s="106"/>
      <c r="BD475" s="165"/>
      <c r="BE475" s="165"/>
      <c r="BF475" s="173"/>
      <c r="BG475" s="304"/>
      <c r="BH475" s="601"/>
      <c r="BI475" s="45">
        <v>178</v>
      </c>
      <c r="BJ475" s="46">
        <v>171</v>
      </c>
      <c r="BK475" s="45"/>
      <c r="BL475" s="53"/>
      <c r="BM475" s="200"/>
      <c r="BN475" s="165"/>
      <c r="BO475" s="173"/>
      <c r="BP475" s="190"/>
      <c r="BQ475" s="173"/>
      <c r="BR475" s="168"/>
      <c r="BS475" s="165"/>
      <c r="BT475" s="167"/>
      <c r="BU475" s="45"/>
      <c r="BV475" s="53"/>
      <c r="BW475" s="54"/>
      <c r="BX475" s="54"/>
      <c r="BY475" s="200"/>
      <c r="BZ475" s="165"/>
      <c r="CA475" s="173"/>
      <c r="CB475" s="190"/>
      <c r="CC475" s="167"/>
      <c r="CD475" s="45">
        <v>262</v>
      </c>
      <c r="CE475" s="54">
        <v>176</v>
      </c>
      <c r="CF475" s="54">
        <v>176</v>
      </c>
      <c r="CG475" s="73">
        <v>95</v>
      </c>
      <c r="CH475" s="165"/>
      <c r="CI475" s="167"/>
    </row>
    <row r="476" spans="1:87" x14ac:dyDescent="0.3">
      <c r="A476" s="10">
        <v>7602</v>
      </c>
      <c r="B476" s="11" t="s">
        <v>599</v>
      </c>
      <c r="C476" s="471">
        <v>1295</v>
      </c>
      <c r="D476" s="54">
        <v>715</v>
      </c>
      <c r="E476" s="367">
        <f t="shared" si="8"/>
        <v>0.55212355212355213</v>
      </c>
      <c r="F476" s="45"/>
      <c r="G476" s="45"/>
      <c r="H476" s="45"/>
      <c r="I476" s="45"/>
      <c r="J476" s="46"/>
      <c r="K476" s="45"/>
      <c r="L476" s="107"/>
      <c r="M476" s="541"/>
      <c r="N476" s="45"/>
      <c r="O476" s="45"/>
      <c r="P476" s="53"/>
      <c r="Q476" s="57"/>
      <c r="R476" s="57"/>
      <c r="S476" s="74"/>
      <c r="T476" s="45"/>
      <c r="U476" s="45"/>
      <c r="V476" s="73"/>
      <c r="W476" s="169"/>
      <c r="X476" s="173"/>
      <c r="Y476" s="190"/>
      <c r="Z476" s="167"/>
      <c r="AA476" s="45"/>
      <c r="AB476" s="57"/>
      <c r="AC476" s="169"/>
      <c r="AD476" s="165"/>
      <c r="AE476" s="173"/>
      <c r="AF476" s="168"/>
      <c r="AG476" s="73"/>
      <c r="AH476" s="45"/>
      <c r="AI476" s="46"/>
      <c r="AJ476" s="165"/>
      <c r="AK476" s="173"/>
      <c r="AL476" s="167"/>
      <c r="AM476" s="45"/>
      <c r="AN476" s="54"/>
      <c r="AO476" s="54"/>
      <c r="AP476" s="73"/>
      <c r="AQ476" s="165"/>
      <c r="AR476" s="168"/>
      <c r="AS476" s="165"/>
      <c r="AT476" s="190"/>
      <c r="AU476" s="167"/>
      <c r="AV476" s="45"/>
      <c r="AW476" s="54"/>
      <c r="AX476" s="54"/>
      <c r="AY476" s="53"/>
      <c r="AZ476" s="46"/>
      <c r="BA476" s="199"/>
      <c r="BB476" s="199"/>
      <c r="BC476" s="106"/>
      <c r="BD476" s="165"/>
      <c r="BE476" s="165"/>
      <c r="BF476" s="173"/>
      <c r="BG476" s="304"/>
      <c r="BH476" s="601"/>
      <c r="BI476" s="45">
        <v>279</v>
      </c>
      <c r="BJ476" s="46">
        <v>248</v>
      </c>
      <c r="BK476" s="45"/>
      <c r="BL476" s="53"/>
      <c r="BM476" s="200"/>
      <c r="BN476" s="165"/>
      <c r="BO476" s="173"/>
      <c r="BP476" s="190"/>
      <c r="BQ476" s="173"/>
      <c r="BR476" s="168"/>
      <c r="BS476" s="165"/>
      <c r="BT476" s="167"/>
      <c r="BU476" s="45"/>
      <c r="BV476" s="53"/>
      <c r="BW476" s="54"/>
      <c r="BX476" s="54"/>
      <c r="BY476" s="200"/>
      <c r="BZ476" s="165"/>
      <c r="CA476" s="173"/>
      <c r="CB476" s="190"/>
      <c r="CC476" s="167"/>
      <c r="CD476" s="45">
        <v>420</v>
      </c>
      <c r="CE476" s="54">
        <v>237</v>
      </c>
      <c r="CF476" s="54">
        <v>281</v>
      </c>
      <c r="CG476" s="73">
        <v>176</v>
      </c>
      <c r="CH476" s="165"/>
      <c r="CI476" s="167"/>
    </row>
    <row r="477" spans="1:87" x14ac:dyDescent="0.3">
      <c r="A477" s="10">
        <v>7603</v>
      </c>
      <c r="B477" s="11" t="s">
        <v>600</v>
      </c>
      <c r="C477" s="471">
        <v>908</v>
      </c>
      <c r="D477" s="54">
        <v>331</v>
      </c>
      <c r="E477" s="367">
        <f t="shared" si="8"/>
        <v>0.36453744493392071</v>
      </c>
      <c r="F477" s="45"/>
      <c r="G477" s="45"/>
      <c r="H477" s="45"/>
      <c r="I477" s="45"/>
      <c r="J477" s="46"/>
      <c r="K477" s="45"/>
      <c r="L477" s="107"/>
      <c r="M477" s="541"/>
      <c r="N477" s="45"/>
      <c r="O477" s="45"/>
      <c r="P477" s="53"/>
      <c r="Q477" s="57"/>
      <c r="R477" s="57"/>
      <c r="S477" s="74"/>
      <c r="T477" s="45"/>
      <c r="U477" s="45"/>
      <c r="V477" s="73"/>
      <c r="W477" s="169"/>
      <c r="X477" s="173"/>
      <c r="Y477" s="190"/>
      <c r="Z477" s="167"/>
      <c r="AA477" s="45"/>
      <c r="AB477" s="57"/>
      <c r="AC477" s="169"/>
      <c r="AD477" s="165"/>
      <c r="AE477" s="173"/>
      <c r="AF477" s="168"/>
      <c r="AG477" s="73"/>
      <c r="AH477" s="45"/>
      <c r="AI477" s="46"/>
      <c r="AJ477" s="165"/>
      <c r="AK477" s="173"/>
      <c r="AL477" s="167"/>
      <c r="AM477" s="45"/>
      <c r="AN477" s="54"/>
      <c r="AO477" s="54"/>
      <c r="AP477" s="73"/>
      <c r="AQ477" s="165"/>
      <c r="AR477" s="168"/>
      <c r="AS477" s="165"/>
      <c r="AT477" s="190"/>
      <c r="AU477" s="167"/>
      <c r="AV477" s="45"/>
      <c r="AW477" s="54"/>
      <c r="AX477" s="54"/>
      <c r="AY477" s="53"/>
      <c r="AZ477" s="46"/>
      <c r="BA477" s="199"/>
      <c r="BB477" s="199"/>
      <c r="BC477" s="106"/>
      <c r="BD477" s="165"/>
      <c r="BE477" s="165"/>
      <c r="BF477" s="173"/>
      <c r="BG477" s="304"/>
      <c r="BH477" s="601"/>
      <c r="BI477" s="45">
        <v>145</v>
      </c>
      <c r="BJ477" s="46">
        <v>141</v>
      </c>
      <c r="BK477" s="45"/>
      <c r="BL477" s="53"/>
      <c r="BM477" s="200"/>
      <c r="BN477" s="165"/>
      <c r="BO477" s="173"/>
      <c r="BP477" s="190"/>
      <c r="BQ477" s="173"/>
      <c r="BR477" s="168"/>
      <c r="BS477" s="165"/>
      <c r="BT477" s="167"/>
      <c r="BU477" s="45"/>
      <c r="BV477" s="53"/>
      <c r="BW477" s="54"/>
      <c r="BX477" s="54"/>
      <c r="BY477" s="200"/>
      <c r="BZ477" s="165"/>
      <c r="CA477" s="173"/>
      <c r="CB477" s="190"/>
      <c r="CC477" s="167"/>
      <c r="CD477" s="45">
        <v>167</v>
      </c>
      <c r="CE477" s="54">
        <v>93</v>
      </c>
      <c r="CF477" s="54">
        <v>144</v>
      </c>
      <c r="CG477" s="73">
        <v>99</v>
      </c>
      <c r="CH477" s="165"/>
      <c r="CI477" s="167"/>
    </row>
    <row r="478" spans="1:87" x14ac:dyDescent="0.3">
      <c r="A478" s="10">
        <v>7701</v>
      </c>
      <c r="B478" s="11" t="s">
        <v>601</v>
      </c>
      <c r="C478" s="471">
        <v>1268</v>
      </c>
      <c r="D478" s="54">
        <v>441</v>
      </c>
      <c r="E478" s="367">
        <f t="shared" si="8"/>
        <v>0.34779179810725552</v>
      </c>
      <c r="F478" s="45"/>
      <c r="G478" s="45"/>
      <c r="H478" s="45"/>
      <c r="I478" s="45"/>
      <c r="J478" s="46"/>
      <c r="K478" s="45"/>
      <c r="L478" s="107"/>
      <c r="M478" s="541"/>
      <c r="N478" s="45"/>
      <c r="O478" s="45"/>
      <c r="P478" s="53"/>
      <c r="Q478" s="57"/>
      <c r="R478" s="57"/>
      <c r="S478" s="74"/>
      <c r="T478" s="45"/>
      <c r="U478" s="45"/>
      <c r="V478" s="73"/>
      <c r="W478" s="169"/>
      <c r="X478" s="173"/>
      <c r="Y478" s="190"/>
      <c r="Z478" s="167"/>
      <c r="AA478" s="45"/>
      <c r="AB478" s="57"/>
      <c r="AC478" s="169"/>
      <c r="AD478" s="165"/>
      <c r="AE478" s="173"/>
      <c r="AF478" s="168"/>
      <c r="AG478" s="73"/>
      <c r="AH478" s="45"/>
      <c r="AI478" s="46"/>
      <c r="AJ478" s="165"/>
      <c r="AK478" s="173"/>
      <c r="AL478" s="167"/>
      <c r="AM478" s="45">
        <v>260</v>
      </c>
      <c r="AN478" s="54">
        <v>99</v>
      </c>
      <c r="AO478" s="54">
        <v>257</v>
      </c>
      <c r="AP478" s="73">
        <v>116</v>
      </c>
      <c r="AQ478" s="165"/>
      <c r="AR478" s="168"/>
      <c r="AS478" s="165"/>
      <c r="AT478" s="190"/>
      <c r="AU478" s="167"/>
      <c r="AV478" s="45"/>
      <c r="AW478" s="54"/>
      <c r="AX478" s="54"/>
      <c r="AY478" s="53"/>
      <c r="AZ478" s="46"/>
      <c r="BA478" s="199"/>
      <c r="BB478" s="199"/>
      <c r="BC478" s="106"/>
      <c r="BD478" s="165"/>
      <c r="BE478" s="165"/>
      <c r="BF478" s="173"/>
      <c r="BG478" s="304"/>
      <c r="BH478" s="601"/>
      <c r="BI478" s="45"/>
      <c r="BJ478" s="46"/>
      <c r="BK478" s="45"/>
      <c r="BL478" s="53"/>
      <c r="BM478" s="200"/>
      <c r="BN478" s="165"/>
      <c r="BO478" s="173"/>
      <c r="BP478" s="190"/>
      <c r="BQ478" s="173"/>
      <c r="BR478" s="168"/>
      <c r="BS478" s="165"/>
      <c r="BT478" s="167"/>
      <c r="BU478" s="45"/>
      <c r="BV478" s="53"/>
      <c r="BW478" s="54"/>
      <c r="BX478" s="54"/>
      <c r="BY478" s="200"/>
      <c r="BZ478" s="165"/>
      <c r="CA478" s="173"/>
      <c r="CB478" s="190"/>
      <c r="CC478" s="167"/>
      <c r="CD478" s="199"/>
      <c r="CE478" s="201"/>
      <c r="CF478" s="201"/>
      <c r="CG478" s="106"/>
      <c r="CH478" s="165"/>
      <c r="CI478" s="167"/>
    </row>
    <row r="479" spans="1:87" x14ac:dyDescent="0.3">
      <c r="A479" s="10">
        <v>7702</v>
      </c>
      <c r="B479" s="11" t="s">
        <v>602</v>
      </c>
      <c r="C479" s="471">
        <v>775</v>
      </c>
      <c r="D479" s="54">
        <v>207</v>
      </c>
      <c r="E479" s="367">
        <f t="shared" si="8"/>
        <v>0.26709677419354838</v>
      </c>
      <c r="F479" s="45"/>
      <c r="G479" s="45"/>
      <c r="H479" s="45"/>
      <c r="I479" s="45"/>
      <c r="J479" s="46"/>
      <c r="K479" s="45"/>
      <c r="L479" s="107"/>
      <c r="M479" s="541"/>
      <c r="N479" s="45"/>
      <c r="O479" s="45"/>
      <c r="P479" s="53"/>
      <c r="Q479" s="57"/>
      <c r="R479" s="57"/>
      <c r="S479" s="74"/>
      <c r="T479" s="45"/>
      <c r="U479" s="45"/>
      <c r="V479" s="73"/>
      <c r="W479" s="169"/>
      <c r="X479" s="173"/>
      <c r="Y479" s="190"/>
      <c r="Z479" s="167"/>
      <c r="AA479" s="45"/>
      <c r="AB479" s="57"/>
      <c r="AC479" s="169"/>
      <c r="AD479" s="165"/>
      <c r="AE479" s="173"/>
      <c r="AF479" s="168"/>
      <c r="AG479" s="73"/>
      <c r="AH479" s="45"/>
      <c r="AI479" s="46"/>
      <c r="AJ479" s="165"/>
      <c r="AK479" s="173"/>
      <c r="AL479" s="167"/>
      <c r="AM479" s="45">
        <v>128</v>
      </c>
      <c r="AN479" s="54">
        <v>73</v>
      </c>
      <c r="AO479" s="54">
        <v>81</v>
      </c>
      <c r="AP479" s="73">
        <v>46</v>
      </c>
      <c r="AQ479" s="165"/>
      <c r="AR479" s="168"/>
      <c r="AS479" s="165"/>
      <c r="AT479" s="190"/>
      <c r="AU479" s="167"/>
      <c r="AV479" s="45"/>
      <c r="AW479" s="54"/>
      <c r="AX479" s="54"/>
      <c r="AY479" s="53"/>
      <c r="AZ479" s="46"/>
      <c r="BA479" s="199"/>
      <c r="BB479" s="199"/>
      <c r="BC479" s="106"/>
      <c r="BD479" s="165"/>
      <c r="BE479" s="165"/>
      <c r="BF479" s="173"/>
      <c r="BG479" s="304"/>
      <c r="BH479" s="601"/>
      <c r="BI479" s="45"/>
      <c r="BJ479" s="46"/>
      <c r="BK479" s="45"/>
      <c r="BL479" s="53"/>
      <c r="BM479" s="200"/>
      <c r="BN479" s="165"/>
      <c r="BO479" s="173"/>
      <c r="BP479" s="190"/>
      <c r="BQ479" s="173"/>
      <c r="BR479" s="168"/>
      <c r="BS479" s="165"/>
      <c r="BT479" s="167"/>
      <c r="BU479" s="45"/>
      <c r="BV479" s="53"/>
      <c r="BW479" s="54"/>
      <c r="BX479" s="54"/>
      <c r="BY479" s="200"/>
      <c r="BZ479" s="165"/>
      <c r="CA479" s="173"/>
      <c r="CB479" s="190"/>
      <c r="CC479" s="167"/>
      <c r="CD479" s="199"/>
      <c r="CE479" s="201"/>
      <c r="CF479" s="201"/>
      <c r="CG479" s="106"/>
      <c r="CH479" s="165"/>
      <c r="CI479" s="167"/>
    </row>
    <row r="480" spans="1:87" x14ac:dyDescent="0.3">
      <c r="A480" s="10">
        <v>7901</v>
      </c>
      <c r="B480" s="11" t="s">
        <v>603</v>
      </c>
      <c r="C480" s="471">
        <v>832</v>
      </c>
      <c r="D480" s="54">
        <v>281</v>
      </c>
      <c r="E480" s="367">
        <f t="shared" si="8"/>
        <v>0.33774038461538464</v>
      </c>
      <c r="F480" s="45"/>
      <c r="G480" s="45"/>
      <c r="H480" s="45"/>
      <c r="I480" s="45"/>
      <c r="J480" s="46"/>
      <c r="K480" s="45"/>
      <c r="L480" s="107"/>
      <c r="M480" s="541"/>
      <c r="N480" s="45"/>
      <c r="O480" s="45"/>
      <c r="P480" s="53"/>
      <c r="Q480" s="57"/>
      <c r="R480" s="57"/>
      <c r="S480" s="74"/>
      <c r="T480" s="45"/>
      <c r="U480" s="45"/>
      <c r="V480" s="73"/>
      <c r="W480" s="169"/>
      <c r="X480" s="173"/>
      <c r="Y480" s="190"/>
      <c r="Z480" s="167"/>
      <c r="AA480" s="45"/>
      <c r="AB480" s="57"/>
      <c r="AC480" s="169"/>
      <c r="AD480" s="165"/>
      <c r="AE480" s="173"/>
      <c r="AF480" s="168"/>
      <c r="AG480" s="73"/>
      <c r="AH480" s="45"/>
      <c r="AI480" s="46"/>
      <c r="AJ480" s="165"/>
      <c r="AK480" s="173"/>
      <c r="AL480" s="167"/>
      <c r="AM480" s="199"/>
      <c r="AN480" s="201"/>
      <c r="AO480" s="201"/>
      <c r="AP480" s="106"/>
      <c r="AQ480" s="165"/>
      <c r="AR480" s="168"/>
      <c r="AS480" s="165"/>
      <c r="AT480" s="190"/>
      <c r="AU480" s="167"/>
      <c r="AV480" s="199"/>
      <c r="AW480" s="201"/>
      <c r="AX480" s="201"/>
      <c r="AY480" s="202"/>
      <c r="AZ480" s="46"/>
      <c r="BA480" s="199"/>
      <c r="BB480" s="199"/>
      <c r="BC480" s="106"/>
      <c r="BD480" s="165"/>
      <c r="BE480" s="165"/>
      <c r="BF480" s="173"/>
      <c r="BG480" s="304"/>
      <c r="BH480" s="601"/>
      <c r="BI480" s="45">
        <v>111</v>
      </c>
      <c r="BJ480" s="46">
        <v>133</v>
      </c>
      <c r="BK480" s="45"/>
      <c r="BL480" s="53"/>
      <c r="BM480" s="200"/>
      <c r="BN480" s="165"/>
      <c r="BO480" s="173"/>
      <c r="BP480" s="190"/>
      <c r="BQ480" s="173"/>
      <c r="BR480" s="168"/>
      <c r="BS480" s="45">
        <v>160</v>
      </c>
      <c r="BT480" s="46">
        <v>133</v>
      </c>
      <c r="BU480" s="45"/>
      <c r="BV480" s="53"/>
      <c r="BW480" s="54"/>
      <c r="BX480" s="54"/>
      <c r="BY480" s="200"/>
      <c r="BZ480" s="165"/>
      <c r="CA480" s="173"/>
      <c r="CB480" s="190"/>
      <c r="CC480" s="167"/>
      <c r="CD480" s="199"/>
      <c r="CE480" s="201"/>
      <c r="CF480" s="201"/>
      <c r="CG480" s="106"/>
      <c r="CH480" s="165"/>
      <c r="CI480" s="167"/>
    </row>
    <row r="481" spans="1:87" x14ac:dyDescent="0.3">
      <c r="A481" s="10">
        <v>7902</v>
      </c>
      <c r="B481" s="11" t="s">
        <v>604</v>
      </c>
      <c r="C481" s="471">
        <v>1325</v>
      </c>
      <c r="D481" s="54">
        <v>387</v>
      </c>
      <c r="E481" s="367">
        <f t="shared" si="8"/>
        <v>0.29207547169811321</v>
      </c>
      <c r="F481" s="45"/>
      <c r="G481" s="45"/>
      <c r="H481" s="45"/>
      <c r="I481" s="45"/>
      <c r="J481" s="46"/>
      <c r="K481" s="45"/>
      <c r="L481" s="107"/>
      <c r="M481" s="541"/>
      <c r="N481" s="45"/>
      <c r="O481" s="45"/>
      <c r="P481" s="53"/>
      <c r="Q481" s="57"/>
      <c r="R481" s="57"/>
      <c r="S481" s="74"/>
      <c r="T481" s="45"/>
      <c r="U481" s="45"/>
      <c r="V481" s="73"/>
      <c r="W481" s="169"/>
      <c r="X481" s="173"/>
      <c r="Y481" s="190"/>
      <c r="Z481" s="167"/>
      <c r="AA481" s="45"/>
      <c r="AB481" s="57"/>
      <c r="AC481" s="169"/>
      <c r="AD481" s="165"/>
      <c r="AE481" s="173"/>
      <c r="AF481" s="168"/>
      <c r="AG481" s="73"/>
      <c r="AH481" s="45"/>
      <c r="AI481" s="46"/>
      <c r="AJ481" s="165"/>
      <c r="AK481" s="173"/>
      <c r="AL481" s="167"/>
      <c r="AM481" s="199"/>
      <c r="AN481" s="201"/>
      <c r="AO481" s="201"/>
      <c r="AP481" s="106"/>
      <c r="AQ481" s="165"/>
      <c r="AR481" s="168"/>
      <c r="AS481" s="165"/>
      <c r="AT481" s="190"/>
      <c r="AU481" s="167"/>
      <c r="AV481" s="199"/>
      <c r="AW481" s="201"/>
      <c r="AX481" s="201"/>
      <c r="AY481" s="202"/>
      <c r="AZ481" s="46"/>
      <c r="BA481" s="199"/>
      <c r="BB481" s="199"/>
      <c r="BC481" s="73"/>
      <c r="BD481" s="165"/>
      <c r="BE481" s="165"/>
      <c r="BF481" s="173"/>
      <c r="BG481" s="304"/>
      <c r="BH481" s="601"/>
      <c r="BI481" s="45">
        <v>161</v>
      </c>
      <c r="BJ481" s="46">
        <v>211</v>
      </c>
      <c r="BK481" s="45"/>
      <c r="BL481" s="53"/>
      <c r="BM481" s="200"/>
      <c r="BN481" s="165"/>
      <c r="BO481" s="173"/>
      <c r="BP481" s="190"/>
      <c r="BQ481" s="173"/>
      <c r="BR481" s="168"/>
      <c r="BS481" s="45">
        <v>202</v>
      </c>
      <c r="BT481" s="46">
        <v>196</v>
      </c>
      <c r="BU481" s="45"/>
      <c r="BV481" s="53"/>
      <c r="BW481" s="54"/>
      <c r="BX481" s="54"/>
      <c r="BY481" s="200"/>
      <c r="BZ481" s="165"/>
      <c r="CA481" s="173"/>
      <c r="CB481" s="190"/>
      <c r="CC481" s="167"/>
      <c r="CD481" s="45"/>
      <c r="CE481" s="54"/>
      <c r="CF481" s="54"/>
      <c r="CG481" s="106"/>
      <c r="CH481" s="165"/>
      <c r="CI481" s="167"/>
    </row>
    <row r="482" spans="1:87" x14ac:dyDescent="0.3">
      <c r="A482" s="10">
        <v>8001</v>
      </c>
      <c r="B482" s="11" t="s">
        <v>605</v>
      </c>
      <c r="C482" s="471">
        <v>1431</v>
      </c>
      <c r="D482" s="54">
        <v>879</v>
      </c>
      <c r="E482" s="367">
        <f t="shared" si="8"/>
        <v>0.61425576519916147</v>
      </c>
      <c r="F482" s="45"/>
      <c r="G482" s="45"/>
      <c r="H482" s="45"/>
      <c r="I482" s="45"/>
      <c r="J482" s="46"/>
      <c r="K482" s="45"/>
      <c r="L482" s="107"/>
      <c r="M482" s="541"/>
      <c r="N482" s="45"/>
      <c r="O482" s="45"/>
      <c r="P482" s="53"/>
      <c r="Q482" s="57"/>
      <c r="R482" s="57"/>
      <c r="S482" s="74"/>
      <c r="T482" s="45"/>
      <c r="U482" s="45"/>
      <c r="V482" s="73"/>
      <c r="W482" s="169"/>
      <c r="X482" s="173"/>
      <c r="Y482" s="190"/>
      <c r="Z482" s="167"/>
      <c r="AA482" s="45">
        <v>444</v>
      </c>
      <c r="AB482" s="57">
        <v>479</v>
      </c>
      <c r="AC482" s="169"/>
      <c r="AD482" s="165"/>
      <c r="AE482" s="173"/>
      <c r="AF482" s="168"/>
      <c r="AG482" s="73"/>
      <c r="AH482" s="45"/>
      <c r="AI482" s="46"/>
      <c r="AJ482" s="165"/>
      <c r="AK482" s="173"/>
      <c r="AL482" s="167"/>
      <c r="AM482" s="199"/>
      <c r="AN482" s="201"/>
      <c r="AO482" s="201"/>
      <c r="AP482" s="106"/>
      <c r="AQ482" s="165"/>
      <c r="AR482" s="168"/>
      <c r="AS482" s="165"/>
      <c r="AT482" s="190"/>
      <c r="AU482" s="167"/>
      <c r="AV482" s="199"/>
      <c r="AW482" s="201"/>
      <c r="AX482" s="201"/>
      <c r="AY482" s="202"/>
      <c r="AZ482" s="46"/>
      <c r="BA482" s="199"/>
      <c r="BB482" s="199"/>
      <c r="BC482" s="73"/>
      <c r="BD482" s="165"/>
      <c r="BE482" s="165"/>
      <c r="BF482" s="173"/>
      <c r="BG482" s="304"/>
      <c r="BH482" s="601"/>
      <c r="BI482" s="45"/>
      <c r="BJ482" s="46"/>
      <c r="BK482" s="45"/>
      <c r="BL482" s="53"/>
      <c r="BM482" s="200"/>
      <c r="BN482" s="165"/>
      <c r="BO482" s="173"/>
      <c r="BP482" s="190"/>
      <c r="BQ482" s="173"/>
      <c r="BR482" s="168"/>
      <c r="BS482" s="165"/>
      <c r="BT482" s="167"/>
      <c r="BU482" s="45"/>
      <c r="BV482" s="53"/>
      <c r="BW482" s="54"/>
      <c r="BX482" s="54"/>
      <c r="BY482" s="200"/>
      <c r="BZ482" s="165"/>
      <c r="CA482" s="173"/>
      <c r="CB482" s="190"/>
      <c r="CC482" s="167"/>
      <c r="CD482" s="45"/>
      <c r="CE482" s="54"/>
      <c r="CF482" s="54"/>
      <c r="CG482" s="106"/>
      <c r="CH482" s="165"/>
      <c r="CI482" s="167"/>
    </row>
    <row r="483" spans="1:87" x14ac:dyDescent="0.3">
      <c r="A483" s="10">
        <v>8002</v>
      </c>
      <c r="B483" s="11" t="s">
        <v>606</v>
      </c>
      <c r="C483" s="471">
        <v>1343</v>
      </c>
      <c r="D483" s="54">
        <v>864</v>
      </c>
      <c r="E483" s="367">
        <f t="shared" si="8"/>
        <v>0.64333581533879369</v>
      </c>
      <c r="F483" s="45"/>
      <c r="G483" s="45"/>
      <c r="H483" s="45"/>
      <c r="I483" s="45"/>
      <c r="J483" s="46"/>
      <c r="K483" s="45"/>
      <c r="L483" s="107"/>
      <c r="M483" s="541"/>
      <c r="N483" s="45"/>
      <c r="O483" s="45"/>
      <c r="P483" s="53"/>
      <c r="Q483" s="57"/>
      <c r="R483" s="57"/>
      <c r="S483" s="74"/>
      <c r="T483" s="45"/>
      <c r="U483" s="45"/>
      <c r="V483" s="73"/>
      <c r="W483" s="169"/>
      <c r="X483" s="173"/>
      <c r="Y483" s="190"/>
      <c r="Z483" s="167"/>
      <c r="AA483" s="45">
        <v>507</v>
      </c>
      <c r="AB483" s="57">
        <v>500</v>
      </c>
      <c r="AC483" s="169"/>
      <c r="AD483" s="165"/>
      <c r="AE483" s="173"/>
      <c r="AF483" s="168"/>
      <c r="AG483" s="73"/>
      <c r="AH483" s="45"/>
      <c r="AI483" s="46"/>
      <c r="AJ483" s="165"/>
      <c r="AK483" s="173"/>
      <c r="AL483" s="167"/>
      <c r="AM483" s="199"/>
      <c r="AN483" s="201"/>
      <c r="AO483" s="201"/>
      <c r="AP483" s="106"/>
      <c r="AQ483" s="165"/>
      <c r="AR483" s="168"/>
      <c r="AS483" s="165"/>
      <c r="AT483" s="190"/>
      <c r="AU483" s="167"/>
      <c r="AV483" s="199"/>
      <c r="AW483" s="201"/>
      <c r="AX483" s="201"/>
      <c r="AY483" s="202"/>
      <c r="AZ483" s="46"/>
      <c r="BA483" s="199"/>
      <c r="BB483" s="199"/>
      <c r="BC483" s="73"/>
      <c r="BD483" s="165"/>
      <c r="BE483" s="165"/>
      <c r="BF483" s="173"/>
      <c r="BG483" s="304"/>
      <c r="BH483" s="601"/>
      <c r="BI483" s="45"/>
      <c r="BJ483" s="46"/>
      <c r="BK483" s="45"/>
      <c r="BL483" s="53"/>
      <c r="BM483" s="200"/>
      <c r="BN483" s="165"/>
      <c r="BO483" s="173"/>
      <c r="BP483" s="190"/>
      <c r="BQ483" s="173"/>
      <c r="BR483" s="168"/>
      <c r="BS483" s="165"/>
      <c r="BT483" s="167"/>
      <c r="BU483" s="45"/>
      <c r="BV483" s="53"/>
      <c r="BW483" s="54"/>
      <c r="BX483" s="54"/>
      <c r="BY483" s="200"/>
      <c r="BZ483" s="165"/>
      <c r="CA483" s="173"/>
      <c r="CB483" s="190"/>
      <c r="CC483" s="167"/>
      <c r="CD483" s="45"/>
      <c r="CE483" s="54"/>
      <c r="CF483" s="54"/>
      <c r="CG483" s="106"/>
      <c r="CH483" s="165"/>
      <c r="CI483" s="167"/>
    </row>
    <row r="484" spans="1:87" x14ac:dyDescent="0.3">
      <c r="A484" s="10">
        <v>8211</v>
      </c>
      <c r="B484" s="11" t="s">
        <v>607</v>
      </c>
      <c r="C484" s="471">
        <v>581</v>
      </c>
      <c r="D484" s="54">
        <v>179</v>
      </c>
      <c r="E484" s="367">
        <f t="shared" si="8"/>
        <v>0.30808950086058517</v>
      </c>
      <c r="F484" s="45"/>
      <c r="G484" s="45"/>
      <c r="H484" s="45"/>
      <c r="I484" s="45"/>
      <c r="J484" s="46"/>
      <c r="K484" s="45"/>
      <c r="L484" s="107"/>
      <c r="M484" s="541"/>
      <c r="N484" s="45"/>
      <c r="O484" s="45"/>
      <c r="P484" s="53"/>
      <c r="Q484" s="57"/>
      <c r="R484" s="57"/>
      <c r="S484" s="74"/>
      <c r="T484" s="45"/>
      <c r="U484" s="45"/>
      <c r="V484" s="73"/>
      <c r="W484" s="169"/>
      <c r="X484" s="173"/>
      <c r="Y484" s="190"/>
      <c r="Z484" s="167"/>
      <c r="AA484" s="199"/>
      <c r="AB484" s="203"/>
      <c r="AC484" s="169"/>
      <c r="AD484" s="165"/>
      <c r="AE484" s="173"/>
      <c r="AF484" s="168"/>
      <c r="AG484" s="106"/>
      <c r="AH484" s="199"/>
      <c r="AI484" s="200"/>
      <c r="AJ484" s="165"/>
      <c r="AK484" s="173"/>
      <c r="AL484" s="167"/>
      <c r="AM484" s="199"/>
      <c r="AN484" s="201"/>
      <c r="AO484" s="201"/>
      <c r="AP484" s="106"/>
      <c r="AQ484" s="165"/>
      <c r="AR484" s="168"/>
      <c r="AS484" s="165"/>
      <c r="AT484" s="190"/>
      <c r="AU484" s="167"/>
      <c r="AV484" s="199"/>
      <c r="AW484" s="201"/>
      <c r="AX484" s="201"/>
      <c r="AY484" s="202"/>
      <c r="AZ484" s="46"/>
      <c r="BA484" s="199"/>
      <c r="BB484" s="199"/>
      <c r="BC484" s="73"/>
      <c r="BD484" s="165"/>
      <c r="BE484" s="165"/>
      <c r="BF484" s="173"/>
      <c r="BG484" s="304"/>
      <c r="BH484" s="601"/>
      <c r="BI484" s="45">
        <v>68</v>
      </c>
      <c r="BJ484" s="46">
        <v>68</v>
      </c>
      <c r="BK484" s="45"/>
      <c r="BL484" s="53"/>
      <c r="BM484" s="200"/>
      <c r="BN484" s="165"/>
      <c r="BO484" s="173"/>
      <c r="BP484" s="190"/>
      <c r="BQ484" s="173"/>
      <c r="BR484" s="168"/>
      <c r="BS484" s="165"/>
      <c r="BT484" s="167"/>
      <c r="BU484" s="45"/>
      <c r="BV484" s="53"/>
      <c r="BW484" s="54"/>
      <c r="BX484" s="54"/>
      <c r="BY484" s="200"/>
      <c r="BZ484" s="165"/>
      <c r="CA484" s="173"/>
      <c r="CB484" s="190"/>
      <c r="CC484" s="167"/>
      <c r="CD484" s="45"/>
      <c r="CE484" s="54"/>
      <c r="CF484" s="54"/>
      <c r="CG484" s="106"/>
      <c r="CH484" s="45">
        <v>114</v>
      </c>
      <c r="CI484" s="46">
        <v>6</v>
      </c>
    </row>
    <row r="485" spans="1:87" x14ac:dyDescent="0.3">
      <c r="A485" s="10">
        <v>8221</v>
      </c>
      <c r="B485" s="11" t="s">
        <v>608</v>
      </c>
      <c r="C485" s="471">
        <v>913</v>
      </c>
      <c r="D485" s="54">
        <v>346</v>
      </c>
      <c r="E485" s="367">
        <f t="shared" si="8"/>
        <v>0.37897042716319823</v>
      </c>
      <c r="F485" s="45"/>
      <c r="G485" s="45"/>
      <c r="H485" s="45"/>
      <c r="I485" s="45"/>
      <c r="J485" s="46"/>
      <c r="K485" s="45"/>
      <c r="L485" s="107"/>
      <c r="M485" s="541"/>
      <c r="N485" s="45"/>
      <c r="O485" s="45"/>
      <c r="P485" s="53"/>
      <c r="Q485" s="57"/>
      <c r="R485" s="57"/>
      <c r="S485" s="74"/>
      <c r="T485" s="45"/>
      <c r="U485" s="45"/>
      <c r="V485" s="73"/>
      <c r="W485" s="169"/>
      <c r="X485" s="173"/>
      <c r="Y485" s="190"/>
      <c r="Z485" s="167"/>
      <c r="AA485" s="199"/>
      <c r="AB485" s="203"/>
      <c r="AC485" s="169"/>
      <c r="AD485" s="165"/>
      <c r="AE485" s="173"/>
      <c r="AF485" s="168"/>
      <c r="AG485" s="106"/>
      <c r="AH485" s="199"/>
      <c r="AI485" s="200"/>
      <c r="AJ485" s="165"/>
      <c r="AK485" s="173"/>
      <c r="AL485" s="167"/>
      <c r="AM485" s="199"/>
      <c r="AN485" s="201"/>
      <c r="AO485" s="201"/>
      <c r="AP485" s="106"/>
      <c r="AQ485" s="165"/>
      <c r="AR485" s="168"/>
      <c r="AS485" s="165"/>
      <c r="AT485" s="190"/>
      <c r="AU485" s="167"/>
      <c r="AV485" s="199"/>
      <c r="AW485" s="201"/>
      <c r="AX485" s="201"/>
      <c r="AY485" s="202"/>
      <c r="AZ485" s="46"/>
      <c r="BA485" s="199"/>
      <c r="BB485" s="199"/>
      <c r="BC485" s="106"/>
      <c r="BD485" s="165"/>
      <c r="BE485" s="165"/>
      <c r="BF485" s="173"/>
      <c r="BG485" s="304"/>
      <c r="BH485" s="601"/>
      <c r="BI485" s="45">
        <v>165</v>
      </c>
      <c r="BJ485" s="46">
        <v>137</v>
      </c>
      <c r="BK485" s="45"/>
      <c r="BL485" s="53"/>
      <c r="BM485" s="200"/>
      <c r="BN485" s="165"/>
      <c r="BO485" s="173"/>
      <c r="BP485" s="190"/>
      <c r="BQ485" s="173"/>
      <c r="BR485" s="168"/>
      <c r="BS485" s="165"/>
      <c r="BT485" s="167"/>
      <c r="BU485" s="45"/>
      <c r="BV485" s="53"/>
      <c r="BW485" s="54"/>
      <c r="BX485" s="54"/>
      <c r="BY485" s="200"/>
      <c r="BZ485" s="165"/>
      <c r="CA485" s="173"/>
      <c r="CB485" s="190"/>
      <c r="CC485" s="167"/>
      <c r="CD485" s="45"/>
      <c r="CE485" s="54"/>
      <c r="CF485" s="54"/>
      <c r="CG485" s="106"/>
      <c r="CH485" s="45">
        <v>244</v>
      </c>
      <c r="CI485" s="46">
        <v>6</v>
      </c>
    </row>
    <row r="486" spans="1:87" x14ac:dyDescent="0.3">
      <c r="A486" s="10">
        <v>8222</v>
      </c>
      <c r="B486" s="11" t="s">
        <v>609</v>
      </c>
      <c r="C486" s="471">
        <v>1404</v>
      </c>
      <c r="D486" s="54">
        <v>820</v>
      </c>
      <c r="E486" s="367">
        <f t="shared" si="8"/>
        <v>0.58404558404558404</v>
      </c>
      <c r="F486" s="45"/>
      <c r="G486" s="45"/>
      <c r="H486" s="45"/>
      <c r="I486" s="45"/>
      <c r="J486" s="46"/>
      <c r="K486" s="45"/>
      <c r="L486" s="107"/>
      <c r="M486" s="541"/>
      <c r="N486" s="45"/>
      <c r="O486" s="45"/>
      <c r="P486" s="53"/>
      <c r="Q486" s="57"/>
      <c r="R486" s="57"/>
      <c r="S486" s="74"/>
      <c r="T486" s="45"/>
      <c r="U486" s="45"/>
      <c r="V486" s="73"/>
      <c r="W486" s="169"/>
      <c r="X486" s="173"/>
      <c r="Y486" s="190"/>
      <c r="Z486" s="167"/>
      <c r="AA486" s="45"/>
      <c r="AB486" s="57"/>
      <c r="AC486" s="169"/>
      <c r="AD486" s="165"/>
      <c r="AE486" s="173"/>
      <c r="AF486" s="168"/>
      <c r="AG486" s="73"/>
      <c r="AH486" s="45"/>
      <c r="AI486" s="46"/>
      <c r="AJ486" s="165"/>
      <c r="AK486" s="173"/>
      <c r="AL486" s="167"/>
      <c r="AM486" s="45"/>
      <c r="AN486" s="54"/>
      <c r="AO486" s="54"/>
      <c r="AP486" s="73"/>
      <c r="AQ486" s="165"/>
      <c r="AR486" s="168"/>
      <c r="AS486" s="165"/>
      <c r="AT486" s="190"/>
      <c r="AU486" s="167"/>
      <c r="AV486" s="45"/>
      <c r="AW486" s="54"/>
      <c r="AX486" s="54"/>
      <c r="AY486" s="53"/>
      <c r="AZ486" s="46"/>
      <c r="BA486" s="199"/>
      <c r="BB486" s="199"/>
      <c r="BC486" s="106"/>
      <c r="BD486" s="165"/>
      <c r="BE486" s="165"/>
      <c r="BF486" s="173"/>
      <c r="BG486" s="304"/>
      <c r="BH486" s="601"/>
      <c r="BI486" s="45">
        <v>365</v>
      </c>
      <c r="BJ486" s="46">
        <v>333</v>
      </c>
      <c r="BK486" s="45"/>
      <c r="BL486" s="53"/>
      <c r="BM486" s="200"/>
      <c r="BN486" s="165"/>
      <c r="BO486" s="173"/>
      <c r="BP486" s="190"/>
      <c r="BQ486" s="173"/>
      <c r="BR486" s="168"/>
      <c r="BS486" s="165"/>
      <c r="BT486" s="167"/>
      <c r="BU486" s="45"/>
      <c r="BV486" s="53"/>
      <c r="BW486" s="54"/>
      <c r="BX486" s="54"/>
      <c r="BY486" s="200"/>
      <c r="BZ486" s="165"/>
      <c r="CA486" s="173"/>
      <c r="CB486" s="190"/>
      <c r="CC486" s="167"/>
      <c r="CD486" s="45"/>
      <c r="CE486" s="54"/>
      <c r="CF486" s="54"/>
      <c r="CG486" s="106"/>
      <c r="CH486" s="45">
        <v>487</v>
      </c>
      <c r="CI486" s="46">
        <v>19</v>
      </c>
    </row>
    <row r="487" spans="1:87" x14ac:dyDescent="0.3">
      <c r="A487" s="10">
        <v>8231</v>
      </c>
      <c r="B487" s="11" t="s">
        <v>610</v>
      </c>
      <c r="C487" s="471">
        <v>768</v>
      </c>
      <c r="D487" s="54">
        <v>483</v>
      </c>
      <c r="E487" s="367">
        <f t="shared" si="8"/>
        <v>0.62890625</v>
      </c>
      <c r="F487" s="45"/>
      <c r="G487" s="45"/>
      <c r="H487" s="45"/>
      <c r="I487" s="45"/>
      <c r="J487" s="46"/>
      <c r="K487" s="45"/>
      <c r="L487" s="107"/>
      <c r="M487" s="541"/>
      <c r="N487" s="45"/>
      <c r="O487" s="45"/>
      <c r="P487" s="53"/>
      <c r="Q487" s="57"/>
      <c r="R487" s="57"/>
      <c r="S487" s="74"/>
      <c r="T487" s="45"/>
      <c r="U487" s="45"/>
      <c r="V487" s="73"/>
      <c r="W487" s="169"/>
      <c r="X487" s="173"/>
      <c r="Y487" s="190"/>
      <c r="Z487" s="167"/>
      <c r="AA487" s="45"/>
      <c r="AB487" s="57"/>
      <c r="AC487" s="169"/>
      <c r="AD487" s="165"/>
      <c r="AE487" s="173"/>
      <c r="AF487" s="168"/>
      <c r="AG487" s="73"/>
      <c r="AH487" s="45"/>
      <c r="AI487" s="46"/>
      <c r="AJ487" s="165"/>
      <c r="AK487" s="173"/>
      <c r="AL487" s="167"/>
      <c r="AM487" s="45"/>
      <c r="AN487" s="54"/>
      <c r="AO487" s="54"/>
      <c r="AP487" s="73"/>
      <c r="AQ487" s="165"/>
      <c r="AR487" s="168"/>
      <c r="AS487" s="165"/>
      <c r="AT487" s="190"/>
      <c r="AU487" s="167"/>
      <c r="AV487" s="45"/>
      <c r="AW487" s="54"/>
      <c r="AX487" s="54"/>
      <c r="AY487" s="53"/>
      <c r="AZ487" s="46"/>
      <c r="BA487" s="45"/>
      <c r="BB487" s="45"/>
      <c r="BC487" s="73"/>
      <c r="BD487" s="165"/>
      <c r="BE487" s="165"/>
      <c r="BF487" s="173"/>
      <c r="BG487" s="304"/>
      <c r="BH487" s="601"/>
      <c r="BI487" s="45">
        <v>251</v>
      </c>
      <c r="BJ487" s="46">
        <v>250</v>
      </c>
      <c r="BK487" s="45"/>
      <c r="BL487" s="53"/>
      <c r="BM487" s="200"/>
      <c r="BN487" s="165"/>
      <c r="BO487" s="173"/>
      <c r="BP487" s="190"/>
      <c r="BQ487" s="173"/>
      <c r="BR487" s="168"/>
      <c r="BS487" s="165"/>
      <c r="BT487" s="167"/>
      <c r="BU487" s="45"/>
      <c r="BV487" s="53"/>
      <c r="BW487" s="54"/>
      <c r="BX487" s="54"/>
      <c r="BY487" s="200"/>
      <c r="BZ487" s="165"/>
      <c r="CA487" s="173"/>
      <c r="CB487" s="190"/>
      <c r="CC487" s="167"/>
      <c r="CD487" s="45"/>
      <c r="CE487" s="54"/>
      <c r="CF487" s="54"/>
      <c r="CG487" s="106"/>
      <c r="CH487" s="45">
        <v>316</v>
      </c>
      <c r="CI487" s="46">
        <v>4</v>
      </c>
    </row>
    <row r="488" spans="1:87" x14ac:dyDescent="0.3">
      <c r="A488" s="10">
        <v>8301</v>
      </c>
      <c r="B488" s="11" t="s">
        <v>611</v>
      </c>
      <c r="C488" s="471">
        <v>1256</v>
      </c>
      <c r="D488" s="54">
        <v>772</v>
      </c>
      <c r="E488" s="367">
        <f t="shared" si="8"/>
        <v>0.61464968152866239</v>
      </c>
      <c r="F488" s="45"/>
      <c r="G488" s="45"/>
      <c r="H488" s="45"/>
      <c r="I488" s="45"/>
      <c r="J488" s="46"/>
      <c r="K488" s="45"/>
      <c r="L488" s="107"/>
      <c r="M488" s="541"/>
      <c r="N488" s="45"/>
      <c r="O488" s="45"/>
      <c r="P488" s="53"/>
      <c r="Q488" s="57"/>
      <c r="R488" s="57"/>
      <c r="S488" s="74"/>
      <c r="T488" s="45"/>
      <c r="U488" s="45"/>
      <c r="V488" s="73"/>
      <c r="W488" s="169"/>
      <c r="X488" s="173"/>
      <c r="Y488" s="190"/>
      <c r="Z488" s="167"/>
      <c r="AA488" s="45"/>
      <c r="AB488" s="57"/>
      <c r="AC488" s="169"/>
      <c r="AD488" s="165"/>
      <c r="AE488" s="173"/>
      <c r="AF488" s="168"/>
      <c r="AG488" s="73"/>
      <c r="AH488" s="45"/>
      <c r="AI488" s="46"/>
      <c r="AJ488" s="165"/>
      <c r="AK488" s="173"/>
      <c r="AL488" s="167"/>
      <c r="AM488" s="45"/>
      <c r="AN488" s="54"/>
      <c r="AO488" s="54"/>
      <c r="AP488" s="73"/>
      <c r="AQ488" s="165"/>
      <c r="AR488" s="168"/>
      <c r="AS488" s="165"/>
      <c r="AT488" s="190"/>
      <c r="AU488" s="167"/>
      <c r="AV488" s="45"/>
      <c r="AW488" s="54"/>
      <c r="AX488" s="54"/>
      <c r="AY488" s="53"/>
      <c r="AZ488" s="46"/>
      <c r="BA488" s="45"/>
      <c r="BB488" s="45"/>
      <c r="BC488" s="73"/>
      <c r="BD488" s="165"/>
      <c r="BE488" s="165"/>
      <c r="BF488" s="173"/>
      <c r="BG488" s="304"/>
      <c r="BH488" s="601"/>
      <c r="BI488" s="45">
        <v>296</v>
      </c>
      <c r="BJ488" s="46">
        <v>292</v>
      </c>
      <c r="BK488" s="45"/>
      <c r="BL488" s="53"/>
      <c r="BM488" s="200"/>
      <c r="BN488" s="165"/>
      <c r="BO488" s="173"/>
      <c r="BP488" s="190"/>
      <c r="BQ488" s="173"/>
      <c r="BR488" s="168"/>
      <c r="BS488" s="165"/>
      <c r="BT488" s="167"/>
      <c r="BU488" s="45"/>
      <c r="BV488" s="53"/>
      <c r="BW488" s="54"/>
      <c r="BX488" s="54"/>
      <c r="BY488" s="200"/>
      <c r="BZ488" s="165"/>
      <c r="CA488" s="173"/>
      <c r="CB488" s="190"/>
      <c r="CC488" s="167"/>
      <c r="CD488" s="45"/>
      <c r="CE488" s="54"/>
      <c r="CF488" s="54"/>
      <c r="CG488" s="106"/>
      <c r="CH488" s="45">
        <v>444</v>
      </c>
      <c r="CI488" s="46">
        <v>39</v>
      </c>
    </row>
    <row r="489" spans="1:87" x14ac:dyDescent="0.3">
      <c r="A489" s="10">
        <v>8302</v>
      </c>
      <c r="B489" s="11" t="s">
        <v>612</v>
      </c>
      <c r="C489" s="471">
        <v>1475</v>
      </c>
      <c r="D489" s="54">
        <v>889</v>
      </c>
      <c r="E489" s="367">
        <f t="shared" si="8"/>
        <v>0.60271186440677971</v>
      </c>
      <c r="F489" s="45"/>
      <c r="G489" s="45"/>
      <c r="H489" s="45"/>
      <c r="I489" s="45"/>
      <c r="J489" s="46"/>
      <c r="K489" s="45"/>
      <c r="L489" s="107"/>
      <c r="M489" s="541"/>
      <c r="N489" s="45"/>
      <c r="O489" s="45"/>
      <c r="P489" s="53"/>
      <c r="Q489" s="57"/>
      <c r="R489" s="57"/>
      <c r="S489" s="74"/>
      <c r="T489" s="45"/>
      <c r="U489" s="45"/>
      <c r="V489" s="73"/>
      <c r="W489" s="169"/>
      <c r="X489" s="173"/>
      <c r="Y489" s="190"/>
      <c r="Z489" s="167"/>
      <c r="AA489" s="45"/>
      <c r="AB489" s="57"/>
      <c r="AC489" s="169"/>
      <c r="AD489" s="165"/>
      <c r="AE489" s="173"/>
      <c r="AF489" s="168"/>
      <c r="AG489" s="73"/>
      <c r="AH489" s="45"/>
      <c r="AI489" s="46"/>
      <c r="AJ489" s="165"/>
      <c r="AK489" s="173"/>
      <c r="AL489" s="167"/>
      <c r="AM489" s="45"/>
      <c r="AN489" s="54"/>
      <c r="AO489" s="54"/>
      <c r="AP489" s="73"/>
      <c r="AQ489" s="165"/>
      <c r="AR489" s="168"/>
      <c r="AS489" s="165"/>
      <c r="AT489" s="190"/>
      <c r="AU489" s="167"/>
      <c r="AV489" s="45"/>
      <c r="AW489" s="54"/>
      <c r="AX489" s="54"/>
      <c r="AY489" s="53"/>
      <c r="AZ489" s="46"/>
      <c r="BA489" s="45"/>
      <c r="BB489" s="45"/>
      <c r="BC489" s="73"/>
      <c r="BD489" s="165"/>
      <c r="BE489" s="165"/>
      <c r="BF489" s="173"/>
      <c r="BG489" s="304"/>
      <c r="BH489" s="601"/>
      <c r="BI489" s="45">
        <v>404</v>
      </c>
      <c r="BJ489" s="46">
        <v>356</v>
      </c>
      <c r="BK489" s="45"/>
      <c r="BL489" s="53"/>
      <c r="BM489" s="200"/>
      <c r="BN489" s="165"/>
      <c r="BO489" s="173"/>
      <c r="BP489" s="190"/>
      <c r="BQ489" s="173"/>
      <c r="BR489" s="168"/>
      <c r="BS489" s="165"/>
      <c r="BT489" s="167"/>
      <c r="BU489" s="45"/>
      <c r="BV489" s="53"/>
      <c r="BW489" s="54"/>
      <c r="BX489" s="54"/>
      <c r="BY489" s="200"/>
      <c r="BZ489" s="165"/>
      <c r="CA489" s="173"/>
      <c r="CB489" s="190"/>
      <c r="CC489" s="167"/>
      <c r="CD489" s="45"/>
      <c r="CE489" s="54"/>
      <c r="CF489" s="54"/>
      <c r="CG489" s="106"/>
      <c r="CH489" s="45">
        <v>546</v>
      </c>
      <c r="CI489" s="46">
        <v>29</v>
      </c>
    </row>
    <row r="490" spans="1:87" x14ac:dyDescent="0.3">
      <c r="A490" s="10">
        <v>8303</v>
      </c>
      <c r="B490" s="11" t="s">
        <v>613</v>
      </c>
      <c r="C490" s="471">
        <v>1263</v>
      </c>
      <c r="D490" s="54">
        <v>619</v>
      </c>
      <c r="E490" s="367">
        <f t="shared" si="8"/>
        <v>0.49010292953285828</v>
      </c>
      <c r="F490" s="45"/>
      <c r="G490" s="45"/>
      <c r="H490" s="45"/>
      <c r="I490" s="45"/>
      <c r="J490" s="46"/>
      <c r="K490" s="45"/>
      <c r="L490" s="107"/>
      <c r="M490" s="541"/>
      <c r="N490" s="45"/>
      <c r="O490" s="45"/>
      <c r="P490" s="53"/>
      <c r="Q490" s="57"/>
      <c r="R490" s="57"/>
      <c r="S490" s="74"/>
      <c r="T490" s="45"/>
      <c r="U490" s="45"/>
      <c r="V490" s="73"/>
      <c r="W490" s="169"/>
      <c r="X490" s="173"/>
      <c r="Y490" s="190"/>
      <c r="Z490" s="167"/>
      <c r="AA490" s="45"/>
      <c r="AB490" s="57"/>
      <c r="AC490" s="169"/>
      <c r="AD490" s="165"/>
      <c r="AE490" s="173"/>
      <c r="AF490" s="168"/>
      <c r="AG490" s="73"/>
      <c r="AH490" s="45"/>
      <c r="AI490" s="46"/>
      <c r="AJ490" s="165"/>
      <c r="AK490" s="173"/>
      <c r="AL490" s="167"/>
      <c r="AM490" s="45"/>
      <c r="AN490" s="54"/>
      <c r="AO490" s="54"/>
      <c r="AP490" s="73"/>
      <c r="AQ490" s="165"/>
      <c r="AR490" s="168"/>
      <c r="AS490" s="165"/>
      <c r="AT490" s="190"/>
      <c r="AU490" s="167"/>
      <c r="AV490" s="45"/>
      <c r="AW490" s="54"/>
      <c r="AX490" s="54"/>
      <c r="AY490" s="53"/>
      <c r="AZ490" s="46"/>
      <c r="BA490" s="45"/>
      <c r="BB490" s="45"/>
      <c r="BC490" s="73"/>
      <c r="BD490" s="165"/>
      <c r="BE490" s="165"/>
      <c r="BF490" s="173"/>
      <c r="BG490" s="304"/>
      <c r="BH490" s="601"/>
      <c r="BI490" s="45">
        <v>244</v>
      </c>
      <c r="BJ490" s="46">
        <v>235</v>
      </c>
      <c r="BK490" s="45"/>
      <c r="BL490" s="53"/>
      <c r="BM490" s="200"/>
      <c r="BN490" s="165"/>
      <c r="BO490" s="173"/>
      <c r="BP490" s="190"/>
      <c r="BQ490" s="173"/>
      <c r="BR490" s="168"/>
      <c r="BS490" s="165"/>
      <c r="BT490" s="167"/>
      <c r="BU490" s="45"/>
      <c r="BV490" s="53"/>
      <c r="BW490" s="54"/>
      <c r="BX490" s="54"/>
      <c r="BY490" s="200"/>
      <c r="BZ490" s="165"/>
      <c r="CA490" s="173"/>
      <c r="CB490" s="190"/>
      <c r="CC490" s="167"/>
      <c r="CD490" s="45"/>
      <c r="CE490" s="54"/>
      <c r="CF490" s="54"/>
      <c r="CG490" s="106"/>
      <c r="CH490" s="45">
        <v>383</v>
      </c>
      <c r="CI490" s="46">
        <v>14</v>
      </c>
    </row>
    <row r="491" spans="1:87" x14ac:dyDescent="0.3">
      <c r="A491" s="10">
        <v>8304</v>
      </c>
      <c r="B491" s="11" t="s">
        <v>614</v>
      </c>
      <c r="C491" s="471">
        <v>1250</v>
      </c>
      <c r="D491" s="54">
        <v>794</v>
      </c>
      <c r="E491" s="367">
        <f t="shared" si="8"/>
        <v>0.63519999999999999</v>
      </c>
      <c r="F491" s="45"/>
      <c r="G491" s="45"/>
      <c r="H491" s="45"/>
      <c r="I491" s="45"/>
      <c r="J491" s="46"/>
      <c r="K491" s="45"/>
      <c r="L491" s="107"/>
      <c r="M491" s="541"/>
      <c r="N491" s="45"/>
      <c r="O491" s="45"/>
      <c r="P491" s="53"/>
      <c r="Q491" s="57"/>
      <c r="R491" s="57"/>
      <c r="S491" s="74"/>
      <c r="T491" s="45"/>
      <c r="U491" s="45"/>
      <c r="V491" s="73"/>
      <c r="W491" s="169"/>
      <c r="X491" s="173"/>
      <c r="Y491" s="190"/>
      <c r="Z491" s="167"/>
      <c r="AA491" s="45"/>
      <c r="AB491" s="57"/>
      <c r="AC491" s="169"/>
      <c r="AD491" s="165"/>
      <c r="AE491" s="173"/>
      <c r="AF491" s="168"/>
      <c r="AG491" s="73"/>
      <c r="AH491" s="45"/>
      <c r="AI491" s="46"/>
      <c r="AJ491" s="165"/>
      <c r="AK491" s="173"/>
      <c r="AL491" s="167"/>
      <c r="AM491" s="45"/>
      <c r="AN491" s="54"/>
      <c r="AO491" s="54"/>
      <c r="AP491" s="73"/>
      <c r="AQ491" s="165"/>
      <c r="AR491" s="168"/>
      <c r="AS491" s="165"/>
      <c r="AT491" s="190"/>
      <c r="AU491" s="167"/>
      <c r="AV491" s="45"/>
      <c r="AW491" s="54"/>
      <c r="AX491" s="54"/>
      <c r="AY491" s="53"/>
      <c r="AZ491" s="46"/>
      <c r="BA491" s="45"/>
      <c r="BB491" s="45"/>
      <c r="BC491" s="73"/>
      <c r="BD491" s="165"/>
      <c r="BE491" s="165"/>
      <c r="BF491" s="173"/>
      <c r="BG491" s="304"/>
      <c r="BH491" s="601"/>
      <c r="BI491" s="45">
        <v>340</v>
      </c>
      <c r="BJ491" s="46">
        <v>302</v>
      </c>
      <c r="BK491" s="45"/>
      <c r="BL491" s="53"/>
      <c r="BM491" s="200"/>
      <c r="BN491" s="165"/>
      <c r="BO491" s="173"/>
      <c r="BP491" s="190"/>
      <c r="BQ491" s="173"/>
      <c r="BR491" s="168"/>
      <c r="BS491" s="165"/>
      <c r="BT491" s="167"/>
      <c r="BU491" s="45"/>
      <c r="BV491" s="53"/>
      <c r="BW491" s="54"/>
      <c r="BX491" s="54"/>
      <c r="BY491" s="200"/>
      <c r="BZ491" s="165"/>
      <c r="CA491" s="173"/>
      <c r="CB491" s="190"/>
      <c r="CC491" s="167"/>
      <c r="CD491" s="45"/>
      <c r="CE491" s="54"/>
      <c r="CF491" s="54"/>
      <c r="CG491" s="106"/>
      <c r="CH491" s="45">
        <v>472</v>
      </c>
      <c r="CI491" s="46">
        <v>11</v>
      </c>
    </row>
    <row r="492" spans="1:87" x14ac:dyDescent="0.3">
      <c r="A492" s="10">
        <v>8305</v>
      </c>
      <c r="B492" s="11" t="s">
        <v>615</v>
      </c>
      <c r="C492" s="471">
        <v>1028</v>
      </c>
      <c r="D492" s="54">
        <v>680</v>
      </c>
      <c r="E492" s="367">
        <f t="shared" si="8"/>
        <v>0.66147859922178986</v>
      </c>
      <c r="F492" s="45"/>
      <c r="G492" s="45"/>
      <c r="H492" s="45"/>
      <c r="I492" s="45"/>
      <c r="J492" s="46"/>
      <c r="K492" s="45"/>
      <c r="L492" s="107"/>
      <c r="M492" s="541"/>
      <c r="N492" s="45"/>
      <c r="O492" s="45"/>
      <c r="P492" s="53"/>
      <c r="Q492" s="57"/>
      <c r="R492" s="57"/>
      <c r="S492" s="74"/>
      <c r="T492" s="45"/>
      <c r="U492" s="45"/>
      <c r="V492" s="73"/>
      <c r="W492" s="169"/>
      <c r="X492" s="173"/>
      <c r="Y492" s="190"/>
      <c r="Z492" s="167"/>
      <c r="AA492" s="45"/>
      <c r="AB492" s="57"/>
      <c r="AC492" s="169"/>
      <c r="AD492" s="165"/>
      <c r="AE492" s="173"/>
      <c r="AF492" s="168"/>
      <c r="AG492" s="73"/>
      <c r="AH492" s="45"/>
      <c r="AI492" s="46"/>
      <c r="AJ492" s="165"/>
      <c r="AK492" s="173"/>
      <c r="AL492" s="167"/>
      <c r="AM492" s="45"/>
      <c r="AN492" s="54"/>
      <c r="AO492" s="54"/>
      <c r="AP492" s="73"/>
      <c r="AQ492" s="165"/>
      <c r="AR492" s="168"/>
      <c r="AS492" s="165"/>
      <c r="AT492" s="190"/>
      <c r="AU492" s="167"/>
      <c r="AV492" s="45"/>
      <c r="AW492" s="54"/>
      <c r="AX492" s="54"/>
      <c r="AY492" s="53"/>
      <c r="AZ492" s="46"/>
      <c r="BA492" s="45"/>
      <c r="BB492" s="45"/>
      <c r="BC492" s="73"/>
      <c r="BD492" s="165"/>
      <c r="BE492" s="165"/>
      <c r="BF492" s="173"/>
      <c r="BG492" s="304"/>
      <c r="BH492" s="601"/>
      <c r="BI492" s="45">
        <v>285</v>
      </c>
      <c r="BJ492" s="46">
        <v>261</v>
      </c>
      <c r="BK492" s="45"/>
      <c r="BL492" s="53"/>
      <c r="BM492" s="200"/>
      <c r="BN492" s="165"/>
      <c r="BO492" s="173"/>
      <c r="BP492" s="190"/>
      <c r="BQ492" s="173"/>
      <c r="BR492" s="168"/>
      <c r="BS492" s="165"/>
      <c r="BT492" s="167"/>
      <c r="BU492" s="45"/>
      <c r="BV492" s="53"/>
      <c r="BW492" s="54"/>
      <c r="BX492" s="54"/>
      <c r="BY492" s="200"/>
      <c r="BZ492" s="165"/>
      <c r="CA492" s="173"/>
      <c r="CB492" s="190"/>
      <c r="CC492" s="167"/>
      <c r="CD492" s="45"/>
      <c r="CE492" s="54"/>
      <c r="CF492" s="54"/>
      <c r="CG492" s="106"/>
      <c r="CH492" s="45">
        <v>376</v>
      </c>
      <c r="CI492" s="46">
        <v>11</v>
      </c>
    </row>
    <row r="493" spans="1:87" x14ac:dyDescent="0.3">
      <c r="A493" s="10">
        <v>8306</v>
      </c>
      <c r="B493" s="11" t="s">
        <v>616</v>
      </c>
      <c r="C493" s="471">
        <v>625</v>
      </c>
      <c r="D493" s="54">
        <v>354</v>
      </c>
      <c r="E493" s="367">
        <f t="shared" si="8"/>
        <v>0.56640000000000001</v>
      </c>
      <c r="F493" s="45"/>
      <c r="G493" s="45"/>
      <c r="H493" s="45"/>
      <c r="I493" s="45"/>
      <c r="J493" s="46"/>
      <c r="K493" s="45"/>
      <c r="L493" s="107"/>
      <c r="M493" s="541"/>
      <c r="N493" s="45"/>
      <c r="O493" s="45"/>
      <c r="P493" s="53"/>
      <c r="Q493" s="57"/>
      <c r="R493" s="57"/>
      <c r="S493" s="74"/>
      <c r="T493" s="45"/>
      <c r="U493" s="45"/>
      <c r="V493" s="73"/>
      <c r="W493" s="169"/>
      <c r="X493" s="173"/>
      <c r="Y493" s="190"/>
      <c r="Z493" s="167"/>
      <c r="AA493" s="45"/>
      <c r="AB493" s="57"/>
      <c r="AC493" s="169"/>
      <c r="AD493" s="165"/>
      <c r="AE493" s="173"/>
      <c r="AF493" s="168"/>
      <c r="AG493" s="73"/>
      <c r="AH493" s="45"/>
      <c r="AI493" s="46"/>
      <c r="AJ493" s="165"/>
      <c r="AK493" s="173"/>
      <c r="AL493" s="167"/>
      <c r="AM493" s="45"/>
      <c r="AN493" s="54"/>
      <c r="AO493" s="54"/>
      <c r="AP493" s="73"/>
      <c r="AQ493" s="165"/>
      <c r="AR493" s="168"/>
      <c r="AS493" s="165"/>
      <c r="AT493" s="190"/>
      <c r="AU493" s="167"/>
      <c r="AV493" s="45"/>
      <c r="AW493" s="54"/>
      <c r="AX493" s="54"/>
      <c r="AY493" s="53"/>
      <c r="AZ493" s="46"/>
      <c r="BA493" s="45"/>
      <c r="BB493" s="45"/>
      <c r="BC493" s="73"/>
      <c r="BD493" s="165"/>
      <c r="BE493" s="165"/>
      <c r="BF493" s="173"/>
      <c r="BG493" s="304"/>
      <c r="BH493" s="601"/>
      <c r="BI493" s="45">
        <v>144</v>
      </c>
      <c r="BJ493" s="46">
        <v>147</v>
      </c>
      <c r="BK493" s="45"/>
      <c r="BL493" s="53"/>
      <c r="BM493" s="200"/>
      <c r="BN493" s="165"/>
      <c r="BO493" s="173"/>
      <c r="BP493" s="190"/>
      <c r="BQ493" s="173"/>
      <c r="BR493" s="168"/>
      <c r="BS493" s="165"/>
      <c r="BT493" s="167"/>
      <c r="BU493" s="45"/>
      <c r="BV493" s="53"/>
      <c r="BW493" s="54"/>
      <c r="BX493" s="54"/>
      <c r="BY493" s="200"/>
      <c r="BZ493" s="165"/>
      <c r="CA493" s="173"/>
      <c r="CB493" s="190"/>
      <c r="CC493" s="167"/>
      <c r="CD493" s="45"/>
      <c r="CE493" s="54"/>
      <c r="CF493" s="54"/>
      <c r="CG493" s="106"/>
      <c r="CH493" s="45">
        <v>222</v>
      </c>
      <c r="CI493" s="46">
        <v>17</v>
      </c>
    </row>
    <row r="494" spans="1:87" x14ac:dyDescent="0.3">
      <c r="A494" s="10">
        <v>8307</v>
      </c>
      <c r="B494" s="11" t="s">
        <v>617</v>
      </c>
      <c r="C494" s="471">
        <v>1279</v>
      </c>
      <c r="D494" s="54">
        <v>770</v>
      </c>
      <c r="E494" s="367">
        <f t="shared" si="8"/>
        <v>0.60203283815480846</v>
      </c>
      <c r="F494" s="45"/>
      <c r="G494" s="45"/>
      <c r="H494" s="45"/>
      <c r="I494" s="45"/>
      <c r="J494" s="46"/>
      <c r="K494" s="45"/>
      <c r="L494" s="107"/>
      <c r="M494" s="541"/>
      <c r="N494" s="45"/>
      <c r="O494" s="45"/>
      <c r="P494" s="53"/>
      <c r="Q494" s="57"/>
      <c r="R494" s="57"/>
      <c r="S494" s="74"/>
      <c r="T494" s="45"/>
      <c r="U494" s="45"/>
      <c r="V494" s="73"/>
      <c r="W494" s="169"/>
      <c r="X494" s="173"/>
      <c r="Y494" s="190"/>
      <c r="Z494" s="167"/>
      <c r="AA494" s="45"/>
      <c r="AB494" s="57"/>
      <c r="AC494" s="169"/>
      <c r="AD494" s="165"/>
      <c r="AE494" s="173"/>
      <c r="AF494" s="168"/>
      <c r="AG494" s="73"/>
      <c r="AH494" s="45"/>
      <c r="AI494" s="46"/>
      <c r="AJ494" s="165"/>
      <c r="AK494" s="173"/>
      <c r="AL494" s="167"/>
      <c r="AM494" s="45"/>
      <c r="AN494" s="54"/>
      <c r="AO494" s="54"/>
      <c r="AP494" s="73"/>
      <c r="AQ494" s="165"/>
      <c r="AR494" s="168"/>
      <c r="AS494" s="165"/>
      <c r="AT494" s="190"/>
      <c r="AU494" s="167"/>
      <c r="AV494" s="45"/>
      <c r="AW494" s="54"/>
      <c r="AX494" s="54"/>
      <c r="AY494" s="53"/>
      <c r="AZ494" s="46"/>
      <c r="BA494" s="45"/>
      <c r="BB494" s="45"/>
      <c r="BC494" s="73"/>
      <c r="BD494" s="165"/>
      <c r="BE494" s="165"/>
      <c r="BF494" s="173"/>
      <c r="BG494" s="304"/>
      <c r="BH494" s="601"/>
      <c r="BI494" s="45">
        <v>299</v>
      </c>
      <c r="BJ494" s="46">
        <v>277</v>
      </c>
      <c r="BK494" s="45"/>
      <c r="BL494" s="53"/>
      <c r="BM494" s="200"/>
      <c r="BN494" s="165"/>
      <c r="BO494" s="173"/>
      <c r="BP494" s="190"/>
      <c r="BQ494" s="173"/>
      <c r="BR494" s="168"/>
      <c r="BS494" s="165"/>
      <c r="BT494" s="167"/>
      <c r="BU494" s="45"/>
      <c r="BV494" s="53"/>
      <c r="BW494" s="54"/>
      <c r="BX494" s="54"/>
      <c r="BY494" s="200"/>
      <c r="BZ494" s="165"/>
      <c r="CA494" s="173"/>
      <c r="CB494" s="190"/>
      <c r="CC494" s="167"/>
      <c r="CD494" s="45"/>
      <c r="CE494" s="54"/>
      <c r="CF494" s="54"/>
      <c r="CG494" s="106"/>
      <c r="CH494" s="45">
        <v>451</v>
      </c>
      <c r="CI494" s="46">
        <v>34</v>
      </c>
    </row>
    <row r="495" spans="1:87" x14ac:dyDescent="0.3">
      <c r="A495" s="10">
        <v>8308</v>
      </c>
      <c r="B495" s="11" t="s">
        <v>618</v>
      </c>
      <c r="C495" s="471">
        <v>457</v>
      </c>
      <c r="D495" s="54">
        <v>282</v>
      </c>
      <c r="E495" s="367">
        <f t="shared" si="8"/>
        <v>0.61706783369803064</v>
      </c>
      <c r="F495" s="45"/>
      <c r="G495" s="45"/>
      <c r="H495" s="45"/>
      <c r="I495" s="45"/>
      <c r="J495" s="46"/>
      <c r="K495" s="45"/>
      <c r="L495" s="107"/>
      <c r="M495" s="541"/>
      <c r="N495" s="45"/>
      <c r="O495" s="45"/>
      <c r="P495" s="53"/>
      <c r="Q495" s="57"/>
      <c r="R495" s="57"/>
      <c r="S495" s="74"/>
      <c r="T495" s="45"/>
      <c r="U495" s="45"/>
      <c r="V495" s="73"/>
      <c r="W495" s="169"/>
      <c r="X495" s="173"/>
      <c r="Y495" s="190"/>
      <c r="Z495" s="167"/>
      <c r="AA495" s="45"/>
      <c r="AB495" s="57"/>
      <c r="AC495" s="169"/>
      <c r="AD495" s="165"/>
      <c r="AE495" s="173"/>
      <c r="AF495" s="168"/>
      <c r="AG495" s="73"/>
      <c r="AH495" s="45"/>
      <c r="AI495" s="46"/>
      <c r="AJ495" s="165"/>
      <c r="AK495" s="173"/>
      <c r="AL495" s="167"/>
      <c r="AM495" s="45"/>
      <c r="AN495" s="54"/>
      <c r="AO495" s="54"/>
      <c r="AP495" s="73"/>
      <c r="AQ495" s="165"/>
      <c r="AR495" s="168"/>
      <c r="AS495" s="165"/>
      <c r="AT495" s="190"/>
      <c r="AU495" s="167"/>
      <c r="AV495" s="45"/>
      <c r="AW495" s="54"/>
      <c r="AX495" s="54"/>
      <c r="AY495" s="53"/>
      <c r="AZ495" s="46"/>
      <c r="BA495" s="45"/>
      <c r="BB495" s="45"/>
      <c r="BC495" s="73"/>
      <c r="BD495" s="165"/>
      <c r="BE495" s="165"/>
      <c r="BF495" s="173"/>
      <c r="BG495" s="304"/>
      <c r="BH495" s="601"/>
      <c r="BI495" s="45">
        <v>127</v>
      </c>
      <c r="BJ495" s="46">
        <v>128</v>
      </c>
      <c r="BK495" s="45"/>
      <c r="BL495" s="53"/>
      <c r="BM495" s="200"/>
      <c r="BN495" s="165"/>
      <c r="BO495" s="173"/>
      <c r="BP495" s="190"/>
      <c r="BQ495" s="173"/>
      <c r="BR495" s="168"/>
      <c r="BS495" s="165"/>
      <c r="BT495" s="167"/>
      <c r="BU495" s="45"/>
      <c r="BV495" s="53"/>
      <c r="BW495" s="54"/>
      <c r="BX495" s="54"/>
      <c r="BY495" s="200"/>
      <c r="BZ495" s="165"/>
      <c r="CA495" s="173"/>
      <c r="CB495" s="190"/>
      <c r="CC495" s="167"/>
      <c r="CD495" s="45"/>
      <c r="CE495" s="54"/>
      <c r="CF495" s="54"/>
      <c r="CG495" s="106"/>
      <c r="CH495" s="45">
        <v>181</v>
      </c>
      <c r="CI495" s="46">
        <v>11</v>
      </c>
    </row>
    <row r="496" spans="1:87" x14ac:dyDescent="0.3">
      <c r="A496" s="10">
        <v>8401</v>
      </c>
      <c r="B496" s="11" t="s">
        <v>619</v>
      </c>
      <c r="C496" s="471">
        <v>843</v>
      </c>
      <c r="D496" s="54">
        <v>488</v>
      </c>
      <c r="E496" s="367">
        <f t="shared" si="8"/>
        <v>0.5788849347568209</v>
      </c>
      <c r="F496" s="45"/>
      <c r="G496" s="45"/>
      <c r="H496" s="45"/>
      <c r="I496" s="45"/>
      <c r="J496" s="46"/>
      <c r="K496" s="45"/>
      <c r="L496" s="107"/>
      <c r="M496" s="541"/>
      <c r="N496" s="45"/>
      <c r="O496" s="45"/>
      <c r="P496" s="53"/>
      <c r="Q496" s="57"/>
      <c r="R496" s="57"/>
      <c r="S496" s="74"/>
      <c r="T496" s="45"/>
      <c r="U496" s="45"/>
      <c r="V496" s="73"/>
      <c r="W496" s="169"/>
      <c r="X496" s="173"/>
      <c r="Y496" s="190"/>
      <c r="Z496" s="167"/>
      <c r="AA496" s="45"/>
      <c r="AB496" s="57"/>
      <c r="AC496" s="169"/>
      <c r="AD496" s="165"/>
      <c r="AE496" s="173"/>
      <c r="AF496" s="168"/>
      <c r="AG496" s="73"/>
      <c r="AH496" s="45"/>
      <c r="AI496" s="46"/>
      <c r="AJ496" s="165"/>
      <c r="AK496" s="173"/>
      <c r="AL496" s="167"/>
      <c r="AM496" s="45"/>
      <c r="AN496" s="54"/>
      <c r="AO496" s="54"/>
      <c r="AP496" s="73"/>
      <c r="AQ496" s="165"/>
      <c r="AR496" s="168"/>
      <c r="AS496" s="165"/>
      <c r="AT496" s="190"/>
      <c r="AU496" s="167"/>
      <c r="AV496" s="45"/>
      <c r="AW496" s="54"/>
      <c r="AX496" s="54"/>
      <c r="AY496" s="53"/>
      <c r="AZ496" s="46"/>
      <c r="BA496" s="45"/>
      <c r="BB496" s="45"/>
      <c r="BC496" s="73"/>
      <c r="BD496" s="165"/>
      <c r="BE496" s="165"/>
      <c r="BF496" s="173"/>
      <c r="BG496" s="304"/>
      <c r="BH496" s="601"/>
      <c r="BI496" s="45">
        <v>186</v>
      </c>
      <c r="BJ496" s="46">
        <v>221</v>
      </c>
      <c r="BK496" s="45"/>
      <c r="BL496" s="53"/>
      <c r="BM496" s="200"/>
      <c r="BN496" s="45">
        <v>185</v>
      </c>
      <c r="BO496" s="54">
        <v>200</v>
      </c>
      <c r="BP496" s="53">
        <v>164</v>
      </c>
      <c r="BQ496" s="54">
        <v>220</v>
      </c>
      <c r="BR496" s="73">
        <v>34</v>
      </c>
      <c r="BS496" s="165"/>
      <c r="BT496" s="167"/>
      <c r="BU496" s="45"/>
      <c r="BV496" s="53"/>
      <c r="BW496" s="54"/>
      <c r="BX496" s="54"/>
      <c r="BY496" s="200"/>
      <c r="BZ496" s="165"/>
      <c r="CA496" s="173"/>
      <c r="CB496" s="190"/>
      <c r="CC496" s="167"/>
      <c r="CD496" s="45"/>
      <c r="CE496" s="54"/>
      <c r="CF496" s="54"/>
      <c r="CG496" s="106"/>
      <c r="CH496" s="165"/>
      <c r="CI496" s="167"/>
    </row>
    <row r="497" spans="1:87" x14ac:dyDescent="0.3">
      <c r="A497" s="10">
        <v>8402</v>
      </c>
      <c r="B497" s="11" t="s">
        <v>620</v>
      </c>
      <c r="C497" s="471">
        <v>1211</v>
      </c>
      <c r="D497" s="54">
        <v>639</v>
      </c>
      <c r="E497" s="367">
        <f t="shared" si="8"/>
        <v>0.52766308835672993</v>
      </c>
      <c r="F497" s="45"/>
      <c r="G497" s="45"/>
      <c r="H497" s="45"/>
      <c r="I497" s="45"/>
      <c r="J497" s="46"/>
      <c r="K497" s="45"/>
      <c r="L497" s="107"/>
      <c r="M497" s="541"/>
      <c r="N497" s="45"/>
      <c r="O497" s="45"/>
      <c r="P497" s="53"/>
      <c r="Q497" s="57"/>
      <c r="R497" s="57"/>
      <c r="S497" s="74"/>
      <c r="T497" s="45"/>
      <c r="U497" s="45"/>
      <c r="V497" s="73"/>
      <c r="W497" s="169"/>
      <c r="X497" s="173"/>
      <c r="Y497" s="190"/>
      <c r="Z497" s="167"/>
      <c r="AA497" s="45"/>
      <c r="AB497" s="57"/>
      <c r="AC497" s="169"/>
      <c r="AD497" s="165"/>
      <c r="AE497" s="173"/>
      <c r="AF497" s="168"/>
      <c r="AG497" s="73"/>
      <c r="AH497" s="45"/>
      <c r="AI497" s="46"/>
      <c r="AJ497" s="165"/>
      <c r="AK497" s="173"/>
      <c r="AL497" s="167"/>
      <c r="AM497" s="45"/>
      <c r="AN497" s="54"/>
      <c r="AO497" s="54"/>
      <c r="AP497" s="73"/>
      <c r="AQ497" s="165"/>
      <c r="AR497" s="168"/>
      <c r="AS497" s="165"/>
      <c r="AT497" s="190"/>
      <c r="AU497" s="167"/>
      <c r="AV497" s="45"/>
      <c r="AW497" s="54"/>
      <c r="AX497" s="54"/>
      <c r="AY497" s="53"/>
      <c r="AZ497" s="46"/>
      <c r="BA497" s="45"/>
      <c r="BB497" s="45"/>
      <c r="BC497" s="73"/>
      <c r="BD497" s="165"/>
      <c r="BE497" s="165"/>
      <c r="BF497" s="173"/>
      <c r="BG497" s="304"/>
      <c r="BH497" s="601"/>
      <c r="BI497" s="45">
        <v>268</v>
      </c>
      <c r="BJ497" s="46">
        <v>250</v>
      </c>
      <c r="BK497" s="45"/>
      <c r="BL497" s="53"/>
      <c r="BM497" s="200"/>
      <c r="BN497" s="45">
        <v>299</v>
      </c>
      <c r="BO497" s="54">
        <v>307</v>
      </c>
      <c r="BP497" s="53">
        <v>204</v>
      </c>
      <c r="BQ497" s="54">
        <v>261</v>
      </c>
      <c r="BR497" s="73">
        <v>33</v>
      </c>
      <c r="BS497" s="165"/>
      <c r="BT497" s="167"/>
      <c r="BU497" s="45"/>
      <c r="BV497" s="53"/>
      <c r="BW497" s="54"/>
      <c r="BX497" s="54"/>
      <c r="BY497" s="200"/>
      <c r="BZ497" s="165"/>
      <c r="CA497" s="173"/>
      <c r="CB497" s="190"/>
      <c r="CC497" s="167"/>
      <c r="CD497" s="45"/>
      <c r="CE497" s="54"/>
      <c r="CF497" s="54"/>
      <c r="CG497" s="106"/>
      <c r="CH497" s="165"/>
      <c r="CI497" s="167"/>
    </row>
    <row r="498" spans="1:87" x14ac:dyDescent="0.3">
      <c r="A498" s="10">
        <v>8511</v>
      </c>
      <c r="B498" s="11" t="s">
        <v>621</v>
      </c>
      <c r="C498" s="471">
        <v>791</v>
      </c>
      <c r="D498" s="54">
        <v>392</v>
      </c>
      <c r="E498" s="367">
        <f t="shared" si="8"/>
        <v>0.49557522123893805</v>
      </c>
      <c r="F498" s="45"/>
      <c r="G498" s="45"/>
      <c r="H498" s="45"/>
      <c r="I498" s="45"/>
      <c r="J498" s="46"/>
      <c r="K498" s="45"/>
      <c r="L498" s="107"/>
      <c r="M498" s="541"/>
      <c r="N498" s="45"/>
      <c r="O498" s="45"/>
      <c r="P498" s="53"/>
      <c r="Q498" s="57"/>
      <c r="R498" s="57"/>
      <c r="S498" s="74"/>
      <c r="T498" s="45"/>
      <c r="U498" s="45"/>
      <c r="V498" s="73"/>
      <c r="W498" s="169"/>
      <c r="X498" s="173"/>
      <c r="Y498" s="190"/>
      <c r="Z498" s="167"/>
      <c r="AA498" s="45"/>
      <c r="AB498" s="57"/>
      <c r="AC498" s="169"/>
      <c r="AD498" s="165"/>
      <c r="AE498" s="173"/>
      <c r="AF498" s="168"/>
      <c r="AG498" s="73"/>
      <c r="AH498" s="45"/>
      <c r="AI498" s="46"/>
      <c r="AJ498" s="165"/>
      <c r="AK498" s="173"/>
      <c r="AL498" s="167"/>
      <c r="AM498" s="45"/>
      <c r="AN498" s="54"/>
      <c r="AO498" s="54"/>
      <c r="AP498" s="73"/>
      <c r="AQ498" s="165"/>
      <c r="AR498" s="168"/>
      <c r="AS498" s="45">
        <v>167</v>
      </c>
      <c r="AT498" s="53">
        <v>210</v>
      </c>
      <c r="AU498" s="46">
        <v>83</v>
      </c>
      <c r="AV498" s="45"/>
      <c r="AW498" s="54"/>
      <c r="AX498" s="54"/>
      <c r="AY498" s="53"/>
      <c r="AZ498" s="46"/>
      <c r="BA498" s="45"/>
      <c r="BB498" s="45"/>
      <c r="BC498" s="73"/>
      <c r="BD498" s="165"/>
      <c r="BE498" s="165"/>
      <c r="BF498" s="173"/>
      <c r="BG498" s="304"/>
      <c r="BH498" s="601"/>
      <c r="BI498" s="45"/>
      <c r="BJ498" s="46"/>
      <c r="BK498" s="45"/>
      <c r="BL498" s="53"/>
      <c r="BM498" s="200"/>
      <c r="BN498" s="165"/>
      <c r="BO498" s="173"/>
      <c r="BP498" s="190"/>
      <c r="BQ498" s="173"/>
      <c r="BR498" s="168"/>
      <c r="BS498" s="165"/>
      <c r="BT498" s="167"/>
      <c r="BU498" s="45"/>
      <c r="BV498" s="53"/>
      <c r="BW498" s="54"/>
      <c r="BX498" s="54"/>
      <c r="BY498" s="200"/>
      <c r="BZ498" s="165"/>
      <c r="CA498" s="173"/>
      <c r="CB498" s="190"/>
      <c r="CC498" s="167"/>
      <c r="CD498" s="45"/>
      <c r="CE498" s="54"/>
      <c r="CF498" s="54"/>
      <c r="CG498" s="106"/>
      <c r="CH498" s="165"/>
      <c r="CI498" s="167"/>
    </row>
    <row r="499" spans="1:87" x14ac:dyDescent="0.3">
      <c r="A499" s="10">
        <v>8521</v>
      </c>
      <c r="B499" s="11" t="s">
        <v>622</v>
      </c>
      <c r="C499" s="471">
        <v>772</v>
      </c>
      <c r="D499" s="54">
        <v>380</v>
      </c>
      <c r="E499" s="367">
        <f t="shared" si="8"/>
        <v>0.49222797927461137</v>
      </c>
      <c r="F499" s="45"/>
      <c r="G499" s="45"/>
      <c r="H499" s="45"/>
      <c r="I499" s="45"/>
      <c r="J499" s="46"/>
      <c r="K499" s="45"/>
      <c r="L499" s="107"/>
      <c r="M499" s="541"/>
      <c r="N499" s="45"/>
      <c r="O499" s="45"/>
      <c r="P499" s="53"/>
      <c r="Q499" s="57"/>
      <c r="R499" s="57"/>
      <c r="S499" s="74"/>
      <c r="T499" s="45"/>
      <c r="U499" s="45"/>
      <c r="V499" s="73"/>
      <c r="W499" s="169"/>
      <c r="X499" s="173"/>
      <c r="Y499" s="190"/>
      <c r="Z499" s="167"/>
      <c r="AA499" s="45"/>
      <c r="AB499" s="57"/>
      <c r="AC499" s="169"/>
      <c r="AD499" s="165"/>
      <c r="AE499" s="173"/>
      <c r="AF499" s="168"/>
      <c r="AG499" s="73"/>
      <c r="AH499" s="45"/>
      <c r="AI499" s="46"/>
      <c r="AJ499" s="165"/>
      <c r="AK499" s="173"/>
      <c r="AL499" s="167"/>
      <c r="AM499" s="45"/>
      <c r="AN499" s="54"/>
      <c r="AO499" s="54"/>
      <c r="AP499" s="73"/>
      <c r="AQ499" s="165"/>
      <c r="AR499" s="168"/>
      <c r="AS499" s="45">
        <v>154</v>
      </c>
      <c r="AT499" s="53">
        <v>204</v>
      </c>
      <c r="AU499" s="46">
        <v>111</v>
      </c>
      <c r="AV499" s="45"/>
      <c r="AW499" s="54"/>
      <c r="AX499" s="54"/>
      <c r="AY499" s="53"/>
      <c r="AZ499" s="46"/>
      <c r="BA499" s="45"/>
      <c r="BB499" s="45"/>
      <c r="BC499" s="73"/>
      <c r="BD499" s="165"/>
      <c r="BE499" s="165"/>
      <c r="BF499" s="173"/>
      <c r="BG499" s="304"/>
      <c r="BH499" s="601"/>
      <c r="BI499" s="45"/>
      <c r="BJ499" s="46"/>
      <c r="BK499" s="45"/>
      <c r="BL499" s="53"/>
      <c r="BM499" s="200"/>
      <c r="BN499" s="165"/>
      <c r="BO499" s="173"/>
      <c r="BP499" s="190"/>
      <c r="BQ499" s="173"/>
      <c r="BR499" s="168"/>
      <c r="BS499" s="165"/>
      <c r="BT499" s="167"/>
      <c r="BU499" s="45"/>
      <c r="BV499" s="53"/>
      <c r="BW499" s="54"/>
      <c r="BX499" s="54"/>
      <c r="BY499" s="200"/>
      <c r="BZ499" s="165"/>
      <c r="CA499" s="173"/>
      <c r="CB499" s="190"/>
      <c r="CC499" s="167"/>
      <c r="CD499" s="45"/>
      <c r="CE499" s="54"/>
      <c r="CF499" s="54"/>
      <c r="CG499" s="106"/>
      <c r="CH499" s="165"/>
      <c r="CI499" s="167"/>
    </row>
    <row r="500" spans="1:87" x14ac:dyDescent="0.3">
      <c r="A500" s="10">
        <v>8531</v>
      </c>
      <c r="B500" s="11" t="s">
        <v>623</v>
      </c>
      <c r="C500" s="471">
        <v>742</v>
      </c>
      <c r="D500" s="54">
        <v>422</v>
      </c>
      <c r="E500" s="367">
        <f t="shared" si="8"/>
        <v>0.56873315363881405</v>
      </c>
      <c r="F500" s="45"/>
      <c r="G500" s="45"/>
      <c r="H500" s="45"/>
      <c r="I500" s="45"/>
      <c r="J500" s="46"/>
      <c r="K500" s="45"/>
      <c r="L500" s="107"/>
      <c r="M500" s="541"/>
      <c r="N500" s="45"/>
      <c r="O500" s="45"/>
      <c r="P500" s="53"/>
      <c r="Q500" s="57"/>
      <c r="R500" s="57"/>
      <c r="S500" s="74"/>
      <c r="T500" s="45"/>
      <c r="U500" s="45"/>
      <c r="V500" s="73"/>
      <c r="W500" s="169"/>
      <c r="X500" s="173"/>
      <c r="Y500" s="190"/>
      <c r="Z500" s="167"/>
      <c r="AA500" s="45"/>
      <c r="AB500" s="57"/>
      <c r="AC500" s="169"/>
      <c r="AD500" s="165"/>
      <c r="AE500" s="173"/>
      <c r="AF500" s="168"/>
      <c r="AG500" s="73"/>
      <c r="AH500" s="45"/>
      <c r="AI500" s="46"/>
      <c r="AJ500" s="165"/>
      <c r="AK500" s="173"/>
      <c r="AL500" s="167"/>
      <c r="AM500" s="45"/>
      <c r="AN500" s="54"/>
      <c r="AO500" s="54"/>
      <c r="AP500" s="73"/>
      <c r="AQ500" s="165"/>
      <c r="AR500" s="168"/>
      <c r="AS500" s="45">
        <v>177</v>
      </c>
      <c r="AT500" s="53">
        <v>208</v>
      </c>
      <c r="AU500" s="46">
        <v>103</v>
      </c>
      <c r="AV500" s="45"/>
      <c r="AW500" s="54"/>
      <c r="AX500" s="54"/>
      <c r="AY500" s="53"/>
      <c r="AZ500" s="46"/>
      <c r="BA500" s="45"/>
      <c r="BB500" s="45"/>
      <c r="BC500" s="73"/>
      <c r="BD500" s="165"/>
      <c r="BE500" s="165"/>
      <c r="BF500" s="173"/>
      <c r="BG500" s="304"/>
      <c r="BH500" s="601"/>
      <c r="BI500" s="45"/>
      <c r="BJ500" s="46"/>
      <c r="BK500" s="45"/>
      <c r="BL500" s="53"/>
      <c r="BM500" s="200"/>
      <c r="BN500" s="165"/>
      <c r="BO500" s="173"/>
      <c r="BP500" s="190"/>
      <c r="BQ500" s="173"/>
      <c r="BR500" s="168"/>
      <c r="BS500" s="165"/>
      <c r="BT500" s="167"/>
      <c r="BU500" s="45"/>
      <c r="BV500" s="53"/>
      <c r="BW500" s="54"/>
      <c r="BX500" s="54"/>
      <c r="BY500" s="200"/>
      <c r="BZ500" s="165"/>
      <c r="CA500" s="173"/>
      <c r="CB500" s="190"/>
      <c r="CC500" s="167"/>
      <c r="CD500" s="45"/>
      <c r="CE500" s="54"/>
      <c r="CF500" s="54"/>
      <c r="CG500" s="106"/>
      <c r="CH500" s="165"/>
      <c r="CI500" s="167"/>
    </row>
    <row r="501" spans="1:87" x14ac:dyDescent="0.3">
      <c r="A501" s="10">
        <v>8541</v>
      </c>
      <c r="B501" s="11" t="s">
        <v>624</v>
      </c>
      <c r="C501" s="471">
        <v>720</v>
      </c>
      <c r="D501" s="54">
        <v>376</v>
      </c>
      <c r="E501" s="367">
        <f t="shared" si="8"/>
        <v>0.52222222222222225</v>
      </c>
      <c r="F501" s="45"/>
      <c r="G501" s="45"/>
      <c r="H501" s="45"/>
      <c r="I501" s="45"/>
      <c r="J501" s="46"/>
      <c r="K501" s="45"/>
      <c r="L501" s="107"/>
      <c r="M501" s="541"/>
      <c r="N501" s="45"/>
      <c r="O501" s="45"/>
      <c r="P501" s="53"/>
      <c r="Q501" s="57"/>
      <c r="R501" s="57"/>
      <c r="S501" s="74"/>
      <c r="T501" s="45"/>
      <c r="U501" s="45"/>
      <c r="V501" s="73"/>
      <c r="W501" s="169"/>
      <c r="X501" s="173"/>
      <c r="Y501" s="190"/>
      <c r="Z501" s="167"/>
      <c r="AA501" s="45"/>
      <c r="AB501" s="57"/>
      <c r="AC501" s="169"/>
      <c r="AD501" s="165"/>
      <c r="AE501" s="173"/>
      <c r="AF501" s="168"/>
      <c r="AG501" s="73"/>
      <c r="AH501" s="45"/>
      <c r="AI501" s="46"/>
      <c r="AJ501" s="165"/>
      <c r="AK501" s="173"/>
      <c r="AL501" s="167"/>
      <c r="AM501" s="45"/>
      <c r="AN501" s="54"/>
      <c r="AO501" s="54"/>
      <c r="AP501" s="73"/>
      <c r="AQ501" s="165"/>
      <c r="AR501" s="168"/>
      <c r="AS501" s="45">
        <v>132</v>
      </c>
      <c r="AT501" s="53">
        <v>171</v>
      </c>
      <c r="AU501" s="46">
        <v>89</v>
      </c>
      <c r="AV501" s="45"/>
      <c r="AW501" s="54"/>
      <c r="AX501" s="54"/>
      <c r="AY501" s="53"/>
      <c r="AZ501" s="46"/>
      <c r="BA501" s="45"/>
      <c r="BB501" s="45"/>
      <c r="BC501" s="73"/>
      <c r="BD501" s="165"/>
      <c r="BE501" s="165"/>
      <c r="BF501" s="173"/>
      <c r="BG501" s="304"/>
      <c r="BH501" s="601"/>
      <c r="BI501" s="45"/>
      <c r="BJ501" s="46"/>
      <c r="BK501" s="45"/>
      <c r="BL501" s="53"/>
      <c r="BM501" s="200"/>
      <c r="BN501" s="165"/>
      <c r="BO501" s="173"/>
      <c r="BP501" s="190"/>
      <c r="BQ501" s="173"/>
      <c r="BR501" s="168"/>
      <c r="BS501" s="165"/>
      <c r="BT501" s="167"/>
      <c r="BU501" s="45"/>
      <c r="BV501" s="53"/>
      <c r="BW501" s="54"/>
      <c r="BX501" s="54"/>
      <c r="BY501" s="200"/>
      <c r="BZ501" s="165"/>
      <c r="CA501" s="173"/>
      <c r="CB501" s="190"/>
      <c r="CC501" s="167"/>
      <c r="CD501" s="45"/>
      <c r="CE501" s="54"/>
      <c r="CF501" s="54"/>
      <c r="CG501" s="106"/>
      <c r="CH501" s="165"/>
      <c r="CI501" s="167"/>
    </row>
    <row r="502" spans="1:87" x14ac:dyDescent="0.3">
      <c r="A502" s="10">
        <v>8601</v>
      </c>
      <c r="B502" s="11" t="s">
        <v>625</v>
      </c>
      <c r="C502" s="471">
        <v>1132</v>
      </c>
      <c r="D502" s="54">
        <v>607</v>
      </c>
      <c r="E502" s="367">
        <f t="shared" si="8"/>
        <v>0.53621908127208484</v>
      </c>
      <c r="F502" s="45">
        <v>261</v>
      </c>
      <c r="G502" s="45">
        <v>110</v>
      </c>
      <c r="H502" s="45">
        <v>168</v>
      </c>
      <c r="I502" s="45">
        <v>235</v>
      </c>
      <c r="J502" s="46">
        <v>83</v>
      </c>
      <c r="K502" s="45">
        <v>64</v>
      </c>
      <c r="L502" s="107">
        <v>56</v>
      </c>
      <c r="M502" s="541">
        <v>79</v>
      </c>
      <c r="N502" s="45"/>
      <c r="O502" s="45"/>
      <c r="P502" s="53"/>
      <c r="Q502" s="57"/>
      <c r="R502" s="57"/>
      <c r="S502" s="74"/>
      <c r="T502" s="45"/>
      <c r="U502" s="45"/>
      <c r="V502" s="73"/>
      <c r="W502" s="169"/>
      <c r="X502" s="173"/>
      <c r="Y502" s="190"/>
      <c r="Z502" s="167"/>
      <c r="AA502" s="45"/>
      <c r="AB502" s="57"/>
      <c r="AC502" s="169"/>
      <c r="AD502" s="165"/>
      <c r="AE502" s="173"/>
      <c r="AF502" s="168"/>
      <c r="AG502" s="73"/>
      <c r="AH502" s="45"/>
      <c r="AI502" s="46"/>
      <c r="AJ502" s="165"/>
      <c r="AK502" s="173"/>
      <c r="AL502" s="167"/>
      <c r="AM502" s="45"/>
      <c r="AN502" s="54"/>
      <c r="AO502" s="54"/>
      <c r="AP502" s="73"/>
      <c r="AQ502" s="165"/>
      <c r="AR502" s="168"/>
      <c r="AS502" s="165"/>
      <c r="AT502" s="190"/>
      <c r="AU502" s="167"/>
      <c r="AV502" s="45"/>
      <c r="AW502" s="54"/>
      <c r="AX502" s="54"/>
      <c r="AY502" s="53"/>
      <c r="AZ502" s="46"/>
      <c r="BA502" s="45"/>
      <c r="BB502" s="45"/>
      <c r="BC502" s="73"/>
      <c r="BD502" s="165"/>
      <c r="BE502" s="165"/>
      <c r="BF502" s="173"/>
      <c r="BG502" s="304"/>
      <c r="BH502" s="601"/>
      <c r="BI502" s="45"/>
      <c r="BJ502" s="46"/>
      <c r="BK502" s="45"/>
      <c r="BL502" s="53"/>
      <c r="BM502" s="200"/>
      <c r="BN502" s="165"/>
      <c r="BO502" s="173"/>
      <c r="BP502" s="190"/>
      <c r="BQ502" s="173"/>
      <c r="BR502" s="168"/>
      <c r="BS502" s="165"/>
      <c r="BT502" s="167"/>
      <c r="BU502" s="45"/>
      <c r="BV502" s="53"/>
      <c r="BW502" s="54"/>
      <c r="BX502" s="54"/>
      <c r="BY502" s="200"/>
      <c r="BZ502" s="165"/>
      <c r="CA502" s="173"/>
      <c r="CB502" s="190"/>
      <c r="CC502" s="167"/>
      <c r="CD502" s="45"/>
      <c r="CE502" s="54"/>
      <c r="CF502" s="54"/>
      <c r="CG502" s="106"/>
      <c r="CH502" s="165"/>
      <c r="CI502" s="167"/>
    </row>
    <row r="503" spans="1:87" x14ac:dyDescent="0.3">
      <c r="A503" s="10">
        <v>8602</v>
      </c>
      <c r="B503" s="11" t="s">
        <v>626</v>
      </c>
      <c r="C503" s="471">
        <v>1380</v>
      </c>
      <c r="D503" s="54">
        <v>681</v>
      </c>
      <c r="E503" s="367">
        <f t="shared" si="8"/>
        <v>0.4934782608695652</v>
      </c>
      <c r="F503" s="45">
        <v>359</v>
      </c>
      <c r="G503" s="45">
        <v>201</v>
      </c>
      <c r="H503" s="45">
        <v>221</v>
      </c>
      <c r="I503" s="45">
        <v>376</v>
      </c>
      <c r="J503" s="46">
        <v>63</v>
      </c>
      <c r="K503" s="199"/>
      <c r="L503" s="316"/>
      <c r="M503" s="602"/>
      <c r="N503" s="199"/>
      <c r="O503" s="199"/>
      <c r="P503" s="202"/>
      <c r="Q503" s="203"/>
      <c r="R503" s="203"/>
      <c r="S503" s="98"/>
      <c r="T503" s="199"/>
      <c r="U503" s="199"/>
      <c r="V503" s="106"/>
      <c r="W503" s="169"/>
      <c r="X503" s="173"/>
      <c r="Y503" s="190"/>
      <c r="Z503" s="167"/>
      <c r="AA503" s="45"/>
      <c r="AB503" s="57"/>
      <c r="AC503" s="169"/>
      <c r="AD503" s="165"/>
      <c r="AE503" s="173"/>
      <c r="AF503" s="168"/>
      <c r="AG503" s="73"/>
      <c r="AH503" s="45"/>
      <c r="AI503" s="46"/>
      <c r="AJ503" s="165"/>
      <c r="AK503" s="173"/>
      <c r="AL503" s="167"/>
      <c r="AM503" s="45"/>
      <c r="AN503" s="54"/>
      <c r="AO503" s="54"/>
      <c r="AP503" s="73"/>
      <c r="AQ503" s="165"/>
      <c r="AR503" s="168"/>
      <c r="AS503" s="165"/>
      <c r="AT503" s="190"/>
      <c r="AU503" s="167"/>
      <c r="AV503" s="45"/>
      <c r="AW503" s="54"/>
      <c r="AX503" s="54"/>
      <c r="AY503" s="53"/>
      <c r="AZ503" s="46"/>
      <c r="BA503" s="45"/>
      <c r="BB503" s="45"/>
      <c r="BC503" s="73"/>
      <c r="BD503" s="165"/>
      <c r="BE503" s="165"/>
      <c r="BF503" s="173"/>
      <c r="BG503" s="304"/>
      <c r="BH503" s="601"/>
      <c r="BI503" s="45"/>
      <c r="BJ503" s="46"/>
      <c r="BK503" s="45"/>
      <c r="BL503" s="53"/>
      <c r="BM503" s="200"/>
      <c r="BN503" s="165"/>
      <c r="BO503" s="173"/>
      <c r="BP503" s="190"/>
      <c r="BQ503" s="173"/>
      <c r="BR503" s="168"/>
      <c r="BS503" s="165"/>
      <c r="BT503" s="167"/>
      <c r="BU503" s="45"/>
      <c r="BV503" s="53"/>
      <c r="BW503" s="54"/>
      <c r="BX503" s="54"/>
      <c r="BY503" s="200"/>
      <c r="BZ503" s="165"/>
      <c r="CA503" s="173"/>
      <c r="CB503" s="190"/>
      <c r="CC503" s="167"/>
      <c r="CD503" s="45"/>
      <c r="CE503" s="54"/>
      <c r="CF503" s="54"/>
      <c r="CG503" s="106"/>
      <c r="CH503" s="165"/>
      <c r="CI503" s="167"/>
    </row>
    <row r="504" spans="1:87" x14ac:dyDescent="0.3">
      <c r="A504" s="10">
        <v>8603</v>
      </c>
      <c r="B504" s="11" t="s">
        <v>627</v>
      </c>
      <c r="C504" s="471">
        <v>1269</v>
      </c>
      <c r="D504" s="54">
        <v>587</v>
      </c>
      <c r="E504" s="367">
        <f t="shared" si="8"/>
        <v>0.46256895193065406</v>
      </c>
      <c r="F504" s="45">
        <v>292</v>
      </c>
      <c r="G504" s="45">
        <v>174</v>
      </c>
      <c r="H504" s="45">
        <v>185</v>
      </c>
      <c r="I504" s="45">
        <v>299</v>
      </c>
      <c r="J504" s="46">
        <v>69</v>
      </c>
      <c r="K504" s="199"/>
      <c r="L504" s="316"/>
      <c r="M504" s="602"/>
      <c r="N504" s="199"/>
      <c r="O504" s="199"/>
      <c r="P504" s="202"/>
      <c r="Q504" s="203"/>
      <c r="R504" s="203"/>
      <c r="S504" s="98"/>
      <c r="T504" s="199"/>
      <c r="U504" s="199"/>
      <c r="V504" s="106"/>
      <c r="W504" s="169"/>
      <c r="X504" s="173"/>
      <c r="Y504" s="190"/>
      <c r="Z504" s="167"/>
      <c r="AA504" s="45"/>
      <c r="AB504" s="57"/>
      <c r="AC504" s="169"/>
      <c r="AD504" s="165"/>
      <c r="AE504" s="173"/>
      <c r="AF504" s="168"/>
      <c r="AG504" s="73"/>
      <c r="AH504" s="45"/>
      <c r="AI504" s="46"/>
      <c r="AJ504" s="165"/>
      <c r="AK504" s="173"/>
      <c r="AL504" s="167"/>
      <c r="AM504" s="45"/>
      <c r="AN504" s="54"/>
      <c r="AO504" s="54"/>
      <c r="AP504" s="73"/>
      <c r="AQ504" s="165"/>
      <c r="AR504" s="168"/>
      <c r="AS504" s="165"/>
      <c r="AT504" s="190"/>
      <c r="AU504" s="167"/>
      <c r="AV504" s="45"/>
      <c r="AW504" s="54"/>
      <c r="AX504" s="54"/>
      <c r="AY504" s="53"/>
      <c r="AZ504" s="46"/>
      <c r="BA504" s="45"/>
      <c r="BB504" s="45"/>
      <c r="BC504" s="73"/>
      <c r="BD504" s="165"/>
      <c r="BE504" s="165"/>
      <c r="BF504" s="173"/>
      <c r="BG504" s="304"/>
      <c r="BH504" s="601"/>
      <c r="BI504" s="45"/>
      <c r="BJ504" s="46"/>
      <c r="BK504" s="45"/>
      <c r="BL504" s="53"/>
      <c r="BM504" s="200"/>
      <c r="BN504" s="165"/>
      <c r="BO504" s="173"/>
      <c r="BP504" s="190"/>
      <c r="BQ504" s="173"/>
      <c r="BR504" s="168"/>
      <c r="BS504" s="165"/>
      <c r="BT504" s="167"/>
      <c r="BU504" s="45"/>
      <c r="BV504" s="53"/>
      <c r="BW504" s="54"/>
      <c r="BX504" s="54"/>
      <c r="BY504" s="200"/>
      <c r="BZ504" s="165"/>
      <c r="CA504" s="173"/>
      <c r="CB504" s="190"/>
      <c r="CC504" s="167"/>
      <c r="CD504" s="45"/>
      <c r="CE504" s="54"/>
      <c r="CF504" s="54"/>
      <c r="CG504" s="106"/>
      <c r="CH504" s="165"/>
      <c r="CI504" s="167"/>
    </row>
    <row r="505" spans="1:87" x14ac:dyDescent="0.3">
      <c r="A505" s="10">
        <v>8701</v>
      </c>
      <c r="B505" s="11" t="s">
        <v>628</v>
      </c>
      <c r="C505" s="471">
        <v>811</v>
      </c>
      <c r="D505" s="54">
        <v>249</v>
      </c>
      <c r="E505" s="367">
        <f t="shared" si="8"/>
        <v>0.30702836004932182</v>
      </c>
      <c r="F505" s="199"/>
      <c r="G505" s="199"/>
      <c r="H505" s="199"/>
      <c r="I505" s="199"/>
      <c r="J505" s="200"/>
      <c r="K505" s="199"/>
      <c r="L505" s="316"/>
      <c r="M505" s="602"/>
      <c r="N505" s="199"/>
      <c r="O505" s="199"/>
      <c r="P505" s="202"/>
      <c r="Q505" s="203"/>
      <c r="R505" s="203"/>
      <c r="S505" s="98"/>
      <c r="T505" s="199"/>
      <c r="U505" s="199"/>
      <c r="V505" s="106"/>
      <c r="W505" s="169"/>
      <c r="X505" s="173"/>
      <c r="Y505" s="190"/>
      <c r="Z505" s="167"/>
      <c r="AA505" s="199"/>
      <c r="AB505" s="203"/>
      <c r="AC505" s="169"/>
      <c r="AD505" s="165"/>
      <c r="AE505" s="173"/>
      <c r="AF505" s="168"/>
      <c r="AG505" s="73">
        <v>163</v>
      </c>
      <c r="AH505" s="45">
        <v>12</v>
      </c>
      <c r="AI505" s="46">
        <v>10</v>
      </c>
      <c r="AJ505" s="165"/>
      <c r="AK505" s="173"/>
      <c r="AL505" s="167"/>
      <c r="AM505" s="45"/>
      <c r="AN505" s="54"/>
      <c r="AO505" s="54"/>
      <c r="AP505" s="73"/>
      <c r="AQ505" s="165"/>
      <c r="AR505" s="168"/>
      <c r="AS505" s="165"/>
      <c r="AT505" s="190"/>
      <c r="AU505" s="167"/>
      <c r="AV505" s="45"/>
      <c r="AW505" s="54"/>
      <c r="AX505" s="54"/>
      <c r="AY505" s="53"/>
      <c r="AZ505" s="200"/>
      <c r="BA505" s="45"/>
      <c r="BB505" s="45"/>
      <c r="BC505" s="73"/>
      <c r="BD505" s="165"/>
      <c r="BE505" s="165"/>
      <c r="BF505" s="173"/>
      <c r="BG505" s="304"/>
      <c r="BH505" s="601"/>
      <c r="BI505" s="45"/>
      <c r="BJ505" s="46"/>
      <c r="BK505" s="199"/>
      <c r="BL505" s="202"/>
      <c r="BM505" s="200"/>
      <c r="BN505" s="165"/>
      <c r="BO505" s="173"/>
      <c r="BP505" s="190"/>
      <c r="BQ505" s="173"/>
      <c r="BR505" s="168"/>
      <c r="BS505" s="165"/>
      <c r="BT505" s="167"/>
      <c r="BU505" s="199"/>
      <c r="BV505" s="202"/>
      <c r="BW505" s="201"/>
      <c r="BX505" s="201"/>
      <c r="BY505" s="200"/>
      <c r="BZ505" s="165"/>
      <c r="CA505" s="173"/>
      <c r="CB505" s="190"/>
      <c r="CC505" s="167"/>
      <c r="CD505" s="45"/>
      <c r="CE505" s="54"/>
      <c r="CF505" s="54"/>
      <c r="CG505" s="106"/>
      <c r="CH505" s="165"/>
      <c r="CI505" s="167"/>
    </row>
    <row r="506" spans="1:87" x14ac:dyDescent="0.3">
      <c r="A506" s="10">
        <v>8702</v>
      </c>
      <c r="B506" s="11" t="s">
        <v>629</v>
      </c>
      <c r="C506" s="471">
        <v>691</v>
      </c>
      <c r="D506" s="54">
        <v>332</v>
      </c>
      <c r="E506" s="367">
        <f t="shared" si="8"/>
        <v>0.48046309696092621</v>
      </c>
      <c r="F506" s="199"/>
      <c r="G506" s="199"/>
      <c r="H506" s="199"/>
      <c r="I506" s="199"/>
      <c r="J506" s="200"/>
      <c r="K506" s="45"/>
      <c r="L506" s="107"/>
      <c r="M506" s="541"/>
      <c r="N506" s="45"/>
      <c r="O506" s="45"/>
      <c r="P506" s="53"/>
      <c r="Q506" s="57"/>
      <c r="R506" s="57"/>
      <c r="S506" s="74"/>
      <c r="T506" s="45"/>
      <c r="U506" s="45"/>
      <c r="V506" s="73"/>
      <c r="W506" s="169"/>
      <c r="X506" s="173"/>
      <c r="Y506" s="190"/>
      <c r="Z506" s="167"/>
      <c r="AA506" s="199"/>
      <c r="AB506" s="203"/>
      <c r="AC506" s="169"/>
      <c r="AD506" s="165"/>
      <c r="AE506" s="173"/>
      <c r="AF506" s="168"/>
      <c r="AG506" s="106"/>
      <c r="AH506" s="199"/>
      <c r="AI506" s="200"/>
      <c r="AJ506" s="165"/>
      <c r="AK506" s="173"/>
      <c r="AL506" s="167"/>
      <c r="AM506" s="199"/>
      <c r="AN506" s="201"/>
      <c r="AO506" s="201"/>
      <c r="AP506" s="106"/>
      <c r="AQ506" s="165"/>
      <c r="AR506" s="168"/>
      <c r="AS506" s="165"/>
      <c r="AT506" s="190"/>
      <c r="AU506" s="167"/>
      <c r="AV506" s="199"/>
      <c r="AW506" s="201"/>
      <c r="AX506" s="201"/>
      <c r="AY506" s="202"/>
      <c r="AZ506" s="200"/>
      <c r="BA506" s="45"/>
      <c r="BB506" s="45"/>
      <c r="BC506" s="73"/>
      <c r="BD506" s="165"/>
      <c r="BE506" s="165"/>
      <c r="BF506" s="173"/>
      <c r="BG506" s="304"/>
      <c r="BH506" s="601"/>
      <c r="BI506" s="45">
        <v>132</v>
      </c>
      <c r="BJ506" s="46">
        <v>172</v>
      </c>
      <c r="BK506" s="45">
        <v>125</v>
      </c>
      <c r="BL506" s="53">
        <v>127</v>
      </c>
      <c r="BM506" s="46">
        <v>150</v>
      </c>
      <c r="BN506" s="165"/>
      <c r="BO506" s="173"/>
      <c r="BP506" s="190"/>
      <c r="BQ506" s="173"/>
      <c r="BR506" s="168"/>
      <c r="BS506" s="165"/>
      <c r="BT506" s="167"/>
      <c r="BU506" s="45"/>
      <c r="BV506" s="53"/>
      <c r="BW506" s="54"/>
      <c r="BX506" s="54"/>
      <c r="BY506" s="200"/>
      <c r="BZ506" s="165"/>
      <c r="CA506" s="173"/>
      <c r="CB506" s="190"/>
      <c r="CC506" s="167"/>
      <c r="CD506" s="45"/>
      <c r="CE506" s="54"/>
      <c r="CF506" s="54"/>
      <c r="CG506" s="106"/>
      <c r="CH506" s="165"/>
      <c r="CI506" s="167"/>
    </row>
    <row r="507" spans="1:87" x14ac:dyDescent="0.3">
      <c r="A507" s="10">
        <v>8703</v>
      </c>
      <c r="B507" s="11" t="s">
        <v>630</v>
      </c>
      <c r="C507" s="471">
        <v>1279</v>
      </c>
      <c r="D507" s="54">
        <v>617</v>
      </c>
      <c r="E507" s="367">
        <f t="shared" si="8"/>
        <v>0.48240813135261923</v>
      </c>
      <c r="F507" s="199"/>
      <c r="G507" s="199"/>
      <c r="H507" s="199"/>
      <c r="I507" s="199"/>
      <c r="J507" s="200"/>
      <c r="K507" s="45"/>
      <c r="L507" s="107"/>
      <c r="M507" s="541"/>
      <c r="N507" s="45"/>
      <c r="O507" s="45"/>
      <c r="P507" s="53"/>
      <c r="Q507" s="57"/>
      <c r="R507" s="57"/>
      <c r="S507" s="74"/>
      <c r="T507" s="45"/>
      <c r="U507" s="45"/>
      <c r="V507" s="73"/>
      <c r="W507" s="169"/>
      <c r="X507" s="173"/>
      <c r="Y507" s="190"/>
      <c r="Z507" s="167"/>
      <c r="AA507" s="199"/>
      <c r="AB507" s="203"/>
      <c r="AC507" s="169"/>
      <c r="AD507" s="165"/>
      <c r="AE507" s="173"/>
      <c r="AF507" s="168"/>
      <c r="AG507" s="73">
        <v>124</v>
      </c>
      <c r="AH507" s="199"/>
      <c r="AI507" s="200"/>
      <c r="AJ507" s="165"/>
      <c r="AK507" s="173"/>
      <c r="AL507" s="167"/>
      <c r="AM507" s="199"/>
      <c r="AN507" s="201"/>
      <c r="AO507" s="201"/>
      <c r="AP507" s="106"/>
      <c r="AQ507" s="165"/>
      <c r="AR507" s="168"/>
      <c r="AS507" s="165"/>
      <c r="AT507" s="190"/>
      <c r="AU507" s="167"/>
      <c r="AV507" s="199"/>
      <c r="AW507" s="201"/>
      <c r="AX507" s="201"/>
      <c r="AY507" s="202"/>
      <c r="AZ507" s="200"/>
      <c r="BA507" s="199"/>
      <c r="BB507" s="199"/>
      <c r="BC507" s="106"/>
      <c r="BD507" s="165"/>
      <c r="BE507" s="165"/>
      <c r="BF507" s="173"/>
      <c r="BG507" s="304"/>
      <c r="BH507" s="601"/>
      <c r="BI507" s="45">
        <v>199</v>
      </c>
      <c r="BJ507" s="46">
        <v>226</v>
      </c>
      <c r="BK507" s="45">
        <v>153</v>
      </c>
      <c r="BL507" s="53">
        <v>191</v>
      </c>
      <c r="BM507" s="46">
        <v>222</v>
      </c>
      <c r="BN507" s="165"/>
      <c r="BO507" s="173"/>
      <c r="BP507" s="190"/>
      <c r="BQ507" s="173"/>
      <c r="BR507" s="168"/>
      <c r="BS507" s="165"/>
      <c r="BT507" s="167"/>
      <c r="BU507" s="45"/>
      <c r="BV507" s="53"/>
      <c r="BW507" s="54"/>
      <c r="BX507" s="54"/>
      <c r="BY507" s="200"/>
      <c r="BZ507" s="165"/>
      <c r="CA507" s="173"/>
      <c r="CB507" s="190"/>
      <c r="CC507" s="167"/>
      <c r="CD507" s="45"/>
      <c r="CE507" s="54"/>
      <c r="CF507" s="54"/>
      <c r="CG507" s="106"/>
      <c r="CH507" s="165"/>
      <c r="CI507" s="167"/>
    </row>
    <row r="508" spans="1:87" x14ac:dyDescent="0.3">
      <c r="A508" s="10">
        <v>8704</v>
      </c>
      <c r="B508" s="11" t="s">
        <v>631</v>
      </c>
      <c r="C508" s="471">
        <v>869</v>
      </c>
      <c r="D508" s="54">
        <v>453</v>
      </c>
      <c r="E508" s="367">
        <f t="shared" si="8"/>
        <v>0.52128883774453394</v>
      </c>
      <c r="F508" s="199"/>
      <c r="G508" s="199"/>
      <c r="H508" s="199"/>
      <c r="I508" s="199"/>
      <c r="J508" s="200"/>
      <c r="K508" s="199"/>
      <c r="L508" s="316"/>
      <c r="M508" s="602"/>
      <c r="N508" s="199"/>
      <c r="O508" s="199"/>
      <c r="P508" s="202"/>
      <c r="Q508" s="203"/>
      <c r="R508" s="203"/>
      <c r="S508" s="98"/>
      <c r="T508" s="199"/>
      <c r="U508" s="199"/>
      <c r="V508" s="106"/>
      <c r="W508" s="169"/>
      <c r="X508" s="173"/>
      <c r="Y508" s="190"/>
      <c r="Z508" s="167"/>
      <c r="AA508" s="199"/>
      <c r="AB508" s="203"/>
      <c r="AC508" s="169"/>
      <c r="AD508" s="165"/>
      <c r="AE508" s="173"/>
      <c r="AF508" s="168"/>
      <c r="AG508" s="106"/>
      <c r="AH508" s="199"/>
      <c r="AI508" s="200"/>
      <c r="AJ508" s="165"/>
      <c r="AK508" s="173"/>
      <c r="AL508" s="167"/>
      <c r="AM508" s="199"/>
      <c r="AN508" s="201"/>
      <c r="AO508" s="201"/>
      <c r="AP508" s="106"/>
      <c r="AQ508" s="165"/>
      <c r="AR508" s="168"/>
      <c r="AS508" s="165"/>
      <c r="AT508" s="190"/>
      <c r="AU508" s="167"/>
      <c r="AV508" s="199"/>
      <c r="AW508" s="201"/>
      <c r="AX508" s="201"/>
      <c r="AY508" s="202"/>
      <c r="AZ508" s="200"/>
      <c r="BA508" s="199"/>
      <c r="BB508" s="199"/>
      <c r="BC508" s="106"/>
      <c r="BD508" s="165"/>
      <c r="BE508" s="165"/>
      <c r="BF508" s="173"/>
      <c r="BG508" s="304"/>
      <c r="BH508" s="601"/>
      <c r="BI508" s="45">
        <v>201</v>
      </c>
      <c r="BJ508" s="46">
        <v>203</v>
      </c>
      <c r="BK508" s="199"/>
      <c r="BL508" s="202"/>
      <c r="BM508" s="200"/>
      <c r="BN508" s="165"/>
      <c r="BO508" s="173"/>
      <c r="BP508" s="190"/>
      <c r="BQ508" s="173"/>
      <c r="BR508" s="168"/>
      <c r="BS508" s="165"/>
      <c r="BT508" s="167"/>
      <c r="BU508" s="45">
        <v>116</v>
      </c>
      <c r="BV508" s="53">
        <v>127</v>
      </c>
      <c r="BW508" s="54">
        <v>144</v>
      </c>
      <c r="BX508" s="54">
        <v>111</v>
      </c>
      <c r="BY508" s="46">
        <v>84</v>
      </c>
      <c r="BZ508" s="165"/>
      <c r="CA508" s="173"/>
      <c r="CB508" s="190"/>
      <c r="CC508" s="167"/>
      <c r="CD508" s="45"/>
      <c r="CE508" s="54"/>
      <c r="CF508" s="54"/>
      <c r="CG508" s="106"/>
      <c r="CH508" s="165"/>
      <c r="CI508" s="167"/>
    </row>
    <row r="509" spans="1:87" x14ac:dyDescent="0.3">
      <c r="A509" s="10">
        <v>8705</v>
      </c>
      <c r="B509" s="11" t="s">
        <v>632</v>
      </c>
      <c r="C509" s="471">
        <v>547</v>
      </c>
      <c r="D509" s="54">
        <v>289</v>
      </c>
      <c r="E509" s="367">
        <f t="shared" si="8"/>
        <v>0.52833638025594154</v>
      </c>
      <c r="F509" s="45">
        <v>158</v>
      </c>
      <c r="G509" s="45">
        <v>70</v>
      </c>
      <c r="H509" s="45">
        <v>91</v>
      </c>
      <c r="I509" s="45">
        <v>130</v>
      </c>
      <c r="J509" s="46">
        <v>39</v>
      </c>
      <c r="K509" s="45"/>
      <c r="L509" s="107"/>
      <c r="M509" s="541"/>
      <c r="N509" s="45"/>
      <c r="O509" s="45"/>
      <c r="P509" s="53"/>
      <c r="Q509" s="57"/>
      <c r="R509" s="57"/>
      <c r="S509" s="74"/>
      <c r="T509" s="45"/>
      <c r="U509" s="45"/>
      <c r="V509" s="73"/>
      <c r="W509" s="169"/>
      <c r="X509" s="173"/>
      <c r="Y509" s="190"/>
      <c r="Z509" s="167"/>
      <c r="AA509" s="45"/>
      <c r="AB509" s="57"/>
      <c r="AC509" s="169"/>
      <c r="AD509" s="165"/>
      <c r="AE509" s="173"/>
      <c r="AF509" s="168"/>
      <c r="AG509" s="106"/>
      <c r="AH509" s="199"/>
      <c r="AI509" s="200"/>
      <c r="AJ509" s="165"/>
      <c r="AK509" s="173"/>
      <c r="AL509" s="167"/>
      <c r="AM509" s="199"/>
      <c r="AN509" s="201"/>
      <c r="AO509" s="201"/>
      <c r="AP509" s="106"/>
      <c r="AQ509" s="165"/>
      <c r="AR509" s="168"/>
      <c r="AS509" s="165"/>
      <c r="AT509" s="190"/>
      <c r="AU509" s="167"/>
      <c r="AV509" s="199"/>
      <c r="AW509" s="201"/>
      <c r="AX509" s="201"/>
      <c r="AY509" s="202"/>
      <c r="AZ509" s="46"/>
      <c r="BA509" s="199"/>
      <c r="BB509" s="199"/>
      <c r="BC509" s="106"/>
      <c r="BD509" s="165"/>
      <c r="BE509" s="165"/>
      <c r="BF509" s="173"/>
      <c r="BG509" s="304"/>
      <c r="BH509" s="601"/>
      <c r="BI509" s="199"/>
      <c r="BJ509" s="200"/>
      <c r="BK509" s="199"/>
      <c r="BL509" s="202"/>
      <c r="BM509" s="200"/>
      <c r="BN509" s="165"/>
      <c r="BO509" s="173"/>
      <c r="BP509" s="190"/>
      <c r="BQ509" s="173"/>
      <c r="BR509" s="168"/>
      <c r="BS509" s="165"/>
      <c r="BT509" s="167"/>
      <c r="BU509" s="199"/>
      <c r="BV509" s="202"/>
      <c r="BW509" s="201"/>
      <c r="BX509" s="201"/>
      <c r="BY509" s="200"/>
      <c r="BZ509" s="165"/>
      <c r="CA509" s="173"/>
      <c r="CB509" s="190"/>
      <c r="CC509" s="167"/>
      <c r="CD509" s="45"/>
      <c r="CE509" s="54"/>
      <c r="CF509" s="54"/>
      <c r="CG509" s="106"/>
      <c r="CH509" s="165"/>
      <c r="CI509" s="167"/>
    </row>
    <row r="510" spans="1:87" x14ac:dyDescent="0.3">
      <c r="A510" s="10">
        <v>8706</v>
      </c>
      <c r="B510" s="11" t="s">
        <v>633</v>
      </c>
      <c r="C510" s="471">
        <v>696</v>
      </c>
      <c r="D510" s="54">
        <v>461</v>
      </c>
      <c r="E510" s="367">
        <f t="shared" si="8"/>
        <v>0.66235632183908044</v>
      </c>
      <c r="F510" s="199"/>
      <c r="G510" s="199"/>
      <c r="H510" s="199"/>
      <c r="I510" s="199"/>
      <c r="J510" s="200"/>
      <c r="K510" s="199"/>
      <c r="L510" s="316"/>
      <c r="M510" s="602"/>
      <c r="N510" s="199"/>
      <c r="O510" s="199"/>
      <c r="P510" s="202"/>
      <c r="Q510" s="203"/>
      <c r="R510" s="203"/>
      <c r="S510" s="98"/>
      <c r="T510" s="199"/>
      <c r="U510" s="199"/>
      <c r="V510" s="106"/>
      <c r="W510" s="169"/>
      <c r="X510" s="173"/>
      <c r="Y510" s="190"/>
      <c r="Z510" s="167"/>
      <c r="AA510" s="199"/>
      <c r="AB510" s="203"/>
      <c r="AC510" s="169"/>
      <c r="AD510" s="165"/>
      <c r="AE510" s="173"/>
      <c r="AF510" s="168"/>
      <c r="AG510" s="106"/>
      <c r="AH510" s="199"/>
      <c r="AI510" s="200"/>
      <c r="AJ510" s="165"/>
      <c r="AK510" s="173"/>
      <c r="AL510" s="167"/>
      <c r="AM510" s="199"/>
      <c r="AN510" s="201"/>
      <c r="AO510" s="201"/>
      <c r="AP510" s="106"/>
      <c r="AQ510" s="165"/>
      <c r="AR510" s="168"/>
      <c r="AS510" s="165"/>
      <c r="AT510" s="190"/>
      <c r="AU510" s="167"/>
      <c r="AV510" s="199"/>
      <c r="AW510" s="201"/>
      <c r="AX510" s="201"/>
      <c r="AY510" s="202"/>
      <c r="AZ510" s="200"/>
      <c r="BA510" s="45">
        <v>170</v>
      </c>
      <c r="BB510" s="45">
        <v>177</v>
      </c>
      <c r="BC510" s="73">
        <v>154</v>
      </c>
      <c r="BD510" s="165"/>
      <c r="BE510" s="165"/>
      <c r="BF510" s="173"/>
      <c r="BG510" s="304"/>
      <c r="BH510" s="601"/>
      <c r="BI510" s="199"/>
      <c r="BJ510" s="200"/>
      <c r="BK510" s="199"/>
      <c r="BL510" s="202"/>
      <c r="BM510" s="200"/>
      <c r="BN510" s="165"/>
      <c r="BO510" s="173"/>
      <c r="BP510" s="190"/>
      <c r="BQ510" s="173"/>
      <c r="BR510" s="168"/>
      <c r="BS510" s="165"/>
      <c r="BT510" s="167"/>
      <c r="BU510" s="199"/>
      <c r="BV510" s="202"/>
      <c r="BW510" s="201"/>
      <c r="BX510" s="201"/>
      <c r="BY510" s="200"/>
      <c r="BZ510" s="165"/>
      <c r="CA510" s="173"/>
      <c r="CB510" s="190"/>
      <c r="CC510" s="167"/>
      <c r="CD510" s="45"/>
      <c r="CE510" s="54"/>
      <c r="CF510" s="54"/>
      <c r="CG510" s="106"/>
      <c r="CH510" s="165"/>
      <c r="CI510" s="167"/>
    </row>
    <row r="511" spans="1:87" x14ac:dyDescent="0.3">
      <c r="A511" s="10">
        <v>8707</v>
      </c>
      <c r="B511" s="11" t="s">
        <v>634</v>
      </c>
      <c r="C511" s="471">
        <v>1164</v>
      </c>
      <c r="D511" s="54">
        <v>633</v>
      </c>
      <c r="E511" s="367">
        <f t="shared" si="8"/>
        <v>0.54381443298969068</v>
      </c>
      <c r="F511" s="199"/>
      <c r="G511" s="199"/>
      <c r="H511" s="199"/>
      <c r="I511" s="199"/>
      <c r="J511" s="200"/>
      <c r="K511" s="199"/>
      <c r="L511" s="316"/>
      <c r="M511" s="602"/>
      <c r="N511" s="199"/>
      <c r="O511" s="199"/>
      <c r="P511" s="202"/>
      <c r="Q511" s="203"/>
      <c r="R511" s="203"/>
      <c r="S511" s="98"/>
      <c r="T511" s="199"/>
      <c r="U511" s="199"/>
      <c r="V511" s="106"/>
      <c r="W511" s="169"/>
      <c r="X511" s="173"/>
      <c r="Y511" s="190"/>
      <c r="Z511" s="167"/>
      <c r="AA511" s="199"/>
      <c r="AB511" s="203"/>
      <c r="AC511" s="169"/>
      <c r="AD511" s="165"/>
      <c r="AE511" s="173"/>
      <c r="AF511" s="168"/>
      <c r="AG511" s="73">
        <v>1</v>
      </c>
      <c r="AH511" s="45"/>
      <c r="AI511" s="46"/>
      <c r="AJ511" s="165"/>
      <c r="AK511" s="173"/>
      <c r="AL511" s="167"/>
      <c r="AM511" s="45"/>
      <c r="AN511" s="54"/>
      <c r="AO511" s="54"/>
      <c r="AP511" s="73"/>
      <c r="AQ511" s="165"/>
      <c r="AR511" s="168"/>
      <c r="AS511" s="165"/>
      <c r="AT511" s="190"/>
      <c r="AU511" s="167"/>
      <c r="AV511" s="45"/>
      <c r="AW511" s="54"/>
      <c r="AX511" s="54"/>
      <c r="AY511" s="53"/>
      <c r="AZ511" s="200"/>
      <c r="BA511" s="45">
        <v>251</v>
      </c>
      <c r="BB511" s="45">
        <v>238</v>
      </c>
      <c r="BC511" s="73">
        <v>255</v>
      </c>
      <c r="BD511" s="165"/>
      <c r="BE511" s="165"/>
      <c r="BF511" s="173"/>
      <c r="BG511" s="304"/>
      <c r="BH511" s="601"/>
      <c r="BI511" s="199"/>
      <c r="BJ511" s="200"/>
      <c r="BK511" s="199"/>
      <c r="BL511" s="202"/>
      <c r="BM511" s="200"/>
      <c r="BN511" s="165"/>
      <c r="BO511" s="173"/>
      <c r="BP511" s="190"/>
      <c r="BQ511" s="173"/>
      <c r="BR511" s="168"/>
      <c r="BS511" s="165"/>
      <c r="BT511" s="167"/>
      <c r="BU511" s="199"/>
      <c r="BV511" s="202"/>
      <c r="BW511" s="201"/>
      <c r="BX511" s="201"/>
      <c r="BY511" s="200"/>
      <c r="BZ511" s="165"/>
      <c r="CA511" s="173"/>
      <c r="CB511" s="190"/>
      <c r="CC511" s="167"/>
      <c r="CD511" s="45"/>
      <c r="CE511" s="54"/>
      <c r="CF511" s="54"/>
      <c r="CG511" s="106"/>
      <c r="CH511" s="165"/>
      <c r="CI511" s="167"/>
    </row>
    <row r="512" spans="1:87" x14ac:dyDescent="0.3">
      <c r="A512" s="10">
        <v>8708</v>
      </c>
      <c r="B512" s="11" t="s">
        <v>635</v>
      </c>
      <c r="C512" s="471">
        <v>1077</v>
      </c>
      <c r="D512" s="54">
        <v>640</v>
      </c>
      <c r="E512" s="367">
        <f t="shared" si="8"/>
        <v>0.59424326833797581</v>
      </c>
      <c r="F512" s="199"/>
      <c r="G512" s="199"/>
      <c r="H512" s="199"/>
      <c r="I512" s="199"/>
      <c r="J512" s="200"/>
      <c r="K512" s="199"/>
      <c r="L512" s="316"/>
      <c r="M512" s="602"/>
      <c r="N512" s="199"/>
      <c r="O512" s="199"/>
      <c r="P512" s="202"/>
      <c r="Q512" s="203"/>
      <c r="R512" s="203"/>
      <c r="S512" s="98"/>
      <c r="T512" s="199"/>
      <c r="U512" s="199"/>
      <c r="V512" s="106"/>
      <c r="W512" s="169"/>
      <c r="X512" s="173"/>
      <c r="Y512" s="190"/>
      <c r="Z512" s="167"/>
      <c r="AA512" s="199"/>
      <c r="AB512" s="203"/>
      <c r="AC512" s="169"/>
      <c r="AD512" s="165"/>
      <c r="AE512" s="173"/>
      <c r="AF512" s="168"/>
      <c r="AG512" s="73">
        <v>224</v>
      </c>
      <c r="AH512" s="45"/>
      <c r="AI512" s="46"/>
      <c r="AJ512" s="165"/>
      <c r="AK512" s="173"/>
      <c r="AL512" s="167"/>
      <c r="AM512" s="45"/>
      <c r="AN512" s="54"/>
      <c r="AO512" s="54"/>
      <c r="AP512" s="73"/>
      <c r="AQ512" s="165"/>
      <c r="AR512" s="168"/>
      <c r="AS512" s="165"/>
      <c r="AT512" s="190"/>
      <c r="AU512" s="167"/>
      <c r="AV512" s="45"/>
      <c r="AW512" s="54"/>
      <c r="AX512" s="54"/>
      <c r="AY512" s="53"/>
      <c r="AZ512" s="200"/>
      <c r="BA512" s="45">
        <v>83</v>
      </c>
      <c r="BB512" s="45">
        <v>106</v>
      </c>
      <c r="BC512" s="73">
        <v>151</v>
      </c>
      <c r="BD512" s="165"/>
      <c r="BE512" s="165"/>
      <c r="BF512" s="173"/>
      <c r="BG512" s="304"/>
      <c r="BH512" s="601"/>
      <c r="BI512" s="199"/>
      <c r="BJ512" s="200"/>
      <c r="BK512" s="199"/>
      <c r="BL512" s="202"/>
      <c r="BM512" s="200"/>
      <c r="BN512" s="165"/>
      <c r="BO512" s="173"/>
      <c r="BP512" s="190"/>
      <c r="BQ512" s="173"/>
      <c r="BR512" s="168"/>
      <c r="BS512" s="165"/>
      <c r="BT512" s="167"/>
      <c r="BU512" s="199"/>
      <c r="BV512" s="202"/>
      <c r="BW512" s="201"/>
      <c r="BX512" s="201"/>
      <c r="BY512" s="200"/>
      <c r="BZ512" s="165"/>
      <c r="CA512" s="173"/>
      <c r="CB512" s="190"/>
      <c r="CC512" s="167"/>
      <c r="CD512" s="45"/>
      <c r="CE512" s="54"/>
      <c r="CF512" s="54"/>
      <c r="CG512" s="106"/>
      <c r="CH512" s="165"/>
      <c r="CI512" s="167"/>
    </row>
    <row r="513" spans="1:87" x14ac:dyDescent="0.3">
      <c r="A513" s="10">
        <v>8709</v>
      </c>
      <c r="B513" s="11" t="s">
        <v>636</v>
      </c>
      <c r="C513" s="471">
        <v>504</v>
      </c>
      <c r="D513" s="54">
        <v>216</v>
      </c>
      <c r="E513" s="367">
        <f t="shared" si="8"/>
        <v>0.42857142857142855</v>
      </c>
      <c r="F513" s="45">
        <v>113</v>
      </c>
      <c r="G513" s="45">
        <v>57</v>
      </c>
      <c r="H513" s="45">
        <v>86</v>
      </c>
      <c r="I513" s="45">
        <v>104</v>
      </c>
      <c r="J513" s="46">
        <v>37</v>
      </c>
      <c r="K513" s="45"/>
      <c r="L513" s="107"/>
      <c r="M513" s="541"/>
      <c r="N513" s="45"/>
      <c r="O513" s="45"/>
      <c r="P513" s="53"/>
      <c r="Q513" s="57"/>
      <c r="R513" s="57"/>
      <c r="S513" s="74"/>
      <c r="T513" s="45"/>
      <c r="U513" s="45"/>
      <c r="V513" s="73"/>
      <c r="W513" s="169"/>
      <c r="X513" s="173"/>
      <c r="Y513" s="190"/>
      <c r="Z513" s="167"/>
      <c r="AA513" s="45"/>
      <c r="AB513" s="57"/>
      <c r="AC513" s="169"/>
      <c r="AD513" s="165"/>
      <c r="AE513" s="173"/>
      <c r="AF513" s="168"/>
      <c r="AG513" s="73"/>
      <c r="AH513" s="45"/>
      <c r="AI513" s="46"/>
      <c r="AJ513" s="165"/>
      <c r="AK513" s="173"/>
      <c r="AL513" s="167"/>
      <c r="AM513" s="45"/>
      <c r="AN513" s="54"/>
      <c r="AO513" s="54"/>
      <c r="AP513" s="73"/>
      <c r="AQ513" s="165"/>
      <c r="AR513" s="168"/>
      <c r="AS513" s="165"/>
      <c r="AT513" s="190"/>
      <c r="AU513" s="167"/>
      <c r="AV513" s="45"/>
      <c r="AW513" s="54"/>
      <c r="AX513" s="54"/>
      <c r="AY513" s="53"/>
      <c r="AZ513" s="46"/>
      <c r="BA513" s="199"/>
      <c r="BB513" s="199"/>
      <c r="BC513" s="106"/>
      <c r="BD513" s="165"/>
      <c r="BE513" s="165"/>
      <c r="BF513" s="173"/>
      <c r="BG513" s="304"/>
      <c r="BH513" s="601"/>
      <c r="BI513" s="199"/>
      <c r="BJ513" s="200"/>
      <c r="BK513" s="199"/>
      <c r="BL513" s="202"/>
      <c r="BM513" s="200"/>
      <c r="BN513" s="165"/>
      <c r="BO513" s="173"/>
      <c r="BP513" s="190"/>
      <c r="BQ513" s="173"/>
      <c r="BR513" s="168"/>
      <c r="BS513" s="165"/>
      <c r="BT513" s="167"/>
      <c r="BU513" s="199"/>
      <c r="BV513" s="202"/>
      <c r="BW513" s="201"/>
      <c r="BX513" s="201"/>
      <c r="BY513" s="200"/>
      <c r="BZ513" s="165"/>
      <c r="CA513" s="173"/>
      <c r="CB513" s="190"/>
      <c r="CC513" s="167"/>
      <c r="CD513" s="45"/>
      <c r="CE513" s="54"/>
      <c r="CF513" s="54"/>
      <c r="CG513" s="106"/>
      <c r="CH513" s="165"/>
      <c r="CI513" s="167"/>
    </row>
    <row r="514" spans="1:87" x14ac:dyDescent="0.3">
      <c r="A514" s="10">
        <v>8710</v>
      </c>
      <c r="B514" s="11" t="s">
        <v>637</v>
      </c>
      <c r="C514" s="471">
        <v>930</v>
      </c>
      <c r="D514" s="54">
        <v>450</v>
      </c>
      <c r="E514" s="367">
        <f t="shared" si="8"/>
        <v>0.4838709677419355</v>
      </c>
      <c r="F514" s="199"/>
      <c r="G514" s="199"/>
      <c r="H514" s="199"/>
      <c r="I514" s="199"/>
      <c r="J514" s="200"/>
      <c r="K514" s="199"/>
      <c r="L514" s="316"/>
      <c r="M514" s="602"/>
      <c r="N514" s="199"/>
      <c r="O514" s="199"/>
      <c r="P514" s="202"/>
      <c r="Q514" s="203"/>
      <c r="R514" s="203"/>
      <c r="S514" s="98"/>
      <c r="T514" s="199"/>
      <c r="U514" s="199"/>
      <c r="V514" s="106"/>
      <c r="W514" s="169"/>
      <c r="X514" s="173"/>
      <c r="Y514" s="190"/>
      <c r="Z514" s="167"/>
      <c r="AA514" s="199"/>
      <c r="AB514" s="203"/>
      <c r="AC514" s="169"/>
      <c r="AD514" s="165"/>
      <c r="AE514" s="173"/>
      <c r="AF514" s="168"/>
      <c r="AG514" s="73">
        <v>341</v>
      </c>
      <c r="AH514" s="45"/>
      <c r="AI514" s="46"/>
      <c r="AJ514" s="165"/>
      <c r="AK514" s="173"/>
      <c r="AL514" s="167"/>
      <c r="AM514" s="45"/>
      <c r="AN514" s="54"/>
      <c r="AO514" s="54"/>
      <c r="AP514" s="73"/>
      <c r="AQ514" s="165"/>
      <c r="AR514" s="168"/>
      <c r="AS514" s="165"/>
      <c r="AT514" s="190"/>
      <c r="AU514" s="167"/>
      <c r="AV514" s="45"/>
      <c r="AW514" s="54"/>
      <c r="AX514" s="54"/>
      <c r="AY514" s="53"/>
      <c r="AZ514" s="200"/>
      <c r="BA514" s="199"/>
      <c r="BB514" s="199"/>
      <c r="BC514" s="106"/>
      <c r="BD514" s="165"/>
      <c r="BE514" s="165"/>
      <c r="BF514" s="173"/>
      <c r="BG514" s="304"/>
      <c r="BH514" s="601"/>
      <c r="BI514" s="199"/>
      <c r="BJ514" s="200"/>
      <c r="BK514" s="199"/>
      <c r="BL514" s="202"/>
      <c r="BM514" s="200"/>
      <c r="BN514" s="165"/>
      <c r="BO514" s="173"/>
      <c r="BP514" s="190"/>
      <c r="BQ514" s="173"/>
      <c r="BR514" s="168"/>
      <c r="BS514" s="165"/>
      <c r="BT514" s="167"/>
      <c r="BU514" s="199"/>
      <c r="BV514" s="202"/>
      <c r="BW514" s="201"/>
      <c r="BX514" s="201"/>
      <c r="BY514" s="200"/>
      <c r="BZ514" s="165"/>
      <c r="CA514" s="173"/>
      <c r="CB514" s="190"/>
      <c r="CC514" s="167"/>
      <c r="CD514" s="45"/>
      <c r="CE514" s="54"/>
      <c r="CF514" s="54"/>
      <c r="CG514" s="106"/>
      <c r="CH514" s="165"/>
      <c r="CI514" s="167"/>
    </row>
    <row r="515" spans="1:87" x14ac:dyDescent="0.3">
      <c r="A515" s="10">
        <v>8711</v>
      </c>
      <c r="B515" s="11" t="s">
        <v>638</v>
      </c>
      <c r="C515" s="471">
        <v>873</v>
      </c>
      <c r="D515" s="54">
        <v>304</v>
      </c>
      <c r="E515" s="367">
        <f t="shared" si="8"/>
        <v>0.34822451317296677</v>
      </c>
      <c r="F515" s="199"/>
      <c r="G515" s="199"/>
      <c r="H515" s="199"/>
      <c r="I515" s="199"/>
      <c r="J515" s="200"/>
      <c r="K515" s="199"/>
      <c r="L515" s="316"/>
      <c r="M515" s="602"/>
      <c r="N515" s="199"/>
      <c r="O515" s="199"/>
      <c r="P515" s="202"/>
      <c r="Q515" s="203"/>
      <c r="R515" s="203"/>
      <c r="S515" s="98"/>
      <c r="T515" s="199"/>
      <c r="U515" s="199"/>
      <c r="V515" s="106"/>
      <c r="W515" s="169"/>
      <c r="X515" s="173"/>
      <c r="Y515" s="190"/>
      <c r="Z515" s="167"/>
      <c r="AA515" s="199"/>
      <c r="AB515" s="203"/>
      <c r="AC515" s="169"/>
      <c r="AD515" s="165"/>
      <c r="AE515" s="173"/>
      <c r="AF515" s="168"/>
      <c r="AG515" s="106"/>
      <c r="AH515" s="45">
        <v>204</v>
      </c>
      <c r="AI515" s="46">
        <v>96</v>
      </c>
      <c r="AJ515" s="165"/>
      <c r="AK515" s="173"/>
      <c r="AL515" s="167"/>
      <c r="AM515" s="45"/>
      <c r="AN515" s="54"/>
      <c r="AO515" s="54"/>
      <c r="AP515" s="73"/>
      <c r="AQ515" s="165"/>
      <c r="AR515" s="168"/>
      <c r="AS515" s="165"/>
      <c r="AT515" s="190"/>
      <c r="AU515" s="167"/>
      <c r="AV515" s="45"/>
      <c r="AW515" s="54"/>
      <c r="AX515" s="54"/>
      <c r="AY515" s="53"/>
      <c r="AZ515" s="200"/>
      <c r="BA515" s="199"/>
      <c r="BB515" s="199"/>
      <c r="BC515" s="106"/>
      <c r="BD515" s="165"/>
      <c r="BE515" s="165"/>
      <c r="BF515" s="173"/>
      <c r="BG515" s="304"/>
      <c r="BH515" s="601"/>
      <c r="BI515" s="199"/>
      <c r="BJ515" s="200"/>
      <c r="BK515" s="199"/>
      <c r="BL515" s="202"/>
      <c r="BM515" s="200"/>
      <c r="BN515" s="165"/>
      <c r="BO515" s="173"/>
      <c r="BP515" s="190"/>
      <c r="BQ515" s="173"/>
      <c r="BR515" s="168"/>
      <c r="BS515" s="165"/>
      <c r="BT515" s="167"/>
      <c r="BU515" s="199"/>
      <c r="BV515" s="202"/>
      <c r="BW515" s="201"/>
      <c r="BX515" s="201"/>
      <c r="BY515" s="200"/>
      <c r="BZ515" s="165"/>
      <c r="CA515" s="173"/>
      <c r="CB515" s="190"/>
      <c r="CC515" s="167"/>
      <c r="CD515" s="45"/>
      <c r="CE515" s="54"/>
      <c r="CF515" s="54"/>
      <c r="CG515" s="106"/>
      <c r="CH515" s="165"/>
      <c r="CI515" s="167"/>
    </row>
    <row r="516" spans="1:87" x14ac:dyDescent="0.3">
      <c r="A516" s="10">
        <v>8712</v>
      </c>
      <c r="B516" s="11" t="s">
        <v>639</v>
      </c>
      <c r="C516" s="471">
        <v>294</v>
      </c>
      <c r="D516" s="54">
        <v>114</v>
      </c>
      <c r="E516" s="367">
        <f t="shared" si="8"/>
        <v>0.38775510204081631</v>
      </c>
      <c r="F516" s="45">
        <v>57</v>
      </c>
      <c r="G516" s="45">
        <v>22</v>
      </c>
      <c r="H516" s="45">
        <v>42</v>
      </c>
      <c r="I516" s="45">
        <v>69</v>
      </c>
      <c r="J516" s="46">
        <v>9</v>
      </c>
      <c r="K516" s="45"/>
      <c r="L516" s="107"/>
      <c r="M516" s="541"/>
      <c r="N516" s="45"/>
      <c r="O516" s="45"/>
      <c r="P516" s="53"/>
      <c r="Q516" s="57"/>
      <c r="R516" s="57"/>
      <c r="S516" s="74"/>
      <c r="T516" s="45"/>
      <c r="U516" s="45"/>
      <c r="V516" s="73"/>
      <c r="W516" s="169"/>
      <c r="X516" s="173"/>
      <c r="Y516" s="190"/>
      <c r="Z516" s="167"/>
      <c r="AA516" s="45"/>
      <c r="AB516" s="57"/>
      <c r="AC516" s="169"/>
      <c r="AD516" s="165"/>
      <c r="AE516" s="173"/>
      <c r="AF516" s="168"/>
      <c r="AG516" s="106"/>
      <c r="AH516" s="199"/>
      <c r="AI516" s="200"/>
      <c r="AJ516" s="165"/>
      <c r="AK516" s="173"/>
      <c r="AL516" s="167"/>
      <c r="AM516" s="199"/>
      <c r="AN516" s="201"/>
      <c r="AO516" s="201"/>
      <c r="AP516" s="106"/>
      <c r="AQ516" s="165"/>
      <c r="AR516" s="168"/>
      <c r="AS516" s="165"/>
      <c r="AT516" s="190"/>
      <c r="AU516" s="167"/>
      <c r="AV516" s="199"/>
      <c r="AW516" s="201"/>
      <c r="AX516" s="201"/>
      <c r="AY516" s="202"/>
      <c r="AZ516" s="46"/>
      <c r="BA516" s="199"/>
      <c r="BB516" s="199"/>
      <c r="BC516" s="106"/>
      <c r="BD516" s="165"/>
      <c r="BE516" s="165"/>
      <c r="BF516" s="173"/>
      <c r="BG516" s="304"/>
      <c r="BH516" s="601"/>
      <c r="BI516" s="199"/>
      <c r="BJ516" s="200"/>
      <c r="BK516" s="45"/>
      <c r="BL516" s="53"/>
      <c r="BM516" s="200"/>
      <c r="BN516" s="165"/>
      <c r="BO516" s="173"/>
      <c r="BP516" s="190"/>
      <c r="BQ516" s="173"/>
      <c r="BR516" s="168"/>
      <c r="BS516" s="165"/>
      <c r="BT516" s="167"/>
      <c r="BU516" s="45"/>
      <c r="BV516" s="53"/>
      <c r="BW516" s="54"/>
      <c r="BX516" s="54"/>
      <c r="BY516" s="200"/>
      <c r="BZ516" s="165"/>
      <c r="CA516" s="173"/>
      <c r="CB516" s="190"/>
      <c r="CC516" s="167"/>
      <c r="CD516" s="199"/>
      <c r="CE516" s="201"/>
      <c r="CF516" s="201"/>
      <c r="CG516" s="106"/>
      <c r="CH516" s="165"/>
      <c r="CI516" s="167"/>
    </row>
    <row r="517" spans="1:87" x14ac:dyDescent="0.3">
      <c r="A517" s="10">
        <v>8713</v>
      </c>
      <c r="B517" s="11" t="s">
        <v>640</v>
      </c>
      <c r="C517" s="471">
        <v>1166</v>
      </c>
      <c r="D517" s="54">
        <v>532</v>
      </c>
      <c r="E517" s="367">
        <f t="shared" si="8"/>
        <v>0.45626072041166382</v>
      </c>
      <c r="F517" s="199"/>
      <c r="G517" s="199"/>
      <c r="H517" s="199"/>
      <c r="I517" s="199"/>
      <c r="J517" s="200"/>
      <c r="K517" s="199"/>
      <c r="L517" s="316"/>
      <c r="M517" s="602"/>
      <c r="N517" s="199"/>
      <c r="O517" s="199"/>
      <c r="P517" s="202"/>
      <c r="Q517" s="203"/>
      <c r="R517" s="203"/>
      <c r="S517" s="98"/>
      <c r="T517" s="199"/>
      <c r="U517" s="199"/>
      <c r="V517" s="106"/>
      <c r="W517" s="169"/>
      <c r="X517" s="173"/>
      <c r="Y517" s="190"/>
      <c r="Z517" s="167"/>
      <c r="AA517" s="199"/>
      <c r="AB517" s="203"/>
      <c r="AC517" s="169"/>
      <c r="AD517" s="165"/>
      <c r="AE517" s="173"/>
      <c r="AF517" s="168"/>
      <c r="AG517" s="73">
        <v>355</v>
      </c>
      <c r="AH517" s="45"/>
      <c r="AI517" s="46"/>
      <c r="AJ517" s="165"/>
      <c r="AK517" s="173"/>
      <c r="AL517" s="167"/>
      <c r="AM517" s="45"/>
      <c r="AN517" s="54"/>
      <c r="AO517" s="54"/>
      <c r="AP517" s="73"/>
      <c r="AQ517" s="165"/>
      <c r="AR517" s="168"/>
      <c r="AS517" s="165"/>
      <c r="AT517" s="190"/>
      <c r="AU517" s="167"/>
      <c r="AV517" s="45"/>
      <c r="AW517" s="54"/>
      <c r="AX517" s="54"/>
      <c r="AY517" s="53"/>
      <c r="AZ517" s="200"/>
      <c r="BA517" s="199"/>
      <c r="BB517" s="199"/>
      <c r="BC517" s="106"/>
      <c r="BD517" s="165"/>
      <c r="BE517" s="165"/>
      <c r="BF517" s="173"/>
      <c r="BG517" s="304"/>
      <c r="BH517" s="601"/>
      <c r="BI517" s="199"/>
      <c r="BJ517" s="200"/>
      <c r="BK517" s="199"/>
      <c r="BL517" s="202"/>
      <c r="BM517" s="200"/>
      <c r="BN517" s="165"/>
      <c r="BO517" s="173"/>
      <c r="BP517" s="190"/>
      <c r="BQ517" s="173"/>
      <c r="BR517" s="168"/>
      <c r="BS517" s="165"/>
      <c r="BT517" s="167"/>
      <c r="BU517" s="199"/>
      <c r="BV517" s="202"/>
      <c r="BW517" s="201"/>
      <c r="BX517" s="201"/>
      <c r="BY517" s="200"/>
      <c r="BZ517" s="165"/>
      <c r="CA517" s="173"/>
      <c r="CB517" s="190"/>
      <c r="CC517" s="167"/>
      <c r="CD517" s="45"/>
      <c r="CE517" s="54"/>
      <c r="CF517" s="54"/>
      <c r="CG517" s="73"/>
      <c r="CH517" s="165"/>
      <c r="CI517" s="167"/>
    </row>
    <row r="518" spans="1:87" x14ac:dyDescent="0.3">
      <c r="A518" s="10">
        <v>8714</v>
      </c>
      <c r="B518" s="11" t="s">
        <v>641</v>
      </c>
      <c r="C518" s="471">
        <v>1096</v>
      </c>
      <c r="D518" s="54">
        <v>634</v>
      </c>
      <c r="E518" s="367">
        <f t="shared" si="8"/>
        <v>0.57846715328467158</v>
      </c>
      <c r="F518" s="45">
        <v>1</v>
      </c>
      <c r="G518" s="45">
        <v>1</v>
      </c>
      <c r="H518" s="45">
        <v>0</v>
      </c>
      <c r="I518" s="45">
        <v>1</v>
      </c>
      <c r="J518" s="46">
        <v>0</v>
      </c>
      <c r="K518" s="45"/>
      <c r="L518" s="107"/>
      <c r="M518" s="541"/>
      <c r="N518" s="45"/>
      <c r="O518" s="45"/>
      <c r="P518" s="53"/>
      <c r="Q518" s="57"/>
      <c r="R518" s="57"/>
      <c r="S518" s="74"/>
      <c r="T518" s="45"/>
      <c r="U518" s="45"/>
      <c r="V518" s="73"/>
      <c r="W518" s="169"/>
      <c r="X518" s="173"/>
      <c r="Y518" s="190"/>
      <c r="Z518" s="167"/>
      <c r="AA518" s="45"/>
      <c r="AB518" s="57"/>
      <c r="AC518" s="169"/>
      <c r="AD518" s="165"/>
      <c r="AE518" s="173"/>
      <c r="AF518" s="168"/>
      <c r="AG518" s="73"/>
      <c r="AH518" s="45"/>
      <c r="AI518" s="46"/>
      <c r="AJ518" s="165"/>
      <c r="AK518" s="173"/>
      <c r="AL518" s="167"/>
      <c r="AM518" s="45"/>
      <c r="AN518" s="54"/>
      <c r="AO518" s="54"/>
      <c r="AP518" s="73"/>
      <c r="AQ518" s="165"/>
      <c r="AR518" s="168"/>
      <c r="AS518" s="165"/>
      <c r="AT518" s="190"/>
      <c r="AU518" s="167"/>
      <c r="AV518" s="45"/>
      <c r="AW518" s="54"/>
      <c r="AX518" s="54"/>
      <c r="AY518" s="53"/>
      <c r="AZ518" s="46"/>
      <c r="BA518" s="45"/>
      <c r="BB518" s="45"/>
      <c r="BC518" s="73"/>
      <c r="BD518" s="165"/>
      <c r="BE518" s="165"/>
      <c r="BF518" s="173"/>
      <c r="BG518" s="304"/>
      <c r="BH518" s="601"/>
      <c r="BI518" s="45">
        <v>239</v>
      </c>
      <c r="BJ518" s="46">
        <v>292</v>
      </c>
      <c r="BK518" s="45">
        <v>251</v>
      </c>
      <c r="BL518" s="53">
        <v>306</v>
      </c>
      <c r="BM518" s="46">
        <v>309</v>
      </c>
      <c r="BN518" s="165"/>
      <c r="BO518" s="173"/>
      <c r="BP518" s="190"/>
      <c r="BQ518" s="173"/>
      <c r="BR518" s="168"/>
      <c r="BS518" s="165"/>
      <c r="BT518" s="167"/>
      <c r="BU518" s="45"/>
      <c r="BV518" s="53"/>
      <c r="BW518" s="54"/>
      <c r="BX518" s="54"/>
      <c r="BY518" s="200"/>
      <c r="BZ518" s="165"/>
      <c r="CA518" s="173"/>
      <c r="CB518" s="190"/>
      <c r="CC518" s="167"/>
      <c r="CD518" s="45"/>
      <c r="CE518" s="54"/>
      <c r="CF518" s="54"/>
      <c r="CG518" s="73"/>
      <c r="CH518" s="165"/>
      <c r="CI518" s="167"/>
    </row>
    <row r="519" spans="1:87" x14ac:dyDescent="0.3">
      <c r="A519" s="10">
        <v>8715</v>
      </c>
      <c r="B519" s="11" t="s">
        <v>642</v>
      </c>
      <c r="C519" s="471">
        <v>1062</v>
      </c>
      <c r="D519" s="54">
        <v>385</v>
      </c>
      <c r="E519" s="367">
        <f t="shared" si="8"/>
        <v>0.36252354048964219</v>
      </c>
      <c r="F519" s="199"/>
      <c r="G519" s="199"/>
      <c r="H519" s="199"/>
      <c r="I519" s="199"/>
      <c r="J519" s="200"/>
      <c r="K519" s="199"/>
      <c r="L519" s="316"/>
      <c r="M519" s="602"/>
      <c r="N519" s="199"/>
      <c r="O519" s="199"/>
      <c r="P519" s="202"/>
      <c r="Q519" s="203"/>
      <c r="R519" s="203"/>
      <c r="S519" s="98"/>
      <c r="T519" s="199"/>
      <c r="U519" s="199"/>
      <c r="V519" s="106"/>
      <c r="W519" s="169"/>
      <c r="X519" s="173"/>
      <c r="Y519" s="190"/>
      <c r="Z519" s="167"/>
      <c r="AA519" s="199"/>
      <c r="AB519" s="203"/>
      <c r="AC519" s="169"/>
      <c r="AD519" s="165"/>
      <c r="AE519" s="173"/>
      <c r="AF519" s="168"/>
      <c r="AG519" s="73">
        <v>285</v>
      </c>
      <c r="AH519" s="45"/>
      <c r="AI519" s="46"/>
      <c r="AJ519" s="165"/>
      <c r="AK519" s="173"/>
      <c r="AL519" s="167"/>
      <c r="AM519" s="45"/>
      <c r="AN519" s="54"/>
      <c r="AO519" s="54"/>
      <c r="AP519" s="73"/>
      <c r="AQ519" s="165"/>
      <c r="AR519" s="168"/>
      <c r="AS519" s="165"/>
      <c r="AT519" s="190"/>
      <c r="AU519" s="167"/>
      <c r="AV519" s="45"/>
      <c r="AW519" s="54"/>
      <c r="AX519" s="54"/>
      <c r="AY519" s="53"/>
      <c r="AZ519" s="200"/>
      <c r="BA519" s="45"/>
      <c r="BB519" s="45"/>
      <c r="BC519" s="73"/>
      <c r="BD519" s="165"/>
      <c r="BE519" s="165"/>
      <c r="BF519" s="173"/>
      <c r="BG519" s="304"/>
      <c r="BH519" s="601"/>
      <c r="BI519" s="199"/>
      <c r="BJ519" s="200"/>
      <c r="BK519" s="199"/>
      <c r="BL519" s="202"/>
      <c r="BM519" s="200"/>
      <c r="BN519" s="165"/>
      <c r="BO519" s="173"/>
      <c r="BP519" s="190"/>
      <c r="BQ519" s="173"/>
      <c r="BR519" s="168"/>
      <c r="BS519" s="165"/>
      <c r="BT519" s="167"/>
      <c r="BU519" s="199"/>
      <c r="BV519" s="202"/>
      <c r="BW519" s="201"/>
      <c r="BX519" s="201"/>
      <c r="BY519" s="200"/>
      <c r="BZ519" s="165"/>
      <c r="CA519" s="173"/>
      <c r="CB519" s="190"/>
      <c r="CC519" s="167"/>
      <c r="CD519" s="45"/>
      <c r="CE519" s="54"/>
      <c r="CF519" s="54"/>
      <c r="CG519" s="73"/>
      <c r="CH519" s="165"/>
      <c r="CI519" s="167"/>
    </row>
    <row r="520" spans="1:87" x14ac:dyDescent="0.3">
      <c r="A520" s="10">
        <v>8716</v>
      </c>
      <c r="B520" s="11" t="s">
        <v>643</v>
      </c>
      <c r="C520" s="471">
        <v>859</v>
      </c>
      <c r="D520" s="54">
        <v>370</v>
      </c>
      <c r="E520" s="367">
        <f t="shared" si="8"/>
        <v>0.43073341094295692</v>
      </c>
      <c r="F520" s="199"/>
      <c r="G520" s="199"/>
      <c r="H520" s="199"/>
      <c r="I520" s="199"/>
      <c r="J520" s="200"/>
      <c r="K520" s="199"/>
      <c r="L520" s="316"/>
      <c r="M520" s="602"/>
      <c r="N520" s="199"/>
      <c r="O520" s="199"/>
      <c r="P520" s="202"/>
      <c r="Q520" s="203"/>
      <c r="R520" s="203"/>
      <c r="S520" s="98"/>
      <c r="T520" s="199"/>
      <c r="U520" s="199"/>
      <c r="V520" s="106"/>
      <c r="W520" s="169"/>
      <c r="X520" s="173"/>
      <c r="Y520" s="190"/>
      <c r="Z520" s="167"/>
      <c r="AA520" s="199"/>
      <c r="AB520" s="203"/>
      <c r="AC520" s="169"/>
      <c r="AD520" s="165"/>
      <c r="AE520" s="173"/>
      <c r="AF520" s="168"/>
      <c r="AG520" s="73">
        <v>261</v>
      </c>
      <c r="AH520" s="45"/>
      <c r="AI520" s="46"/>
      <c r="AJ520" s="165"/>
      <c r="AK520" s="173"/>
      <c r="AL520" s="167"/>
      <c r="AM520" s="45"/>
      <c r="AN520" s="54"/>
      <c r="AO520" s="54"/>
      <c r="AP520" s="73"/>
      <c r="AQ520" s="165"/>
      <c r="AR520" s="168"/>
      <c r="AS520" s="165"/>
      <c r="AT520" s="190"/>
      <c r="AU520" s="167"/>
      <c r="AV520" s="45"/>
      <c r="AW520" s="54"/>
      <c r="AX520" s="54"/>
      <c r="AY520" s="53"/>
      <c r="AZ520" s="200"/>
      <c r="BA520" s="45"/>
      <c r="BB520" s="45"/>
      <c r="BC520" s="73"/>
      <c r="BD520" s="165"/>
      <c r="BE520" s="165"/>
      <c r="BF520" s="173"/>
      <c r="BG520" s="304"/>
      <c r="BH520" s="601"/>
      <c r="BI520" s="199"/>
      <c r="BJ520" s="200"/>
      <c r="BK520" s="199"/>
      <c r="BL520" s="202"/>
      <c r="BM520" s="200"/>
      <c r="BN520" s="165"/>
      <c r="BO520" s="173"/>
      <c r="BP520" s="190"/>
      <c r="BQ520" s="173"/>
      <c r="BR520" s="168"/>
      <c r="BS520" s="165"/>
      <c r="BT520" s="167"/>
      <c r="BU520" s="199"/>
      <c r="BV520" s="202"/>
      <c r="BW520" s="201"/>
      <c r="BX520" s="201"/>
      <c r="BY520" s="200"/>
      <c r="BZ520" s="165"/>
      <c r="CA520" s="173"/>
      <c r="CB520" s="190"/>
      <c r="CC520" s="167"/>
      <c r="CD520" s="199"/>
      <c r="CE520" s="201"/>
      <c r="CF520" s="201"/>
      <c r="CG520" s="106"/>
      <c r="CH520" s="165"/>
      <c r="CI520" s="167"/>
    </row>
    <row r="521" spans="1:87" x14ac:dyDescent="0.3">
      <c r="A521" s="10">
        <v>8717</v>
      </c>
      <c r="B521" s="11" t="s">
        <v>644</v>
      </c>
      <c r="C521" s="471">
        <v>1311</v>
      </c>
      <c r="D521" s="54">
        <v>497</v>
      </c>
      <c r="E521" s="367">
        <f t="shared" si="8"/>
        <v>0.37909992372234935</v>
      </c>
      <c r="F521" s="199"/>
      <c r="G521" s="199"/>
      <c r="H521" s="199"/>
      <c r="I521" s="199"/>
      <c r="J521" s="200"/>
      <c r="K521" s="199"/>
      <c r="L521" s="316"/>
      <c r="M521" s="602"/>
      <c r="N521" s="199"/>
      <c r="O521" s="199"/>
      <c r="P521" s="202"/>
      <c r="Q521" s="203"/>
      <c r="R521" s="203"/>
      <c r="S521" s="98"/>
      <c r="T521" s="199"/>
      <c r="U521" s="199"/>
      <c r="V521" s="106"/>
      <c r="W521" s="169"/>
      <c r="X521" s="173"/>
      <c r="Y521" s="190"/>
      <c r="Z521" s="167"/>
      <c r="AA521" s="199"/>
      <c r="AB521" s="203"/>
      <c r="AC521" s="169"/>
      <c r="AD521" s="165"/>
      <c r="AE521" s="173"/>
      <c r="AF521" s="168"/>
      <c r="AG521" s="73">
        <v>352</v>
      </c>
      <c r="AH521" s="45"/>
      <c r="AI521" s="46"/>
      <c r="AJ521" s="165"/>
      <c r="AK521" s="173"/>
      <c r="AL521" s="167"/>
      <c r="AM521" s="45"/>
      <c r="AN521" s="54"/>
      <c r="AO521" s="54"/>
      <c r="AP521" s="73"/>
      <c r="AQ521" s="165"/>
      <c r="AR521" s="168"/>
      <c r="AS521" s="165"/>
      <c r="AT521" s="190"/>
      <c r="AU521" s="167"/>
      <c r="AV521" s="45"/>
      <c r="AW521" s="54"/>
      <c r="AX521" s="54"/>
      <c r="AY521" s="53"/>
      <c r="AZ521" s="200"/>
      <c r="BA521" s="45"/>
      <c r="BB521" s="45"/>
      <c r="BC521" s="73"/>
      <c r="BD521" s="165"/>
      <c r="BE521" s="165"/>
      <c r="BF521" s="173"/>
      <c r="BG521" s="304"/>
      <c r="BH521" s="601"/>
      <c r="BI521" s="199"/>
      <c r="BJ521" s="200"/>
      <c r="BK521" s="199"/>
      <c r="BL521" s="202"/>
      <c r="BM521" s="200"/>
      <c r="BN521" s="165"/>
      <c r="BO521" s="173"/>
      <c r="BP521" s="190"/>
      <c r="BQ521" s="173"/>
      <c r="BR521" s="168"/>
      <c r="BS521" s="165"/>
      <c r="BT521" s="167"/>
      <c r="BU521" s="199"/>
      <c r="BV521" s="202"/>
      <c r="BW521" s="201"/>
      <c r="BX521" s="201"/>
      <c r="BY521" s="200"/>
      <c r="BZ521" s="165"/>
      <c r="CA521" s="173"/>
      <c r="CB521" s="190"/>
      <c r="CC521" s="167"/>
      <c r="CD521" s="199"/>
      <c r="CE521" s="201"/>
      <c r="CF521" s="201"/>
      <c r="CG521" s="106"/>
      <c r="CH521" s="165"/>
      <c r="CI521" s="167"/>
    </row>
    <row r="522" spans="1:87" x14ac:dyDescent="0.3">
      <c r="A522" s="10">
        <v>8718</v>
      </c>
      <c r="B522" s="11" t="s">
        <v>645</v>
      </c>
      <c r="C522" s="471">
        <v>1143</v>
      </c>
      <c r="D522" s="54">
        <v>530</v>
      </c>
      <c r="E522" s="367">
        <f t="shared" si="8"/>
        <v>0.46369203849518809</v>
      </c>
      <c r="F522" s="199"/>
      <c r="G522" s="199"/>
      <c r="H522" s="199"/>
      <c r="I522" s="199"/>
      <c r="J522" s="200"/>
      <c r="K522" s="199"/>
      <c r="L522" s="316"/>
      <c r="M522" s="602"/>
      <c r="N522" s="199"/>
      <c r="O522" s="199"/>
      <c r="P522" s="202"/>
      <c r="Q522" s="203"/>
      <c r="R522" s="203"/>
      <c r="S522" s="98"/>
      <c r="T522" s="199"/>
      <c r="U522" s="199"/>
      <c r="V522" s="106"/>
      <c r="W522" s="169"/>
      <c r="X522" s="173"/>
      <c r="Y522" s="190"/>
      <c r="Z522" s="167"/>
      <c r="AA522" s="199"/>
      <c r="AB522" s="203"/>
      <c r="AC522" s="169"/>
      <c r="AD522" s="165"/>
      <c r="AE522" s="173"/>
      <c r="AF522" s="168"/>
      <c r="AG522" s="106"/>
      <c r="AH522" s="199"/>
      <c r="AI522" s="200"/>
      <c r="AJ522" s="165"/>
      <c r="AK522" s="173"/>
      <c r="AL522" s="167"/>
      <c r="AM522" s="199"/>
      <c r="AN522" s="201"/>
      <c r="AO522" s="201"/>
      <c r="AP522" s="106"/>
      <c r="AQ522" s="165"/>
      <c r="AR522" s="168"/>
      <c r="AS522" s="165"/>
      <c r="AT522" s="190"/>
      <c r="AU522" s="167"/>
      <c r="AV522" s="199"/>
      <c r="AW522" s="201"/>
      <c r="AX522" s="201"/>
      <c r="AY522" s="202"/>
      <c r="AZ522" s="200"/>
      <c r="BA522" s="45"/>
      <c r="BB522" s="45"/>
      <c r="BC522" s="73"/>
      <c r="BD522" s="165"/>
      <c r="BE522" s="165"/>
      <c r="BF522" s="173"/>
      <c r="BG522" s="304"/>
      <c r="BH522" s="601"/>
      <c r="BI522" s="45">
        <v>199</v>
      </c>
      <c r="BJ522" s="46">
        <v>246</v>
      </c>
      <c r="BK522" s="45">
        <v>192</v>
      </c>
      <c r="BL522" s="53">
        <v>188</v>
      </c>
      <c r="BM522" s="46">
        <v>247</v>
      </c>
      <c r="BN522" s="165"/>
      <c r="BO522" s="173"/>
      <c r="BP522" s="190"/>
      <c r="BQ522" s="173"/>
      <c r="BR522" s="168"/>
      <c r="BS522" s="165"/>
      <c r="BT522" s="167"/>
      <c r="BU522" s="45"/>
      <c r="BV522" s="53"/>
      <c r="BW522" s="54"/>
      <c r="BX522" s="54"/>
      <c r="BY522" s="200"/>
      <c r="BZ522" s="165"/>
      <c r="CA522" s="173"/>
      <c r="CB522" s="190"/>
      <c r="CC522" s="167"/>
      <c r="CD522" s="199"/>
      <c r="CE522" s="201"/>
      <c r="CF522" s="201"/>
      <c r="CG522" s="106"/>
      <c r="CH522" s="165"/>
      <c r="CI522" s="167"/>
    </row>
    <row r="523" spans="1:87" x14ac:dyDescent="0.3">
      <c r="A523" s="10">
        <v>8719</v>
      </c>
      <c r="B523" s="11" t="s">
        <v>646</v>
      </c>
      <c r="C523" s="471">
        <v>1151</v>
      </c>
      <c r="D523" s="54">
        <v>689</v>
      </c>
      <c r="E523" s="367">
        <f t="shared" si="8"/>
        <v>0.59860990443092965</v>
      </c>
      <c r="F523" s="199"/>
      <c r="G523" s="199"/>
      <c r="H523" s="199"/>
      <c r="I523" s="199"/>
      <c r="J523" s="200"/>
      <c r="K523" s="199"/>
      <c r="L523" s="316"/>
      <c r="M523" s="602"/>
      <c r="N523" s="199"/>
      <c r="O523" s="199"/>
      <c r="P523" s="202"/>
      <c r="Q523" s="203"/>
      <c r="R523" s="203"/>
      <c r="S523" s="98"/>
      <c r="T523" s="199"/>
      <c r="U523" s="199"/>
      <c r="V523" s="106"/>
      <c r="W523" s="169"/>
      <c r="X523" s="173"/>
      <c r="Y523" s="190"/>
      <c r="Z523" s="167"/>
      <c r="AA523" s="199"/>
      <c r="AB523" s="203"/>
      <c r="AC523" s="169"/>
      <c r="AD523" s="165"/>
      <c r="AE523" s="173"/>
      <c r="AF523" s="168"/>
      <c r="AG523" s="106"/>
      <c r="AH523" s="199"/>
      <c r="AI523" s="200"/>
      <c r="AJ523" s="165"/>
      <c r="AK523" s="173"/>
      <c r="AL523" s="167"/>
      <c r="AM523" s="199"/>
      <c r="AN523" s="201"/>
      <c r="AO523" s="201"/>
      <c r="AP523" s="106"/>
      <c r="AQ523" s="165"/>
      <c r="AR523" s="168"/>
      <c r="AS523" s="165"/>
      <c r="AT523" s="190"/>
      <c r="AU523" s="167"/>
      <c r="AV523" s="199"/>
      <c r="AW523" s="201"/>
      <c r="AX523" s="201"/>
      <c r="AY523" s="202"/>
      <c r="AZ523" s="200"/>
      <c r="BA523" s="199"/>
      <c r="BB523" s="199"/>
      <c r="BC523" s="106"/>
      <c r="BD523" s="165"/>
      <c r="BE523" s="165"/>
      <c r="BF523" s="173"/>
      <c r="BG523" s="304"/>
      <c r="BH523" s="601"/>
      <c r="BI523" s="45">
        <v>297</v>
      </c>
      <c r="BJ523" s="46">
        <v>326</v>
      </c>
      <c r="BK523" s="45">
        <v>219</v>
      </c>
      <c r="BL523" s="53">
        <v>298</v>
      </c>
      <c r="BM523" s="46">
        <v>347</v>
      </c>
      <c r="BN523" s="165"/>
      <c r="BO523" s="173"/>
      <c r="BP523" s="190"/>
      <c r="BQ523" s="173"/>
      <c r="BR523" s="168"/>
      <c r="BS523" s="165"/>
      <c r="BT523" s="167"/>
      <c r="BU523" s="45"/>
      <c r="BV523" s="53"/>
      <c r="BW523" s="54"/>
      <c r="BX523" s="54"/>
      <c r="BY523" s="200"/>
      <c r="BZ523" s="165"/>
      <c r="CA523" s="173"/>
      <c r="CB523" s="190"/>
      <c r="CC523" s="167"/>
      <c r="CD523" s="199"/>
      <c r="CE523" s="201"/>
      <c r="CF523" s="201"/>
      <c r="CG523" s="106"/>
      <c r="CH523" s="165"/>
      <c r="CI523" s="167"/>
    </row>
    <row r="524" spans="1:87" x14ac:dyDescent="0.3">
      <c r="A524" s="10">
        <v>8720</v>
      </c>
      <c r="B524" s="11" t="s">
        <v>647</v>
      </c>
      <c r="C524" s="471">
        <v>1392</v>
      </c>
      <c r="D524" s="54">
        <v>663</v>
      </c>
      <c r="E524" s="367">
        <f t="shared" si="8"/>
        <v>0.47629310344827586</v>
      </c>
      <c r="F524" s="199"/>
      <c r="G524" s="199"/>
      <c r="H524" s="199"/>
      <c r="I524" s="199"/>
      <c r="J524" s="200"/>
      <c r="K524" s="199"/>
      <c r="L524" s="316"/>
      <c r="M524" s="602"/>
      <c r="N524" s="199"/>
      <c r="O524" s="199"/>
      <c r="P524" s="202"/>
      <c r="Q524" s="203"/>
      <c r="R524" s="203"/>
      <c r="S524" s="98"/>
      <c r="T524" s="199"/>
      <c r="U524" s="199"/>
      <c r="V524" s="106"/>
      <c r="W524" s="169"/>
      <c r="X524" s="173"/>
      <c r="Y524" s="190"/>
      <c r="Z524" s="167"/>
      <c r="AA524" s="199"/>
      <c r="AB524" s="203"/>
      <c r="AC524" s="169"/>
      <c r="AD524" s="165"/>
      <c r="AE524" s="173"/>
      <c r="AF524" s="168"/>
      <c r="AG524" s="106"/>
      <c r="AH524" s="199"/>
      <c r="AI524" s="200"/>
      <c r="AJ524" s="165"/>
      <c r="AK524" s="173"/>
      <c r="AL524" s="167"/>
      <c r="AM524" s="199"/>
      <c r="AN524" s="201"/>
      <c r="AO524" s="201"/>
      <c r="AP524" s="106"/>
      <c r="AQ524" s="165"/>
      <c r="AR524" s="168"/>
      <c r="AS524" s="165"/>
      <c r="AT524" s="190"/>
      <c r="AU524" s="167"/>
      <c r="AV524" s="199"/>
      <c r="AW524" s="201"/>
      <c r="AX524" s="201"/>
      <c r="AY524" s="202"/>
      <c r="AZ524" s="200"/>
      <c r="BA524" s="199"/>
      <c r="BB524" s="199"/>
      <c r="BC524" s="106"/>
      <c r="BD524" s="165"/>
      <c r="BE524" s="165"/>
      <c r="BF524" s="173"/>
      <c r="BG524" s="304"/>
      <c r="BH524" s="601"/>
      <c r="BI524" s="45">
        <v>269</v>
      </c>
      <c r="BJ524" s="46">
        <v>319</v>
      </c>
      <c r="BK524" s="199"/>
      <c r="BL524" s="202"/>
      <c r="BM524" s="200"/>
      <c r="BN524" s="165"/>
      <c r="BO524" s="173"/>
      <c r="BP524" s="190"/>
      <c r="BQ524" s="173"/>
      <c r="BR524" s="168"/>
      <c r="BS524" s="165"/>
      <c r="BT524" s="167"/>
      <c r="BU524" s="45">
        <v>189</v>
      </c>
      <c r="BV524" s="53">
        <v>206</v>
      </c>
      <c r="BW524" s="54">
        <v>219</v>
      </c>
      <c r="BX524" s="54">
        <v>121</v>
      </c>
      <c r="BY524" s="46">
        <v>146</v>
      </c>
      <c r="BZ524" s="165"/>
      <c r="CA524" s="173"/>
      <c r="CB524" s="190"/>
      <c r="CC524" s="167"/>
      <c r="CD524" s="199"/>
      <c r="CE524" s="201"/>
      <c r="CF524" s="201"/>
      <c r="CG524" s="106"/>
      <c r="CH524" s="165"/>
      <c r="CI524" s="167"/>
    </row>
    <row r="525" spans="1:87" x14ac:dyDescent="0.3">
      <c r="A525" s="10">
        <v>8721</v>
      </c>
      <c r="B525" s="11" t="s">
        <v>648</v>
      </c>
      <c r="C525" s="471">
        <v>1306</v>
      </c>
      <c r="D525" s="54">
        <v>815</v>
      </c>
      <c r="E525" s="367">
        <f t="shared" si="8"/>
        <v>0.62404287901990807</v>
      </c>
      <c r="F525" s="199"/>
      <c r="G525" s="199"/>
      <c r="H525" s="199"/>
      <c r="I525" s="199"/>
      <c r="J525" s="200"/>
      <c r="K525" s="199"/>
      <c r="L525" s="316"/>
      <c r="M525" s="602"/>
      <c r="N525" s="199"/>
      <c r="O525" s="199"/>
      <c r="P525" s="202"/>
      <c r="Q525" s="203"/>
      <c r="R525" s="203"/>
      <c r="S525" s="98"/>
      <c r="T525" s="199"/>
      <c r="U525" s="199"/>
      <c r="V525" s="106"/>
      <c r="W525" s="169"/>
      <c r="X525" s="173"/>
      <c r="Y525" s="190"/>
      <c r="Z525" s="167"/>
      <c r="AA525" s="199"/>
      <c r="AB525" s="203"/>
      <c r="AC525" s="169"/>
      <c r="AD525" s="165"/>
      <c r="AE525" s="173"/>
      <c r="AF525" s="168"/>
      <c r="AG525" s="106"/>
      <c r="AH525" s="199"/>
      <c r="AI525" s="200"/>
      <c r="AJ525" s="165"/>
      <c r="AK525" s="173"/>
      <c r="AL525" s="167"/>
      <c r="AM525" s="199"/>
      <c r="AN525" s="201"/>
      <c r="AO525" s="201"/>
      <c r="AP525" s="106"/>
      <c r="AQ525" s="165"/>
      <c r="AR525" s="168"/>
      <c r="AS525" s="165"/>
      <c r="AT525" s="190"/>
      <c r="AU525" s="167"/>
      <c r="AV525" s="199"/>
      <c r="AW525" s="201"/>
      <c r="AX525" s="201"/>
      <c r="AY525" s="202"/>
      <c r="AZ525" s="200"/>
      <c r="BA525" s="199"/>
      <c r="BB525" s="199"/>
      <c r="BC525" s="106"/>
      <c r="BD525" s="165"/>
      <c r="BE525" s="165"/>
      <c r="BF525" s="173"/>
      <c r="BG525" s="304"/>
      <c r="BH525" s="601"/>
      <c r="BI525" s="45">
        <v>336</v>
      </c>
      <c r="BJ525" s="46">
        <v>367</v>
      </c>
      <c r="BK525" s="45">
        <v>322</v>
      </c>
      <c r="BL525" s="53">
        <v>414</v>
      </c>
      <c r="BM525" s="46">
        <v>339</v>
      </c>
      <c r="BN525" s="165"/>
      <c r="BO525" s="173"/>
      <c r="BP525" s="190"/>
      <c r="BQ525" s="173"/>
      <c r="BR525" s="168"/>
      <c r="BS525" s="165"/>
      <c r="BT525" s="167"/>
      <c r="BU525" s="199"/>
      <c r="BV525" s="202"/>
      <c r="BW525" s="201"/>
      <c r="BX525" s="201"/>
      <c r="BY525" s="200"/>
      <c r="BZ525" s="165"/>
      <c r="CA525" s="173"/>
      <c r="CB525" s="190"/>
      <c r="CC525" s="167"/>
      <c r="CD525" s="199"/>
      <c r="CE525" s="201"/>
      <c r="CF525" s="201"/>
      <c r="CG525" s="106"/>
      <c r="CH525" s="165"/>
      <c r="CI525" s="167"/>
    </row>
    <row r="526" spans="1:87" x14ac:dyDescent="0.3">
      <c r="A526" s="10">
        <v>8722</v>
      </c>
      <c r="B526" s="11" t="s">
        <v>649</v>
      </c>
      <c r="C526" s="471">
        <v>1040</v>
      </c>
      <c r="D526" s="54">
        <v>685</v>
      </c>
      <c r="E526" s="367">
        <f t="shared" si="8"/>
        <v>0.65865384615384615</v>
      </c>
      <c r="F526" s="199"/>
      <c r="G526" s="199"/>
      <c r="H526" s="199"/>
      <c r="I526" s="199"/>
      <c r="J526" s="200"/>
      <c r="K526" s="199"/>
      <c r="L526" s="316"/>
      <c r="M526" s="602"/>
      <c r="N526" s="199"/>
      <c r="O526" s="199"/>
      <c r="P526" s="202"/>
      <c r="Q526" s="203"/>
      <c r="R526" s="203"/>
      <c r="S526" s="98"/>
      <c r="T526" s="199"/>
      <c r="U526" s="199"/>
      <c r="V526" s="106"/>
      <c r="W526" s="169"/>
      <c r="X526" s="173"/>
      <c r="Y526" s="190"/>
      <c r="Z526" s="167"/>
      <c r="AA526" s="199"/>
      <c r="AB526" s="203"/>
      <c r="AC526" s="169"/>
      <c r="AD526" s="165"/>
      <c r="AE526" s="173"/>
      <c r="AF526" s="168"/>
      <c r="AG526" s="106"/>
      <c r="AH526" s="199"/>
      <c r="AI526" s="200"/>
      <c r="AJ526" s="165"/>
      <c r="AK526" s="173"/>
      <c r="AL526" s="167"/>
      <c r="AM526" s="199"/>
      <c r="AN526" s="201"/>
      <c r="AO526" s="201"/>
      <c r="AP526" s="106"/>
      <c r="AQ526" s="165"/>
      <c r="AR526" s="168"/>
      <c r="AS526" s="165"/>
      <c r="AT526" s="190"/>
      <c r="AU526" s="167"/>
      <c r="AV526" s="199"/>
      <c r="AW526" s="201"/>
      <c r="AX526" s="201"/>
      <c r="AY526" s="202"/>
      <c r="AZ526" s="200"/>
      <c r="BA526" s="45">
        <v>189</v>
      </c>
      <c r="BB526" s="45">
        <v>222</v>
      </c>
      <c r="BC526" s="73">
        <v>292</v>
      </c>
      <c r="BD526" s="165"/>
      <c r="BE526" s="165"/>
      <c r="BF526" s="173"/>
      <c r="BG526" s="304"/>
      <c r="BH526" s="601"/>
      <c r="BI526" s="45">
        <v>27</v>
      </c>
      <c r="BJ526" s="46">
        <v>26</v>
      </c>
      <c r="BK526" s="45">
        <v>23</v>
      </c>
      <c r="BL526" s="53">
        <v>11</v>
      </c>
      <c r="BM526" s="46">
        <v>29</v>
      </c>
      <c r="BN526" s="165"/>
      <c r="BO526" s="173"/>
      <c r="BP526" s="190"/>
      <c r="BQ526" s="173"/>
      <c r="BR526" s="168"/>
      <c r="BS526" s="165"/>
      <c r="BT526" s="167"/>
      <c r="BU526" s="45"/>
      <c r="BV526" s="53"/>
      <c r="BW526" s="54"/>
      <c r="BX526" s="54"/>
      <c r="BY526" s="200"/>
      <c r="BZ526" s="165"/>
      <c r="CA526" s="173"/>
      <c r="CB526" s="190"/>
      <c r="CC526" s="167"/>
      <c r="CD526" s="199"/>
      <c r="CE526" s="201"/>
      <c r="CF526" s="201"/>
      <c r="CG526" s="106"/>
      <c r="CH526" s="165"/>
      <c r="CI526" s="167"/>
    </row>
    <row r="527" spans="1:87" x14ac:dyDescent="0.3">
      <c r="A527" s="10">
        <v>8723</v>
      </c>
      <c r="B527" s="11" t="s">
        <v>650</v>
      </c>
      <c r="C527" s="471">
        <v>1301</v>
      </c>
      <c r="D527" s="54">
        <v>711</v>
      </c>
      <c r="E527" s="367">
        <f t="shared" si="8"/>
        <v>0.54650269023827824</v>
      </c>
      <c r="F527" s="199"/>
      <c r="G527" s="199"/>
      <c r="H527" s="199"/>
      <c r="I527" s="199"/>
      <c r="J527" s="200"/>
      <c r="K527" s="199"/>
      <c r="L527" s="316"/>
      <c r="M527" s="602"/>
      <c r="N527" s="199"/>
      <c r="O527" s="199"/>
      <c r="P527" s="202"/>
      <c r="Q527" s="203"/>
      <c r="R527" s="203"/>
      <c r="S527" s="98"/>
      <c r="T527" s="199"/>
      <c r="U527" s="199"/>
      <c r="V527" s="106"/>
      <c r="W527" s="169"/>
      <c r="X527" s="173"/>
      <c r="Y527" s="190"/>
      <c r="Z527" s="167"/>
      <c r="AA527" s="199"/>
      <c r="AB527" s="203"/>
      <c r="AC527" s="169"/>
      <c r="AD527" s="165"/>
      <c r="AE527" s="173"/>
      <c r="AF527" s="168"/>
      <c r="AG527" s="106"/>
      <c r="AH527" s="199"/>
      <c r="AI527" s="200"/>
      <c r="AJ527" s="165"/>
      <c r="AK527" s="173"/>
      <c r="AL527" s="167"/>
      <c r="AM527" s="199"/>
      <c r="AN527" s="201"/>
      <c r="AO527" s="201"/>
      <c r="AP527" s="106"/>
      <c r="AQ527" s="165"/>
      <c r="AR527" s="168"/>
      <c r="AS527" s="165"/>
      <c r="AT527" s="190"/>
      <c r="AU527" s="167"/>
      <c r="AV527" s="199"/>
      <c r="AW527" s="201"/>
      <c r="AX527" s="201"/>
      <c r="AY527" s="202"/>
      <c r="AZ527" s="200"/>
      <c r="BA527" s="199"/>
      <c r="BB527" s="199"/>
      <c r="BC527" s="106"/>
      <c r="BD527" s="165"/>
      <c r="BE527" s="165"/>
      <c r="BF527" s="173"/>
      <c r="BG527" s="304"/>
      <c r="BH527" s="601"/>
      <c r="BI527" s="45">
        <v>276</v>
      </c>
      <c r="BJ527" s="46">
        <v>342</v>
      </c>
      <c r="BK527" s="45">
        <v>260</v>
      </c>
      <c r="BL527" s="53">
        <v>284</v>
      </c>
      <c r="BM527" s="46">
        <v>389</v>
      </c>
      <c r="BN527" s="165"/>
      <c r="BO527" s="173"/>
      <c r="BP527" s="190"/>
      <c r="BQ527" s="173"/>
      <c r="BR527" s="168"/>
      <c r="BS527" s="165"/>
      <c r="BT527" s="167"/>
      <c r="BU527" s="45"/>
      <c r="BV527" s="53"/>
      <c r="BW527" s="54"/>
      <c r="BX527" s="54"/>
      <c r="BY527" s="200"/>
      <c r="BZ527" s="165"/>
      <c r="CA527" s="173"/>
      <c r="CB527" s="190"/>
      <c r="CC527" s="167"/>
      <c r="CD527" s="45"/>
      <c r="CE527" s="54"/>
      <c r="CF527" s="54"/>
      <c r="CG527" s="106"/>
      <c r="CH527" s="165"/>
      <c r="CI527" s="167"/>
    </row>
    <row r="528" spans="1:87" x14ac:dyDescent="0.3">
      <c r="A528" s="10">
        <v>8724</v>
      </c>
      <c r="B528" s="11" t="s">
        <v>651</v>
      </c>
      <c r="C528" s="471">
        <v>699</v>
      </c>
      <c r="D528" s="54">
        <v>354</v>
      </c>
      <c r="E528" s="367">
        <f t="shared" si="8"/>
        <v>0.50643776824034337</v>
      </c>
      <c r="F528" s="199"/>
      <c r="G528" s="199"/>
      <c r="H528" s="199"/>
      <c r="I528" s="199"/>
      <c r="J528" s="200"/>
      <c r="K528" s="199"/>
      <c r="L528" s="316"/>
      <c r="M528" s="602"/>
      <c r="N528" s="199"/>
      <c r="O528" s="199"/>
      <c r="P528" s="202"/>
      <c r="Q528" s="203"/>
      <c r="R528" s="203"/>
      <c r="S528" s="98"/>
      <c r="T528" s="199"/>
      <c r="U528" s="199"/>
      <c r="V528" s="106"/>
      <c r="W528" s="169"/>
      <c r="X528" s="173"/>
      <c r="Y528" s="190"/>
      <c r="Z528" s="167"/>
      <c r="AA528" s="199"/>
      <c r="AB528" s="203"/>
      <c r="AC528" s="169"/>
      <c r="AD528" s="165"/>
      <c r="AE528" s="173"/>
      <c r="AF528" s="168"/>
      <c r="AG528" s="106"/>
      <c r="AH528" s="199"/>
      <c r="AI528" s="200"/>
      <c r="AJ528" s="165"/>
      <c r="AK528" s="173"/>
      <c r="AL528" s="167"/>
      <c r="AM528" s="45">
        <v>126</v>
      </c>
      <c r="AN528" s="54">
        <v>36</v>
      </c>
      <c r="AO528" s="54">
        <v>61</v>
      </c>
      <c r="AP528" s="73">
        <v>36</v>
      </c>
      <c r="AQ528" s="165"/>
      <c r="AR528" s="168"/>
      <c r="AS528" s="165"/>
      <c r="AT528" s="190"/>
      <c r="AU528" s="167"/>
      <c r="AV528" s="45"/>
      <c r="AW528" s="54"/>
      <c r="AX528" s="54"/>
      <c r="AY528" s="53"/>
      <c r="AZ528" s="200"/>
      <c r="BA528" s="45">
        <v>63</v>
      </c>
      <c r="BB528" s="45">
        <v>84</v>
      </c>
      <c r="BC528" s="73">
        <v>71</v>
      </c>
      <c r="BD528" s="165"/>
      <c r="BE528" s="165"/>
      <c r="BF528" s="173"/>
      <c r="BG528" s="304"/>
      <c r="BH528" s="601"/>
      <c r="BI528" s="199"/>
      <c r="BJ528" s="200"/>
      <c r="BK528" s="199"/>
      <c r="BL528" s="202"/>
      <c r="BM528" s="200"/>
      <c r="BN528" s="165"/>
      <c r="BO528" s="173"/>
      <c r="BP528" s="190"/>
      <c r="BQ528" s="173"/>
      <c r="BR528" s="168"/>
      <c r="BS528" s="165"/>
      <c r="BT528" s="167"/>
      <c r="BU528" s="199"/>
      <c r="BV528" s="202"/>
      <c r="BW528" s="201"/>
      <c r="BX528" s="201"/>
      <c r="BY528" s="200"/>
      <c r="BZ528" s="165"/>
      <c r="CA528" s="173"/>
      <c r="CB528" s="190"/>
      <c r="CC528" s="167"/>
      <c r="CD528" s="199"/>
      <c r="CE528" s="201"/>
      <c r="CF528" s="201"/>
      <c r="CG528" s="106"/>
      <c r="CH528" s="165"/>
      <c r="CI528" s="167"/>
    </row>
    <row r="529" spans="1:87" x14ac:dyDescent="0.3">
      <c r="A529" s="10">
        <v>8725</v>
      </c>
      <c r="B529" s="11" t="s">
        <v>652</v>
      </c>
      <c r="C529" s="471">
        <v>949</v>
      </c>
      <c r="D529" s="54">
        <v>384</v>
      </c>
      <c r="E529" s="367">
        <f t="shared" si="8"/>
        <v>0.40463645943097998</v>
      </c>
      <c r="F529" s="199"/>
      <c r="G529" s="199"/>
      <c r="H529" s="199"/>
      <c r="I529" s="199"/>
      <c r="J529" s="200"/>
      <c r="K529" s="199"/>
      <c r="L529" s="316"/>
      <c r="M529" s="602"/>
      <c r="N529" s="199"/>
      <c r="O529" s="199"/>
      <c r="P529" s="202"/>
      <c r="Q529" s="203"/>
      <c r="R529" s="203"/>
      <c r="S529" s="98"/>
      <c r="T529" s="199"/>
      <c r="U529" s="199"/>
      <c r="V529" s="106"/>
      <c r="W529" s="169"/>
      <c r="X529" s="173"/>
      <c r="Y529" s="190"/>
      <c r="Z529" s="167"/>
      <c r="AA529" s="199"/>
      <c r="AB529" s="203"/>
      <c r="AC529" s="169"/>
      <c r="AD529" s="165"/>
      <c r="AE529" s="173"/>
      <c r="AF529" s="168"/>
      <c r="AG529" s="73">
        <v>255</v>
      </c>
      <c r="AH529" s="45">
        <v>11</v>
      </c>
      <c r="AI529" s="46">
        <v>6</v>
      </c>
      <c r="AJ529" s="165"/>
      <c r="AK529" s="173"/>
      <c r="AL529" s="167"/>
      <c r="AM529" s="199"/>
      <c r="AN529" s="201"/>
      <c r="AO529" s="201"/>
      <c r="AP529" s="106"/>
      <c r="AQ529" s="165"/>
      <c r="AR529" s="168"/>
      <c r="AS529" s="165"/>
      <c r="AT529" s="190"/>
      <c r="AU529" s="167"/>
      <c r="AV529" s="199"/>
      <c r="AW529" s="201"/>
      <c r="AX529" s="201"/>
      <c r="AY529" s="202"/>
      <c r="AZ529" s="200"/>
      <c r="BA529" s="199"/>
      <c r="BB529" s="199"/>
      <c r="BC529" s="106"/>
      <c r="BD529" s="165"/>
      <c r="BE529" s="165"/>
      <c r="BF529" s="173"/>
      <c r="BG529" s="304"/>
      <c r="BH529" s="601"/>
      <c r="BI529" s="199"/>
      <c r="BJ529" s="200"/>
      <c r="BK529" s="199"/>
      <c r="BL529" s="202"/>
      <c r="BM529" s="200"/>
      <c r="BN529" s="165"/>
      <c r="BO529" s="173"/>
      <c r="BP529" s="190"/>
      <c r="BQ529" s="173"/>
      <c r="BR529" s="168"/>
      <c r="BS529" s="165"/>
      <c r="BT529" s="167"/>
      <c r="BU529" s="199"/>
      <c r="BV529" s="202"/>
      <c r="BW529" s="201"/>
      <c r="BX529" s="201"/>
      <c r="BY529" s="200"/>
      <c r="BZ529" s="165"/>
      <c r="CA529" s="173"/>
      <c r="CB529" s="190"/>
      <c r="CC529" s="167"/>
      <c r="CD529" s="45"/>
      <c r="CE529" s="54"/>
      <c r="CF529" s="54"/>
      <c r="CG529" s="73"/>
      <c r="CH529" s="165"/>
      <c r="CI529" s="167"/>
    </row>
    <row r="530" spans="1:87" x14ac:dyDescent="0.3">
      <c r="A530" s="10">
        <v>8726</v>
      </c>
      <c r="B530" s="11" t="s">
        <v>653</v>
      </c>
      <c r="C530" s="471">
        <v>669</v>
      </c>
      <c r="D530" s="54">
        <v>350</v>
      </c>
      <c r="E530" s="367">
        <f t="shared" si="8"/>
        <v>0.52316890881913303</v>
      </c>
      <c r="F530" s="199"/>
      <c r="G530" s="199"/>
      <c r="H530" s="199"/>
      <c r="I530" s="199"/>
      <c r="J530" s="200"/>
      <c r="K530" s="199"/>
      <c r="L530" s="316"/>
      <c r="M530" s="602"/>
      <c r="N530" s="199"/>
      <c r="O530" s="199"/>
      <c r="P530" s="202"/>
      <c r="Q530" s="203"/>
      <c r="R530" s="203"/>
      <c r="S530" s="98"/>
      <c r="T530" s="199"/>
      <c r="U530" s="199"/>
      <c r="V530" s="106"/>
      <c r="W530" s="169"/>
      <c r="X530" s="173"/>
      <c r="Y530" s="190"/>
      <c r="Z530" s="167"/>
      <c r="AA530" s="199"/>
      <c r="AB530" s="203"/>
      <c r="AC530" s="169"/>
      <c r="AD530" s="165"/>
      <c r="AE530" s="173"/>
      <c r="AF530" s="168"/>
      <c r="AG530" s="168">
        <v>2</v>
      </c>
      <c r="AH530" s="165"/>
      <c r="AI530" s="167"/>
      <c r="AJ530" s="165"/>
      <c r="AK530" s="173"/>
      <c r="AL530" s="167"/>
      <c r="AM530" s="199"/>
      <c r="AN530" s="201"/>
      <c r="AO530" s="201"/>
      <c r="AP530" s="106"/>
      <c r="AQ530" s="165"/>
      <c r="AR530" s="168"/>
      <c r="AS530" s="165"/>
      <c r="AT530" s="190"/>
      <c r="AU530" s="167"/>
      <c r="AV530" s="199"/>
      <c r="AW530" s="201"/>
      <c r="AX530" s="201"/>
      <c r="AY530" s="202"/>
      <c r="AZ530" s="200"/>
      <c r="BA530" s="199"/>
      <c r="BB530" s="199"/>
      <c r="BC530" s="73"/>
      <c r="BD530" s="165"/>
      <c r="BE530" s="165"/>
      <c r="BF530" s="173"/>
      <c r="BG530" s="304"/>
      <c r="BH530" s="601"/>
      <c r="BI530" s="45">
        <v>135</v>
      </c>
      <c r="BJ530" s="46">
        <v>175</v>
      </c>
      <c r="BK530" s="45">
        <v>112</v>
      </c>
      <c r="BL530" s="53">
        <v>169</v>
      </c>
      <c r="BM530" s="46">
        <v>166</v>
      </c>
      <c r="BN530" s="165"/>
      <c r="BO530" s="173"/>
      <c r="BP530" s="190"/>
      <c r="BQ530" s="173"/>
      <c r="BR530" s="168"/>
      <c r="BS530" s="165"/>
      <c r="BT530" s="167"/>
      <c r="BU530" s="45"/>
      <c r="BV530" s="53"/>
      <c r="BW530" s="54"/>
      <c r="BX530" s="54"/>
      <c r="BY530" s="200"/>
      <c r="BZ530" s="165"/>
      <c r="CA530" s="173"/>
      <c r="CB530" s="190"/>
      <c r="CC530" s="167"/>
      <c r="CD530" s="199"/>
      <c r="CE530" s="201"/>
      <c r="CF530" s="201"/>
      <c r="CG530" s="106"/>
      <c r="CH530" s="165"/>
      <c r="CI530" s="167"/>
    </row>
    <row r="531" spans="1:87" x14ac:dyDescent="0.3">
      <c r="A531" s="10">
        <v>8727</v>
      </c>
      <c r="B531" s="11" t="s">
        <v>654</v>
      </c>
      <c r="C531" s="471">
        <v>1112</v>
      </c>
      <c r="D531" s="54">
        <v>512</v>
      </c>
      <c r="E531" s="367">
        <f t="shared" si="8"/>
        <v>0.46043165467625902</v>
      </c>
      <c r="F531" s="199"/>
      <c r="G531" s="199"/>
      <c r="H531" s="199"/>
      <c r="I531" s="199"/>
      <c r="J531" s="200"/>
      <c r="K531" s="199"/>
      <c r="L531" s="316"/>
      <c r="M531" s="602"/>
      <c r="N531" s="199"/>
      <c r="O531" s="199"/>
      <c r="P531" s="202"/>
      <c r="Q531" s="203"/>
      <c r="R531" s="203"/>
      <c r="S531" s="98"/>
      <c r="T531" s="199"/>
      <c r="U531" s="199"/>
      <c r="V531" s="106"/>
      <c r="W531" s="169"/>
      <c r="X531" s="173"/>
      <c r="Y531" s="190"/>
      <c r="Z531" s="167"/>
      <c r="AA531" s="199"/>
      <c r="AB531" s="203"/>
      <c r="AC531" s="169"/>
      <c r="AD531" s="165"/>
      <c r="AE531" s="173"/>
      <c r="AF531" s="168"/>
      <c r="AG531" s="168"/>
      <c r="AH531" s="165"/>
      <c r="AI531" s="167"/>
      <c r="AJ531" s="165"/>
      <c r="AK531" s="173"/>
      <c r="AL531" s="167"/>
      <c r="AM531" s="199"/>
      <c r="AN531" s="201"/>
      <c r="AO531" s="201"/>
      <c r="AP531" s="106"/>
      <c r="AQ531" s="165"/>
      <c r="AR531" s="168"/>
      <c r="AS531" s="165"/>
      <c r="AT531" s="190"/>
      <c r="AU531" s="167"/>
      <c r="AV531" s="199"/>
      <c r="AW531" s="201"/>
      <c r="AX531" s="201"/>
      <c r="AY531" s="202"/>
      <c r="AZ531" s="200"/>
      <c r="BA531" s="199"/>
      <c r="BB531" s="199"/>
      <c r="BC531" s="106"/>
      <c r="BD531" s="165"/>
      <c r="BE531" s="165"/>
      <c r="BF531" s="173"/>
      <c r="BG531" s="304"/>
      <c r="BH531" s="601"/>
      <c r="BI531" s="45">
        <v>232</v>
      </c>
      <c r="BJ531" s="46">
        <v>219</v>
      </c>
      <c r="BK531" s="165"/>
      <c r="BL531" s="190"/>
      <c r="BM531" s="167"/>
      <c r="BN531" s="165"/>
      <c r="BO531" s="173"/>
      <c r="BP531" s="190"/>
      <c r="BQ531" s="173"/>
      <c r="BR531" s="168"/>
      <c r="BS531" s="165"/>
      <c r="BT531" s="167"/>
      <c r="BU531" s="45">
        <v>133</v>
      </c>
      <c r="BV531" s="53">
        <v>151</v>
      </c>
      <c r="BW531" s="54">
        <v>169</v>
      </c>
      <c r="BX531" s="54">
        <v>128</v>
      </c>
      <c r="BY531" s="46">
        <v>69</v>
      </c>
      <c r="BZ531" s="165"/>
      <c r="CA531" s="173"/>
      <c r="CB531" s="190"/>
      <c r="CC531" s="167"/>
      <c r="CD531" s="199"/>
      <c r="CE531" s="201"/>
      <c r="CF531" s="201"/>
      <c r="CG531" s="106"/>
      <c r="CH531" s="165"/>
      <c r="CI531" s="167"/>
    </row>
    <row r="532" spans="1:87" x14ac:dyDescent="0.3">
      <c r="A532" s="10">
        <v>8728</v>
      </c>
      <c r="B532" s="11" t="s">
        <v>655</v>
      </c>
      <c r="C532" s="471">
        <v>653</v>
      </c>
      <c r="D532" s="54">
        <v>412</v>
      </c>
      <c r="E532" s="367">
        <f t="shared" si="8"/>
        <v>0.63093415007656972</v>
      </c>
      <c r="F532" s="199"/>
      <c r="G532" s="199"/>
      <c r="H532" s="199"/>
      <c r="I532" s="199"/>
      <c r="J532" s="200"/>
      <c r="K532" s="199"/>
      <c r="L532" s="316"/>
      <c r="M532" s="602"/>
      <c r="N532" s="199"/>
      <c r="O532" s="199"/>
      <c r="P532" s="202"/>
      <c r="Q532" s="203"/>
      <c r="R532" s="203"/>
      <c r="S532" s="98"/>
      <c r="T532" s="199"/>
      <c r="U532" s="199"/>
      <c r="V532" s="106"/>
      <c r="W532" s="169"/>
      <c r="X532" s="173"/>
      <c r="Y532" s="190"/>
      <c r="Z532" s="167"/>
      <c r="AA532" s="199"/>
      <c r="AB532" s="203"/>
      <c r="AC532" s="169"/>
      <c r="AD532" s="165"/>
      <c r="AE532" s="173"/>
      <c r="AF532" s="168"/>
      <c r="AG532" s="168"/>
      <c r="AH532" s="165"/>
      <c r="AI532" s="167"/>
      <c r="AJ532" s="165"/>
      <c r="AK532" s="173"/>
      <c r="AL532" s="167"/>
      <c r="AM532" s="199"/>
      <c r="AN532" s="201"/>
      <c r="AO532" s="201"/>
      <c r="AP532" s="106"/>
      <c r="AQ532" s="165"/>
      <c r="AR532" s="168"/>
      <c r="AS532" s="165"/>
      <c r="AT532" s="190"/>
      <c r="AU532" s="167"/>
      <c r="AV532" s="199"/>
      <c r="AW532" s="201"/>
      <c r="AX532" s="201"/>
      <c r="AY532" s="202"/>
      <c r="AZ532" s="200"/>
      <c r="BA532" s="45">
        <v>140</v>
      </c>
      <c r="BB532" s="45">
        <v>148</v>
      </c>
      <c r="BC532" s="73">
        <v>182</v>
      </c>
      <c r="BD532" s="165"/>
      <c r="BE532" s="165"/>
      <c r="BF532" s="173"/>
      <c r="BG532" s="304"/>
      <c r="BH532" s="601"/>
      <c r="BI532" s="199"/>
      <c r="BJ532" s="200"/>
      <c r="BK532" s="165"/>
      <c r="BL532" s="190"/>
      <c r="BM532" s="167"/>
      <c r="BN532" s="165"/>
      <c r="BO532" s="173"/>
      <c r="BP532" s="190"/>
      <c r="BQ532" s="173"/>
      <c r="BR532" s="168"/>
      <c r="BS532" s="165"/>
      <c r="BT532" s="167"/>
      <c r="BU532" s="165"/>
      <c r="BV532" s="190"/>
      <c r="BW532" s="173"/>
      <c r="BX532" s="173"/>
      <c r="BY532" s="167"/>
      <c r="BZ532" s="165"/>
      <c r="CA532" s="173"/>
      <c r="CB532" s="190"/>
      <c r="CC532" s="167"/>
      <c r="CD532" s="199"/>
      <c r="CE532" s="201"/>
      <c r="CF532" s="201"/>
      <c r="CG532" s="106"/>
      <c r="CH532" s="165"/>
      <c r="CI532" s="167"/>
    </row>
    <row r="533" spans="1:87" x14ac:dyDescent="0.3">
      <c r="A533" s="10">
        <v>8901</v>
      </c>
      <c r="B533" s="11" t="s">
        <v>656</v>
      </c>
      <c r="C533" s="471">
        <v>123</v>
      </c>
      <c r="D533" s="54">
        <v>56</v>
      </c>
      <c r="E533" s="367">
        <f t="shared" si="8"/>
        <v>0.45528455284552843</v>
      </c>
      <c r="F533" s="199"/>
      <c r="G533" s="199"/>
      <c r="H533" s="199"/>
      <c r="I533" s="199"/>
      <c r="J533" s="200"/>
      <c r="K533" s="199"/>
      <c r="L533" s="316"/>
      <c r="M533" s="602"/>
      <c r="N533" s="199"/>
      <c r="O533" s="199"/>
      <c r="P533" s="202"/>
      <c r="Q533" s="203"/>
      <c r="R533" s="203"/>
      <c r="S533" s="98"/>
      <c r="T533" s="199"/>
      <c r="U533" s="199"/>
      <c r="V533" s="106"/>
      <c r="W533" s="169"/>
      <c r="X533" s="173"/>
      <c r="Y533" s="190"/>
      <c r="Z533" s="167"/>
      <c r="AA533" s="199"/>
      <c r="AB533" s="203"/>
      <c r="AC533" s="169"/>
      <c r="AD533" s="165"/>
      <c r="AE533" s="173"/>
      <c r="AF533" s="168"/>
      <c r="AG533" s="168"/>
      <c r="AH533" s="165"/>
      <c r="AI533" s="167"/>
      <c r="AJ533" s="165"/>
      <c r="AK533" s="173"/>
      <c r="AL533" s="167"/>
      <c r="AM533" s="199"/>
      <c r="AN533" s="201"/>
      <c r="AO533" s="201"/>
      <c r="AP533" s="106"/>
      <c r="AQ533" s="45">
        <v>31</v>
      </c>
      <c r="AR533" s="156">
        <v>27</v>
      </c>
      <c r="AS533" s="165"/>
      <c r="AT533" s="190"/>
      <c r="AU533" s="167"/>
      <c r="AV533" s="199"/>
      <c r="AW533" s="201"/>
      <c r="AX533" s="201"/>
      <c r="AY533" s="202"/>
      <c r="AZ533" s="200"/>
      <c r="BA533" s="165"/>
      <c r="BB533" s="165"/>
      <c r="BC533" s="168"/>
      <c r="BD533" s="165"/>
      <c r="BE533" s="165"/>
      <c r="BF533" s="173"/>
      <c r="BG533" s="304"/>
      <c r="BH533" s="601"/>
      <c r="BI533" s="199"/>
      <c r="BJ533" s="200"/>
      <c r="BK533" s="165"/>
      <c r="BL533" s="190"/>
      <c r="BM533" s="167"/>
      <c r="BN533" s="165"/>
      <c r="BO533" s="173"/>
      <c r="BP533" s="190"/>
      <c r="BQ533" s="173"/>
      <c r="BR533" s="168"/>
      <c r="BS533" s="165"/>
      <c r="BT533" s="167"/>
      <c r="BU533" s="165"/>
      <c r="BV533" s="190"/>
      <c r="BW533" s="173"/>
      <c r="BX533" s="173"/>
      <c r="BY533" s="167"/>
      <c r="BZ533" s="165"/>
      <c r="CA533" s="173"/>
      <c r="CB533" s="190"/>
      <c r="CC533" s="167"/>
      <c r="CD533" s="45"/>
      <c r="CE533" s="54"/>
      <c r="CF533" s="54"/>
      <c r="CG533" s="73"/>
      <c r="CH533" s="165"/>
      <c r="CI533" s="167"/>
    </row>
    <row r="534" spans="1:87" x14ac:dyDescent="0.3">
      <c r="A534" s="10">
        <v>8902</v>
      </c>
      <c r="B534" s="11" t="s">
        <v>657</v>
      </c>
      <c r="C534" s="471">
        <v>1256</v>
      </c>
      <c r="D534" s="54">
        <v>629</v>
      </c>
      <c r="E534" s="367">
        <f t="shared" ref="E534:E565" si="9">SUM(D534/C534)</f>
        <v>0.50079617834394907</v>
      </c>
      <c r="F534" s="199"/>
      <c r="G534" s="199"/>
      <c r="H534" s="199"/>
      <c r="I534" s="199"/>
      <c r="J534" s="200"/>
      <c r="K534" s="199"/>
      <c r="L534" s="316"/>
      <c r="M534" s="602"/>
      <c r="N534" s="199"/>
      <c r="O534" s="199"/>
      <c r="P534" s="202"/>
      <c r="Q534" s="203"/>
      <c r="R534" s="203"/>
      <c r="S534" s="98"/>
      <c r="T534" s="199"/>
      <c r="U534" s="199"/>
      <c r="V534" s="106"/>
      <c r="W534" s="169"/>
      <c r="X534" s="173"/>
      <c r="Y534" s="190"/>
      <c r="Z534" s="167"/>
      <c r="AA534" s="199"/>
      <c r="AB534" s="203"/>
      <c r="AC534" s="169"/>
      <c r="AD534" s="165"/>
      <c r="AE534" s="173"/>
      <c r="AF534" s="168"/>
      <c r="AG534" s="168"/>
      <c r="AH534" s="165"/>
      <c r="AI534" s="167"/>
      <c r="AJ534" s="165"/>
      <c r="AK534" s="173"/>
      <c r="AL534" s="167"/>
      <c r="AM534" s="45">
        <v>245</v>
      </c>
      <c r="AN534" s="54">
        <v>184</v>
      </c>
      <c r="AO534" s="54">
        <v>208</v>
      </c>
      <c r="AP534" s="73">
        <v>260</v>
      </c>
      <c r="AQ534" s="165"/>
      <c r="AR534" s="168"/>
      <c r="AS534" s="165"/>
      <c r="AT534" s="190"/>
      <c r="AU534" s="167"/>
      <c r="AV534" s="45"/>
      <c r="AW534" s="54"/>
      <c r="AX534" s="54"/>
      <c r="AY534" s="53"/>
      <c r="AZ534" s="200"/>
      <c r="BA534" s="165"/>
      <c r="BB534" s="165"/>
      <c r="BC534" s="168"/>
      <c r="BD534" s="165"/>
      <c r="BE534" s="165"/>
      <c r="BF534" s="173"/>
      <c r="BG534" s="304"/>
      <c r="BH534" s="601"/>
      <c r="BI534" s="199"/>
      <c r="BJ534" s="200"/>
      <c r="BK534" s="165"/>
      <c r="BL534" s="190"/>
      <c r="BM534" s="167"/>
      <c r="BN534" s="165"/>
      <c r="BO534" s="173"/>
      <c r="BP534" s="190"/>
      <c r="BQ534" s="173"/>
      <c r="BR534" s="168"/>
      <c r="BS534" s="165"/>
      <c r="BT534" s="167"/>
      <c r="BU534" s="165"/>
      <c r="BV534" s="190"/>
      <c r="BW534" s="173"/>
      <c r="BX534" s="173"/>
      <c r="BY534" s="167"/>
      <c r="BZ534" s="165"/>
      <c r="CA534" s="173"/>
      <c r="CB534" s="190"/>
      <c r="CC534" s="167"/>
      <c r="CD534" s="45"/>
      <c r="CE534" s="54"/>
      <c r="CF534" s="54"/>
      <c r="CG534" s="73"/>
      <c r="CH534" s="165"/>
      <c r="CI534" s="167"/>
    </row>
    <row r="535" spans="1:87" x14ac:dyDescent="0.3">
      <c r="A535" s="10">
        <v>8903</v>
      </c>
      <c r="B535" s="11" t="s">
        <v>658</v>
      </c>
      <c r="C535" s="471">
        <v>1393</v>
      </c>
      <c r="D535" s="54">
        <v>627</v>
      </c>
      <c r="E535" s="367">
        <f t="shared" si="9"/>
        <v>0.45010768126346018</v>
      </c>
      <c r="F535" s="199"/>
      <c r="G535" s="199"/>
      <c r="H535" s="199"/>
      <c r="I535" s="199"/>
      <c r="J535" s="200"/>
      <c r="K535" s="45">
        <v>293</v>
      </c>
      <c r="L535" s="107">
        <v>352</v>
      </c>
      <c r="M535" s="541">
        <v>434</v>
      </c>
      <c r="N535" s="45"/>
      <c r="O535" s="45"/>
      <c r="P535" s="53"/>
      <c r="Q535" s="57"/>
      <c r="R535" s="57"/>
      <c r="S535" s="74"/>
      <c r="T535" s="45"/>
      <c r="U535" s="45"/>
      <c r="V535" s="73"/>
      <c r="W535" s="169"/>
      <c r="X535" s="173"/>
      <c r="Y535" s="190"/>
      <c r="Z535" s="167"/>
      <c r="AA535" s="199"/>
      <c r="AB535" s="203"/>
      <c r="AC535" s="169"/>
      <c r="AD535" s="165"/>
      <c r="AE535" s="173"/>
      <c r="AF535" s="168"/>
      <c r="AG535" s="168"/>
      <c r="AH535" s="165"/>
      <c r="AI535" s="167"/>
      <c r="AJ535" s="165"/>
      <c r="AK535" s="173"/>
      <c r="AL535" s="167"/>
      <c r="AM535" s="199"/>
      <c r="AN535" s="201"/>
      <c r="AO535" s="201"/>
      <c r="AP535" s="106"/>
      <c r="AQ535" s="165"/>
      <c r="AR535" s="168"/>
      <c r="AS535" s="165"/>
      <c r="AT535" s="190"/>
      <c r="AU535" s="167"/>
      <c r="AV535" s="199"/>
      <c r="AW535" s="201"/>
      <c r="AX535" s="201"/>
      <c r="AY535" s="202"/>
      <c r="AZ535" s="200"/>
      <c r="BA535" s="165"/>
      <c r="BB535" s="165"/>
      <c r="BC535" s="168"/>
      <c r="BD535" s="165"/>
      <c r="BE535" s="165"/>
      <c r="BF535" s="173"/>
      <c r="BG535" s="304"/>
      <c r="BH535" s="601"/>
      <c r="BI535" s="199"/>
      <c r="BJ535" s="200"/>
      <c r="BK535" s="165"/>
      <c r="BL535" s="190"/>
      <c r="BM535" s="167"/>
      <c r="BN535" s="165"/>
      <c r="BO535" s="173"/>
      <c r="BP535" s="190"/>
      <c r="BQ535" s="173"/>
      <c r="BR535" s="168"/>
      <c r="BS535" s="165"/>
      <c r="BT535" s="167"/>
      <c r="BU535" s="165"/>
      <c r="BV535" s="190"/>
      <c r="BW535" s="173"/>
      <c r="BX535" s="173"/>
      <c r="BY535" s="167"/>
      <c r="BZ535" s="165"/>
      <c r="CA535" s="173"/>
      <c r="CB535" s="190"/>
      <c r="CC535" s="167"/>
      <c r="CD535" s="45"/>
      <c r="CE535" s="54"/>
      <c r="CF535" s="54"/>
      <c r="CG535" s="73"/>
      <c r="CH535" s="165"/>
      <c r="CI535" s="167"/>
    </row>
    <row r="536" spans="1:87" x14ac:dyDescent="0.3">
      <c r="A536" s="10">
        <v>8904</v>
      </c>
      <c r="B536" s="11" t="s">
        <v>659</v>
      </c>
      <c r="C536" s="471">
        <v>741</v>
      </c>
      <c r="D536" s="54">
        <v>490</v>
      </c>
      <c r="E536" s="367">
        <f t="shared" si="9"/>
        <v>0.66126855600539813</v>
      </c>
      <c r="F536" s="199"/>
      <c r="G536" s="199"/>
      <c r="H536" s="199"/>
      <c r="I536" s="199"/>
      <c r="J536" s="200"/>
      <c r="K536" s="199"/>
      <c r="L536" s="316"/>
      <c r="M536" s="602"/>
      <c r="N536" s="199"/>
      <c r="O536" s="199"/>
      <c r="P536" s="202"/>
      <c r="Q536" s="203"/>
      <c r="R536" s="203"/>
      <c r="S536" s="98"/>
      <c r="T536" s="199"/>
      <c r="U536" s="199"/>
      <c r="V536" s="106"/>
      <c r="W536" s="169"/>
      <c r="X536" s="173"/>
      <c r="Y536" s="190"/>
      <c r="Z536" s="167"/>
      <c r="AA536" s="199"/>
      <c r="AB536" s="203"/>
      <c r="AC536" s="169"/>
      <c r="AD536" s="165"/>
      <c r="AE536" s="173"/>
      <c r="AF536" s="168"/>
      <c r="AG536" s="168"/>
      <c r="AH536" s="165"/>
      <c r="AI536" s="167"/>
      <c r="AJ536" s="165"/>
      <c r="AK536" s="173"/>
      <c r="AL536" s="167"/>
      <c r="AM536" s="45">
        <v>95</v>
      </c>
      <c r="AN536" s="54">
        <v>72</v>
      </c>
      <c r="AO536" s="54">
        <v>81</v>
      </c>
      <c r="AP536" s="73">
        <v>89</v>
      </c>
      <c r="AQ536" s="165"/>
      <c r="AR536" s="168"/>
      <c r="AS536" s="165"/>
      <c r="AT536" s="190"/>
      <c r="AU536" s="167"/>
      <c r="AV536" s="45">
        <v>128</v>
      </c>
      <c r="AW536" s="54">
        <v>83</v>
      </c>
      <c r="AX536" s="54">
        <v>139</v>
      </c>
      <c r="AY536" s="53">
        <v>44</v>
      </c>
      <c r="AZ536" s="46">
        <v>43</v>
      </c>
      <c r="BA536" s="165"/>
      <c r="BB536" s="165"/>
      <c r="BC536" s="168"/>
      <c r="BD536" s="165"/>
      <c r="BE536" s="165"/>
      <c r="BF536" s="173"/>
      <c r="BG536" s="304"/>
      <c r="BH536" s="601"/>
      <c r="BI536" s="199"/>
      <c r="BJ536" s="200"/>
      <c r="BK536" s="165"/>
      <c r="BL536" s="190"/>
      <c r="BM536" s="167"/>
      <c r="BN536" s="165"/>
      <c r="BO536" s="173"/>
      <c r="BP536" s="190"/>
      <c r="BQ536" s="173"/>
      <c r="BR536" s="168"/>
      <c r="BS536" s="165"/>
      <c r="BT536" s="167"/>
      <c r="BU536" s="165"/>
      <c r="BV536" s="190"/>
      <c r="BW536" s="173"/>
      <c r="BX536" s="173"/>
      <c r="BY536" s="167"/>
      <c r="BZ536" s="165"/>
      <c r="CA536" s="173"/>
      <c r="CB536" s="190"/>
      <c r="CC536" s="167"/>
      <c r="CD536" s="199"/>
      <c r="CE536" s="201"/>
      <c r="CF536" s="201"/>
      <c r="CG536" s="106"/>
      <c r="CH536" s="165"/>
      <c r="CI536" s="167"/>
    </row>
    <row r="537" spans="1:87" x14ac:dyDescent="0.3">
      <c r="A537" s="10">
        <v>8905</v>
      </c>
      <c r="B537" s="11" t="s">
        <v>660</v>
      </c>
      <c r="C537" s="471">
        <v>1311</v>
      </c>
      <c r="D537" s="54">
        <v>820</v>
      </c>
      <c r="E537" s="367">
        <f t="shared" si="9"/>
        <v>0.62547673531655223</v>
      </c>
      <c r="F537" s="199"/>
      <c r="G537" s="199"/>
      <c r="H537" s="199"/>
      <c r="I537" s="199"/>
      <c r="J537" s="200"/>
      <c r="K537" s="199"/>
      <c r="L537" s="316"/>
      <c r="M537" s="602"/>
      <c r="N537" s="45">
        <v>72</v>
      </c>
      <c r="O537" s="45">
        <v>134</v>
      </c>
      <c r="P537" s="53">
        <v>149</v>
      </c>
      <c r="Q537" s="57">
        <v>322</v>
      </c>
      <c r="R537" s="57">
        <v>259</v>
      </c>
      <c r="S537" s="74"/>
      <c r="T537" s="45"/>
      <c r="U537" s="45"/>
      <c r="V537" s="106"/>
      <c r="W537" s="169"/>
      <c r="X537" s="173"/>
      <c r="Y537" s="190"/>
      <c r="Z537" s="167"/>
      <c r="AA537" s="199"/>
      <c r="AB537" s="203"/>
      <c r="AC537" s="169"/>
      <c r="AD537" s="165"/>
      <c r="AE537" s="173"/>
      <c r="AF537" s="168"/>
      <c r="AG537" s="168"/>
      <c r="AH537" s="165"/>
      <c r="AI537" s="167"/>
      <c r="AJ537" s="165"/>
      <c r="AK537" s="173"/>
      <c r="AL537" s="167"/>
      <c r="AM537" s="199"/>
      <c r="AN537" s="201"/>
      <c r="AO537" s="201"/>
      <c r="AP537" s="106"/>
      <c r="AQ537" s="165"/>
      <c r="AR537" s="168"/>
      <c r="AS537" s="165"/>
      <c r="AT537" s="190"/>
      <c r="AU537" s="167"/>
      <c r="AV537" s="45">
        <v>55</v>
      </c>
      <c r="AW537" s="54">
        <v>61</v>
      </c>
      <c r="AX537" s="54">
        <v>47</v>
      </c>
      <c r="AY537" s="53">
        <v>32</v>
      </c>
      <c r="AZ537" s="46">
        <v>18</v>
      </c>
      <c r="BA537" s="165"/>
      <c r="BB537" s="165"/>
      <c r="BC537" s="168"/>
      <c r="BD537" s="165"/>
      <c r="BE537" s="165"/>
      <c r="BF537" s="173"/>
      <c r="BG537" s="304"/>
      <c r="BH537" s="601"/>
      <c r="BI537" s="199"/>
      <c r="BJ537" s="200"/>
      <c r="BK537" s="165"/>
      <c r="BL537" s="190"/>
      <c r="BM537" s="167"/>
      <c r="BN537" s="165"/>
      <c r="BO537" s="173"/>
      <c r="BP537" s="190"/>
      <c r="BQ537" s="173"/>
      <c r="BR537" s="168"/>
      <c r="BS537" s="165"/>
      <c r="BT537" s="167"/>
      <c r="BU537" s="165"/>
      <c r="BV537" s="190"/>
      <c r="BW537" s="173"/>
      <c r="BX537" s="173"/>
      <c r="BY537" s="167"/>
      <c r="BZ537" s="165"/>
      <c r="CA537" s="173"/>
      <c r="CB537" s="190"/>
      <c r="CC537" s="167"/>
      <c r="CD537" s="45"/>
      <c r="CE537" s="54"/>
      <c r="CF537" s="54"/>
      <c r="CG537" s="73"/>
      <c r="CH537" s="165"/>
      <c r="CI537" s="167"/>
    </row>
    <row r="538" spans="1:87" x14ac:dyDescent="0.3">
      <c r="A538" s="10">
        <v>8906</v>
      </c>
      <c r="B538" s="11" t="s">
        <v>661</v>
      </c>
      <c r="C538" s="471">
        <v>865</v>
      </c>
      <c r="D538" s="54">
        <v>541</v>
      </c>
      <c r="E538" s="367">
        <f t="shared" si="9"/>
        <v>0.62543352601156066</v>
      </c>
      <c r="F538" s="199"/>
      <c r="G538" s="199"/>
      <c r="H538" s="199"/>
      <c r="I538" s="199"/>
      <c r="J538" s="200"/>
      <c r="K538" s="199"/>
      <c r="L538" s="316"/>
      <c r="M538" s="602"/>
      <c r="N538" s="45">
        <v>40</v>
      </c>
      <c r="O538" s="45">
        <v>140</v>
      </c>
      <c r="P538" s="53">
        <v>65</v>
      </c>
      <c r="Q538" s="57">
        <v>272</v>
      </c>
      <c r="R538" s="57">
        <v>313</v>
      </c>
      <c r="S538" s="74"/>
      <c r="T538" s="45"/>
      <c r="U538" s="45"/>
      <c r="V538" s="106"/>
      <c r="W538" s="169"/>
      <c r="X538" s="173"/>
      <c r="Y538" s="190"/>
      <c r="Z538" s="167"/>
      <c r="AA538" s="199"/>
      <c r="AB538" s="203"/>
      <c r="AC538" s="169"/>
      <c r="AD538" s="165"/>
      <c r="AE538" s="173"/>
      <c r="AF538" s="168"/>
      <c r="AG538" s="168"/>
      <c r="AH538" s="165"/>
      <c r="AI538" s="167"/>
      <c r="AJ538" s="165"/>
      <c r="AK538" s="173"/>
      <c r="AL538" s="167"/>
      <c r="AM538" s="199"/>
      <c r="AN538" s="201"/>
      <c r="AO538" s="201"/>
      <c r="AP538" s="106"/>
      <c r="AQ538" s="165"/>
      <c r="AR538" s="168"/>
      <c r="AS538" s="165"/>
      <c r="AT538" s="190"/>
      <c r="AU538" s="167"/>
      <c r="AV538" s="199"/>
      <c r="AW538" s="201"/>
      <c r="AX538" s="201"/>
      <c r="AY538" s="202"/>
      <c r="AZ538" s="200"/>
      <c r="BA538" s="165"/>
      <c r="BB538" s="165"/>
      <c r="BC538" s="168"/>
      <c r="BD538" s="165"/>
      <c r="BE538" s="165"/>
      <c r="BF538" s="173"/>
      <c r="BG538" s="304"/>
      <c r="BH538" s="601"/>
      <c r="BI538" s="199"/>
      <c r="BJ538" s="200"/>
      <c r="BK538" s="165"/>
      <c r="BL538" s="190"/>
      <c r="BM538" s="167"/>
      <c r="BN538" s="165"/>
      <c r="BO538" s="173"/>
      <c r="BP538" s="190"/>
      <c r="BQ538" s="173"/>
      <c r="BR538" s="168"/>
      <c r="BS538" s="165"/>
      <c r="BT538" s="167"/>
      <c r="BU538" s="165"/>
      <c r="BV538" s="190"/>
      <c r="BW538" s="173"/>
      <c r="BX538" s="173"/>
      <c r="BY538" s="167"/>
      <c r="BZ538" s="165"/>
      <c r="CA538" s="173"/>
      <c r="CB538" s="190"/>
      <c r="CC538" s="167"/>
      <c r="CD538" s="45"/>
      <c r="CE538" s="54"/>
      <c r="CF538" s="54"/>
      <c r="CG538" s="73"/>
      <c r="CH538" s="165"/>
      <c r="CI538" s="167"/>
    </row>
    <row r="539" spans="1:87" x14ac:dyDescent="0.3">
      <c r="A539" s="10">
        <v>8907</v>
      </c>
      <c r="B539" s="11" t="s">
        <v>662</v>
      </c>
      <c r="C539" s="471">
        <v>1133</v>
      </c>
      <c r="D539" s="54">
        <v>686</v>
      </c>
      <c r="E539" s="367">
        <f t="shared" si="9"/>
        <v>0.60547219770520744</v>
      </c>
      <c r="F539" s="199"/>
      <c r="G539" s="199"/>
      <c r="H539" s="199"/>
      <c r="I539" s="199"/>
      <c r="J539" s="200"/>
      <c r="K539" s="45">
        <v>9</v>
      </c>
      <c r="L539" s="107">
        <v>7</v>
      </c>
      <c r="M539" s="541">
        <v>10</v>
      </c>
      <c r="N539" s="45">
        <v>73</v>
      </c>
      <c r="O539" s="45">
        <v>195</v>
      </c>
      <c r="P539" s="53">
        <v>81</v>
      </c>
      <c r="Q539" s="57">
        <v>384</v>
      </c>
      <c r="R539" s="57">
        <v>229</v>
      </c>
      <c r="S539" s="74"/>
      <c r="T539" s="45"/>
      <c r="U539" s="45"/>
      <c r="V539" s="73"/>
      <c r="W539" s="169"/>
      <c r="X539" s="173"/>
      <c r="Y539" s="190"/>
      <c r="Z539" s="167"/>
      <c r="AA539" s="199"/>
      <c r="AB539" s="203"/>
      <c r="AC539" s="169"/>
      <c r="AD539" s="165"/>
      <c r="AE539" s="173"/>
      <c r="AF539" s="168"/>
      <c r="AG539" s="168"/>
      <c r="AH539" s="165"/>
      <c r="AI539" s="167"/>
      <c r="AJ539" s="165"/>
      <c r="AK539" s="173"/>
      <c r="AL539" s="167"/>
      <c r="AM539" s="199"/>
      <c r="AN539" s="201"/>
      <c r="AO539" s="201"/>
      <c r="AP539" s="106"/>
      <c r="AQ539" s="165"/>
      <c r="AR539" s="168"/>
      <c r="AS539" s="165"/>
      <c r="AT539" s="190"/>
      <c r="AU539" s="167"/>
      <c r="AV539" s="199"/>
      <c r="AW539" s="201"/>
      <c r="AX539" s="201"/>
      <c r="AY539" s="202"/>
      <c r="AZ539" s="200"/>
      <c r="BA539" s="165"/>
      <c r="BB539" s="165"/>
      <c r="BC539" s="168"/>
      <c r="BD539" s="165"/>
      <c r="BE539" s="165"/>
      <c r="BF539" s="173"/>
      <c r="BG539" s="304"/>
      <c r="BH539" s="601"/>
      <c r="BI539" s="199"/>
      <c r="BJ539" s="46"/>
      <c r="BK539" s="165"/>
      <c r="BL539" s="190"/>
      <c r="BM539" s="167"/>
      <c r="BN539" s="165"/>
      <c r="BO539" s="173"/>
      <c r="BP539" s="190"/>
      <c r="BQ539" s="173"/>
      <c r="BR539" s="168"/>
      <c r="BS539" s="165"/>
      <c r="BT539" s="167"/>
      <c r="BU539" s="165"/>
      <c r="BV539" s="190"/>
      <c r="BW539" s="173"/>
      <c r="BX539" s="173"/>
      <c r="BY539" s="167"/>
      <c r="BZ539" s="165"/>
      <c r="CA539" s="173"/>
      <c r="CB539" s="190"/>
      <c r="CC539" s="167"/>
      <c r="CD539" s="199"/>
      <c r="CE539" s="201"/>
      <c r="CF539" s="201"/>
      <c r="CG539" s="106"/>
      <c r="CH539" s="165"/>
      <c r="CI539" s="167"/>
    </row>
    <row r="540" spans="1:87" x14ac:dyDescent="0.3">
      <c r="A540" s="10">
        <v>8908</v>
      </c>
      <c r="B540" s="11" t="s">
        <v>663</v>
      </c>
      <c r="C540" s="471">
        <v>893</v>
      </c>
      <c r="D540" s="54">
        <v>470</v>
      </c>
      <c r="E540" s="367">
        <f t="shared" si="9"/>
        <v>0.52631578947368418</v>
      </c>
      <c r="F540" s="45">
        <v>117</v>
      </c>
      <c r="G540" s="45">
        <v>59</v>
      </c>
      <c r="H540" s="45">
        <v>96</v>
      </c>
      <c r="I540" s="45">
        <v>103</v>
      </c>
      <c r="J540" s="46">
        <v>36</v>
      </c>
      <c r="K540" s="199"/>
      <c r="L540" s="316"/>
      <c r="M540" s="602"/>
      <c r="N540" s="45">
        <v>22</v>
      </c>
      <c r="O540" s="45">
        <v>51</v>
      </c>
      <c r="P540" s="53">
        <v>16</v>
      </c>
      <c r="Q540" s="57">
        <v>96</v>
      </c>
      <c r="R540" s="57">
        <v>87</v>
      </c>
      <c r="S540" s="74"/>
      <c r="T540" s="45"/>
      <c r="U540" s="45"/>
      <c r="V540" s="106"/>
      <c r="W540" s="169"/>
      <c r="X540" s="173"/>
      <c r="Y540" s="190"/>
      <c r="Z540" s="167"/>
      <c r="AA540" s="45"/>
      <c r="AB540" s="57"/>
      <c r="AC540" s="169"/>
      <c r="AD540" s="165"/>
      <c r="AE540" s="173"/>
      <c r="AF540" s="168"/>
      <c r="AG540" s="168"/>
      <c r="AH540" s="165"/>
      <c r="AI540" s="167"/>
      <c r="AJ540" s="165"/>
      <c r="AK540" s="173"/>
      <c r="AL540" s="167"/>
      <c r="AM540" s="199"/>
      <c r="AN540" s="201"/>
      <c r="AO540" s="201"/>
      <c r="AP540" s="106"/>
      <c r="AQ540" s="165"/>
      <c r="AR540" s="168"/>
      <c r="AS540" s="165"/>
      <c r="AT540" s="190"/>
      <c r="AU540" s="167"/>
      <c r="AV540" s="199"/>
      <c r="AW540" s="201"/>
      <c r="AX540" s="201"/>
      <c r="AY540" s="202"/>
      <c r="AZ540" s="200"/>
      <c r="BA540" s="165"/>
      <c r="BB540" s="165"/>
      <c r="BC540" s="168"/>
      <c r="BD540" s="165"/>
      <c r="BE540" s="165"/>
      <c r="BF540" s="173"/>
      <c r="BG540" s="304"/>
      <c r="BH540" s="601"/>
      <c r="BI540" s="199"/>
      <c r="BJ540" s="46"/>
      <c r="BK540" s="165"/>
      <c r="BL540" s="190"/>
      <c r="BM540" s="167"/>
      <c r="BN540" s="165"/>
      <c r="BO540" s="173"/>
      <c r="BP540" s="190"/>
      <c r="BQ540" s="173"/>
      <c r="BR540" s="168"/>
      <c r="BS540" s="165"/>
      <c r="BT540" s="167"/>
      <c r="BU540" s="165"/>
      <c r="BV540" s="190"/>
      <c r="BW540" s="173"/>
      <c r="BX540" s="173"/>
      <c r="BY540" s="167"/>
      <c r="BZ540" s="165"/>
      <c r="CA540" s="173"/>
      <c r="CB540" s="190"/>
      <c r="CC540" s="167"/>
      <c r="CD540" s="199"/>
      <c r="CE540" s="201"/>
      <c r="CF540" s="201"/>
      <c r="CG540" s="106"/>
      <c r="CH540" s="165"/>
      <c r="CI540" s="167"/>
    </row>
    <row r="541" spans="1:87" x14ac:dyDescent="0.3">
      <c r="A541" s="10">
        <v>8909</v>
      </c>
      <c r="B541" s="11" t="s">
        <v>664</v>
      </c>
      <c r="C541" s="471">
        <v>1178</v>
      </c>
      <c r="D541" s="54">
        <v>710</v>
      </c>
      <c r="E541" s="367">
        <f t="shared" si="9"/>
        <v>0.60271646859083194</v>
      </c>
      <c r="F541" s="165"/>
      <c r="G541" s="165"/>
      <c r="H541" s="165"/>
      <c r="I541" s="165"/>
      <c r="J541" s="167"/>
      <c r="K541" s="199"/>
      <c r="L541" s="316"/>
      <c r="M541" s="602"/>
      <c r="N541" s="199"/>
      <c r="O541" s="199"/>
      <c r="P541" s="202"/>
      <c r="Q541" s="203"/>
      <c r="R541" s="203"/>
      <c r="S541" s="98"/>
      <c r="T541" s="199"/>
      <c r="U541" s="199"/>
      <c r="V541" s="106"/>
      <c r="W541" s="169"/>
      <c r="X541" s="173"/>
      <c r="Y541" s="190"/>
      <c r="Z541" s="167"/>
      <c r="AA541" s="199"/>
      <c r="AB541" s="203"/>
      <c r="AC541" s="169"/>
      <c r="AD541" s="165"/>
      <c r="AE541" s="173"/>
      <c r="AF541" s="168"/>
      <c r="AG541" s="168"/>
      <c r="AH541" s="165"/>
      <c r="AI541" s="167"/>
      <c r="AJ541" s="165"/>
      <c r="AK541" s="173"/>
      <c r="AL541" s="167"/>
      <c r="AM541" s="45">
        <v>293</v>
      </c>
      <c r="AN541" s="54">
        <v>197</v>
      </c>
      <c r="AO541" s="54">
        <v>254</v>
      </c>
      <c r="AP541" s="73">
        <v>304</v>
      </c>
      <c r="AQ541" s="165"/>
      <c r="AR541" s="168"/>
      <c r="AS541" s="165"/>
      <c r="AT541" s="190"/>
      <c r="AU541" s="167"/>
      <c r="AV541" s="199"/>
      <c r="AW541" s="201"/>
      <c r="AX541" s="201"/>
      <c r="AY541" s="202"/>
      <c r="AZ541" s="200"/>
      <c r="BA541" s="165"/>
      <c r="BB541" s="165"/>
      <c r="BC541" s="168"/>
      <c r="BD541" s="165"/>
      <c r="BE541" s="165"/>
      <c r="BF541" s="173"/>
      <c r="BG541" s="304"/>
      <c r="BH541" s="601"/>
      <c r="BI541" s="199"/>
      <c r="BJ541" s="46"/>
      <c r="BK541" s="165"/>
      <c r="BL541" s="190"/>
      <c r="BM541" s="167"/>
      <c r="BN541" s="165"/>
      <c r="BO541" s="173"/>
      <c r="BP541" s="190"/>
      <c r="BQ541" s="173"/>
      <c r="BR541" s="168"/>
      <c r="BS541" s="165"/>
      <c r="BT541" s="167"/>
      <c r="BU541" s="165"/>
      <c r="BV541" s="190"/>
      <c r="BW541" s="173"/>
      <c r="BX541" s="173"/>
      <c r="BY541" s="167"/>
      <c r="BZ541" s="165"/>
      <c r="CA541" s="173"/>
      <c r="CB541" s="190"/>
      <c r="CC541" s="167"/>
      <c r="CD541" s="45"/>
      <c r="CE541" s="54"/>
      <c r="CF541" s="54"/>
      <c r="CG541" s="73"/>
      <c r="CH541" s="165"/>
      <c r="CI541" s="167"/>
    </row>
    <row r="542" spans="1:87" x14ac:dyDescent="0.3">
      <c r="A542" s="10">
        <v>8910</v>
      </c>
      <c r="B542" s="11" t="s">
        <v>665</v>
      </c>
      <c r="C542" s="471">
        <v>921</v>
      </c>
      <c r="D542" s="54">
        <v>411</v>
      </c>
      <c r="E542" s="367">
        <f t="shared" si="9"/>
        <v>0.44625407166123776</v>
      </c>
      <c r="F542" s="165"/>
      <c r="G542" s="165"/>
      <c r="H542" s="165"/>
      <c r="I542" s="165"/>
      <c r="J542" s="167"/>
      <c r="K542" s="199"/>
      <c r="L542" s="316"/>
      <c r="M542" s="602"/>
      <c r="N542" s="199"/>
      <c r="O542" s="199"/>
      <c r="P542" s="202"/>
      <c r="Q542" s="203"/>
      <c r="R542" s="203"/>
      <c r="S542" s="98"/>
      <c r="T542" s="199"/>
      <c r="U542" s="199"/>
      <c r="V542" s="106"/>
      <c r="W542" s="169"/>
      <c r="X542" s="173"/>
      <c r="Y542" s="190"/>
      <c r="Z542" s="167"/>
      <c r="AA542" s="199"/>
      <c r="AB542" s="203"/>
      <c r="AC542" s="169"/>
      <c r="AD542" s="165"/>
      <c r="AE542" s="173"/>
      <c r="AF542" s="168"/>
      <c r="AG542" s="168"/>
      <c r="AH542" s="165"/>
      <c r="AI542" s="167"/>
      <c r="AJ542" s="165"/>
      <c r="AK542" s="173"/>
      <c r="AL542" s="167"/>
      <c r="AM542" s="199"/>
      <c r="AN542" s="201"/>
      <c r="AO542" s="201"/>
      <c r="AP542" s="106"/>
      <c r="AQ542" s="165"/>
      <c r="AR542" s="168"/>
      <c r="AS542" s="165"/>
      <c r="AT542" s="190"/>
      <c r="AU542" s="167"/>
      <c r="AV542" s="45">
        <v>98</v>
      </c>
      <c r="AW542" s="54">
        <v>121</v>
      </c>
      <c r="AX542" s="54">
        <v>161</v>
      </c>
      <c r="AY542" s="53">
        <v>96</v>
      </c>
      <c r="AZ542" s="46">
        <v>58</v>
      </c>
      <c r="BA542" s="165"/>
      <c r="BB542" s="165"/>
      <c r="BC542" s="168"/>
      <c r="BD542" s="165"/>
      <c r="BE542" s="165"/>
      <c r="BF542" s="173"/>
      <c r="BG542" s="304"/>
      <c r="BH542" s="601"/>
      <c r="BI542" s="45"/>
      <c r="BJ542" s="46"/>
      <c r="BK542" s="165"/>
      <c r="BL542" s="190"/>
      <c r="BM542" s="167"/>
      <c r="BN542" s="165"/>
      <c r="BO542" s="173"/>
      <c r="BP542" s="190"/>
      <c r="BQ542" s="173"/>
      <c r="BR542" s="168"/>
      <c r="BS542" s="165"/>
      <c r="BT542" s="167"/>
      <c r="BU542" s="165"/>
      <c r="BV542" s="190"/>
      <c r="BW542" s="173"/>
      <c r="BX542" s="173"/>
      <c r="BY542" s="167"/>
      <c r="BZ542" s="165"/>
      <c r="CA542" s="173"/>
      <c r="CB542" s="190"/>
      <c r="CC542" s="167"/>
      <c r="CD542" s="45"/>
      <c r="CE542" s="54"/>
      <c r="CF542" s="54"/>
      <c r="CG542" s="73"/>
      <c r="CH542" s="165"/>
      <c r="CI542" s="167"/>
    </row>
    <row r="543" spans="1:87" x14ac:dyDescent="0.3">
      <c r="A543" s="10">
        <v>8911</v>
      </c>
      <c r="B543" s="11" t="s">
        <v>666</v>
      </c>
      <c r="C543" s="471">
        <v>1264</v>
      </c>
      <c r="D543" s="54">
        <v>640</v>
      </c>
      <c r="E543" s="367">
        <f t="shared" si="9"/>
        <v>0.50632911392405067</v>
      </c>
      <c r="F543" s="165"/>
      <c r="G543" s="165"/>
      <c r="H543" s="165"/>
      <c r="I543" s="165"/>
      <c r="J543" s="167"/>
      <c r="K543" s="45">
        <v>75</v>
      </c>
      <c r="L543" s="107">
        <v>85</v>
      </c>
      <c r="M543" s="541">
        <v>111</v>
      </c>
      <c r="N543" s="45">
        <v>53</v>
      </c>
      <c r="O543" s="45">
        <v>128</v>
      </c>
      <c r="P543" s="53">
        <v>44</v>
      </c>
      <c r="Q543" s="57">
        <v>223</v>
      </c>
      <c r="R543" s="57">
        <v>114</v>
      </c>
      <c r="S543" s="74"/>
      <c r="T543" s="45"/>
      <c r="U543" s="45"/>
      <c r="V543" s="73"/>
      <c r="W543" s="169"/>
      <c r="X543" s="173"/>
      <c r="Y543" s="190"/>
      <c r="Z543" s="167"/>
      <c r="AA543" s="199"/>
      <c r="AB543" s="203"/>
      <c r="AC543" s="169"/>
      <c r="AD543" s="165"/>
      <c r="AE543" s="173"/>
      <c r="AF543" s="168"/>
      <c r="AG543" s="168"/>
      <c r="AH543" s="165"/>
      <c r="AI543" s="167"/>
      <c r="AJ543" s="165"/>
      <c r="AK543" s="173"/>
      <c r="AL543" s="167"/>
      <c r="AM543" s="199"/>
      <c r="AN543" s="201"/>
      <c r="AO543" s="201"/>
      <c r="AP543" s="106"/>
      <c r="AQ543" s="165"/>
      <c r="AR543" s="168"/>
      <c r="AS543" s="165"/>
      <c r="AT543" s="190"/>
      <c r="AU543" s="167"/>
      <c r="AV543" s="199"/>
      <c r="AW543" s="201"/>
      <c r="AX543" s="201"/>
      <c r="AY543" s="202"/>
      <c r="AZ543" s="200"/>
      <c r="BA543" s="165"/>
      <c r="BB543" s="165"/>
      <c r="BC543" s="168"/>
      <c r="BD543" s="165"/>
      <c r="BE543" s="165"/>
      <c r="BF543" s="173"/>
      <c r="BG543" s="304"/>
      <c r="BH543" s="601"/>
      <c r="BI543" s="45"/>
      <c r="BJ543" s="46"/>
      <c r="BK543" s="165"/>
      <c r="BL543" s="190"/>
      <c r="BM543" s="167"/>
      <c r="BN543" s="165"/>
      <c r="BO543" s="173"/>
      <c r="BP543" s="190"/>
      <c r="BQ543" s="173"/>
      <c r="BR543" s="168"/>
      <c r="BS543" s="165"/>
      <c r="BT543" s="167"/>
      <c r="BU543" s="165"/>
      <c r="BV543" s="190"/>
      <c r="BW543" s="173"/>
      <c r="BX543" s="173"/>
      <c r="BY543" s="167"/>
      <c r="BZ543" s="165"/>
      <c r="CA543" s="173"/>
      <c r="CB543" s="190"/>
      <c r="CC543" s="167"/>
      <c r="CD543" s="199"/>
      <c r="CE543" s="201"/>
      <c r="CF543" s="201"/>
      <c r="CG543" s="106"/>
      <c r="CH543" s="165"/>
      <c r="CI543" s="167"/>
    </row>
    <row r="544" spans="1:87" x14ac:dyDescent="0.3">
      <c r="A544" s="10">
        <v>8912</v>
      </c>
      <c r="B544" s="11" t="s">
        <v>667</v>
      </c>
      <c r="C544" s="471">
        <v>1299</v>
      </c>
      <c r="D544" s="54">
        <v>714</v>
      </c>
      <c r="E544" s="367">
        <f t="shared" si="9"/>
        <v>0.54965357967667439</v>
      </c>
      <c r="F544" s="165"/>
      <c r="G544" s="165"/>
      <c r="H544" s="165"/>
      <c r="I544" s="165"/>
      <c r="J544" s="167"/>
      <c r="K544" s="165">
        <v>386</v>
      </c>
      <c r="L544" s="304">
        <v>409</v>
      </c>
      <c r="M544" s="601">
        <v>495</v>
      </c>
      <c r="N544" s="199"/>
      <c r="O544" s="199"/>
      <c r="P544" s="202"/>
      <c r="Q544" s="203"/>
      <c r="R544" s="203"/>
      <c r="S544" s="98"/>
      <c r="T544" s="199"/>
      <c r="U544" s="199"/>
      <c r="V544" s="106"/>
      <c r="W544" s="169"/>
      <c r="X544" s="173"/>
      <c r="Y544" s="190"/>
      <c r="Z544" s="167"/>
      <c r="AA544" s="199"/>
      <c r="AB544" s="203"/>
      <c r="AC544" s="169"/>
      <c r="AD544" s="165"/>
      <c r="AE544" s="173"/>
      <c r="AF544" s="168"/>
      <c r="AG544" s="168"/>
      <c r="AH544" s="165"/>
      <c r="AI544" s="167"/>
      <c r="AJ544" s="165"/>
      <c r="AK544" s="173"/>
      <c r="AL544" s="167"/>
      <c r="AM544" s="199"/>
      <c r="AN544" s="201"/>
      <c r="AO544" s="201"/>
      <c r="AP544" s="106"/>
      <c r="AQ544" s="165"/>
      <c r="AR544" s="168"/>
      <c r="AS544" s="165"/>
      <c r="AT544" s="190"/>
      <c r="AU544" s="167"/>
      <c r="AV544" s="199"/>
      <c r="AW544" s="201"/>
      <c r="AX544" s="201"/>
      <c r="AY544" s="202"/>
      <c r="AZ544" s="200"/>
      <c r="BA544" s="165"/>
      <c r="BB544" s="165"/>
      <c r="BC544" s="168"/>
      <c r="BD544" s="165"/>
      <c r="BE544" s="165"/>
      <c r="BF544" s="173"/>
      <c r="BG544" s="304"/>
      <c r="BH544" s="601"/>
      <c r="BI544" s="45"/>
      <c r="BJ544" s="46"/>
      <c r="BK544" s="165"/>
      <c r="BL544" s="190"/>
      <c r="BM544" s="167"/>
      <c r="BN544" s="165"/>
      <c r="BO544" s="173"/>
      <c r="BP544" s="190"/>
      <c r="BQ544" s="173"/>
      <c r="BR544" s="168"/>
      <c r="BS544" s="165"/>
      <c r="BT544" s="167"/>
      <c r="BU544" s="165"/>
      <c r="BV544" s="190"/>
      <c r="BW544" s="173"/>
      <c r="BX544" s="173"/>
      <c r="BY544" s="167"/>
      <c r="BZ544" s="165"/>
      <c r="CA544" s="173"/>
      <c r="CB544" s="190"/>
      <c r="CC544" s="167"/>
      <c r="CD544" s="199"/>
      <c r="CE544" s="201"/>
      <c r="CF544" s="201"/>
      <c r="CG544" s="106"/>
      <c r="CH544" s="165"/>
      <c r="CI544" s="167"/>
    </row>
    <row r="545" spans="1:87" x14ac:dyDescent="0.3">
      <c r="A545" s="10">
        <v>8913</v>
      </c>
      <c r="B545" s="11" t="s">
        <v>668</v>
      </c>
      <c r="C545" s="471">
        <v>705</v>
      </c>
      <c r="D545" s="54">
        <v>385</v>
      </c>
      <c r="E545" s="367">
        <f t="shared" si="9"/>
        <v>0.54609929078014185</v>
      </c>
      <c r="F545" s="165"/>
      <c r="G545" s="165"/>
      <c r="H545" s="165"/>
      <c r="I545" s="165"/>
      <c r="J545" s="167"/>
      <c r="K545" s="165"/>
      <c r="L545" s="304"/>
      <c r="M545" s="601"/>
      <c r="N545" s="45">
        <v>65</v>
      </c>
      <c r="O545" s="45">
        <v>101</v>
      </c>
      <c r="P545" s="53">
        <v>30</v>
      </c>
      <c r="Q545" s="57">
        <v>198</v>
      </c>
      <c r="R545" s="57">
        <v>147</v>
      </c>
      <c r="S545" s="74"/>
      <c r="T545" s="45"/>
      <c r="U545" s="45"/>
      <c r="V545" s="106"/>
      <c r="W545" s="169"/>
      <c r="X545" s="173"/>
      <c r="Y545" s="190"/>
      <c r="Z545" s="167"/>
      <c r="AA545" s="199"/>
      <c r="AB545" s="203"/>
      <c r="AC545" s="169"/>
      <c r="AD545" s="165"/>
      <c r="AE545" s="173"/>
      <c r="AF545" s="168"/>
      <c r="AG545" s="168"/>
      <c r="AH545" s="165"/>
      <c r="AI545" s="167"/>
      <c r="AJ545" s="165"/>
      <c r="AK545" s="173"/>
      <c r="AL545" s="167"/>
      <c r="AM545" s="199"/>
      <c r="AN545" s="201"/>
      <c r="AO545" s="201"/>
      <c r="AP545" s="106"/>
      <c r="AQ545" s="165"/>
      <c r="AR545" s="168"/>
      <c r="AS545" s="165"/>
      <c r="AT545" s="190"/>
      <c r="AU545" s="167"/>
      <c r="AV545" s="45">
        <v>1</v>
      </c>
      <c r="AW545" s="54">
        <v>0</v>
      </c>
      <c r="AX545" s="54">
        <v>3</v>
      </c>
      <c r="AY545" s="53">
        <v>1</v>
      </c>
      <c r="AZ545" s="46">
        <v>0</v>
      </c>
      <c r="BA545" s="165"/>
      <c r="BB545" s="165"/>
      <c r="BC545" s="168"/>
      <c r="BD545" s="165"/>
      <c r="BE545" s="165"/>
      <c r="BF545" s="173"/>
      <c r="BG545" s="304"/>
      <c r="BH545" s="601"/>
      <c r="BI545" s="45"/>
      <c r="BJ545" s="46"/>
      <c r="BK545" s="165"/>
      <c r="BL545" s="190"/>
      <c r="BM545" s="167"/>
      <c r="BN545" s="165"/>
      <c r="BO545" s="173"/>
      <c r="BP545" s="190"/>
      <c r="BQ545" s="173"/>
      <c r="BR545" s="168"/>
      <c r="BS545" s="165"/>
      <c r="BT545" s="167"/>
      <c r="BU545" s="165"/>
      <c r="BV545" s="190"/>
      <c r="BW545" s="173"/>
      <c r="BX545" s="173"/>
      <c r="BY545" s="167"/>
      <c r="BZ545" s="165"/>
      <c r="CA545" s="173"/>
      <c r="CB545" s="190"/>
      <c r="CC545" s="167"/>
      <c r="CD545" s="199"/>
      <c r="CE545" s="201"/>
      <c r="CF545" s="201"/>
      <c r="CG545" s="106"/>
      <c r="CH545" s="165"/>
      <c r="CI545" s="167"/>
    </row>
    <row r="546" spans="1:87" x14ac:dyDescent="0.3">
      <c r="A546" s="10">
        <v>8914</v>
      </c>
      <c r="B546" s="11" t="s">
        <v>669</v>
      </c>
      <c r="C546" s="471">
        <v>1218</v>
      </c>
      <c r="D546" s="54">
        <v>735</v>
      </c>
      <c r="E546" s="367">
        <f t="shared" si="9"/>
        <v>0.60344827586206895</v>
      </c>
      <c r="F546" s="165"/>
      <c r="G546" s="165"/>
      <c r="H546" s="165"/>
      <c r="I546" s="165"/>
      <c r="J546" s="167"/>
      <c r="K546" s="165">
        <v>350</v>
      </c>
      <c r="L546" s="304">
        <v>411</v>
      </c>
      <c r="M546" s="601">
        <v>492</v>
      </c>
      <c r="N546" s="199"/>
      <c r="O546" s="199"/>
      <c r="P546" s="202"/>
      <c r="Q546" s="203"/>
      <c r="R546" s="203"/>
      <c r="S546" s="98"/>
      <c r="T546" s="199"/>
      <c r="U546" s="199"/>
      <c r="V546" s="106"/>
      <c r="W546" s="169"/>
      <c r="X546" s="173"/>
      <c r="Y546" s="190"/>
      <c r="Z546" s="167"/>
      <c r="AA546" s="199"/>
      <c r="AB546" s="203"/>
      <c r="AC546" s="169"/>
      <c r="AD546" s="165"/>
      <c r="AE546" s="173"/>
      <c r="AF546" s="168"/>
      <c r="AG546" s="168"/>
      <c r="AH546" s="165"/>
      <c r="AI546" s="167"/>
      <c r="AJ546" s="165"/>
      <c r="AK546" s="173"/>
      <c r="AL546" s="167"/>
      <c r="AM546" s="199"/>
      <c r="AN546" s="201"/>
      <c r="AO546" s="201"/>
      <c r="AP546" s="106"/>
      <c r="AQ546" s="165"/>
      <c r="AR546" s="168"/>
      <c r="AS546" s="165"/>
      <c r="AT546" s="190"/>
      <c r="AU546" s="167"/>
      <c r="AV546" s="199"/>
      <c r="AW546" s="201"/>
      <c r="AX546" s="201"/>
      <c r="AY546" s="202"/>
      <c r="AZ546" s="200"/>
      <c r="BA546" s="165"/>
      <c r="BB546" s="165"/>
      <c r="BC546" s="168"/>
      <c r="BD546" s="165"/>
      <c r="BE546" s="165"/>
      <c r="BF546" s="173"/>
      <c r="BG546" s="304"/>
      <c r="BH546" s="601"/>
      <c r="BI546" s="45"/>
      <c r="BJ546" s="46"/>
      <c r="BK546" s="165"/>
      <c r="BL546" s="190"/>
      <c r="BM546" s="167"/>
      <c r="BN546" s="165"/>
      <c r="BO546" s="173"/>
      <c r="BP546" s="190"/>
      <c r="BQ546" s="173"/>
      <c r="BR546" s="168"/>
      <c r="BS546" s="165"/>
      <c r="BT546" s="167"/>
      <c r="BU546" s="165"/>
      <c r="BV546" s="190"/>
      <c r="BW546" s="173"/>
      <c r="BX546" s="173"/>
      <c r="BY546" s="167"/>
      <c r="BZ546" s="165"/>
      <c r="CA546" s="173"/>
      <c r="CB546" s="190"/>
      <c r="CC546" s="167"/>
      <c r="CD546" s="199"/>
      <c r="CE546" s="201"/>
      <c r="CF546" s="201"/>
      <c r="CG546" s="106"/>
      <c r="CH546" s="165"/>
      <c r="CI546" s="167"/>
    </row>
    <row r="547" spans="1:87" x14ac:dyDescent="0.3">
      <c r="A547" s="10">
        <v>9101</v>
      </c>
      <c r="B547" s="11" t="s">
        <v>670</v>
      </c>
      <c r="C547" s="471">
        <v>315</v>
      </c>
      <c r="D547" s="54">
        <v>202</v>
      </c>
      <c r="E547" s="367">
        <f t="shared" si="9"/>
        <v>0.64126984126984132</v>
      </c>
      <c r="F547" s="165"/>
      <c r="G547" s="165"/>
      <c r="H547" s="165"/>
      <c r="I547" s="165"/>
      <c r="J547" s="167"/>
      <c r="K547" s="165"/>
      <c r="L547" s="304"/>
      <c r="M547" s="601"/>
      <c r="N547" s="45">
        <v>38</v>
      </c>
      <c r="O547" s="45">
        <v>48</v>
      </c>
      <c r="P547" s="53">
        <v>20</v>
      </c>
      <c r="Q547" s="57">
        <v>102</v>
      </c>
      <c r="R547" s="57">
        <v>67</v>
      </c>
      <c r="S547" s="74"/>
      <c r="T547" s="45"/>
      <c r="U547" s="45"/>
      <c r="V547" s="106"/>
      <c r="W547" s="169"/>
      <c r="X547" s="173"/>
      <c r="Y547" s="190"/>
      <c r="Z547" s="167"/>
      <c r="AA547" s="199"/>
      <c r="AB547" s="203"/>
      <c r="AC547" s="169"/>
      <c r="AD547" s="165"/>
      <c r="AE547" s="173"/>
      <c r="AF547" s="168"/>
      <c r="AG547" s="168"/>
      <c r="AH547" s="165"/>
      <c r="AI547" s="167"/>
      <c r="AJ547" s="165"/>
      <c r="AK547" s="173"/>
      <c r="AL547" s="167"/>
      <c r="AM547" s="199"/>
      <c r="AN547" s="201"/>
      <c r="AO547" s="201"/>
      <c r="AP547" s="106"/>
      <c r="AQ547" s="165"/>
      <c r="AR547" s="168"/>
      <c r="AS547" s="165"/>
      <c r="AT547" s="190"/>
      <c r="AU547" s="167"/>
      <c r="AV547" s="199"/>
      <c r="AW547" s="201"/>
      <c r="AX547" s="201"/>
      <c r="AY547" s="202"/>
      <c r="AZ547" s="200"/>
      <c r="BA547" s="165"/>
      <c r="BB547" s="165"/>
      <c r="BC547" s="168"/>
      <c r="BD547" s="165"/>
      <c r="BE547" s="165"/>
      <c r="BF547" s="173"/>
      <c r="BG547" s="304"/>
      <c r="BH547" s="601"/>
      <c r="BI547" s="45"/>
      <c r="BJ547" s="46"/>
      <c r="BK547" s="165"/>
      <c r="BL547" s="190"/>
      <c r="BM547" s="167"/>
      <c r="BN547" s="165"/>
      <c r="BO547" s="173"/>
      <c r="BP547" s="190"/>
      <c r="BQ547" s="173"/>
      <c r="BR547" s="168"/>
      <c r="BS547" s="165"/>
      <c r="BT547" s="167"/>
      <c r="BU547" s="165"/>
      <c r="BV547" s="190"/>
      <c r="BW547" s="173"/>
      <c r="BX547" s="173"/>
      <c r="BY547" s="167"/>
      <c r="BZ547" s="165"/>
      <c r="CA547" s="173"/>
      <c r="CB547" s="190"/>
      <c r="CC547" s="167"/>
      <c r="CD547" s="199"/>
      <c r="CE547" s="201"/>
      <c r="CF547" s="201"/>
      <c r="CG547" s="106"/>
      <c r="CH547" s="165"/>
      <c r="CI547" s="167"/>
    </row>
    <row r="548" spans="1:87" x14ac:dyDescent="0.3">
      <c r="A548" s="10">
        <v>9102</v>
      </c>
      <c r="B548" s="11" t="s">
        <v>671</v>
      </c>
      <c r="C548" s="471">
        <v>1080</v>
      </c>
      <c r="D548" s="54">
        <v>687</v>
      </c>
      <c r="E548" s="367">
        <f t="shared" si="9"/>
        <v>0.63611111111111107</v>
      </c>
      <c r="F548" s="165"/>
      <c r="G548" s="165"/>
      <c r="H548" s="165"/>
      <c r="I548" s="165"/>
      <c r="J548" s="167"/>
      <c r="K548" s="165"/>
      <c r="L548" s="304"/>
      <c r="M548" s="601"/>
      <c r="N548" s="45">
        <v>67</v>
      </c>
      <c r="O548" s="45">
        <v>96</v>
      </c>
      <c r="P548" s="53">
        <v>41</v>
      </c>
      <c r="Q548" s="57">
        <v>223</v>
      </c>
      <c r="R548" s="57">
        <v>170</v>
      </c>
      <c r="S548" s="74"/>
      <c r="T548" s="45"/>
      <c r="U548" s="45"/>
      <c r="V548" s="106"/>
      <c r="W548" s="169"/>
      <c r="X548" s="173"/>
      <c r="Y548" s="190"/>
      <c r="Z548" s="167"/>
      <c r="AA548" s="199"/>
      <c r="AB548" s="203"/>
      <c r="AC548" s="169"/>
      <c r="AD548" s="165"/>
      <c r="AE548" s="173"/>
      <c r="AF548" s="168"/>
      <c r="AG548" s="168"/>
      <c r="AH548" s="165"/>
      <c r="AI548" s="167"/>
      <c r="AJ548" s="165"/>
      <c r="AK548" s="173"/>
      <c r="AL548" s="167"/>
      <c r="AM548" s="199"/>
      <c r="AN548" s="201"/>
      <c r="AO548" s="201"/>
      <c r="AP548" s="106"/>
      <c r="AQ548" s="165"/>
      <c r="AR548" s="168"/>
      <c r="AS548" s="165"/>
      <c r="AT548" s="190"/>
      <c r="AU548" s="167"/>
      <c r="AV548" s="45">
        <v>102</v>
      </c>
      <c r="AW548" s="54">
        <v>170</v>
      </c>
      <c r="AX548" s="54">
        <v>117</v>
      </c>
      <c r="AY548" s="53">
        <v>49</v>
      </c>
      <c r="AZ548" s="46">
        <v>33</v>
      </c>
      <c r="BA548" s="165"/>
      <c r="BB548" s="165"/>
      <c r="BC548" s="168"/>
      <c r="BD548" s="165"/>
      <c r="BE548" s="165"/>
      <c r="BF548" s="173"/>
      <c r="BG548" s="304"/>
      <c r="BH548" s="601"/>
      <c r="BI548" s="45"/>
      <c r="BJ548" s="46"/>
      <c r="BK548" s="165"/>
      <c r="BL548" s="190"/>
      <c r="BM548" s="167"/>
      <c r="BN548" s="165"/>
      <c r="BO548" s="173"/>
      <c r="BP548" s="190"/>
      <c r="BQ548" s="173"/>
      <c r="BR548" s="168"/>
      <c r="BS548" s="165"/>
      <c r="BT548" s="167"/>
      <c r="BU548" s="165"/>
      <c r="BV548" s="190"/>
      <c r="BW548" s="173"/>
      <c r="BX548" s="173"/>
      <c r="BY548" s="167"/>
      <c r="BZ548" s="165"/>
      <c r="CA548" s="173"/>
      <c r="CB548" s="190"/>
      <c r="CC548" s="167"/>
      <c r="CD548" s="199"/>
      <c r="CE548" s="201"/>
      <c r="CF548" s="201"/>
      <c r="CG548" s="106"/>
      <c r="CH548" s="165"/>
      <c r="CI548" s="167"/>
    </row>
    <row r="549" spans="1:87" x14ac:dyDescent="0.3">
      <c r="A549" s="10">
        <v>9103</v>
      </c>
      <c r="B549" s="11" t="s">
        <v>672</v>
      </c>
      <c r="C549" s="471">
        <v>1338</v>
      </c>
      <c r="D549" s="54">
        <v>860</v>
      </c>
      <c r="E549" s="367">
        <f t="shared" si="9"/>
        <v>0.64275037369207777</v>
      </c>
      <c r="F549" s="165"/>
      <c r="G549" s="165"/>
      <c r="H549" s="165"/>
      <c r="I549" s="165"/>
      <c r="J549" s="167"/>
      <c r="K549" s="165"/>
      <c r="L549" s="304"/>
      <c r="M549" s="601"/>
      <c r="N549" s="165"/>
      <c r="O549" s="165"/>
      <c r="P549" s="190"/>
      <c r="Q549" s="166"/>
      <c r="R549" s="166"/>
      <c r="S549" s="74">
        <v>229</v>
      </c>
      <c r="T549" s="45">
        <v>484</v>
      </c>
      <c r="U549" s="45">
        <v>531</v>
      </c>
      <c r="V549" s="73">
        <v>126</v>
      </c>
      <c r="W549" s="169"/>
      <c r="X549" s="173"/>
      <c r="Y549" s="190"/>
      <c r="Z549" s="167"/>
      <c r="AA549" s="199"/>
      <c r="AB549" s="203"/>
      <c r="AC549" s="169"/>
      <c r="AD549" s="165"/>
      <c r="AE549" s="173"/>
      <c r="AF549" s="168"/>
      <c r="AG549" s="168"/>
      <c r="AH549" s="165"/>
      <c r="AI549" s="167"/>
      <c r="AJ549" s="165"/>
      <c r="AK549" s="173"/>
      <c r="AL549" s="167"/>
      <c r="AM549" s="199"/>
      <c r="AN549" s="201"/>
      <c r="AO549" s="201"/>
      <c r="AP549" s="106"/>
      <c r="AQ549" s="165"/>
      <c r="AR549" s="168"/>
      <c r="AS549" s="165"/>
      <c r="AT549" s="190"/>
      <c r="AU549" s="167"/>
      <c r="AV549" s="199"/>
      <c r="AW549" s="201"/>
      <c r="AX549" s="201"/>
      <c r="AY549" s="202"/>
      <c r="AZ549" s="200"/>
      <c r="BA549" s="165"/>
      <c r="BB549" s="165"/>
      <c r="BC549" s="168"/>
      <c r="BD549" s="165"/>
      <c r="BE549" s="165"/>
      <c r="BF549" s="173"/>
      <c r="BG549" s="304"/>
      <c r="BH549" s="601"/>
      <c r="BI549" s="45"/>
      <c r="BJ549" s="46"/>
      <c r="BK549" s="165"/>
      <c r="BL549" s="190"/>
      <c r="BM549" s="167"/>
      <c r="BN549" s="165"/>
      <c r="BO549" s="173"/>
      <c r="BP549" s="190"/>
      <c r="BQ549" s="173"/>
      <c r="BR549" s="168"/>
      <c r="BS549" s="165"/>
      <c r="BT549" s="167"/>
      <c r="BU549" s="165"/>
      <c r="BV549" s="190"/>
      <c r="BW549" s="173"/>
      <c r="BX549" s="173"/>
      <c r="BY549" s="167"/>
      <c r="BZ549" s="165"/>
      <c r="CA549" s="173"/>
      <c r="CB549" s="190"/>
      <c r="CC549" s="167"/>
      <c r="CD549" s="199"/>
      <c r="CE549" s="201"/>
      <c r="CF549" s="201"/>
      <c r="CG549" s="106"/>
      <c r="CH549" s="165"/>
      <c r="CI549" s="167"/>
    </row>
    <row r="550" spans="1:87" x14ac:dyDescent="0.3">
      <c r="A550" s="10">
        <v>9104</v>
      </c>
      <c r="B550" s="11" t="s">
        <v>673</v>
      </c>
      <c r="C550" s="471">
        <v>1081</v>
      </c>
      <c r="D550" s="54">
        <v>593</v>
      </c>
      <c r="E550" s="367">
        <f t="shared" si="9"/>
        <v>0.54856614246068458</v>
      </c>
      <c r="F550" s="165"/>
      <c r="G550" s="165"/>
      <c r="H550" s="165"/>
      <c r="I550" s="165"/>
      <c r="J550" s="167"/>
      <c r="K550" s="165"/>
      <c r="L550" s="304"/>
      <c r="M550" s="601"/>
      <c r="N550" s="165"/>
      <c r="O550" s="165"/>
      <c r="P550" s="190"/>
      <c r="Q550" s="166"/>
      <c r="R550" s="166"/>
      <c r="S550" s="98"/>
      <c r="T550" s="199"/>
      <c r="U550" s="199"/>
      <c r="V550" s="106"/>
      <c r="W550" s="169"/>
      <c r="X550" s="173"/>
      <c r="Y550" s="190"/>
      <c r="Z550" s="167"/>
      <c r="AA550" s="199"/>
      <c r="AB550" s="203"/>
      <c r="AC550" s="169"/>
      <c r="AD550" s="165"/>
      <c r="AE550" s="173"/>
      <c r="AF550" s="168"/>
      <c r="AG550" s="168"/>
      <c r="AH550" s="165"/>
      <c r="AI550" s="167"/>
      <c r="AJ550" s="165"/>
      <c r="AK550" s="173"/>
      <c r="AL550" s="167"/>
      <c r="AM550" s="199"/>
      <c r="AN550" s="201"/>
      <c r="AO550" s="201"/>
      <c r="AP550" s="106"/>
      <c r="AQ550" s="165"/>
      <c r="AR550" s="168"/>
      <c r="AS550" s="165"/>
      <c r="AT550" s="190"/>
      <c r="AU550" s="167"/>
      <c r="AV550" s="45">
        <v>305</v>
      </c>
      <c r="AW550" s="54">
        <v>215</v>
      </c>
      <c r="AX550" s="54">
        <v>268</v>
      </c>
      <c r="AY550" s="53">
        <v>85</v>
      </c>
      <c r="AZ550" s="46">
        <v>81</v>
      </c>
      <c r="BA550" s="165"/>
      <c r="BB550" s="165"/>
      <c r="BC550" s="168"/>
      <c r="BD550" s="165"/>
      <c r="BE550" s="165"/>
      <c r="BF550" s="173"/>
      <c r="BG550" s="304"/>
      <c r="BH550" s="601"/>
      <c r="BI550" s="45"/>
      <c r="BJ550" s="46"/>
      <c r="BK550" s="165"/>
      <c r="BL550" s="190"/>
      <c r="BM550" s="167"/>
      <c r="BN550" s="165"/>
      <c r="BO550" s="173"/>
      <c r="BP550" s="190"/>
      <c r="BQ550" s="173"/>
      <c r="BR550" s="168"/>
      <c r="BS550" s="165"/>
      <c r="BT550" s="167"/>
      <c r="BU550" s="165"/>
      <c r="BV550" s="190"/>
      <c r="BW550" s="173"/>
      <c r="BX550" s="173"/>
      <c r="BY550" s="167"/>
      <c r="BZ550" s="165"/>
      <c r="CA550" s="173"/>
      <c r="CB550" s="190"/>
      <c r="CC550" s="167"/>
      <c r="CD550" s="199"/>
      <c r="CE550" s="201"/>
      <c r="CF550" s="201"/>
      <c r="CG550" s="106"/>
      <c r="CH550" s="165"/>
      <c r="CI550" s="167"/>
    </row>
    <row r="551" spans="1:87" x14ac:dyDescent="0.3">
      <c r="A551" s="10">
        <v>9105</v>
      </c>
      <c r="B551" s="11" t="s">
        <v>674</v>
      </c>
      <c r="C551" s="471">
        <v>1073</v>
      </c>
      <c r="D551" s="54">
        <v>716</v>
      </c>
      <c r="E551" s="367">
        <f t="shared" si="9"/>
        <v>0.66728797763280523</v>
      </c>
      <c r="F551" s="165"/>
      <c r="G551" s="165"/>
      <c r="H551" s="165"/>
      <c r="I551" s="165"/>
      <c r="J551" s="167"/>
      <c r="K551" s="165"/>
      <c r="L551" s="304"/>
      <c r="M551" s="601"/>
      <c r="N551" s="165"/>
      <c r="O551" s="165"/>
      <c r="P551" s="190"/>
      <c r="Q551" s="166"/>
      <c r="R551" s="166"/>
      <c r="S551" s="74">
        <v>102</v>
      </c>
      <c r="T551" s="45">
        <v>138</v>
      </c>
      <c r="U551" s="45">
        <v>161</v>
      </c>
      <c r="V551" s="73">
        <v>57</v>
      </c>
      <c r="W551" s="169"/>
      <c r="X551" s="173"/>
      <c r="Y551" s="190"/>
      <c r="Z551" s="167"/>
      <c r="AA551" s="199"/>
      <c r="AB551" s="203"/>
      <c r="AC551" s="169"/>
      <c r="AD551" s="165"/>
      <c r="AE551" s="173"/>
      <c r="AF551" s="168"/>
      <c r="AG551" s="168"/>
      <c r="AH551" s="165"/>
      <c r="AI551" s="167"/>
      <c r="AJ551" s="165"/>
      <c r="AK551" s="173"/>
      <c r="AL551" s="167"/>
      <c r="AM551" s="199"/>
      <c r="AN551" s="201"/>
      <c r="AO551" s="201"/>
      <c r="AP551" s="106"/>
      <c r="AQ551" s="165"/>
      <c r="AR551" s="168"/>
      <c r="AS551" s="165"/>
      <c r="AT551" s="190"/>
      <c r="AU551" s="167"/>
      <c r="AV551" s="45">
        <v>129</v>
      </c>
      <c r="AW551" s="54">
        <v>205</v>
      </c>
      <c r="AX551" s="54">
        <v>150</v>
      </c>
      <c r="AY551" s="53">
        <v>72</v>
      </c>
      <c r="AZ551" s="46">
        <v>55</v>
      </c>
      <c r="BA551" s="165"/>
      <c r="BB551" s="165"/>
      <c r="BC551" s="168"/>
      <c r="BD551" s="165"/>
      <c r="BE551" s="165"/>
      <c r="BF551" s="173"/>
      <c r="BG551" s="304"/>
      <c r="BH551" s="601"/>
      <c r="BI551" s="45"/>
      <c r="BJ551" s="46"/>
      <c r="BK551" s="165"/>
      <c r="BL551" s="190"/>
      <c r="BM551" s="167"/>
      <c r="BN551" s="165"/>
      <c r="BO551" s="173"/>
      <c r="BP551" s="190"/>
      <c r="BQ551" s="173"/>
      <c r="BR551" s="168"/>
      <c r="BS551" s="165"/>
      <c r="BT551" s="167"/>
      <c r="BU551" s="165"/>
      <c r="BV551" s="190"/>
      <c r="BW551" s="173"/>
      <c r="BX551" s="173"/>
      <c r="BY551" s="167"/>
      <c r="BZ551" s="165"/>
      <c r="CA551" s="173"/>
      <c r="CB551" s="190"/>
      <c r="CC551" s="167"/>
      <c r="CD551" s="45"/>
      <c r="CE551" s="54"/>
      <c r="CF551" s="54"/>
      <c r="CG551" s="106"/>
      <c r="CH551" s="165"/>
      <c r="CI551" s="167"/>
    </row>
    <row r="552" spans="1:87" s="14" customFormat="1" x14ac:dyDescent="0.3">
      <c r="A552" s="10">
        <v>9106</v>
      </c>
      <c r="B552" s="11" t="s">
        <v>675</v>
      </c>
      <c r="C552" s="471">
        <v>1432</v>
      </c>
      <c r="D552" s="54">
        <v>728</v>
      </c>
      <c r="E552" s="367">
        <f t="shared" si="9"/>
        <v>0.50837988826815639</v>
      </c>
      <c r="F552" s="165"/>
      <c r="G552" s="165"/>
      <c r="H552" s="165"/>
      <c r="I552" s="165"/>
      <c r="J552" s="167"/>
      <c r="K552" s="165"/>
      <c r="L552" s="304"/>
      <c r="M552" s="601"/>
      <c r="N552" s="165"/>
      <c r="O552" s="165"/>
      <c r="P552" s="190"/>
      <c r="Q552" s="166"/>
      <c r="R552" s="166"/>
      <c r="S552" s="98"/>
      <c r="T552" s="199"/>
      <c r="U552" s="199"/>
      <c r="V552" s="106"/>
      <c r="W552" s="169"/>
      <c r="X552" s="173"/>
      <c r="Y552" s="190"/>
      <c r="Z552" s="167"/>
      <c r="AA552" s="199"/>
      <c r="AB552" s="203"/>
      <c r="AC552" s="169"/>
      <c r="AD552" s="165"/>
      <c r="AE552" s="173"/>
      <c r="AF552" s="168"/>
      <c r="AG552" s="168"/>
      <c r="AH552" s="165"/>
      <c r="AI552" s="167"/>
      <c r="AJ552" s="165"/>
      <c r="AK552" s="173"/>
      <c r="AL552" s="167"/>
      <c r="AM552" s="199"/>
      <c r="AN552" s="201"/>
      <c r="AO552" s="201"/>
      <c r="AP552" s="106"/>
      <c r="AQ552" s="165"/>
      <c r="AR552" s="168"/>
      <c r="AS552" s="165"/>
      <c r="AT552" s="190"/>
      <c r="AU552" s="167"/>
      <c r="AV552" s="45">
        <v>304</v>
      </c>
      <c r="AW552" s="54">
        <v>250</v>
      </c>
      <c r="AX552" s="54">
        <v>304</v>
      </c>
      <c r="AY552" s="53">
        <v>117</v>
      </c>
      <c r="AZ552" s="46">
        <v>109</v>
      </c>
      <c r="BA552" s="165"/>
      <c r="BB552" s="165"/>
      <c r="BC552" s="168"/>
      <c r="BD552" s="165"/>
      <c r="BE552" s="165"/>
      <c r="BF552" s="173"/>
      <c r="BG552" s="304"/>
      <c r="BH552" s="601"/>
      <c r="BI552" s="45"/>
      <c r="BJ552" s="46"/>
      <c r="BK552" s="165"/>
      <c r="BL552" s="190"/>
      <c r="BM552" s="167"/>
      <c r="BN552" s="165"/>
      <c r="BO552" s="173"/>
      <c r="BP552" s="190"/>
      <c r="BQ552" s="173"/>
      <c r="BR552" s="168"/>
      <c r="BS552" s="165"/>
      <c r="BT552" s="167"/>
      <c r="BU552" s="165"/>
      <c r="BV552" s="190"/>
      <c r="BW552" s="173"/>
      <c r="BX552" s="173"/>
      <c r="BY552" s="167"/>
      <c r="BZ552" s="165"/>
      <c r="CA552" s="173"/>
      <c r="CB552" s="190"/>
      <c r="CC552" s="167"/>
      <c r="CD552" s="199"/>
      <c r="CE552" s="201"/>
      <c r="CF552" s="201"/>
      <c r="CG552" s="106"/>
      <c r="CH552" s="165"/>
      <c r="CI552" s="167"/>
    </row>
    <row r="553" spans="1:87" s="14" customFormat="1" x14ac:dyDescent="0.3">
      <c r="A553" s="10">
        <v>9107</v>
      </c>
      <c r="B553" s="11" t="s">
        <v>676</v>
      </c>
      <c r="C553" s="471">
        <v>682</v>
      </c>
      <c r="D553" s="54">
        <v>423</v>
      </c>
      <c r="E553" s="367">
        <f t="shared" si="9"/>
        <v>0.62023460410557185</v>
      </c>
      <c r="F553" s="165"/>
      <c r="G553" s="165"/>
      <c r="H553" s="165"/>
      <c r="I553" s="165"/>
      <c r="J553" s="167"/>
      <c r="K553" s="165"/>
      <c r="L553" s="304"/>
      <c r="M553" s="601"/>
      <c r="N553" s="165"/>
      <c r="O553" s="165"/>
      <c r="P553" s="190"/>
      <c r="Q553" s="166"/>
      <c r="R553" s="166"/>
      <c r="S553" s="98"/>
      <c r="T553" s="199"/>
      <c r="U553" s="199"/>
      <c r="V553" s="106"/>
      <c r="W553" s="169"/>
      <c r="X553" s="173"/>
      <c r="Y553" s="190"/>
      <c r="Z553" s="167"/>
      <c r="AA553" s="199"/>
      <c r="AB553" s="203"/>
      <c r="AC553" s="169"/>
      <c r="AD553" s="165"/>
      <c r="AE553" s="173"/>
      <c r="AF553" s="168"/>
      <c r="AG553" s="168"/>
      <c r="AH553" s="165"/>
      <c r="AI553" s="167"/>
      <c r="AJ553" s="165"/>
      <c r="AK553" s="173"/>
      <c r="AL553" s="167"/>
      <c r="AM553" s="199"/>
      <c r="AN553" s="201"/>
      <c r="AO553" s="201"/>
      <c r="AP553" s="106"/>
      <c r="AQ553" s="165"/>
      <c r="AR553" s="168"/>
      <c r="AS553" s="165"/>
      <c r="AT553" s="190"/>
      <c r="AU553" s="167"/>
      <c r="AV553" s="45">
        <v>165</v>
      </c>
      <c r="AW553" s="54">
        <v>199</v>
      </c>
      <c r="AX553" s="54">
        <v>215</v>
      </c>
      <c r="AY553" s="53">
        <v>83</v>
      </c>
      <c r="AZ553" s="46">
        <v>43</v>
      </c>
      <c r="BA553" s="165"/>
      <c r="BB553" s="165"/>
      <c r="BC553" s="168"/>
      <c r="BD553" s="165"/>
      <c r="BE553" s="165"/>
      <c r="BF553" s="173"/>
      <c r="BG553" s="304"/>
      <c r="BH553" s="601"/>
      <c r="BI553" s="45"/>
      <c r="BJ553" s="46"/>
      <c r="BK553" s="165"/>
      <c r="BL553" s="190"/>
      <c r="BM553" s="167"/>
      <c r="BN553" s="165"/>
      <c r="BO553" s="173"/>
      <c r="BP553" s="190"/>
      <c r="BQ553" s="173"/>
      <c r="BR553" s="168"/>
      <c r="BS553" s="165"/>
      <c r="BT553" s="167"/>
      <c r="BU553" s="165"/>
      <c r="BV553" s="190"/>
      <c r="BW553" s="173"/>
      <c r="BX553" s="173"/>
      <c r="BY553" s="167"/>
      <c r="BZ553" s="165"/>
      <c r="CA553" s="173"/>
      <c r="CB553" s="190"/>
      <c r="CC553" s="167"/>
      <c r="CD553" s="199"/>
      <c r="CE553" s="201"/>
      <c r="CF553" s="201"/>
      <c r="CG553" s="106"/>
      <c r="CH553" s="165"/>
      <c r="CI553" s="167"/>
    </row>
    <row r="554" spans="1:87" s="14" customFormat="1" x14ac:dyDescent="0.3">
      <c r="A554" s="10">
        <v>9108</v>
      </c>
      <c r="B554" s="11" t="s">
        <v>677</v>
      </c>
      <c r="C554" s="471">
        <v>479</v>
      </c>
      <c r="D554" s="54">
        <v>323</v>
      </c>
      <c r="E554" s="367">
        <f t="shared" si="9"/>
        <v>0.67432150313152406</v>
      </c>
      <c r="F554" s="165"/>
      <c r="G554" s="165"/>
      <c r="H554" s="165"/>
      <c r="I554" s="165"/>
      <c r="J554" s="167"/>
      <c r="K554" s="165"/>
      <c r="L554" s="304"/>
      <c r="M554" s="601"/>
      <c r="N554" s="165"/>
      <c r="O554" s="165"/>
      <c r="P554" s="190"/>
      <c r="Q554" s="166"/>
      <c r="R554" s="166"/>
      <c r="S554" s="74">
        <v>103</v>
      </c>
      <c r="T554" s="45">
        <v>144</v>
      </c>
      <c r="U554" s="45">
        <v>158</v>
      </c>
      <c r="V554" s="73">
        <v>67</v>
      </c>
      <c r="W554" s="169"/>
      <c r="X554" s="173"/>
      <c r="Y554" s="190"/>
      <c r="Z554" s="167"/>
      <c r="AA554" s="199"/>
      <c r="AB554" s="203"/>
      <c r="AC554" s="169"/>
      <c r="AD554" s="165"/>
      <c r="AE554" s="173"/>
      <c r="AF554" s="168"/>
      <c r="AG554" s="168"/>
      <c r="AH554" s="165"/>
      <c r="AI554" s="167"/>
      <c r="AJ554" s="165"/>
      <c r="AK554" s="173"/>
      <c r="AL554" s="167"/>
      <c r="AM554" s="199"/>
      <c r="AN554" s="201"/>
      <c r="AO554" s="201"/>
      <c r="AP554" s="106"/>
      <c r="AQ554" s="165"/>
      <c r="AR554" s="168"/>
      <c r="AS554" s="165"/>
      <c r="AT554" s="190"/>
      <c r="AU554" s="167"/>
      <c r="AV554" s="45">
        <v>7</v>
      </c>
      <c r="AW554" s="54">
        <v>5</v>
      </c>
      <c r="AX554" s="54">
        <v>9</v>
      </c>
      <c r="AY554" s="53">
        <v>3</v>
      </c>
      <c r="AZ554" s="46">
        <v>2</v>
      </c>
      <c r="BA554" s="165"/>
      <c r="BB554" s="165"/>
      <c r="BC554" s="168"/>
      <c r="BD554" s="165"/>
      <c r="BE554" s="165"/>
      <c r="BF554" s="173"/>
      <c r="BG554" s="304"/>
      <c r="BH554" s="601"/>
      <c r="BI554" s="45"/>
      <c r="BJ554" s="46"/>
      <c r="BK554" s="165"/>
      <c r="BL554" s="190"/>
      <c r="BM554" s="167"/>
      <c r="BN554" s="165"/>
      <c r="BO554" s="173"/>
      <c r="BP554" s="190"/>
      <c r="BQ554" s="173"/>
      <c r="BR554" s="168"/>
      <c r="BS554" s="165"/>
      <c r="BT554" s="167"/>
      <c r="BU554" s="165"/>
      <c r="BV554" s="190"/>
      <c r="BW554" s="173"/>
      <c r="BX554" s="173"/>
      <c r="BY554" s="167"/>
      <c r="BZ554" s="165"/>
      <c r="CA554" s="173"/>
      <c r="CB554" s="190"/>
      <c r="CC554" s="167"/>
      <c r="CD554" s="199"/>
      <c r="CE554" s="201"/>
      <c r="CF554" s="201"/>
      <c r="CG554" s="106"/>
      <c r="CH554" s="165"/>
      <c r="CI554" s="167"/>
    </row>
    <row r="555" spans="1:87" x14ac:dyDescent="0.3">
      <c r="A555" s="10">
        <v>9109</v>
      </c>
      <c r="B555" s="11" t="s">
        <v>678</v>
      </c>
      <c r="C555" s="471">
        <v>976</v>
      </c>
      <c r="D555" s="54">
        <v>442</v>
      </c>
      <c r="E555" s="367">
        <f t="shared" si="9"/>
        <v>0.45286885245901637</v>
      </c>
      <c r="F555" s="165"/>
      <c r="G555" s="165"/>
      <c r="H555" s="165"/>
      <c r="I555" s="165"/>
      <c r="J555" s="167"/>
      <c r="K555" s="165"/>
      <c r="L555" s="304"/>
      <c r="M555" s="601"/>
      <c r="N555" s="165"/>
      <c r="O555" s="165"/>
      <c r="P555" s="190"/>
      <c r="Q555" s="166"/>
      <c r="R555" s="166"/>
      <c r="S555" s="98"/>
      <c r="T555" s="199"/>
      <c r="U555" s="199"/>
      <c r="V555" s="106"/>
      <c r="W555" s="169"/>
      <c r="X555" s="173"/>
      <c r="Y555" s="190"/>
      <c r="Z555" s="167"/>
      <c r="AA555" s="199"/>
      <c r="AB555" s="203"/>
      <c r="AC555" s="169"/>
      <c r="AD555" s="165"/>
      <c r="AE555" s="173"/>
      <c r="AF555" s="168"/>
      <c r="AG555" s="168"/>
      <c r="AH555" s="165"/>
      <c r="AI555" s="167"/>
      <c r="AJ555" s="165"/>
      <c r="AK555" s="173"/>
      <c r="AL555" s="167"/>
      <c r="AM555" s="199"/>
      <c r="AN555" s="201"/>
      <c r="AO555" s="201"/>
      <c r="AP555" s="106"/>
      <c r="AQ555" s="165"/>
      <c r="AR555" s="168"/>
      <c r="AS555" s="165"/>
      <c r="AT555" s="190"/>
      <c r="AU555" s="167"/>
      <c r="AV555" s="45">
        <v>173</v>
      </c>
      <c r="AW555" s="54">
        <v>159</v>
      </c>
      <c r="AX555" s="54">
        <v>204</v>
      </c>
      <c r="AY555" s="53">
        <v>105</v>
      </c>
      <c r="AZ555" s="46">
        <v>51</v>
      </c>
      <c r="BA555" s="165"/>
      <c r="BB555" s="165"/>
      <c r="BC555" s="168"/>
      <c r="BD555" s="165"/>
      <c r="BE555" s="165"/>
      <c r="BF555" s="173"/>
      <c r="BG555" s="304"/>
      <c r="BH555" s="601"/>
      <c r="BI555" s="45"/>
      <c r="BJ555" s="46"/>
      <c r="BK555" s="165"/>
      <c r="BL555" s="190"/>
      <c r="BM555" s="167"/>
      <c r="BN555" s="165"/>
      <c r="BO555" s="173"/>
      <c r="BP555" s="190"/>
      <c r="BQ555" s="173"/>
      <c r="BR555" s="168"/>
      <c r="BS555" s="165"/>
      <c r="BT555" s="167"/>
      <c r="BU555" s="165"/>
      <c r="BV555" s="190"/>
      <c r="BW555" s="173"/>
      <c r="BX555" s="173"/>
      <c r="BY555" s="167"/>
      <c r="BZ555" s="165"/>
      <c r="CA555" s="173"/>
      <c r="CB555" s="190"/>
      <c r="CC555" s="167"/>
      <c r="CD555" s="199"/>
      <c r="CE555" s="201"/>
      <c r="CF555" s="201"/>
      <c r="CG555" s="106"/>
      <c r="CH555" s="165"/>
      <c r="CI555" s="167"/>
    </row>
    <row r="556" spans="1:87" x14ac:dyDescent="0.3">
      <c r="A556" s="10">
        <v>9110</v>
      </c>
      <c r="B556" s="11" t="s">
        <v>679</v>
      </c>
      <c r="C556" s="471">
        <v>1231</v>
      </c>
      <c r="D556" s="54">
        <v>656</v>
      </c>
      <c r="E556" s="367">
        <f t="shared" si="9"/>
        <v>0.53290008123476851</v>
      </c>
      <c r="F556" s="165"/>
      <c r="G556" s="165"/>
      <c r="H556" s="165"/>
      <c r="I556" s="165"/>
      <c r="J556" s="167"/>
      <c r="K556" s="165"/>
      <c r="L556" s="304"/>
      <c r="M556" s="601"/>
      <c r="N556" s="165"/>
      <c r="O556" s="165"/>
      <c r="P556" s="190"/>
      <c r="Q556" s="166"/>
      <c r="R556" s="166"/>
      <c r="S556" s="74">
        <v>184</v>
      </c>
      <c r="T556" s="45">
        <v>264</v>
      </c>
      <c r="U556" s="45">
        <v>316</v>
      </c>
      <c r="V556" s="73">
        <v>116</v>
      </c>
      <c r="W556" s="169"/>
      <c r="X556" s="173"/>
      <c r="Y556" s="190"/>
      <c r="Z556" s="167"/>
      <c r="AA556" s="199"/>
      <c r="AB556" s="203"/>
      <c r="AC556" s="169"/>
      <c r="AD556" s="165"/>
      <c r="AE556" s="173"/>
      <c r="AF556" s="168"/>
      <c r="AG556" s="168"/>
      <c r="AH556" s="165"/>
      <c r="AI556" s="167"/>
      <c r="AJ556" s="165"/>
      <c r="AK556" s="173"/>
      <c r="AL556" s="167"/>
      <c r="AM556" s="199"/>
      <c r="AN556" s="201"/>
      <c r="AO556" s="201"/>
      <c r="AP556" s="106"/>
      <c r="AQ556" s="165"/>
      <c r="AR556" s="168"/>
      <c r="AS556" s="165"/>
      <c r="AT556" s="190"/>
      <c r="AU556" s="167"/>
      <c r="AV556" s="45">
        <v>24</v>
      </c>
      <c r="AW556" s="54">
        <v>24</v>
      </c>
      <c r="AX556" s="54">
        <v>24</v>
      </c>
      <c r="AY556" s="53">
        <v>12</v>
      </c>
      <c r="AZ556" s="46">
        <v>8</v>
      </c>
      <c r="BA556" s="165"/>
      <c r="BB556" s="165"/>
      <c r="BC556" s="168"/>
      <c r="BD556" s="165"/>
      <c r="BE556" s="165"/>
      <c r="BF556" s="173"/>
      <c r="BG556" s="304"/>
      <c r="BH556" s="601"/>
      <c r="BI556" s="45"/>
      <c r="BJ556" s="46"/>
      <c r="BK556" s="165"/>
      <c r="BL556" s="190"/>
      <c r="BM556" s="167"/>
      <c r="BN556" s="165"/>
      <c r="BO556" s="173"/>
      <c r="BP556" s="190"/>
      <c r="BQ556" s="173"/>
      <c r="BR556" s="168"/>
      <c r="BS556" s="165"/>
      <c r="BT556" s="167"/>
      <c r="BU556" s="165"/>
      <c r="BV556" s="190"/>
      <c r="BW556" s="173"/>
      <c r="BX556" s="173"/>
      <c r="BY556" s="167"/>
      <c r="BZ556" s="165"/>
      <c r="CA556" s="173"/>
      <c r="CB556" s="190"/>
      <c r="CC556" s="167"/>
      <c r="CD556" s="199"/>
      <c r="CE556" s="201"/>
      <c r="CF556" s="201"/>
      <c r="CG556" s="106"/>
      <c r="CH556" s="165"/>
      <c r="CI556" s="167"/>
    </row>
    <row r="557" spans="1:87" x14ac:dyDescent="0.3">
      <c r="A557" s="10">
        <v>9111</v>
      </c>
      <c r="B557" s="11" t="s">
        <v>680</v>
      </c>
      <c r="C557" s="471">
        <v>432</v>
      </c>
      <c r="D557" s="54">
        <v>253</v>
      </c>
      <c r="E557" s="367">
        <f t="shared" si="9"/>
        <v>0.58564814814814814</v>
      </c>
      <c r="F557" s="165"/>
      <c r="G557" s="165"/>
      <c r="H557" s="165"/>
      <c r="I557" s="165"/>
      <c r="J557" s="167"/>
      <c r="K557" s="165"/>
      <c r="L557" s="304"/>
      <c r="M557" s="601"/>
      <c r="N557" s="165"/>
      <c r="O557" s="165"/>
      <c r="P557" s="190"/>
      <c r="Q557" s="166"/>
      <c r="R557" s="166"/>
      <c r="S557" s="74">
        <v>93</v>
      </c>
      <c r="T557" s="45">
        <v>112</v>
      </c>
      <c r="U557" s="45">
        <v>122</v>
      </c>
      <c r="V557" s="73">
        <v>55</v>
      </c>
      <c r="W557" s="169"/>
      <c r="X557" s="173"/>
      <c r="Y557" s="190"/>
      <c r="Z557" s="167"/>
      <c r="AA557" s="199"/>
      <c r="AB557" s="203"/>
      <c r="AC557" s="169"/>
      <c r="AD557" s="165"/>
      <c r="AE557" s="173"/>
      <c r="AF557" s="168"/>
      <c r="AG557" s="168"/>
      <c r="AH557" s="165"/>
      <c r="AI557" s="167"/>
      <c r="AJ557" s="165"/>
      <c r="AK557" s="173"/>
      <c r="AL557" s="167"/>
      <c r="AM557" s="199"/>
      <c r="AN557" s="201"/>
      <c r="AO557" s="201"/>
      <c r="AP557" s="106"/>
      <c r="AQ557" s="165"/>
      <c r="AR557" s="168"/>
      <c r="AS557" s="165"/>
      <c r="AT557" s="190"/>
      <c r="AU557" s="167"/>
      <c r="AV557" s="199"/>
      <c r="AW557" s="201"/>
      <c r="AX557" s="201"/>
      <c r="AY557" s="202"/>
      <c r="AZ557" s="200"/>
      <c r="BA557" s="165"/>
      <c r="BB557" s="165"/>
      <c r="BC557" s="168"/>
      <c r="BD557" s="165"/>
      <c r="BE557" s="165"/>
      <c r="BF557" s="173"/>
      <c r="BG557" s="304"/>
      <c r="BH557" s="601"/>
      <c r="BI557" s="45"/>
      <c r="BJ557" s="46"/>
      <c r="BK557" s="165"/>
      <c r="BL557" s="190"/>
      <c r="BM557" s="167"/>
      <c r="BN557" s="165"/>
      <c r="BO557" s="173"/>
      <c r="BP557" s="190"/>
      <c r="BQ557" s="173"/>
      <c r="BR557" s="168"/>
      <c r="BS557" s="165"/>
      <c r="BT557" s="167"/>
      <c r="BU557" s="165"/>
      <c r="BV557" s="190"/>
      <c r="BW557" s="173"/>
      <c r="BX557" s="173"/>
      <c r="BY557" s="167"/>
      <c r="BZ557" s="165"/>
      <c r="CA557" s="173"/>
      <c r="CB557" s="190"/>
      <c r="CC557" s="167"/>
      <c r="CD557" s="199"/>
      <c r="CE557" s="201"/>
      <c r="CF557" s="201"/>
      <c r="CG557" s="106"/>
      <c r="CH557" s="165"/>
      <c r="CI557" s="167"/>
    </row>
    <row r="558" spans="1:87" x14ac:dyDescent="0.3">
      <c r="A558" s="10">
        <v>9112</v>
      </c>
      <c r="B558" s="11" t="s">
        <v>681</v>
      </c>
      <c r="C558" s="471">
        <v>1132</v>
      </c>
      <c r="D558" s="54">
        <v>715</v>
      </c>
      <c r="E558" s="367">
        <f t="shared" si="9"/>
        <v>0.63162544169611312</v>
      </c>
      <c r="F558" s="165"/>
      <c r="G558" s="165"/>
      <c r="H558" s="165"/>
      <c r="I558" s="165"/>
      <c r="J558" s="167"/>
      <c r="K558" s="165"/>
      <c r="L558" s="304"/>
      <c r="M558" s="601"/>
      <c r="N558" s="165"/>
      <c r="O558" s="165"/>
      <c r="P558" s="190"/>
      <c r="Q558" s="166"/>
      <c r="R558" s="166"/>
      <c r="S558" s="74">
        <v>192</v>
      </c>
      <c r="T558" s="45">
        <v>225</v>
      </c>
      <c r="U558" s="45">
        <v>253</v>
      </c>
      <c r="V558" s="73">
        <v>112</v>
      </c>
      <c r="W558" s="169"/>
      <c r="X558" s="173"/>
      <c r="Y558" s="190"/>
      <c r="Z558" s="167"/>
      <c r="AA558" s="199"/>
      <c r="AB558" s="203"/>
      <c r="AC558" s="169"/>
      <c r="AD558" s="165"/>
      <c r="AE558" s="173"/>
      <c r="AF558" s="168"/>
      <c r="AG558" s="168"/>
      <c r="AH558" s="165"/>
      <c r="AI558" s="167"/>
      <c r="AJ558" s="165"/>
      <c r="AK558" s="173"/>
      <c r="AL558" s="167"/>
      <c r="AM558" s="199"/>
      <c r="AN558" s="201"/>
      <c r="AO558" s="201"/>
      <c r="AP558" s="106"/>
      <c r="AQ558" s="165"/>
      <c r="AR558" s="168"/>
      <c r="AS558" s="165"/>
      <c r="AT558" s="190"/>
      <c r="AU558" s="167"/>
      <c r="AV558" s="45">
        <v>50</v>
      </c>
      <c r="AW558" s="54">
        <v>86</v>
      </c>
      <c r="AX558" s="54">
        <v>70</v>
      </c>
      <c r="AY558" s="53">
        <v>21</v>
      </c>
      <c r="AZ558" s="46">
        <v>25</v>
      </c>
      <c r="BA558" s="165"/>
      <c r="BB558" s="165"/>
      <c r="BC558" s="168"/>
      <c r="BD558" s="165"/>
      <c r="BE558" s="165"/>
      <c r="BF558" s="173"/>
      <c r="BG558" s="304"/>
      <c r="BH558" s="601"/>
      <c r="BI558" s="45"/>
      <c r="BJ558" s="46"/>
      <c r="BK558" s="165"/>
      <c r="BL558" s="190"/>
      <c r="BM558" s="167"/>
      <c r="BN558" s="165"/>
      <c r="BO558" s="173"/>
      <c r="BP558" s="190"/>
      <c r="BQ558" s="173"/>
      <c r="BR558" s="168"/>
      <c r="BS558" s="165"/>
      <c r="BT558" s="167"/>
      <c r="BU558" s="165"/>
      <c r="BV558" s="190"/>
      <c r="BW558" s="173"/>
      <c r="BX558" s="173"/>
      <c r="BY558" s="167"/>
      <c r="BZ558" s="165"/>
      <c r="CA558" s="173"/>
      <c r="CB558" s="190"/>
      <c r="CC558" s="167"/>
      <c r="CD558" s="199"/>
      <c r="CE558" s="201"/>
      <c r="CF558" s="201"/>
      <c r="CG558" s="106"/>
      <c r="CH558" s="165"/>
      <c r="CI558" s="167"/>
    </row>
    <row r="559" spans="1:87" x14ac:dyDescent="0.3">
      <c r="A559" s="10">
        <v>9301</v>
      </c>
      <c r="B559" s="11" t="s">
        <v>682</v>
      </c>
      <c r="C559" s="471">
        <v>1233</v>
      </c>
      <c r="D559" s="54">
        <v>779</v>
      </c>
      <c r="E559" s="367">
        <f t="shared" si="9"/>
        <v>0.63179237631792373</v>
      </c>
      <c r="F559" s="165"/>
      <c r="G559" s="165"/>
      <c r="H559" s="165"/>
      <c r="I559" s="165"/>
      <c r="J559" s="167"/>
      <c r="K559" s="165"/>
      <c r="L559" s="304"/>
      <c r="M559" s="601"/>
      <c r="N559" s="165"/>
      <c r="O559" s="165"/>
      <c r="P559" s="190"/>
      <c r="Q559" s="166"/>
      <c r="R559" s="166"/>
      <c r="S559" s="169"/>
      <c r="T559" s="165"/>
      <c r="U559" s="165"/>
      <c r="V559" s="168"/>
      <c r="W559" s="169"/>
      <c r="X559" s="173"/>
      <c r="Y559" s="190"/>
      <c r="Z559" s="167"/>
      <c r="AA559" s="45">
        <v>449</v>
      </c>
      <c r="AB559" s="57">
        <v>557</v>
      </c>
      <c r="AC559" s="169"/>
      <c r="AD559" s="165"/>
      <c r="AE559" s="173"/>
      <c r="AF559" s="168"/>
      <c r="AG559" s="168"/>
      <c r="AH559" s="165"/>
      <c r="AI559" s="167"/>
      <c r="AJ559" s="165"/>
      <c r="AK559" s="173"/>
      <c r="AL559" s="167"/>
      <c r="AM559" s="199"/>
      <c r="AN559" s="201"/>
      <c r="AO559" s="201"/>
      <c r="AP559" s="106"/>
      <c r="AQ559" s="165"/>
      <c r="AR559" s="168"/>
      <c r="AS559" s="165"/>
      <c r="AT559" s="190"/>
      <c r="AU559" s="167"/>
      <c r="AV559" s="165"/>
      <c r="AW559" s="173"/>
      <c r="AX559" s="173"/>
      <c r="AY559" s="190"/>
      <c r="AZ559" s="167"/>
      <c r="BA559" s="165"/>
      <c r="BB559" s="165"/>
      <c r="BC559" s="168"/>
      <c r="BD559" s="165"/>
      <c r="BE559" s="165"/>
      <c r="BF559" s="173"/>
      <c r="BG559" s="304"/>
      <c r="BH559" s="601"/>
      <c r="BI559" s="45"/>
      <c r="BJ559" s="46"/>
      <c r="BK559" s="165"/>
      <c r="BL559" s="190"/>
      <c r="BM559" s="167"/>
      <c r="BN559" s="165"/>
      <c r="BO559" s="173"/>
      <c r="BP559" s="190"/>
      <c r="BQ559" s="173"/>
      <c r="BR559" s="168"/>
      <c r="BS559" s="165"/>
      <c r="BT559" s="167"/>
      <c r="BU559" s="165"/>
      <c r="BV559" s="190"/>
      <c r="BW559" s="173"/>
      <c r="BX559" s="173"/>
      <c r="BY559" s="167"/>
      <c r="BZ559" s="165"/>
      <c r="CA559" s="173"/>
      <c r="CB559" s="190"/>
      <c r="CC559" s="167"/>
      <c r="CD559" s="199"/>
      <c r="CE559" s="201"/>
      <c r="CF559" s="201"/>
      <c r="CG559" s="106"/>
      <c r="CH559" s="165"/>
      <c r="CI559" s="167"/>
    </row>
    <row r="560" spans="1:87" x14ac:dyDescent="0.3">
      <c r="A560" s="10">
        <v>9302</v>
      </c>
      <c r="B560" s="11" t="s">
        <v>683</v>
      </c>
      <c r="C560" s="471">
        <v>689</v>
      </c>
      <c r="D560" s="54">
        <v>409</v>
      </c>
      <c r="E560" s="367">
        <f t="shared" si="9"/>
        <v>0.59361393323657474</v>
      </c>
      <c r="F560" s="165"/>
      <c r="G560" s="165"/>
      <c r="H560" s="165"/>
      <c r="I560" s="165"/>
      <c r="J560" s="167"/>
      <c r="K560" s="165"/>
      <c r="L560" s="304"/>
      <c r="M560" s="601"/>
      <c r="N560" s="165"/>
      <c r="O560" s="165"/>
      <c r="P560" s="190"/>
      <c r="Q560" s="166"/>
      <c r="R560" s="166"/>
      <c r="S560" s="169"/>
      <c r="T560" s="165"/>
      <c r="U560" s="165"/>
      <c r="V560" s="168"/>
      <c r="W560" s="169"/>
      <c r="X560" s="173"/>
      <c r="Y560" s="190"/>
      <c r="Z560" s="167"/>
      <c r="AA560" s="45">
        <v>235</v>
      </c>
      <c r="AB560" s="57">
        <v>288</v>
      </c>
      <c r="AC560" s="169"/>
      <c r="AD560" s="165"/>
      <c r="AE560" s="173"/>
      <c r="AF560" s="168"/>
      <c r="AG560" s="168"/>
      <c r="AH560" s="165"/>
      <c r="AI560" s="167"/>
      <c r="AJ560" s="165"/>
      <c r="AK560" s="173"/>
      <c r="AL560" s="167"/>
      <c r="AM560" s="199"/>
      <c r="AN560" s="201"/>
      <c r="AO560" s="201"/>
      <c r="AP560" s="106"/>
      <c r="AQ560" s="165"/>
      <c r="AR560" s="168"/>
      <c r="AS560" s="165"/>
      <c r="AT560" s="190"/>
      <c r="AU560" s="167"/>
      <c r="AV560" s="165"/>
      <c r="AW560" s="173"/>
      <c r="AX560" s="173"/>
      <c r="AY560" s="190"/>
      <c r="AZ560" s="167"/>
      <c r="BA560" s="165"/>
      <c r="BB560" s="165"/>
      <c r="BC560" s="168"/>
      <c r="BD560" s="165"/>
      <c r="BE560" s="165"/>
      <c r="BF560" s="173"/>
      <c r="BG560" s="304"/>
      <c r="BH560" s="601"/>
      <c r="BI560" s="45"/>
      <c r="BJ560" s="46"/>
      <c r="BK560" s="165"/>
      <c r="BL560" s="190"/>
      <c r="BM560" s="167"/>
      <c r="BN560" s="165"/>
      <c r="BO560" s="173"/>
      <c r="BP560" s="190"/>
      <c r="BQ560" s="173"/>
      <c r="BR560" s="168"/>
      <c r="BS560" s="165"/>
      <c r="BT560" s="167"/>
      <c r="BU560" s="165"/>
      <c r="BV560" s="190"/>
      <c r="BW560" s="173"/>
      <c r="BX560" s="173"/>
      <c r="BY560" s="167"/>
      <c r="BZ560" s="165"/>
      <c r="CA560" s="173"/>
      <c r="CB560" s="190"/>
      <c r="CC560" s="167"/>
      <c r="CD560" s="199"/>
      <c r="CE560" s="201"/>
      <c r="CF560" s="201"/>
      <c r="CG560" s="106"/>
      <c r="CH560" s="165"/>
      <c r="CI560" s="167"/>
    </row>
    <row r="561" spans="1:87" x14ac:dyDescent="0.3">
      <c r="A561" s="10">
        <v>9501</v>
      </c>
      <c r="B561" s="11" t="s">
        <v>684</v>
      </c>
      <c r="C561" s="471">
        <v>1334</v>
      </c>
      <c r="D561" s="54">
        <v>504</v>
      </c>
      <c r="E561" s="367">
        <f t="shared" si="9"/>
        <v>0.37781109445277361</v>
      </c>
      <c r="F561" s="165"/>
      <c r="G561" s="165"/>
      <c r="H561" s="165"/>
      <c r="I561" s="165"/>
      <c r="J561" s="167"/>
      <c r="K561" s="165"/>
      <c r="L561" s="304"/>
      <c r="M561" s="601"/>
      <c r="N561" s="165"/>
      <c r="O561" s="165"/>
      <c r="P561" s="190"/>
      <c r="Q561" s="166"/>
      <c r="R561" s="166"/>
      <c r="S561" s="169"/>
      <c r="T561" s="165"/>
      <c r="U561" s="165"/>
      <c r="V561" s="168"/>
      <c r="W561" s="169"/>
      <c r="X561" s="173"/>
      <c r="Y561" s="190"/>
      <c r="Z561" s="167"/>
      <c r="AA561" s="165"/>
      <c r="AB561" s="166"/>
      <c r="AC561" s="169"/>
      <c r="AD561" s="165"/>
      <c r="AE561" s="173"/>
      <c r="AF561" s="168"/>
      <c r="AG561" s="168"/>
      <c r="AH561" s="165"/>
      <c r="AI561" s="167"/>
      <c r="AJ561" s="165"/>
      <c r="AK561" s="173"/>
      <c r="AL561" s="167"/>
      <c r="AM561" s="45"/>
      <c r="AN561" s="54"/>
      <c r="AO561" s="54"/>
      <c r="AP561" s="73"/>
      <c r="AQ561" s="165"/>
      <c r="AR561" s="168"/>
      <c r="AS561" s="165"/>
      <c r="AT561" s="190"/>
      <c r="AU561" s="167"/>
      <c r="AV561" s="165"/>
      <c r="AW561" s="173"/>
      <c r="AX561" s="173"/>
      <c r="AY561" s="190"/>
      <c r="AZ561" s="167"/>
      <c r="BA561" s="165"/>
      <c r="BB561" s="165"/>
      <c r="BC561" s="168"/>
      <c r="BD561" s="165"/>
      <c r="BE561" s="165"/>
      <c r="BF561" s="173"/>
      <c r="BG561" s="304"/>
      <c r="BH561" s="601"/>
      <c r="BI561" s="45">
        <v>231</v>
      </c>
      <c r="BJ561" s="46">
        <v>232</v>
      </c>
      <c r="BK561" s="165"/>
      <c r="BL561" s="190"/>
      <c r="BM561" s="167"/>
      <c r="BN561" s="165"/>
      <c r="BO561" s="173"/>
      <c r="BP561" s="190"/>
      <c r="BQ561" s="173"/>
      <c r="BR561" s="168"/>
      <c r="BS561" s="165"/>
      <c r="BT561" s="167"/>
      <c r="BU561" s="165"/>
      <c r="BV561" s="190"/>
      <c r="BW561" s="173"/>
      <c r="BX561" s="173"/>
      <c r="BY561" s="167"/>
      <c r="BZ561" s="165"/>
      <c r="CA561" s="173"/>
      <c r="CB561" s="190"/>
      <c r="CC561" s="167"/>
      <c r="CD561" s="45">
        <v>240</v>
      </c>
      <c r="CE561" s="54">
        <v>169</v>
      </c>
      <c r="CF561" s="54">
        <v>194</v>
      </c>
      <c r="CG561" s="73">
        <v>180</v>
      </c>
      <c r="CH561" s="165"/>
      <c r="CI561" s="167"/>
    </row>
    <row r="562" spans="1:87" x14ac:dyDescent="0.3">
      <c r="A562" s="10">
        <v>9502</v>
      </c>
      <c r="B562" s="11" t="s">
        <v>685</v>
      </c>
      <c r="C562" s="471">
        <v>1491</v>
      </c>
      <c r="D562" s="54">
        <v>663</v>
      </c>
      <c r="E562" s="367">
        <f t="shared" si="9"/>
        <v>0.44466800804828976</v>
      </c>
      <c r="F562" s="165"/>
      <c r="G562" s="165"/>
      <c r="H562" s="165"/>
      <c r="I562" s="165"/>
      <c r="J562" s="167"/>
      <c r="K562" s="165"/>
      <c r="L562" s="304"/>
      <c r="M562" s="601"/>
      <c r="N562" s="165"/>
      <c r="O562" s="165"/>
      <c r="P562" s="190"/>
      <c r="Q562" s="166"/>
      <c r="R562" s="166"/>
      <c r="S562" s="169"/>
      <c r="T562" s="165"/>
      <c r="U562" s="165"/>
      <c r="V562" s="168"/>
      <c r="W562" s="169"/>
      <c r="X562" s="173"/>
      <c r="Y562" s="190"/>
      <c r="Z562" s="167"/>
      <c r="AA562" s="165"/>
      <c r="AB562" s="166"/>
      <c r="AC562" s="169"/>
      <c r="AD562" s="165"/>
      <c r="AE562" s="173"/>
      <c r="AF562" s="168"/>
      <c r="AG562" s="168"/>
      <c r="AH562" s="165"/>
      <c r="AI562" s="167"/>
      <c r="AJ562" s="165"/>
      <c r="AK562" s="173"/>
      <c r="AL562" s="167"/>
      <c r="AM562" s="45"/>
      <c r="AN562" s="54"/>
      <c r="AO562" s="54"/>
      <c r="AP562" s="73"/>
      <c r="AQ562" s="165"/>
      <c r="AR562" s="168"/>
      <c r="AS562" s="165"/>
      <c r="AT562" s="190"/>
      <c r="AU562" s="167"/>
      <c r="AV562" s="165"/>
      <c r="AW562" s="173"/>
      <c r="AX562" s="173"/>
      <c r="AY562" s="190"/>
      <c r="AZ562" s="167"/>
      <c r="BA562" s="165"/>
      <c r="BB562" s="165"/>
      <c r="BC562" s="168"/>
      <c r="BD562" s="165"/>
      <c r="BE562" s="165"/>
      <c r="BF562" s="173"/>
      <c r="BG562" s="304"/>
      <c r="BH562" s="601"/>
      <c r="BI562" s="45">
        <v>298</v>
      </c>
      <c r="BJ562" s="46">
        <v>301</v>
      </c>
      <c r="BK562" s="165"/>
      <c r="BL562" s="190"/>
      <c r="BM562" s="167"/>
      <c r="BN562" s="165"/>
      <c r="BO562" s="173"/>
      <c r="BP562" s="190"/>
      <c r="BQ562" s="173"/>
      <c r="BR562" s="168"/>
      <c r="BS562" s="165"/>
      <c r="BT562" s="167"/>
      <c r="BU562" s="165"/>
      <c r="BV562" s="190"/>
      <c r="BW562" s="173"/>
      <c r="BX562" s="173"/>
      <c r="BY562" s="167"/>
      <c r="BZ562" s="165"/>
      <c r="CA562" s="173"/>
      <c r="CB562" s="190"/>
      <c r="CC562" s="167"/>
      <c r="CD562" s="45">
        <v>290</v>
      </c>
      <c r="CE562" s="54">
        <v>237</v>
      </c>
      <c r="CF562" s="54">
        <v>263</v>
      </c>
      <c r="CG562" s="73">
        <v>160</v>
      </c>
      <c r="CH562" s="165"/>
      <c r="CI562" s="167"/>
    </row>
    <row r="563" spans="1:87" x14ac:dyDescent="0.3">
      <c r="A563" s="10">
        <v>9503</v>
      </c>
      <c r="B563" s="11" t="s">
        <v>686</v>
      </c>
      <c r="C563" s="471">
        <v>1226</v>
      </c>
      <c r="D563" s="54">
        <v>339</v>
      </c>
      <c r="E563" s="367">
        <f t="shared" si="9"/>
        <v>0.27650897226753668</v>
      </c>
      <c r="F563" s="165"/>
      <c r="G563" s="165"/>
      <c r="H563" s="165"/>
      <c r="I563" s="165"/>
      <c r="J563" s="167"/>
      <c r="K563" s="165"/>
      <c r="L563" s="304"/>
      <c r="M563" s="601"/>
      <c r="N563" s="165"/>
      <c r="O563" s="165"/>
      <c r="P563" s="190"/>
      <c r="Q563" s="166"/>
      <c r="R563" s="166"/>
      <c r="S563" s="169"/>
      <c r="T563" s="165"/>
      <c r="U563" s="165"/>
      <c r="V563" s="168"/>
      <c r="W563" s="169"/>
      <c r="X563" s="173"/>
      <c r="Y563" s="190"/>
      <c r="Z563" s="167"/>
      <c r="AA563" s="165"/>
      <c r="AB563" s="166"/>
      <c r="AC563" s="169"/>
      <c r="AD563" s="165"/>
      <c r="AE563" s="173"/>
      <c r="AF563" s="168"/>
      <c r="AG563" s="168"/>
      <c r="AH563" s="165"/>
      <c r="AI563" s="167"/>
      <c r="AJ563" s="165"/>
      <c r="AK563" s="173"/>
      <c r="AL563" s="167"/>
      <c r="AM563" s="199"/>
      <c r="AN563" s="201"/>
      <c r="AO563" s="201"/>
      <c r="AP563" s="106"/>
      <c r="AQ563" s="165"/>
      <c r="AR563" s="168"/>
      <c r="AS563" s="165"/>
      <c r="AT563" s="190"/>
      <c r="AU563" s="167"/>
      <c r="AV563" s="165"/>
      <c r="AW563" s="173"/>
      <c r="AX563" s="173"/>
      <c r="AY563" s="190"/>
      <c r="AZ563" s="167"/>
      <c r="BA563" s="165"/>
      <c r="BB563" s="165"/>
      <c r="BC563" s="168"/>
      <c r="BD563" s="165"/>
      <c r="BE563" s="165"/>
      <c r="BF563" s="173"/>
      <c r="BG563" s="304"/>
      <c r="BH563" s="601"/>
      <c r="BI563" s="45">
        <v>163</v>
      </c>
      <c r="BJ563" s="46">
        <v>150</v>
      </c>
      <c r="BK563" s="165"/>
      <c r="BL563" s="190"/>
      <c r="BM563" s="167"/>
      <c r="BN563" s="165"/>
      <c r="BO563" s="173"/>
      <c r="BP563" s="190"/>
      <c r="BQ563" s="173"/>
      <c r="BR563" s="168"/>
      <c r="BS563" s="165"/>
      <c r="BT563" s="167"/>
      <c r="BU563" s="165"/>
      <c r="BV563" s="190"/>
      <c r="BW563" s="173"/>
      <c r="BX563" s="173"/>
      <c r="BY563" s="167"/>
      <c r="BZ563" s="165"/>
      <c r="CA563" s="173"/>
      <c r="CB563" s="190"/>
      <c r="CC563" s="167"/>
      <c r="CD563" s="45">
        <v>154</v>
      </c>
      <c r="CE563" s="54">
        <v>118</v>
      </c>
      <c r="CF563" s="54">
        <v>143</v>
      </c>
      <c r="CG563" s="73">
        <v>103</v>
      </c>
      <c r="CH563" s="165"/>
      <c r="CI563" s="167"/>
    </row>
    <row r="564" spans="1:87" x14ac:dyDescent="0.3">
      <c r="A564" s="10">
        <v>9701</v>
      </c>
      <c r="B564" s="11" t="s">
        <v>687</v>
      </c>
      <c r="C564" s="471">
        <v>1099</v>
      </c>
      <c r="D564" s="54">
        <v>520</v>
      </c>
      <c r="E564" s="367">
        <f t="shared" si="9"/>
        <v>0.47315741583257509</v>
      </c>
      <c r="F564" s="165"/>
      <c r="G564" s="165"/>
      <c r="H564" s="165"/>
      <c r="I564" s="165"/>
      <c r="J564" s="167"/>
      <c r="K564" s="165"/>
      <c r="L564" s="304"/>
      <c r="M564" s="601"/>
      <c r="N564" s="165"/>
      <c r="O564" s="165"/>
      <c r="P564" s="190"/>
      <c r="Q564" s="166"/>
      <c r="R564" s="166"/>
      <c r="S564" s="169"/>
      <c r="T564" s="165"/>
      <c r="U564" s="165"/>
      <c r="V564" s="168"/>
      <c r="W564" s="169"/>
      <c r="X564" s="173"/>
      <c r="Y564" s="190"/>
      <c r="Z564" s="167"/>
      <c r="AA564" s="165"/>
      <c r="AB564" s="166"/>
      <c r="AC564" s="169"/>
      <c r="AD564" s="165"/>
      <c r="AE564" s="173"/>
      <c r="AF564" s="168"/>
      <c r="AG564" s="168"/>
      <c r="AH564" s="165"/>
      <c r="AI564" s="167"/>
      <c r="AJ564" s="165"/>
      <c r="AK564" s="173"/>
      <c r="AL564" s="167"/>
      <c r="AM564" s="45">
        <v>380</v>
      </c>
      <c r="AN564" s="54">
        <v>178</v>
      </c>
      <c r="AO564" s="54">
        <v>195</v>
      </c>
      <c r="AP564" s="73">
        <v>164</v>
      </c>
      <c r="AQ564" s="165"/>
      <c r="AR564" s="168"/>
      <c r="AS564" s="165"/>
      <c r="AT564" s="190"/>
      <c r="AU564" s="167"/>
      <c r="AV564" s="165"/>
      <c r="AW564" s="173"/>
      <c r="AX564" s="173"/>
      <c r="AY564" s="190"/>
      <c r="AZ564" s="167"/>
      <c r="BA564" s="165"/>
      <c r="BB564" s="165"/>
      <c r="BC564" s="168"/>
      <c r="BD564" s="165"/>
      <c r="BE564" s="165"/>
      <c r="BF564" s="173"/>
      <c r="BG564" s="304"/>
      <c r="BH564" s="601"/>
      <c r="BI564" s="165"/>
      <c r="BJ564" s="167"/>
      <c r="BK564" s="165"/>
      <c r="BL564" s="190"/>
      <c r="BM564" s="167"/>
      <c r="BN564" s="165"/>
      <c r="BO564" s="173"/>
      <c r="BP564" s="190"/>
      <c r="BQ564" s="173"/>
      <c r="BR564" s="168"/>
      <c r="BS564" s="165"/>
      <c r="BT564" s="167"/>
      <c r="BU564" s="165"/>
      <c r="BV564" s="190"/>
      <c r="BW564" s="173"/>
      <c r="BX564" s="173"/>
      <c r="BY564" s="167"/>
      <c r="BZ564" s="165"/>
      <c r="CA564" s="173"/>
      <c r="CB564" s="190"/>
      <c r="CC564" s="167"/>
      <c r="CD564" s="165"/>
      <c r="CE564" s="173"/>
      <c r="CF564" s="173"/>
      <c r="CG564" s="168"/>
      <c r="CH564" s="165"/>
      <c r="CI564" s="167"/>
    </row>
    <row r="565" spans="1:87" ht="13.5" thickBot="1" x14ac:dyDescent="0.35">
      <c r="A565" s="490">
        <v>9702</v>
      </c>
      <c r="B565" s="491" t="s">
        <v>688</v>
      </c>
      <c r="C565" s="609">
        <v>1563</v>
      </c>
      <c r="D565" s="388">
        <v>566</v>
      </c>
      <c r="E565" s="389">
        <f t="shared" si="9"/>
        <v>0.36212412028150992</v>
      </c>
      <c r="F565" s="610"/>
      <c r="G565" s="610"/>
      <c r="H565" s="610"/>
      <c r="I565" s="610"/>
      <c r="J565" s="611"/>
      <c r="K565" s="610"/>
      <c r="L565" s="612"/>
      <c r="M565" s="613"/>
      <c r="N565" s="610"/>
      <c r="O565" s="610"/>
      <c r="P565" s="614"/>
      <c r="Q565" s="615"/>
      <c r="R565" s="615"/>
      <c r="S565" s="616"/>
      <c r="T565" s="610"/>
      <c r="U565" s="610"/>
      <c r="V565" s="617"/>
      <c r="W565" s="616"/>
      <c r="X565" s="618"/>
      <c r="Y565" s="614"/>
      <c r="Z565" s="611"/>
      <c r="AA565" s="610"/>
      <c r="AB565" s="615"/>
      <c r="AC565" s="616"/>
      <c r="AD565" s="610"/>
      <c r="AE565" s="618"/>
      <c r="AF565" s="617"/>
      <c r="AG565" s="617"/>
      <c r="AH565" s="610"/>
      <c r="AI565" s="611"/>
      <c r="AJ565" s="610"/>
      <c r="AK565" s="618"/>
      <c r="AL565" s="611"/>
      <c r="AM565" s="390">
        <v>377</v>
      </c>
      <c r="AN565" s="388">
        <v>179</v>
      </c>
      <c r="AO565" s="388">
        <v>197</v>
      </c>
      <c r="AP565" s="619">
        <v>211</v>
      </c>
      <c r="AQ565" s="610"/>
      <c r="AR565" s="617"/>
      <c r="AS565" s="610"/>
      <c r="AT565" s="614"/>
      <c r="AU565" s="611"/>
      <c r="AV565" s="610"/>
      <c r="AW565" s="618"/>
      <c r="AX565" s="618"/>
      <c r="AY565" s="614"/>
      <c r="AZ565" s="611"/>
      <c r="BA565" s="610"/>
      <c r="BB565" s="610"/>
      <c r="BC565" s="617"/>
      <c r="BD565" s="610"/>
      <c r="BE565" s="610"/>
      <c r="BF565" s="618"/>
      <c r="BG565" s="612"/>
      <c r="BH565" s="613"/>
      <c r="BI565" s="610"/>
      <c r="BJ565" s="611"/>
      <c r="BK565" s="610"/>
      <c r="BL565" s="614"/>
      <c r="BM565" s="611"/>
      <c r="BN565" s="610"/>
      <c r="BO565" s="618"/>
      <c r="BP565" s="614"/>
      <c r="BQ565" s="618"/>
      <c r="BR565" s="617"/>
      <c r="BS565" s="610"/>
      <c r="BT565" s="611"/>
      <c r="BU565" s="610"/>
      <c r="BV565" s="614"/>
      <c r="BW565" s="618"/>
      <c r="BX565" s="618"/>
      <c r="BY565" s="611"/>
      <c r="BZ565" s="610"/>
      <c r="CA565" s="618"/>
      <c r="CB565" s="614"/>
      <c r="CC565" s="611"/>
      <c r="CD565" s="610"/>
      <c r="CE565" s="618"/>
      <c r="CF565" s="618"/>
      <c r="CG565" s="617"/>
      <c r="CH565" s="610"/>
      <c r="CI565" s="611"/>
    </row>
    <row r="566" spans="1:87" ht="13.5" thickTop="1" x14ac:dyDescent="0.3">
      <c r="A566" s="441"/>
      <c r="B566" s="442" t="s">
        <v>4</v>
      </c>
      <c r="C566" s="624">
        <f>SUM(C4:C565)</f>
        <v>597466</v>
      </c>
      <c r="D566" s="443">
        <f>SUM(D4:D565)</f>
        <v>288751</v>
      </c>
      <c r="E566" s="625">
        <f>SUM(D566/C566)</f>
        <v>0.4832927731452501</v>
      </c>
      <c r="F566" s="626">
        <f>SUM(F4:F565)</f>
        <v>56156</v>
      </c>
      <c r="G566" s="627">
        <f>SUM(G4:G565)</f>
        <v>19835</v>
      </c>
      <c r="H566" s="627">
        <f t="shared" ref="H566:I566" si="10">SUM(H4:H565)</f>
        <v>45418</v>
      </c>
      <c r="I566" s="627">
        <f t="shared" si="10"/>
        <v>54464</v>
      </c>
      <c r="J566" s="628">
        <f t="shared" ref="J566:AD566" si="11">SUM(J4:J565)</f>
        <v>12952</v>
      </c>
      <c r="K566" s="626">
        <f t="shared" si="11"/>
        <v>2281</v>
      </c>
      <c r="L566" s="629">
        <f t="shared" si="11"/>
        <v>2537</v>
      </c>
      <c r="M566" s="630">
        <f t="shared" si="11"/>
        <v>3038</v>
      </c>
      <c r="N566" s="626">
        <f t="shared" si="11"/>
        <v>1098</v>
      </c>
      <c r="O566" s="626">
        <f t="shared" si="11"/>
        <v>1753</v>
      </c>
      <c r="P566" s="631">
        <f t="shared" si="11"/>
        <v>1174</v>
      </c>
      <c r="Q566" s="632">
        <f t="shared" si="11"/>
        <v>3174</v>
      </c>
      <c r="R566" s="632">
        <f t="shared" si="11"/>
        <v>2317</v>
      </c>
      <c r="S566" s="633">
        <f t="shared" si="11"/>
        <v>1963</v>
      </c>
      <c r="T566" s="626">
        <f t="shared" si="11"/>
        <v>3114</v>
      </c>
      <c r="U566" s="626">
        <f t="shared" si="11"/>
        <v>3297</v>
      </c>
      <c r="V566" s="634">
        <f t="shared" si="11"/>
        <v>1162</v>
      </c>
      <c r="W566" s="633">
        <f t="shared" si="11"/>
        <v>3447</v>
      </c>
      <c r="X566" s="627">
        <f t="shared" si="11"/>
        <v>1174</v>
      </c>
      <c r="Y566" s="631">
        <f t="shared" si="11"/>
        <v>1104</v>
      </c>
      <c r="Z566" s="628">
        <f t="shared" si="11"/>
        <v>3355</v>
      </c>
      <c r="AA566" s="626">
        <f t="shared" si="11"/>
        <v>2236</v>
      </c>
      <c r="AB566" s="632">
        <f t="shared" si="11"/>
        <v>2433</v>
      </c>
      <c r="AC566" s="633">
        <f t="shared" si="11"/>
        <v>0</v>
      </c>
      <c r="AD566" s="626">
        <f t="shared" si="11"/>
        <v>0</v>
      </c>
      <c r="AE566" s="627">
        <f t="shared" ref="AE566:AN566" si="12">SUM(AE4:AE565)</f>
        <v>0</v>
      </c>
      <c r="AF566" s="634">
        <f t="shared" si="12"/>
        <v>1</v>
      </c>
      <c r="AG566" s="634">
        <f t="shared" si="12"/>
        <v>4692</v>
      </c>
      <c r="AH566" s="626">
        <f t="shared" si="12"/>
        <v>1721</v>
      </c>
      <c r="AI566" s="634">
        <f t="shared" si="12"/>
        <v>1109</v>
      </c>
      <c r="AJ566" s="626">
        <f t="shared" si="12"/>
        <v>2351</v>
      </c>
      <c r="AK566" s="627">
        <f t="shared" si="12"/>
        <v>1893</v>
      </c>
      <c r="AL566" s="634">
        <f t="shared" si="12"/>
        <v>2394</v>
      </c>
      <c r="AM566" s="626">
        <f t="shared" si="12"/>
        <v>6348</v>
      </c>
      <c r="AN566" s="627">
        <f t="shared" si="12"/>
        <v>3915</v>
      </c>
      <c r="AO566" s="627">
        <f t="shared" ref="AO566:BE566" si="13">SUM(AO4:AO565)</f>
        <v>4951</v>
      </c>
      <c r="AP566" s="634">
        <f t="shared" si="13"/>
        <v>5747</v>
      </c>
      <c r="AQ566" s="626">
        <f t="shared" si="13"/>
        <v>1543</v>
      </c>
      <c r="AR566" s="634">
        <f t="shared" si="13"/>
        <v>2152</v>
      </c>
      <c r="AS566" s="626">
        <f t="shared" si="13"/>
        <v>737</v>
      </c>
      <c r="AT566" s="627">
        <f t="shared" si="13"/>
        <v>917</v>
      </c>
      <c r="AU566" s="634">
        <f t="shared" si="13"/>
        <v>497</v>
      </c>
      <c r="AV566" s="626">
        <f t="shared" si="13"/>
        <v>5527</v>
      </c>
      <c r="AW566" s="627">
        <f t="shared" si="13"/>
        <v>6566</v>
      </c>
      <c r="AX566" s="627">
        <f t="shared" si="13"/>
        <v>7096</v>
      </c>
      <c r="AY566" s="627">
        <f t="shared" si="13"/>
        <v>2943</v>
      </c>
      <c r="AZ566" s="634">
        <f t="shared" si="13"/>
        <v>2232</v>
      </c>
      <c r="BA566" s="626">
        <f t="shared" si="13"/>
        <v>4012</v>
      </c>
      <c r="BB566" s="626">
        <f t="shared" si="13"/>
        <v>3170</v>
      </c>
      <c r="BC566" s="634">
        <f t="shared" si="13"/>
        <v>3180</v>
      </c>
      <c r="BD566" s="626">
        <f t="shared" si="13"/>
        <v>926</v>
      </c>
      <c r="BE566" s="626">
        <f t="shared" si="13"/>
        <v>1491</v>
      </c>
      <c r="BF566" s="627">
        <f t="shared" ref="BF566:BP566" si="14">SUM(BF4:BF565)</f>
        <v>2314</v>
      </c>
      <c r="BG566" s="629">
        <f t="shared" si="14"/>
        <v>2226</v>
      </c>
      <c r="BH566" s="630">
        <f t="shared" si="14"/>
        <v>2902</v>
      </c>
      <c r="BI566" s="626">
        <f t="shared" si="14"/>
        <v>41115</v>
      </c>
      <c r="BJ566" s="628">
        <f t="shared" si="14"/>
        <v>41794</v>
      </c>
      <c r="BK566" s="626">
        <f t="shared" si="14"/>
        <v>1657</v>
      </c>
      <c r="BL566" s="631">
        <f t="shared" si="14"/>
        <v>1988</v>
      </c>
      <c r="BM566" s="628">
        <f t="shared" si="14"/>
        <v>2198</v>
      </c>
      <c r="BN566" s="626">
        <f t="shared" si="14"/>
        <v>8838</v>
      </c>
      <c r="BO566" s="627">
        <f t="shared" si="14"/>
        <v>9144</v>
      </c>
      <c r="BP566" s="631">
        <f t="shared" si="14"/>
        <v>10202</v>
      </c>
      <c r="BQ566" s="627">
        <f t="shared" ref="BQ566:CE566" si="15">SUM(BQ4:BQ565)</f>
        <v>11819</v>
      </c>
      <c r="BR566" s="634">
        <f t="shared" si="15"/>
        <v>966</v>
      </c>
      <c r="BS566" s="626">
        <f t="shared" si="15"/>
        <v>475</v>
      </c>
      <c r="BT566" s="628">
        <f t="shared" si="15"/>
        <v>429</v>
      </c>
      <c r="BU566" s="626">
        <f t="shared" si="15"/>
        <v>7771</v>
      </c>
      <c r="BV566" s="631">
        <f t="shared" si="15"/>
        <v>8062</v>
      </c>
      <c r="BW566" s="627">
        <f t="shared" si="15"/>
        <v>6567</v>
      </c>
      <c r="BX566" s="627">
        <f t="shared" si="15"/>
        <v>8980</v>
      </c>
      <c r="BY566" s="634">
        <f t="shared" si="15"/>
        <v>4967</v>
      </c>
      <c r="BZ566" s="626">
        <f t="shared" si="15"/>
        <v>7104</v>
      </c>
      <c r="CA566" s="627">
        <f t="shared" si="15"/>
        <v>15164</v>
      </c>
      <c r="CB566" s="631">
        <f t="shared" si="15"/>
        <v>4695</v>
      </c>
      <c r="CC566" s="628">
        <f t="shared" si="15"/>
        <v>11115</v>
      </c>
      <c r="CD566" s="626">
        <f t="shared" si="15"/>
        <v>4519</v>
      </c>
      <c r="CE566" s="627">
        <f t="shared" si="15"/>
        <v>3264</v>
      </c>
      <c r="CF566" s="627">
        <f>SUM(CF4:CF565)</f>
        <v>3815</v>
      </c>
      <c r="CG566" s="634">
        <f>SUM(CG4:CG565)</f>
        <v>2482</v>
      </c>
      <c r="CH566" s="626">
        <f>SUM(CH4:CH565)</f>
        <v>4236</v>
      </c>
      <c r="CI566" s="634">
        <f>SUM(CI4:CI565)</f>
        <v>201</v>
      </c>
    </row>
    <row r="567" spans="1:87" x14ac:dyDescent="0.3">
      <c r="A567" s="454"/>
      <c r="B567" s="15" t="s">
        <v>5</v>
      </c>
      <c r="C567" s="472"/>
      <c r="D567" s="309">
        <f>SUM(D566-D568)</f>
        <v>227468</v>
      </c>
      <c r="E567" s="480">
        <f>SUM(D567/C566)</f>
        <v>0.38072124606253743</v>
      </c>
      <c r="F567" s="232">
        <f t="shared" ref="F567:J567" si="16">SUM(F566-F568)</f>
        <v>38358</v>
      </c>
      <c r="G567" s="233">
        <f t="shared" si="16"/>
        <v>13915</v>
      </c>
      <c r="H567" s="233">
        <f t="shared" ref="H567:I567" si="17">SUM(H566-H568)</f>
        <v>30443</v>
      </c>
      <c r="I567" s="233">
        <f t="shared" si="17"/>
        <v>37517</v>
      </c>
      <c r="J567" s="241">
        <f t="shared" si="16"/>
        <v>10294</v>
      </c>
      <c r="K567" s="232">
        <f t="shared" ref="K567:AV567" si="18">SUM(K566-K568)</f>
        <v>1833</v>
      </c>
      <c r="L567" s="317">
        <f t="shared" si="18"/>
        <v>2059</v>
      </c>
      <c r="M567" s="603">
        <f>SUM(M566-M568)</f>
        <v>2493</v>
      </c>
      <c r="N567" s="232">
        <f t="shared" si="18"/>
        <v>927</v>
      </c>
      <c r="O567" s="232">
        <f t="shared" ref="O567:Q567" si="19">SUM(O566-O568)</f>
        <v>1345</v>
      </c>
      <c r="P567" s="288">
        <f t="shared" si="19"/>
        <v>1011</v>
      </c>
      <c r="Q567" s="289">
        <f t="shared" si="19"/>
        <v>2348</v>
      </c>
      <c r="R567" s="289">
        <f t="shared" si="18"/>
        <v>1735</v>
      </c>
      <c r="S567" s="290">
        <f t="shared" si="18"/>
        <v>1642</v>
      </c>
      <c r="T567" s="232">
        <f t="shared" si="18"/>
        <v>2484</v>
      </c>
      <c r="U567" s="232">
        <f t="shared" ref="U567" si="20">SUM(U566-U568)</f>
        <v>2636</v>
      </c>
      <c r="V567" s="234">
        <f t="shared" si="18"/>
        <v>962</v>
      </c>
      <c r="W567" s="290">
        <f t="shared" si="18"/>
        <v>2587</v>
      </c>
      <c r="X567" s="233">
        <f t="shared" si="18"/>
        <v>933</v>
      </c>
      <c r="Y567" s="288">
        <f>SUM(Y566-Y568)</f>
        <v>867</v>
      </c>
      <c r="Z567" s="241">
        <f t="shared" si="18"/>
        <v>2484</v>
      </c>
      <c r="AA567" s="232">
        <f t="shared" si="18"/>
        <v>1734</v>
      </c>
      <c r="AB567" s="289">
        <f t="shared" si="18"/>
        <v>1965</v>
      </c>
      <c r="AC567" s="290">
        <f t="shared" si="18"/>
        <v>0</v>
      </c>
      <c r="AD567" s="232">
        <f t="shared" ref="AD567" si="21">SUM(AD566-AD568)</f>
        <v>0</v>
      </c>
      <c r="AE567" s="233">
        <f t="shared" ref="AE567" si="22">SUM(AE566-AE568)</f>
        <v>0</v>
      </c>
      <c r="AF567" s="234">
        <f t="shared" si="18"/>
        <v>1</v>
      </c>
      <c r="AG567" s="234">
        <f t="shared" si="18"/>
        <v>3911</v>
      </c>
      <c r="AH567" s="232">
        <f t="shared" si="18"/>
        <v>1387</v>
      </c>
      <c r="AI567" s="234">
        <f t="shared" si="18"/>
        <v>878</v>
      </c>
      <c r="AJ567" s="232">
        <f t="shared" si="18"/>
        <v>1652</v>
      </c>
      <c r="AK567" s="233">
        <f>SUM(AK566-AK568)</f>
        <v>1345</v>
      </c>
      <c r="AL567" s="234">
        <f t="shared" si="18"/>
        <v>1473</v>
      </c>
      <c r="AM567" s="232">
        <f t="shared" si="18"/>
        <v>4970</v>
      </c>
      <c r="AN567" s="233">
        <f t="shared" ref="AN567" si="23">SUM(AN566-AN568)</f>
        <v>3145</v>
      </c>
      <c r="AO567" s="233">
        <f t="shared" ref="AO567" si="24">SUM(AO566-AO568)</f>
        <v>3993</v>
      </c>
      <c r="AP567" s="234">
        <f t="shared" si="18"/>
        <v>4579</v>
      </c>
      <c r="AQ567" s="232">
        <f t="shared" si="18"/>
        <v>1301</v>
      </c>
      <c r="AR567" s="234">
        <f t="shared" si="18"/>
        <v>1820</v>
      </c>
      <c r="AS567" s="232">
        <f t="shared" si="18"/>
        <v>603</v>
      </c>
      <c r="AT567" s="233">
        <f t="shared" ref="AT567" si="25">SUM(AT566-AT568)</f>
        <v>751</v>
      </c>
      <c r="AU567" s="234">
        <f t="shared" si="18"/>
        <v>399</v>
      </c>
      <c r="AV567" s="232">
        <f t="shared" si="18"/>
        <v>4327</v>
      </c>
      <c r="AW567" s="233">
        <f t="shared" ref="AW567:AY567" si="26">SUM(AW566-AW568)</f>
        <v>4947</v>
      </c>
      <c r="AX567" s="232">
        <f t="shared" si="26"/>
        <v>5280</v>
      </c>
      <c r="AY567" s="233">
        <f t="shared" si="26"/>
        <v>2269</v>
      </c>
      <c r="AZ567" s="234">
        <f t="shared" ref="AZ567:CI567" si="27">SUM(AZ566-AZ568)</f>
        <v>1666</v>
      </c>
      <c r="BA567" s="232">
        <f t="shared" si="27"/>
        <v>3291</v>
      </c>
      <c r="BB567" s="232">
        <f t="shared" si="27"/>
        <v>2455</v>
      </c>
      <c r="BC567" s="234">
        <f>SUM(BC566-BC568)</f>
        <v>2689</v>
      </c>
      <c r="BD567" s="232">
        <f t="shared" si="27"/>
        <v>740</v>
      </c>
      <c r="BE567" s="232">
        <f t="shared" si="27"/>
        <v>1172</v>
      </c>
      <c r="BF567" s="233">
        <f t="shared" si="27"/>
        <v>1654</v>
      </c>
      <c r="BG567" s="317">
        <f t="shared" si="27"/>
        <v>1579</v>
      </c>
      <c r="BH567" s="603">
        <f t="shared" si="27"/>
        <v>2143</v>
      </c>
      <c r="BI567" s="232">
        <f t="shared" si="27"/>
        <v>34434</v>
      </c>
      <c r="BJ567" s="241">
        <f t="shared" si="27"/>
        <v>34928</v>
      </c>
      <c r="BK567" s="232">
        <f t="shared" si="27"/>
        <v>1269</v>
      </c>
      <c r="BL567" s="288">
        <f t="shared" si="27"/>
        <v>1540</v>
      </c>
      <c r="BM567" s="241">
        <f t="shared" si="27"/>
        <v>1757</v>
      </c>
      <c r="BN567" s="232">
        <f t="shared" si="27"/>
        <v>7520</v>
      </c>
      <c r="BO567" s="233">
        <f t="shared" si="27"/>
        <v>7791</v>
      </c>
      <c r="BP567" s="288">
        <f t="shared" si="27"/>
        <v>7713</v>
      </c>
      <c r="BQ567" s="233">
        <f t="shared" si="27"/>
        <v>9032</v>
      </c>
      <c r="BR567" s="234">
        <f t="shared" si="27"/>
        <v>808</v>
      </c>
      <c r="BS567" s="232">
        <f t="shared" si="27"/>
        <v>428</v>
      </c>
      <c r="BT567" s="241">
        <f t="shared" si="27"/>
        <v>394</v>
      </c>
      <c r="BU567" s="232">
        <f t="shared" si="27"/>
        <v>6666</v>
      </c>
      <c r="BV567" s="288">
        <f t="shared" ref="BV567:BW567" si="28">SUM(BV566-BV568)</f>
        <v>6807</v>
      </c>
      <c r="BW567" s="233">
        <f t="shared" si="28"/>
        <v>5314</v>
      </c>
      <c r="BX567" s="233">
        <f>SUM(BX566-BX568)</f>
        <v>7659</v>
      </c>
      <c r="BY567" s="234">
        <f t="shared" si="27"/>
        <v>4134</v>
      </c>
      <c r="BZ567" s="232">
        <f t="shared" si="27"/>
        <v>5850</v>
      </c>
      <c r="CA567" s="233">
        <f t="shared" ref="CA567:CB567" si="29">SUM(CA566-CA568)</f>
        <v>13377</v>
      </c>
      <c r="CB567" s="288">
        <f t="shared" si="29"/>
        <v>3821</v>
      </c>
      <c r="CC567" s="241">
        <f t="shared" si="27"/>
        <v>9801</v>
      </c>
      <c r="CD567" s="232">
        <f t="shared" si="27"/>
        <v>4029</v>
      </c>
      <c r="CE567" s="233">
        <f t="shared" si="27"/>
        <v>2920</v>
      </c>
      <c r="CF567" s="233">
        <f t="shared" ref="CF567" si="30">SUM(CF566-CF568)</f>
        <v>3400</v>
      </c>
      <c r="CG567" s="234">
        <f t="shared" si="27"/>
        <v>2248</v>
      </c>
      <c r="CH567" s="232">
        <f t="shared" si="27"/>
        <v>3699</v>
      </c>
      <c r="CI567" s="234">
        <f t="shared" si="27"/>
        <v>191</v>
      </c>
    </row>
    <row r="568" spans="1:87" ht="13.5" thickBot="1" x14ac:dyDescent="0.35">
      <c r="A568" s="455"/>
      <c r="B568" s="425" t="s">
        <v>6</v>
      </c>
      <c r="C568" s="635"/>
      <c r="D568" s="456">
        <v>61283</v>
      </c>
      <c r="E568" s="636">
        <f>SUM(D568/C566)</f>
        <v>0.10257152708271265</v>
      </c>
      <c r="F568" s="637">
        <v>17798</v>
      </c>
      <c r="G568" s="638">
        <v>5920</v>
      </c>
      <c r="H568" s="638">
        <v>14975</v>
      </c>
      <c r="I568" s="638">
        <v>16947</v>
      </c>
      <c r="J568" s="639">
        <v>2658</v>
      </c>
      <c r="K568" s="637">
        <v>448</v>
      </c>
      <c r="L568" s="640">
        <v>478</v>
      </c>
      <c r="M568" s="641">
        <v>545</v>
      </c>
      <c r="N568" s="637">
        <v>171</v>
      </c>
      <c r="O568" s="637">
        <v>408</v>
      </c>
      <c r="P568" s="642">
        <v>163</v>
      </c>
      <c r="Q568" s="643">
        <v>826</v>
      </c>
      <c r="R568" s="643">
        <v>582</v>
      </c>
      <c r="S568" s="644">
        <v>321</v>
      </c>
      <c r="T568" s="637">
        <v>630</v>
      </c>
      <c r="U568" s="637">
        <v>661</v>
      </c>
      <c r="V568" s="645">
        <v>200</v>
      </c>
      <c r="W568" s="644">
        <v>860</v>
      </c>
      <c r="X568" s="638">
        <v>241</v>
      </c>
      <c r="Y568" s="642">
        <v>237</v>
      </c>
      <c r="Z568" s="639">
        <v>871</v>
      </c>
      <c r="AA568" s="637">
        <v>502</v>
      </c>
      <c r="AB568" s="643">
        <v>468</v>
      </c>
      <c r="AC568" s="644">
        <v>0</v>
      </c>
      <c r="AD568" s="637">
        <v>0</v>
      </c>
      <c r="AE568" s="638">
        <v>0</v>
      </c>
      <c r="AF568" s="645">
        <v>0</v>
      </c>
      <c r="AG568" s="645">
        <v>781</v>
      </c>
      <c r="AH568" s="637">
        <v>334</v>
      </c>
      <c r="AI568" s="645">
        <v>231</v>
      </c>
      <c r="AJ568" s="637">
        <v>699</v>
      </c>
      <c r="AK568" s="638">
        <v>548</v>
      </c>
      <c r="AL568" s="645">
        <v>921</v>
      </c>
      <c r="AM568" s="637">
        <v>1378</v>
      </c>
      <c r="AN568" s="638">
        <v>770</v>
      </c>
      <c r="AO568" s="638">
        <v>958</v>
      </c>
      <c r="AP568" s="645">
        <v>1168</v>
      </c>
      <c r="AQ568" s="637">
        <v>242</v>
      </c>
      <c r="AR568" s="645">
        <v>332</v>
      </c>
      <c r="AS568" s="637">
        <v>134</v>
      </c>
      <c r="AT568" s="638">
        <v>166</v>
      </c>
      <c r="AU568" s="645">
        <v>98</v>
      </c>
      <c r="AV568" s="637">
        <v>1200</v>
      </c>
      <c r="AW568" s="638">
        <v>1619</v>
      </c>
      <c r="AX568" s="637">
        <v>1816</v>
      </c>
      <c r="AY568" s="638">
        <v>674</v>
      </c>
      <c r="AZ568" s="645">
        <v>566</v>
      </c>
      <c r="BA568" s="637">
        <v>721</v>
      </c>
      <c r="BB568" s="637">
        <v>715</v>
      </c>
      <c r="BC568" s="645">
        <v>491</v>
      </c>
      <c r="BD568" s="637">
        <v>186</v>
      </c>
      <c r="BE568" s="637">
        <v>319</v>
      </c>
      <c r="BF568" s="638">
        <v>660</v>
      </c>
      <c r="BG568" s="640">
        <v>647</v>
      </c>
      <c r="BH568" s="641">
        <v>759</v>
      </c>
      <c r="BI568" s="637">
        <v>6681</v>
      </c>
      <c r="BJ568" s="639">
        <v>6866</v>
      </c>
      <c r="BK568" s="637">
        <v>388</v>
      </c>
      <c r="BL568" s="642">
        <v>448</v>
      </c>
      <c r="BM568" s="639">
        <v>441</v>
      </c>
      <c r="BN568" s="637">
        <v>1318</v>
      </c>
      <c r="BO568" s="638">
        <v>1353</v>
      </c>
      <c r="BP568" s="642">
        <v>2489</v>
      </c>
      <c r="BQ568" s="638">
        <v>2787</v>
      </c>
      <c r="BR568" s="645">
        <v>158</v>
      </c>
      <c r="BS568" s="637">
        <v>47</v>
      </c>
      <c r="BT568" s="639">
        <v>35</v>
      </c>
      <c r="BU568" s="637">
        <v>1105</v>
      </c>
      <c r="BV568" s="642">
        <v>1255</v>
      </c>
      <c r="BW568" s="638">
        <v>1253</v>
      </c>
      <c r="BX568" s="638">
        <v>1321</v>
      </c>
      <c r="BY568" s="645">
        <v>833</v>
      </c>
      <c r="BZ568" s="637">
        <v>1254</v>
      </c>
      <c r="CA568" s="638">
        <v>1787</v>
      </c>
      <c r="CB568" s="642">
        <v>874</v>
      </c>
      <c r="CC568" s="639">
        <v>1314</v>
      </c>
      <c r="CD568" s="637">
        <v>490</v>
      </c>
      <c r="CE568" s="638">
        <v>344</v>
      </c>
      <c r="CF568" s="638">
        <v>415</v>
      </c>
      <c r="CG568" s="645">
        <v>234</v>
      </c>
      <c r="CH568" s="637">
        <v>537</v>
      </c>
      <c r="CI568" s="645">
        <v>10</v>
      </c>
    </row>
    <row r="569" spans="1:87" ht="13.5" thickTop="1" x14ac:dyDescent="0.3">
      <c r="A569" s="26"/>
      <c r="B569" s="420"/>
      <c r="C569" s="422"/>
      <c r="D569" s="421"/>
      <c r="E569" s="366"/>
      <c r="F569" s="500"/>
      <c r="G569" s="579"/>
      <c r="H569" s="579"/>
      <c r="I569" s="579"/>
      <c r="J569" s="620"/>
      <c r="K569" s="500"/>
      <c r="L569" s="501"/>
      <c r="M569" s="575"/>
      <c r="N569" s="500"/>
      <c r="O569" s="500"/>
      <c r="P569" s="621"/>
      <c r="Q569" s="622"/>
      <c r="R569" s="622"/>
      <c r="S569" s="623"/>
      <c r="T569" s="500"/>
      <c r="U569" s="500"/>
      <c r="V569" s="502"/>
      <c r="W569" s="623"/>
      <c r="X569" s="579"/>
      <c r="Y569" s="621"/>
      <c r="Z569" s="620"/>
      <c r="AA569" s="500"/>
      <c r="AB569" s="622"/>
      <c r="AC569" s="623"/>
      <c r="AD569" s="500"/>
      <c r="AE569" s="579"/>
      <c r="AF569" s="502"/>
      <c r="AG569" s="502"/>
      <c r="AH569" s="500"/>
      <c r="AI569" s="502"/>
      <c r="AJ569" s="500"/>
      <c r="AK569" s="579"/>
      <c r="AL569" s="502"/>
      <c r="AM569" s="500"/>
      <c r="AN569" s="579"/>
      <c r="AO569" s="579"/>
      <c r="AP569" s="502"/>
      <c r="AQ569" s="500"/>
      <c r="AR569" s="502"/>
      <c r="AS569" s="500"/>
      <c r="AT569" s="579"/>
      <c r="AU569" s="502"/>
      <c r="AV569" s="500"/>
      <c r="AW569" s="579"/>
      <c r="AX569" s="500"/>
      <c r="AY569" s="579"/>
      <c r="AZ569" s="502"/>
      <c r="BA569" s="500"/>
      <c r="BB569" s="500"/>
      <c r="BC569" s="502"/>
      <c r="BD569" s="500"/>
      <c r="BE569" s="500"/>
      <c r="BF569" s="579"/>
      <c r="BG569" s="501"/>
      <c r="BH569" s="575"/>
      <c r="BI569" s="500"/>
      <c r="BJ569" s="620"/>
      <c r="BK569" s="500"/>
      <c r="BL569" s="621"/>
      <c r="BM569" s="620"/>
      <c r="BN569" s="500"/>
      <c r="BO569" s="579"/>
      <c r="BP569" s="621"/>
      <c r="BQ569" s="579"/>
      <c r="BR569" s="502"/>
      <c r="BS569" s="500"/>
      <c r="BT569" s="620"/>
      <c r="BU569" s="500"/>
      <c r="BV569" s="621"/>
      <c r="BW569" s="579"/>
      <c r="BX569" s="579"/>
      <c r="BY569" s="502"/>
      <c r="BZ569" s="500"/>
      <c r="CA569" s="579"/>
      <c r="CB569" s="621"/>
      <c r="CC569" s="620"/>
      <c r="CD569" s="500"/>
      <c r="CE569" s="579"/>
      <c r="CF569" s="579"/>
      <c r="CG569" s="502"/>
      <c r="CH569" s="500"/>
      <c r="CI569" s="502"/>
    </row>
    <row r="570" spans="1:87" x14ac:dyDescent="0.3">
      <c r="B570" s="7" t="s">
        <v>774</v>
      </c>
      <c r="C570" s="473">
        <f>SUM(C4:C193)</f>
        <v>219787</v>
      </c>
      <c r="D570" s="236">
        <f>SUM(D4:D193)</f>
        <v>87868</v>
      </c>
      <c r="E570" s="367">
        <f t="shared" ref="E570:E633" si="31">SUM(D570/C570)</f>
        <v>0.39978706656899632</v>
      </c>
      <c r="F570" s="49">
        <f t="shared" ref="F570:AK570" si="32">SUM(F4:F193)</f>
        <v>49866</v>
      </c>
      <c r="G570" s="49">
        <f t="shared" si="32"/>
        <v>17007</v>
      </c>
      <c r="H570" s="49">
        <f t="shared" si="32"/>
        <v>40645</v>
      </c>
      <c r="I570" s="49">
        <f t="shared" si="32"/>
        <v>49002</v>
      </c>
      <c r="J570" s="50">
        <f t="shared" si="32"/>
        <v>9967</v>
      </c>
      <c r="K570" s="49">
        <f t="shared" si="32"/>
        <v>0</v>
      </c>
      <c r="L570" s="231">
        <f t="shared" si="32"/>
        <v>0</v>
      </c>
      <c r="M570" s="543">
        <f t="shared" si="32"/>
        <v>0</v>
      </c>
      <c r="N570" s="49">
        <f t="shared" si="32"/>
        <v>0</v>
      </c>
      <c r="O570" s="235">
        <f t="shared" si="32"/>
        <v>0</v>
      </c>
      <c r="P570" s="291">
        <f t="shared" si="32"/>
        <v>0</v>
      </c>
      <c r="Q570" s="63">
        <f t="shared" si="32"/>
        <v>0</v>
      </c>
      <c r="R570" s="63">
        <f t="shared" si="32"/>
        <v>0</v>
      </c>
      <c r="S570" s="62">
        <f t="shared" si="32"/>
        <v>0</v>
      </c>
      <c r="T570" s="49">
        <f t="shared" si="32"/>
        <v>0</v>
      </c>
      <c r="U570" s="49">
        <f t="shared" si="32"/>
        <v>0</v>
      </c>
      <c r="V570" s="82">
        <f t="shared" si="32"/>
        <v>0</v>
      </c>
      <c r="W570" s="62">
        <f t="shared" si="32"/>
        <v>0</v>
      </c>
      <c r="X570" s="235">
        <f t="shared" si="32"/>
        <v>0</v>
      </c>
      <c r="Y570" s="291">
        <f t="shared" si="32"/>
        <v>0</v>
      </c>
      <c r="Z570" s="50">
        <f t="shared" si="32"/>
        <v>0</v>
      </c>
      <c r="AA570" s="49">
        <f t="shared" si="32"/>
        <v>0</v>
      </c>
      <c r="AB570" s="63">
        <f t="shared" si="32"/>
        <v>0</v>
      </c>
      <c r="AC570" s="62">
        <f t="shared" si="32"/>
        <v>0</v>
      </c>
      <c r="AD570" s="49">
        <f t="shared" si="32"/>
        <v>0</v>
      </c>
      <c r="AE570" s="235">
        <f t="shared" si="32"/>
        <v>0</v>
      </c>
      <c r="AF570" s="82">
        <f t="shared" si="32"/>
        <v>0</v>
      </c>
      <c r="AG570" s="82">
        <f t="shared" si="32"/>
        <v>0</v>
      </c>
      <c r="AH570" s="49">
        <f t="shared" si="32"/>
        <v>0</v>
      </c>
      <c r="AI570" s="82">
        <f t="shared" si="32"/>
        <v>0</v>
      </c>
      <c r="AJ570" s="49">
        <f t="shared" si="32"/>
        <v>0</v>
      </c>
      <c r="AK570" s="235">
        <f t="shared" si="32"/>
        <v>0</v>
      </c>
      <c r="AL570" s="82">
        <f t="shared" ref="AL570:BQ570" si="33">SUM(AL4:AL193)</f>
        <v>0</v>
      </c>
      <c r="AM570" s="49">
        <f t="shared" si="33"/>
        <v>0</v>
      </c>
      <c r="AN570" s="235">
        <f t="shared" si="33"/>
        <v>0</v>
      </c>
      <c r="AO570" s="235">
        <f t="shared" si="33"/>
        <v>0</v>
      </c>
      <c r="AP570" s="82">
        <f t="shared" si="33"/>
        <v>0</v>
      </c>
      <c r="AQ570" s="49">
        <f t="shared" si="33"/>
        <v>0</v>
      </c>
      <c r="AR570" s="82">
        <f t="shared" si="33"/>
        <v>0</v>
      </c>
      <c r="AS570" s="49">
        <f t="shared" si="33"/>
        <v>0</v>
      </c>
      <c r="AT570" s="235">
        <f t="shared" si="33"/>
        <v>0</v>
      </c>
      <c r="AU570" s="82">
        <f t="shared" si="33"/>
        <v>0</v>
      </c>
      <c r="AV570" s="49">
        <f t="shared" si="33"/>
        <v>0</v>
      </c>
      <c r="AW570" s="235">
        <f t="shared" si="33"/>
        <v>0</v>
      </c>
      <c r="AX570" s="49">
        <f t="shared" si="33"/>
        <v>0</v>
      </c>
      <c r="AY570" s="235">
        <f t="shared" si="33"/>
        <v>0</v>
      </c>
      <c r="AZ570" s="82">
        <f t="shared" si="33"/>
        <v>0</v>
      </c>
      <c r="BA570" s="49">
        <f t="shared" si="33"/>
        <v>0</v>
      </c>
      <c r="BB570" s="49">
        <f t="shared" si="33"/>
        <v>0</v>
      </c>
      <c r="BC570" s="82">
        <f t="shared" si="33"/>
        <v>0</v>
      </c>
      <c r="BD570" s="49">
        <f t="shared" si="33"/>
        <v>0</v>
      </c>
      <c r="BE570" s="49">
        <f t="shared" si="33"/>
        <v>0</v>
      </c>
      <c r="BF570" s="235">
        <f t="shared" si="33"/>
        <v>0</v>
      </c>
      <c r="BG570" s="231">
        <f t="shared" si="33"/>
        <v>0</v>
      </c>
      <c r="BH570" s="543">
        <f t="shared" si="33"/>
        <v>0</v>
      </c>
      <c r="BI570" s="49">
        <f t="shared" si="33"/>
        <v>0</v>
      </c>
      <c r="BJ570" s="50">
        <f t="shared" si="33"/>
        <v>0</v>
      </c>
      <c r="BK570" s="49">
        <f t="shared" si="33"/>
        <v>0</v>
      </c>
      <c r="BL570" s="291">
        <f t="shared" si="33"/>
        <v>0</v>
      </c>
      <c r="BM570" s="50">
        <f t="shared" si="33"/>
        <v>0</v>
      </c>
      <c r="BN570" s="49">
        <f t="shared" si="33"/>
        <v>0</v>
      </c>
      <c r="BO570" s="235">
        <f t="shared" si="33"/>
        <v>0</v>
      </c>
      <c r="BP570" s="291">
        <f t="shared" si="33"/>
        <v>0</v>
      </c>
      <c r="BQ570" s="235">
        <f t="shared" si="33"/>
        <v>0</v>
      </c>
      <c r="BR570" s="82">
        <f t="shared" ref="BR570:CI570" si="34">SUM(BR4:BR193)</f>
        <v>0</v>
      </c>
      <c r="BS570" s="49">
        <f t="shared" si="34"/>
        <v>0</v>
      </c>
      <c r="BT570" s="50">
        <f t="shared" si="34"/>
        <v>0</v>
      </c>
      <c r="BU570" s="49">
        <f t="shared" si="34"/>
        <v>0</v>
      </c>
      <c r="BV570" s="291">
        <f t="shared" si="34"/>
        <v>0</v>
      </c>
      <c r="BW570" s="235">
        <f t="shared" si="34"/>
        <v>0</v>
      </c>
      <c r="BX570" s="235">
        <f t="shared" si="34"/>
        <v>0</v>
      </c>
      <c r="BY570" s="82">
        <f t="shared" si="34"/>
        <v>0</v>
      </c>
      <c r="BZ570" s="49">
        <f t="shared" si="34"/>
        <v>0</v>
      </c>
      <c r="CA570" s="235">
        <f t="shared" si="34"/>
        <v>2</v>
      </c>
      <c r="CB570" s="291">
        <f t="shared" si="34"/>
        <v>0</v>
      </c>
      <c r="CC570" s="50">
        <f t="shared" si="34"/>
        <v>2</v>
      </c>
      <c r="CD570" s="49">
        <f t="shared" si="34"/>
        <v>0</v>
      </c>
      <c r="CE570" s="235">
        <f t="shared" si="34"/>
        <v>0</v>
      </c>
      <c r="CF570" s="235">
        <f t="shared" si="34"/>
        <v>0</v>
      </c>
      <c r="CG570" s="82">
        <f t="shared" si="34"/>
        <v>0</v>
      </c>
      <c r="CH570" s="49">
        <f t="shared" si="34"/>
        <v>0</v>
      </c>
      <c r="CI570" s="82">
        <f t="shared" si="34"/>
        <v>0</v>
      </c>
    </row>
    <row r="571" spans="1:87" x14ac:dyDescent="0.3">
      <c r="B571" s="7" t="s">
        <v>689</v>
      </c>
      <c r="C571" s="322">
        <f>SUM(C4:C16)</f>
        <v>13154</v>
      </c>
      <c r="D571" s="235">
        <f>SUM(D4:D16)</f>
        <v>7182</v>
      </c>
      <c r="E571" s="367">
        <f t="shared" si="31"/>
        <v>0.54599361410977654</v>
      </c>
      <c r="F571" s="49">
        <f t="shared" ref="F571:AK571" si="35">SUM(F4:F16)</f>
        <v>3695</v>
      </c>
      <c r="G571" s="49">
        <f t="shared" si="35"/>
        <v>1185</v>
      </c>
      <c r="H571" s="49">
        <f t="shared" si="35"/>
        <v>3327</v>
      </c>
      <c r="I571" s="49">
        <f t="shared" si="35"/>
        <v>3355</v>
      </c>
      <c r="J571" s="50">
        <f t="shared" si="35"/>
        <v>1096</v>
      </c>
      <c r="K571" s="49">
        <f t="shared" si="35"/>
        <v>0</v>
      </c>
      <c r="L571" s="231">
        <f t="shared" si="35"/>
        <v>0</v>
      </c>
      <c r="M571" s="543">
        <f t="shared" si="35"/>
        <v>0</v>
      </c>
      <c r="N571" s="49">
        <f t="shared" si="35"/>
        <v>0</v>
      </c>
      <c r="O571" s="235">
        <f t="shared" si="35"/>
        <v>0</v>
      </c>
      <c r="P571" s="291">
        <f t="shared" si="35"/>
        <v>0</v>
      </c>
      <c r="Q571" s="63">
        <f t="shared" si="35"/>
        <v>0</v>
      </c>
      <c r="R571" s="63">
        <f t="shared" si="35"/>
        <v>0</v>
      </c>
      <c r="S571" s="62">
        <f t="shared" si="35"/>
        <v>0</v>
      </c>
      <c r="T571" s="49">
        <f t="shared" si="35"/>
        <v>0</v>
      </c>
      <c r="U571" s="49">
        <f t="shared" si="35"/>
        <v>0</v>
      </c>
      <c r="V571" s="82">
        <f t="shared" si="35"/>
        <v>0</v>
      </c>
      <c r="W571" s="62">
        <f t="shared" si="35"/>
        <v>0</v>
      </c>
      <c r="X571" s="235">
        <f t="shared" si="35"/>
        <v>0</v>
      </c>
      <c r="Y571" s="291">
        <f t="shared" si="35"/>
        <v>0</v>
      </c>
      <c r="Z571" s="50">
        <f t="shared" si="35"/>
        <v>0</v>
      </c>
      <c r="AA571" s="49">
        <f t="shared" si="35"/>
        <v>0</v>
      </c>
      <c r="AB571" s="63">
        <f t="shared" si="35"/>
        <v>0</v>
      </c>
      <c r="AC571" s="62">
        <f t="shared" si="35"/>
        <v>0</v>
      </c>
      <c r="AD571" s="49">
        <f t="shared" si="35"/>
        <v>0</v>
      </c>
      <c r="AE571" s="235">
        <f t="shared" si="35"/>
        <v>0</v>
      </c>
      <c r="AF571" s="82">
        <f t="shared" si="35"/>
        <v>0</v>
      </c>
      <c r="AG571" s="82">
        <f t="shared" si="35"/>
        <v>0</v>
      </c>
      <c r="AH571" s="49">
        <f t="shared" si="35"/>
        <v>0</v>
      </c>
      <c r="AI571" s="82">
        <f t="shared" si="35"/>
        <v>0</v>
      </c>
      <c r="AJ571" s="49">
        <f t="shared" si="35"/>
        <v>0</v>
      </c>
      <c r="AK571" s="235">
        <f t="shared" si="35"/>
        <v>0</v>
      </c>
      <c r="AL571" s="82">
        <f t="shared" ref="AL571:BQ571" si="36">SUM(AL4:AL16)</f>
        <v>0</v>
      </c>
      <c r="AM571" s="49">
        <f t="shared" si="36"/>
        <v>0</v>
      </c>
      <c r="AN571" s="235">
        <f t="shared" si="36"/>
        <v>0</v>
      </c>
      <c r="AO571" s="235">
        <f t="shared" si="36"/>
        <v>0</v>
      </c>
      <c r="AP571" s="82">
        <f t="shared" si="36"/>
        <v>0</v>
      </c>
      <c r="AQ571" s="49">
        <f t="shared" si="36"/>
        <v>0</v>
      </c>
      <c r="AR571" s="82">
        <f t="shared" si="36"/>
        <v>0</v>
      </c>
      <c r="AS571" s="49">
        <f t="shared" si="36"/>
        <v>0</v>
      </c>
      <c r="AT571" s="235">
        <f t="shared" si="36"/>
        <v>0</v>
      </c>
      <c r="AU571" s="82">
        <f t="shared" si="36"/>
        <v>0</v>
      </c>
      <c r="AV571" s="49">
        <f t="shared" si="36"/>
        <v>0</v>
      </c>
      <c r="AW571" s="235">
        <f t="shared" si="36"/>
        <v>0</v>
      </c>
      <c r="AX571" s="49">
        <f t="shared" si="36"/>
        <v>0</v>
      </c>
      <c r="AY571" s="235">
        <f t="shared" si="36"/>
        <v>0</v>
      </c>
      <c r="AZ571" s="82">
        <f t="shared" si="36"/>
        <v>0</v>
      </c>
      <c r="BA571" s="49">
        <f t="shared" si="36"/>
        <v>0</v>
      </c>
      <c r="BB571" s="49">
        <f t="shared" si="36"/>
        <v>0</v>
      </c>
      <c r="BC571" s="82">
        <f t="shared" si="36"/>
        <v>0</v>
      </c>
      <c r="BD571" s="49">
        <f t="shared" si="36"/>
        <v>0</v>
      </c>
      <c r="BE571" s="49">
        <f t="shared" si="36"/>
        <v>0</v>
      </c>
      <c r="BF571" s="235">
        <f t="shared" si="36"/>
        <v>0</v>
      </c>
      <c r="BG571" s="231">
        <f t="shared" si="36"/>
        <v>0</v>
      </c>
      <c r="BH571" s="543">
        <f t="shared" si="36"/>
        <v>0</v>
      </c>
      <c r="BI571" s="49">
        <f t="shared" si="36"/>
        <v>0</v>
      </c>
      <c r="BJ571" s="50">
        <f t="shared" si="36"/>
        <v>0</v>
      </c>
      <c r="BK571" s="49">
        <f t="shared" si="36"/>
        <v>0</v>
      </c>
      <c r="BL571" s="291">
        <f t="shared" si="36"/>
        <v>0</v>
      </c>
      <c r="BM571" s="50">
        <f t="shared" si="36"/>
        <v>0</v>
      </c>
      <c r="BN571" s="49">
        <f t="shared" si="36"/>
        <v>0</v>
      </c>
      <c r="BO571" s="235">
        <f t="shared" si="36"/>
        <v>0</v>
      </c>
      <c r="BP571" s="291">
        <f t="shared" si="36"/>
        <v>0</v>
      </c>
      <c r="BQ571" s="235">
        <f t="shared" si="36"/>
        <v>0</v>
      </c>
      <c r="BR571" s="82">
        <f t="shared" ref="BR571:CI571" si="37">SUM(BR4:BR16)</f>
        <v>0</v>
      </c>
      <c r="BS571" s="49">
        <f t="shared" si="37"/>
        <v>0</v>
      </c>
      <c r="BT571" s="50">
        <f t="shared" si="37"/>
        <v>0</v>
      </c>
      <c r="BU571" s="49">
        <f t="shared" si="37"/>
        <v>0</v>
      </c>
      <c r="BV571" s="291">
        <f t="shared" si="37"/>
        <v>0</v>
      </c>
      <c r="BW571" s="235">
        <f t="shared" si="37"/>
        <v>0</v>
      </c>
      <c r="BX571" s="235">
        <f t="shared" si="37"/>
        <v>0</v>
      </c>
      <c r="BY571" s="82">
        <f t="shared" si="37"/>
        <v>0</v>
      </c>
      <c r="BZ571" s="49">
        <f t="shared" si="37"/>
        <v>0</v>
      </c>
      <c r="CA571" s="235">
        <f t="shared" si="37"/>
        <v>0</v>
      </c>
      <c r="CB571" s="291">
        <f t="shared" si="37"/>
        <v>0</v>
      </c>
      <c r="CC571" s="50">
        <f t="shared" si="37"/>
        <v>0</v>
      </c>
      <c r="CD571" s="49">
        <f t="shared" si="37"/>
        <v>0</v>
      </c>
      <c r="CE571" s="235">
        <f t="shared" si="37"/>
        <v>0</v>
      </c>
      <c r="CF571" s="235">
        <f t="shared" si="37"/>
        <v>0</v>
      </c>
      <c r="CG571" s="82">
        <f t="shared" si="37"/>
        <v>0</v>
      </c>
      <c r="CH571" s="49">
        <f t="shared" si="37"/>
        <v>0</v>
      </c>
      <c r="CI571" s="82">
        <f t="shared" si="37"/>
        <v>0</v>
      </c>
    </row>
    <row r="572" spans="1:87" x14ac:dyDescent="0.3">
      <c r="B572" s="7" t="s">
        <v>690</v>
      </c>
      <c r="C572" s="322">
        <f>SUM(C17:C27)</f>
        <v>14746</v>
      </c>
      <c r="D572" s="235">
        <f>SUM(D17:D27)</f>
        <v>7135</v>
      </c>
      <c r="E572" s="367">
        <f t="shared" si="31"/>
        <v>0.48386002983860033</v>
      </c>
      <c r="F572" s="49">
        <f t="shared" ref="F572:AK572" si="38">SUM(F17:F27)</f>
        <v>3941</v>
      </c>
      <c r="G572" s="49">
        <f t="shared" si="38"/>
        <v>1316</v>
      </c>
      <c r="H572" s="49">
        <f t="shared" si="38"/>
        <v>3298</v>
      </c>
      <c r="I572" s="49">
        <f t="shared" si="38"/>
        <v>3813</v>
      </c>
      <c r="J572" s="50">
        <f t="shared" si="38"/>
        <v>762</v>
      </c>
      <c r="K572" s="49">
        <f t="shared" si="38"/>
        <v>0</v>
      </c>
      <c r="L572" s="231">
        <f t="shared" si="38"/>
        <v>0</v>
      </c>
      <c r="M572" s="543">
        <f t="shared" si="38"/>
        <v>0</v>
      </c>
      <c r="N572" s="49">
        <f t="shared" si="38"/>
        <v>0</v>
      </c>
      <c r="O572" s="235">
        <f t="shared" si="38"/>
        <v>0</v>
      </c>
      <c r="P572" s="291">
        <f t="shared" si="38"/>
        <v>0</v>
      </c>
      <c r="Q572" s="63">
        <f t="shared" si="38"/>
        <v>0</v>
      </c>
      <c r="R572" s="63">
        <f t="shared" si="38"/>
        <v>0</v>
      </c>
      <c r="S572" s="62">
        <f t="shared" si="38"/>
        <v>0</v>
      </c>
      <c r="T572" s="49">
        <f t="shared" si="38"/>
        <v>0</v>
      </c>
      <c r="U572" s="49">
        <f t="shared" si="38"/>
        <v>0</v>
      </c>
      <c r="V572" s="82">
        <f t="shared" si="38"/>
        <v>0</v>
      </c>
      <c r="W572" s="62">
        <f t="shared" si="38"/>
        <v>0</v>
      </c>
      <c r="X572" s="235">
        <f t="shared" si="38"/>
        <v>0</v>
      </c>
      <c r="Y572" s="291">
        <f t="shared" si="38"/>
        <v>0</v>
      </c>
      <c r="Z572" s="50">
        <f t="shared" si="38"/>
        <v>0</v>
      </c>
      <c r="AA572" s="49">
        <f t="shared" si="38"/>
        <v>0</v>
      </c>
      <c r="AB572" s="63">
        <f t="shared" si="38"/>
        <v>0</v>
      </c>
      <c r="AC572" s="62">
        <f t="shared" si="38"/>
        <v>0</v>
      </c>
      <c r="AD572" s="49">
        <f t="shared" si="38"/>
        <v>0</v>
      </c>
      <c r="AE572" s="235">
        <f t="shared" si="38"/>
        <v>0</v>
      </c>
      <c r="AF572" s="82">
        <f t="shared" si="38"/>
        <v>0</v>
      </c>
      <c r="AG572" s="82">
        <f t="shared" si="38"/>
        <v>0</v>
      </c>
      <c r="AH572" s="49">
        <f t="shared" si="38"/>
        <v>0</v>
      </c>
      <c r="AI572" s="82">
        <f t="shared" si="38"/>
        <v>0</v>
      </c>
      <c r="AJ572" s="49">
        <f t="shared" si="38"/>
        <v>0</v>
      </c>
      <c r="AK572" s="235">
        <f t="shared" si="38"/>
        <v>0</v>
      </c>
      <c r="AL572" s="82">
        <f t="shared" ref="AL572:BQ572" si="39">SUM(AL17:AL27)</f>
        <v>0</v>
      </c>
      <c r="AM572" s="49">
        <f t="shared" si="39"/>
        <v>0</v>
      </c>
      <c r="AN572" s="235">
        <f t="shared" si="39"/>
        <v>0</v>
      </c>
      <c r="AO572" s="235">
        <f t="shared" si="39"/>
        <v>0</v>
      </c>
      <c r="AP572" s="82">
        <f t="shared" si="39"/>
        <v>0</v>
      </c>
      <c r="AQ572" s="49">
        <f t="shared" si="39"/>
        <v>0</v>
      </c>
      <c r="AR572" s="82">
        <f t="shared" si="39"/>
        <v>0</v>
      </c>
      <c r="AS572" s="49">
        <f t="shared" si="39"/>
        <v>0</v>
      </c>
      <c r="AT572" s="235">
        <f t="shared" si="39"/>
        <v>0</v>
      </c>
      <c r="AU572" s="82">
        <f t="shared" si="39"/>
        <v>0</v>
      </c>
      <c r="AV572" s="49">
        <f t="shared" si="39"/>
        <v>0</v>
      </c>
      <c r="AW572" s="235">
        <f t="shared" si="39"/>
        <v>0</v>
      </c>
      <c r="AX572" s="49">
        <f t="shared" si="39"/>
        <v>0</v>
      </c>
      <c r="AY572" s="235">
        <f t="shared" si="39"/>
        <v>0</v>
      </c>
      <c r="AZ572" s="82">
        <f t="shared" si="39"/>
        <v>0</v>
      </c>
      <c r="BA572" s="49">
        <f t="shared" si="39"/>
        <v>0</v>
      </c>
      <c r="BB572" s="49">
        <f t="shared" si="39"/>
        <v>0</v>
      </c>
      <c r="BC572" s="82">
        <f t="shared" si="39"/>
        <v>0</v>
      </c>
      <c r="BD572" s="49">
        <f t="shared" si="39"/>
        <v>0</v>
      </c>
      <c r="BE572" s="49">
        <f t="shared" si="39"/>
        <v>0</v>
      </c>
      <c r="BF572" s="235">
        <f t="shared" si="39"/>
        <v>0</v>
      </c>
      <c r="BG572" s="231">
        <f t="shared" si="39"/>
        <v>0</v>
      </c>
      <c r="BH572" s="543">
        <f t="shared" si="39"/>
        <v>0</v>
      </c>
      <c r="BI572" s="49">
        <f t="shared" si="39"/>
        <v>0</v>
      </c>
      <c r="BJ572" s="50">
        <f t="shared" si="39"/>
        <v>0</v>
      </c>
      <c r="BK572" s="49">
        <f t="shared" si="39"/>
        <v>0</v>
      </c>
      <c r="BL572" s="291">
        <f t="shared" si="39"/>
        <v>0</v>
      </c>
      <c r="BM572" s="50">
        <f t="shared" si="39"/>
        <v>0</v>
      </c>
      <c r="BN572" s="49">
        <f t="shared" si="39"/>
        <v>0</v>
      </c>
      <c r="BO572" s="235">
        <f t="shared" si="39"/>
        <v>0</v>
      </c>
      <c r="BP572" s="291">
        <f t="shared" si="39"/>
        <v>0</v>
      </c>
      <c r="BQ572" s="235">
        <f t="shared" si="39"/>
        <v>0</v>
      </c>
      <c r="BR572" s="82">
        <f t="shared" ref="BR572:CI572" si="40">SUM(BR17:BR27)</f>
        <v>0</v>
      </c>
      <c r="BS572" s="49">
        <f t="shared" si="40"/>
        <v>0</v>
      </c>
      <c r="BT572" s="50">
        <f t="shared" si="40"/>
        <v>0</v>
      </c>
      <c r="BU572" s="49">
        <f t="shared" si="40"/>
        <v>0</v>
      </c>
      <c r="BV572" s="291">
        <f t="shared" si="40"/>
        <v>0</v>
      </c>
      <c r="BW572" s="235">
        <f t="shared" si="40"/>
        <v>0</v>
      </c>
      <c r="BX572" s="235">
        <f t="shared" si="40"/>
        <v>0</v>
      </c>
      <c r="BY572" s="82">
        <f t="shared" si="40"/>
        <v>0</v>
      </c>
      <c r="BZ572" s="49">
        <f t="shared" si="40"/>
        <v>0</v>
      </c>
      <c r="CA572" s="235">
        <f t="shared" si="40"/>
        <v>0</v>
      </c>
      <c r="CB572" s="291">
        <f t="shared" si="40"/>
        <v>0</v>
      </c>
      <c r="CC572" s="50">
        <f t="shared" si="40"/>
        <v>0</v>
      </c>
      <c r="CD572" s="49">
        <f t="shared" si="40"/>
        <v>0</v>
      </c>
      <c r="CE572" s="235">
        <f t="shared" si="40"/>
        <v>0</v>
      </c>
      <c r="CF572" s="235">
        <f t="shared" si="40"/>
        <v>0</v>
      </c>
      <c r="CG572" s="82">
        <f t="shared" si="40"/>
        <v>0</v>
      </c>
      <c r="CH572" s="49">
        <f t="shared" si="40"/>
        <v>0</v>
      </c>
      <c r="CI572" s="82">
        <f t="shared" si="40"/>
        <v>0</v>
      </c>
    </row>
    <row r="573" spans="1:87" x14ac:dyDescent="0.3">
      <c r="B573" s="7" t="s">
        <v>691</v>
      </c>
      <c r="C573" s="322">
        <f>SUM(C28:C32)</f>
        <v>6367</v>
      </c>
      <c r="D573" s="235">
        <f>SUM(D28:D32)</f>
        <v>2563</v>
      </c>
      <c r="E573" s="367">
        <f t="shared" si="31"/>
        <v>0.4025443694047432</v>
      </c>
      <c r="F573" s="49">
        <f t="shared" ref="F573:AK573" si="41">SUM(F28:F32)</f>
        <v>1547</v>
      </c>
      <c r="G573" s="49">
        <f t="shared" si="41"/>
        <v>493</v>
      </c>
      <c r="H573" s="49">
        <f t="shared" si="41"/>
        <v>1171</v>
      </c>
      <c r="I573" s="49">
        <f t="shared" si="41"/>
        <v>1589</v>
      </c>
      <c r="J573" s="50">
        <f t="shared" si="41"/>
        <v>226</v>
      </c>
      <c r="K573" s="49">
        <f t="shared" si="41"/>
        <v>0</v>
      </c>
      <c r="L573" s="231">
        <f t="shared" si="41"/>
        <v>0</v>
      </c>
      <c r="M573" s="543">
        <f t="shared" si="41"/>
        <v>0</v>
      </c>
      <c r="N573" s="49">
        <f t="shared" si="41"/>
        <v>0</v>
      </c>
      <c r="O573" s="235">
        <f t="shared" si="41"/>
        <v>0</v>
      </c>
      <c r="P573" s="291">
        <f t="shared" si="41"/>
        <v>0</v>
      </c>
      <c r="Q573" s="63">
        <f t="shared" si="41"/>
        <v>0</v>
      </c>
      <c r="R573" s="63">
        <f t="shared" si="41"/>
        <v>0</v>
      </c>
      <c r="S573" s="62">
        <f t="shared" si="41"/>
        <v>0</v>
      </c>
      <c r="T573" s="49">
        <f t="shared" si="41"/>
        <v>0</v>
      </c>
      <c r="U573" s="49">
        <f t="shared" si="41"/>
        <v>0</v>
      </c>
      <c r="V573" s="82">
        <f t="shared" si="41"/>
        <v>0</v>
      </c>
      <c r="W573" s="62">
        <f t="shared" si="41"/>
        <v>0</v>
      </c>
      <c r="X573" s="235">
        <f t="shared" si="41"/>
        <v>0</v>
      </c>
      <c r="Y573" s="291">
        <f t="shared" si="41"/>
        <v>0</v>
      </c>
      <c r="Z573" s="50">
        <f t="shared" si="41"/>
        <v>0</v>
      </c>
      <c r="AA573" s="49">
        <f t="shared" si="41"/>
        <v>0</v>
      </c>
      <c r="AB573" s="63">
        <f t="shared" si="41"/>
        <v>0</v>
      </c>
      <c r="AC573" s="62">
        <f t="shared" si="41"/>
        <v>0</v>
      </c>
      <c r="AD573" s="49">
        <f t="shared" si="41"/>
        <v>0</v>
      </c>
      <c r="AE573" s="235">
        <f t="shared" si="41"/>
        <v>0</v>
      </c>
      <c r="AF573" s="82">
        <f t="shared" si="41"/>
        <v>0</v>
      </c>
      <c r="AG573" s="82">
        <f t="shared" si="41"/>
        <v>0</v>
      </c>
      <c r="AH573" s="49">
        <f t="shared" si="41"/>
        <v>0</v>
      </c>
      <c r="AI573" s="82">
        <f t="shared" si="41"/>
        <v>0</v>
      </c>
      <c r="AJ573" s="49">
        <f t="shared" si="41"/>
        <v>0</v>
      </c>
      <c r="AK573" s="235">
        <f t="shared" si="41"/>
        <v>0</v>
      </c>
      <c r="AL573" s="82">
        <f t="shared" ref="AL573:BQ573" si="42">SUM(AL28:AL32)</f>
        <v>0</v>
      </c>
      <c r="AM573" s="49">
        <f t="shared" si="42"/>
        <v>0</v>
      </c>
      <c r="AN573" s="235">
        <f t="shared" si="42"/>
        <v>0</v>
      </c>
      <c r="AO573" s="235">
        <f t="shared" si="42"/>
        <v>0</v>
      </c>
      <c r="AP573" s="82">
        <f t="shared" si="42"/>
        <v>0</v>
      </c>
      <c r="AQ573" s="49">
        <f t="shared" si="42"/>
        <v>0</v>
      </c>
      <c r="AR573" s="82">
        <f t="shared" si="42"/>
        <v>0</v>
      </c>
      <c r="AS573" s="49">
        <f t="shared" si="42"/>
        <v>0</v>
      </c>
      <c r="AT573" s="235">
        <f t="shared" si="42"/>
        <v>0</v>
      </c>
      <c r="AU573" s="82">
        <f t="shared" si="42"/>
        <v>0</v>
      </c>
      <c r="AV573" s="49">
        <f t="shared" si="42"/>
        <v>0</v>
      </c>
      <c r="AW573" s="235">
        <f t="shared" si="42"/>
        <v>0</v>
      </c>
      <c r="AX573" s="49">
        <f t="shared" si="42"/>
        <v>0</v>
      </c>
      <c r="AY573" s="235">
        <f t="shared" si="42"/>
        <v>0</v>
      </c>
      <c r="AZ573" s="82">
        <f t="shared" si="42"/>
        <v>0</v>
      </c>
      <c r="BA573" s="49">
        <f t="shared" si="42"/>
        <v>0</v>
      </c>
      <c r="BB573" s="49">
        <f t="shared" si="42"/>
        <v>0</v>
      </c>
      <c r="BC573" s="82">
        <f t="shared" si="42"/>
        <v>0</v>
      </c>
      <c r="BD573" s="49">
        <f t="shared" si="42"/>
        <v>0</v>
      </c>
      <c r="BE573" s="49">
        <f t="shared" si="42"/>
        <v>0</v>
      </c>
      <c r="BF573" s="235">
        <f t="shared" si="42"/>
        <v>0</v>
      </c>
      <c r="BG573" s="231">
        <f t="shared" si="42"/>
        <v>0</v>
      </c>
      <c r="BH573" s="543">
        <f t="shared" si="42"/>
        <v>0</v>
      </c>
      <c r="BI573" s="49">
        <f t="shared" si="42"/>
        <v>0</v>
      </c>
      <c r="BJ573" s="50">
        <f t="shared" si="42"/>
        <v>0</v>
      </c>
      <c r="BK573" s="49">
        <f t="shared" si="42"/>
        <v>0</v>
      </c>
      <c r="BL573" s="291">
        <f t="shared" si="42"/>
        <v>0</v>
      </c>
      <c r="BM573" s="50">
        <f t="shared" si="42"/>
        <v>0</v>
      </c>
      <c r="BN573" s="49">
        <f t="shared" si="42"/>
        <v>0</v>
      </c>
      <c r="BO573" s="235">
        <f t="shared" si="42"/>
        <v>0</v>
      </c>
      <c r="BP573" s="291">
        <f t="shared" si="42"/>
        <v>0</v>
      </c>
      <c r="BQ573" s="235">
        <f t="shared" si="42"/>
        <v>0</v>
      </c>
      <c r="BR573" s="82">
        <f t="shared" ref="BR573:CI573" si="43">SUM(BR28:BR32)</f>
        <v>0</v>
      </c>
      <c r="BS573" s="49">
        <f t="shared" si="43"/>
        <v>0</v>
      </c>
      <c r="BT573" s="50">
        <f t="shared" si="43"/>
        <v>0</v>
      </c>
      <c r="BU573" s="49">
        <f t="shared" si="43"/>
        <v>0</v>
      </c>
      <c r="BV573" s="291">
        <f t="shared" si="43"/>
        <v>0</v>
      </c>
      <c r="BW573" s="235">
        <f t="shared" si="43"/>
        <v>0</v>
      </c>
      <c r="BX573" s="235">
        <f t="shared" si="43"/>
        <v>0</v>
      </c>
      <c r="BY573" s="82">
        <f t="shared" si="43"/>
        <v>0</v>
      </c>
      <c r="BZ573" s="49">
        <f t="shared" si="43"/>
        <v>0</v>
      </c>
      <c r="CA573" s="235">
        <f t="shared" si="43"/>
        <v>0</v>
      </c>
      <c r="CB573" s="291">
        <f t="shared" si="43"/>
        <v>0</v>
      </c>
      <c r="CC573" s="50">
        <f t="shared" si="43"/>
        <v>0</v>
      </c>
      <c r="CD573" s="49">
        <f t="shared" si="43"/>
        <v>0</v>
      </c>
      <c r="CE573" s="235">
        <f t="shared" si="43"/>
        <v>0</v>
      </c>
      <c r="CF573" s="235">
        <f t="shared" si="43"/>
        <v>0</v>
      </c>
      <c r="CG573" s="82">
        <f t="shared" si="43"/>
        <v>0</v>
      </c>
      <c r="CH573" s="49">
        <f t="shared" si="43"/>
        <v>0</v>
      </c>
      <c r="CI573" s="82">
        <f t="shared" si="43"/>
        <v>0</v>
      </c>
    </row>
    <row r="574" spans="1:87" x14ac:dyDescent="0.3">
      <c r="B574" s="7" t="s">
        <v>692</v>
      </c>
      <c r="C574" s="322">
        <f>SUM(C33:C40)</f>
        <v>9128</v>
      </c>
      <c r="D574" s="235">
        <f>SUM(D33:D40)</f>
        <v>5497</v>
      </c>
      <c r="E574" s="367">
        <f t="shared" si="31"/>
        <v>0.60221297107800176</v>
      </c>
      <c r="F574" s="49">
        <f t="shared" ref="F574:AK574" si="44">SUM(F33:F40)</f>
        <v>2882</v>
      </c>
      <c r="G574" s="49">
        <f t="shared" si="44"/>
        <v>774</v>
      </c>
      <c r="H574" s="49">
        <f t="shared" si="44"/>
        <v>2744</v>
      </c>
      <c r="I574" s="49">
        <f t="shared" si="44"/>
        <v>2620</v>
      </c>
      <c r="J574" s="50">
        <f t="shared" si="44"/>
        <v>705</v>
      </c>
      <c r="K574" s="49">
        <f t="shared" si="44"/>
        <v>0</v>
      </c>
      <c r="L574" s="231">
        <f t="shared" si="44"/>
        <v>0</v>
      </c>
      <c r="M574" s="543">
        <f t="shared" si="44"/>
        <v>0</v>
      </c>
      <c r="N574" s="49">
        <f t="shared" si="44"/>
        <v>0</v>
      </c>
      <c r="O574" s="235">
        <f t="shared" si="44"/>
        <v>0</v>
      </c>
      <c r="P574" s="291">
        <f t="shared" si="44"/>
        <v>0</v>
      </c>
      <c r="Q574" s="63">
        <f t="shared" si="44"/>
        <v>0</v>
      </c>
      <c r="R574" s="63">
        <f t="shared" si="44"/>
        <v>0</v>
      </c>
      <c r="S574" s="62">
        <f t="shared" si="44"/>
        <v>0</v>
      </c>
      <c r="T574" s="49">
        <f t="shared" si="44"/>
        <v>0</v>
      </c>
      <c r="U574" s="49">
        <f t="shared" si="44"/>
        <v>0</v>
      </c>
      <c r="V574" s="82">
        <f t="shared" si="44"/>
        <v>0</v>
      </c>
      <c r="W574" s="62">
        <f t="shared" si="44"/>
        <v>0</v>
      </c>
      <c r="X574" s="235">
        <f t="shared" si="44"/>
        <v>0</v>
      </c>
      <c r="Y574" s="291">
        <f t="shared" si="44"/>
        <v>0</v>
      </c>
      <c r="Z574" s="50">
        <f t="shared" si="44"/>
        <v>0</v>
      </c>
      <c r="AA574" s="49">
        <f t="shared" si="44"/>
        <v>0</v>
      </c>
      <c r="AB574" s="63">
        <f t="shared" si="44"/>
        <v>0</v>
      </c>
      <c r="AC574" s="62">
        <f t="shared" si="44"/>
        <v>0</v>
      </c>
      <c r="AD574" s="49">
        <f t="shared" si="44"/>
        <v>0</v>
      </c>
      <c r="AE574" s="235">
        <f t="shared" si="44"/>
        <v>0</v>
      </c>
      <c r="AF574" s="82">
        <f t="shared" si="44"/>
        <v>0</v>
      </c>
      <c r="AG574" s="82">
        <f t="shared" si="44"/>
        <v>0</v>
      </c>
      <c r="AH574" s="49">
        <f t="shared" si="44"/>
        <v>0</v>
      </c>
      <c r="AI574" s="82">
        <f t="shared" si="44"/>
        <v>0</v>
      </c>
      <c r="AJ574" s="49">
        <f t="shared" si="44"/>
        <v>0</v>
      </c>
      <c r="AK574" s="235">
        <f t="shared" si="44"/>
        <v>0</v>
      </c>
      <c r="AL574" s="82">
        <f t="shared" ref="AL574:BQ574" si="45">SUM(AL33:AL40)</f>
        <v>0</v>
      </c>
      <c r="AM574" s="49">
        <f t="shared" si="45"/>
        <v>0</v>
      </c>
      <c r="AN574" s="235">
        <f t="shared" si="45"/>
        <v>0</v>
      </c>
      <c r="AO574" s="235">
        <f t="shared" si="45"/>
        <v>0</v>
      </c>
      <c r="AP574" s="82">
        <f t="shared" si="45"/>
        <v>0</v>
      </c>
      <c r="AQ574" s="49">
        <f t="shared" si="45"/>
        <v>0</v>
      </c>
      <c r="AR574" s="82">
        <f t="shared" si="45"/>
        <v>0</v>
      </c>
      <c r="AS574" s="49">
        <f t="shared" si="45"/>
        <v>0</v>
      </c>
      <c r="AT574" s="235">
        <f t="shared" si="45"/>
        <v>0</v>
      </c>
      <c r="AU574" s="82">
        <f t="shared" si="45"/>
        <v>0</v>
      </c>
      <c r="AV574" s="49">
        <f t="shared" si="45"/>
        <v>0</v>
      </c>
      <c r="AW574" s="235">
        <f t="shared" si="45"/>
        <v>0</v>
      </c>
      <c r="AX574" s="49">
        <f t="shared" si="45"/>
        <v>0</v>
      </c>
      <c r="AY574" s="235">
        <f t="shared" si="45"/>
        <v>0</v>
      </c>
      <c r="AZ574" s="82">
        <f t="shared" si="45"/>
        <v>0</v>
      </c>
      <c r="BA574" s="49">
        <f t="shared" si="45"/>
        <v>0</v>
      </c>
      <c r="BB574" s="49">
        <f t="shared" si="45"/>
        <v>0</v>
      </c>
      <c r="BC574" s="82">
        <f t="shared" si="45"/>
        <v>0</v>
      </c>
      <c r="BD574" s="49">
        <f t="shared" si="45"/>
        <v>0</v>
      </c>
      <c r="BE574" s="49">
        <f t="shared" si="45"/>
        <v>0</v>
      </c>
      <c r="BF574" s="235">
        <f t="shared" si="45"/>
        <v>0</v>
      </c>
      <c r="BG574" s="231">
        <f t="shared" si="45"/>
        <v>0</v>
      </c>
      <c r="BH574" s="543">
        <f t="shared" si="45"/>
        <v>0</v>
      </c>
      <c r="BI574" s="49">
        <f t="shared" si="45"/>
        <v>0</v>
      </c>
      <c r="BJ574" s="50">
        <f t="shared" si="45"/>
        <v>0</v>
      </c>
      <c r="BK574" s="49">
        <f t="shared" si="45"/>
        <v>0</v>
      </c>
      <c r="BL574" s="291">
        <f t="shared" si="45"/>
        <v>0</v>
      </c>
      <c r="BM574" s="50">
        <f t="shared" si="45"/>
        <v>0</v>
      </c>
      <c r="BN574" s="49">
        <f t="shared" si="45"/>
        <v>0</v>
      </c>
      <c r="BO574" s="235">
        <f t="shared" si="45"/>
        <v>0</v>
      </c>
      <c r="BP574" s="291">
        <f t="shared" si="45"/>
        <v>0</v>
      </c>
      <c r="BQ574" s="235">
        <f t="shared" si="45"/>
        <v>0</v>
      </c>
      <c r="BR574" s="82">
        <f t="shared" ref="BR574:CI574" si="46">SUM(BR33:BR40)</f>
        <v>0</v>
      </c>
      <c r="BS574" s="49">
        <f t="shared" si="46"/>
        <v>0</v>
      </c>
      <c r="BT574" s="50">
        <f t="shared" si="46"/>
        <v>0</v>
      </c>
      <c r="BU574" s="49">
        <f t="shared" si="46"/>
        <v>0</v>
      </c>
      <c r="BV574" s="291">
        <f t="shared" si="46"/>
        <v>0</v>
      </c>
      <c r="BW574" s="235">
        <f t="shared" si="46"/>
        <v>0</v>
      </c>
      <c r="BX574" s="235">
        <f t="shared" si="46"/>
        <v>0</v>
      </c>
      <c r="BY574" s="82">
        <f t="shared" si="46"/>
        <v>0</v>
      </c>
      <c r="BZ574" s="49">
        <f t="shared" si="46"/>
        <v>0</v>
      </c>
      <c r="CA574" s="235">
        <f t="shared" si="46"/>
        <v>0</v>
      </c>
      <c r="CB574" s="291">
        <f t="shared" si="46"/>
        <v>0</v>
      </c>
      <c r="CC574" s="50">
        <f t="shared" si="46"/>
        <v>0</v>
      </c>
      <c r="CD574" s="49">
        <f t="shared" si="46"/>
        <v>0</v>
      </c>
      <c r="CE574" s="235">
        <f t="shared" si="46"/>
        <v>0</v>
      </c>
      <c r="CF574" s="235">
        <f t="shared" si="46"/>
        <v>0</v>
      </c>
      <c r="CG574" s="82">
        <f t="shared" si="46"/>
        <v>0</v>
      </c>
      <c r="CH574" s="49">
        <f t="shared" si="46"/>
        <v>0</v>
      </c>
      <c r="CI574" s="82">
        <f t="shared" si="46"/>
        <v>0</v>
      </c>
    </row>
    <row r="575" spans="1:87" x14ac:dyDescent="0.3">
      <c r="B575" s="7" t="s">
        <v>693</v>
      </c>
      <c r="C575" s="322">
        <f>SUM(C41:C49)</f>
        <v>10702</v>
      </c>
      <c r="D575" s="235">
        <f>SUM(D41:D49)</f>
        <v>6372</v>
      </c>
      <c r="E575" s="367">
        <f t="shared" si="31"/>
        <v>0.59540272846196973</v>
      </c>
      <c r="F575" s="49">
        <f t="shared" ref="F575:AK575" si="47">SUM(F41:F49)</f>
        <v>3326</v>
      </c>
      <c r="G575" s="49">
        <f t="shared" si="47"/>
        <v>924</v>
      </c>
      <c r="H575" s="49">
        <f t="shared" si="47"/>
        <v>3146</v>
      </c>
      <c r="I575" s="49">
        <f t="shared" si="47"/>
        <v>2916</v>
      </c>
      <c r="J575" s="50">
        <f t="shared" si="47"/>
        <v>932</v>
      </c>
      <c r="K575" s="49">
        <f t="shared" si="47"/>
        <v>0</v>
      </c>
      <c r="L575" s="231">
        <f t="shared" si="47"/>
        <v>0</v>
      </c>
      <c r="M575" s="543">
        <f t="shared" si="47"/>
        <v>0</v>
      </c>
      <c r="N575" s="49">
        <f t="shared" si="47"/>
        <v>0</v>
      </c>
      <c r="O575" s="235">
        <f t="shared" si="47"/>
        <v>0</v>
      </c>
      <c r="P575" s="291">
        <f t="shared" si="47"/>
        <v>0</v>
      </c>
      <c r="Q575" s="63">
        <f t="shared" si="47"/>
        <v>0</v>
      </c>
      <c r="R575" s="63">
        <f t="shared" si="47"/>
        <v>0</v>
      </c>
      <c r="S575" s="62">
        <f t="shared" si="47"/>
        <v>0</v>
      </c>
      <c r="T575" s="49">
        <f t="shared" si="47"/>
        <v>0</v>
      </c>
      <c r="U575" s="49">
        <f t="shared" si="47"/>
        <v>0</v>
      </c>
      <c r="V575" s="82">
        <f t="shared" si="47"/>
        <v>0</v>
      </c>
      <c r="W575" s="62">
        <f t="shared" si="47"/>
        <v>0</v>
      </c>
      <c r="X575" s="235">
        <f t="shared" si="47"/>
        <v>0</v>
      </c>
      <c r="Y575" s="291">
        <f t="shared" si="47"/>
        <v>0</v>
      </c>
      <c r="Z575" s="50">
        <f t="shared" si="47"/>
        <v>0</v>
      </c>
      <c r="AA575" s="49">
        <f t="shared" si="47"/>
        <v>0</v>
      </c>
      <c r="AB575" s="63">
        <f t="shared" si="47"/>
        <v>0</v>
      </c>
      <c r="AC575" s="62">
        <f t="shared" si="47"/>
        <v>0</v>
      </c>
      <c r="AD575" s="49">
        <f t="shared" si="47"/>
        <v>0</v>
      </c>
      <c r="AE575" s="235">
        <f t="shared" si="47"/>
        <v>0</v>
      </c>
      <c r="AF575" s="82">
        <f t="shared" si="47"/>
        <v>0</v>
      </c>
      <c r="AG575" s="82">
        <f t="shared" si="47"/>
        <v>0</v>
      </c>
      <c r="AH575" s="49">
        <f t="shared" si="47"/>
        <v>0</v>
      </c>
      <c r="AI575" s="82">
        <f t="shared" si="47"/>
        <v>0</v>
      </c>
      <c r="AJ575" s="49">
        <f t="shared" si="47"/>
        <v>0</v>
      </c>
      <c r="AK575" s="235">
        <f t="shared" si="47"/>
        <v>0</v>
      </c>
      <c r="AL575" s="82">
        <f t="shared" ref="AL575:BQ575" si="48">SUM(AL41:AL49)</f>
        <v>0</v>
      </c>
      <c r="AM575" s="49">
        <f t="shared" si="48"/>
        <v>0</v>
      </c>
      <c r="AN575" s="235">
        <f t="shared" si="48"/>
        <v>0</v>
      </c>
      <c r="AO575" s="235">
        <f t="shared" si="48"/>
        <v>0</v>
      </c>
      <c r="AP575" s="82">
        <f t="shared" si="48"/>
        <v>0</v>
      </c>
      <c r="AQ575" s="49">
        <f t="shared" si="48"/>
        <v>0</v>
      </c>
      <c r="AR575" s="82">
        <f t="shared" si="48"/>
        <v>0</v>
      </c>
      <c r="AS575" s="49">
        <f t="shared" si="48"/>
        <v>0</v>
      </c>
      <c r="AT575" s="235">
        <f t="shared" si="48"/>
        <v>0</v>
      </c>
      <c r="AU575" s="82">
        <f t="shared" si="48"/>
        <v>0</v>
      </c>
      <c r="AV575" s="49">
        <f t="shared" si="48"/>
        <v>0</v>
      </c>
      <c r="AW575" s="235">
        <f t="shared" si="48"/>
        <v>0</v>
      </c>
      <c r="AX575" s="49">
        <f t="shared" si="48"/>
        <v>0</v>
      </c>
      <c r="AY575" s="235">
        <f t="shared" si="48"/>
        <v>0</v>
      </c>
      <c r="AZ575" s="82">
        <f t="shared" si="48"/>
        <v>0</v>
      </c>
      <c r="BA575" s="49">
        <f t="shared" si="48"/>
        <v>0</v>
      </c>
      <c r="BB575" s="49">
        <f t="shared" si="48"/>
        <v>0</v>
      </c>
      <c r="BC575" s="82">
        <f t="shared" si="48"/>
        <v>0</v>
      </c>
      <c r="BD575" s="49">
        <f t="shared" si="48"/>
        <v>0</v>
      </c>
      <c r="BE575" s="49">
        <f t="shared" si="48"/>
        <v>0</v>
      </c>
      <c r="BF575" s="235">
        <f t="shared" si="48"/>
        <v>0</v>
      </c>
      <c r="BG575" s="231">
        <f t="shared" si="48"/>
        <v>0</v>
      </c>
      <c r="BH575" s="543">
        <f t="shared" si="48"/>
        <v>0</v>
      </c>
      <c r="BI575" s="49">
        <f t="shared" si="48"/>
        <v>0</v>
      </c>
      <c r="BJ575" s="50">
        <f t="shared" si="48"/>
        <v>0</v>
      </c>
      <c r="BK575" s="49">
        <f t="shared" si="48"/>
        <v>0</v>
      </c>
      <c r="BL575" s="291">
        <f t="shared" si="48"/>
        <v>0</v>
      </c>
      <c r="BM575" s="50">
        <f t="shared" si="48"/>
        <v>0</v>
      </c>
      <c r="BN575" s="49">
        <f t="shared" si="48"/>
        <v>0</v>
      </c>
      <c r="BO575" s="235">
        <f t="shared" si="48"/>
        <v>0</v>
      </c>
      <c r="BP575" s="291">
        <f t="shared" si="48"/>
        <v>0</v>
      </c>
      <c r="BQ575" s="235">
        <f t="shared" si="48"/>
        <v>0</v>
      </c>
      <c r="BR575" s="82">
        <f t="shared" ref="BR575:CI575" si="49">SUM(BR41:BR49)</f>
        <v>0</v>
      </c>
      <c r="BS575" s="49">
        <f t="shared" si="49"/>
        <v>0</v>
      </c>
      <c r="BT575" s="50">
        <f t="shared" si="49"/>
        <v>0</v>
      </c>
      <c r="BU575" s="49">
        <f t="shared" si="49"/>
        <v>0</v>
      </c>
      <c r="BV575" s="291">
        <f t="shared" si="49"/>
        <v>0</v>
      </c>
      <c r="BW575" s="235">
        <f t="shared" si="49"/>
        <v>0</v>
      </c>
      <c r="BX575" s="235">
        <f t="shared" si="49"/>
        <v>0</v>
      </c>
      <c r="BY575" s="82">
        <f t="shared" si="49"/>
        <v>0</v>
      </c>
      <c r="BZ575" s="49">
        <f t="shared" si="49"/>
        <v>0</v>
      </c>
      <c r="CA575" s="235">
        <f t="shared" si="49"/>
        <v>0</v>
      </c>
      <c r="CB575" s="291">
        <f t="shared" si="49"/>
        <v>0</v>
      </c>
      <c r="CC575" s="50">
        <f t="shared" si="49"/>
        <v>0</v>
      </c>
      <c r="CD575" s="49">
        <f t="shared" si="49"/>
        <v>0</v>
      </c>
      <c r="CE575" s="235">
        <f t="shared" si="49"/>
        <v>0</v>
      </c>
      <c r="CF575" s="235">
        <f t="shared" si="49"/>
        <v>0</v>
      </c>
      <c r="CG575" s="82">
        <f t="shared" si="49"/>
        <v>0</v>
      </c>
      <c r="CH575" s="49">
        <f t="shared" si="49"/>
        <v>0</v>
      </c>
      <c r="CI575" s="82">
        <f t="shared" si="49"/>
        <v>0</v>
      </c>
    </row>
    <row r="576" spans="1:87" x14ac:dyDescent="0.3">
      <c r="B576" s="7" t="s">
        <v>775</v>
      </c>
      <c r="C576" s="322">
        <f>SUM(C50:C53)</f>
        <v>6930</v>
      </c>
      <c r="D576" s="235">
        <f>SUM(D50:D53)</f>
        <v>2355</v>
      </c>
      <c r="E576" s="367">
        <f t="shared" si="31"/>
        <v>0.33982683982683981</v>
      </c>
      <c r="F576" s="49">
        <f t="shared" ref="F576:AK576" si="50">SUM(F50:F53)</f>
        <v>1344</v>
      </c>
      <c r="G576" s="49">
        <f t="shared" si="50"/>
        <v>530</v>
      </c>
      <c r="H576" s="49">
        <f t="shared" si="50"/>
        <v>1117</v>
      </c>
      <c r="I576" s="49">
        <f t="shared" si="50"/>
        <v>1294</v>
      </c>
      <c r="J576" s="50">
        <f t="shared" si="50"/>
        <v>187</v>
      </c>
      <c r="K576" s="49">
        <f t="shared" si="50"/>
        <v>0</v>
      </c>
      <c r="L576" s="231">
        <f t="shared" si="50"/>
        <v>0</v>
      </c>
      <c r="M576" s="543">
        <f t="shared" si="50"/>
        <v>0</v>
      </c>
      <c r="N576" s="49">
        <f t="shared" si="50"/>
        <v>0</v>
      </c>
      <c r="O576" s="235">
        <f t="shared" si="50"/>
        <v>0</v>
      </c>
      <c r="P576" s="291">
        <f t="shared" si="50"/>
        <v>0</v>
      </c>
      <c r="Q576" s="63">
        <f t="shared" si="50"/>
        <v>0</v>
      </c>
      <c r="R576" s="63">
        <f t="shared" si="50"/>
        <v>0</v>
      </c>
      <c r="S576" s="62">
        <f t="shared" si="50"/>
        <v>0</v>
      </c>
      <c r="T576" s="49">
        <f t="shared" si="50"/>
        <v>0</v>
      </c>
      <c r="U576" s="49">
        <f t="shared" si="50"/>
        <v>0</v>
      </c>
      <c r="V576" s="82">
        <f t="shared" si="50"/>
        <v>0</v>
      </c>
      <c r="W576" s="62">
        <f t="shared" si="50"/>
        <v>0</v>
      </c>
      <c r="X576" s="235">
        <f t="shared" si="50"/>
        <v>0</v>
      </c>
      <c r="Y576" s="291">
        <f t="shared" si="50"/>
        <v>0</v>
      </c>
      <c r="Z576" s="50">
        <f t="shared" si="50"/>
        <v>0</v>
      </c>
      <c r="AA576" s="49">
        <f t="shared" si="50"/>
        <v>0</v>
      </c>
      <c r="AB576" s="63">
        <f t="shared" si="50"/>
        <v>0</v>
      </c>
      <c r="AC576" s="62">
        <f t="shared" si="50"/>
        <v>0</v>
      </c>
      <c r="AD576" s="49">
        <f t="shared" si="50"/>
        <v>0</v>
      </c>
      <c r="AE576" s="235">
        <f t="shared" si="50"/>
        <v>0</v>
      </c>
      <c r="AF576" s="82">
        <f t="shared" si="50"/>
        <v>0</v>
      </c>
      <c r="AG576" s="82">
        <f t="shared" si="50"/>
        <v>0</v>
      </c>
      <c r="AH576" s="49">
        <f t="shared" si="50"/>
        <v>0</v>
      </c>
      <c r="AI576" s="82">
        <f t="shared" si="50"/>
        <v>0</v>
      </c>
      <c r="AJ576" s="49">
        <f t="shared" si="50"/>
        <v>0</v>
      </c>
      <c r="AK576" s="235">
        <f t="shared" si="50"/>
        <v>0</v>
      </c>
      <c r="AL576" s="82">
        <f t="shared" ref="AL576:BQ576" si="51">SUM(AL50:AL53)</f>
        <v>0</v>
      </c>
      <c r="AM576" s="49">
        <f t="shared" si="51"/>
        <v>0</v>
      </c>
      <c r="AN576" s="235">
        <f t="shared" si="51"/>
        <v>0</v>
      </c>
      <c r="AO576" s="235">
        <f t="shared" si="51"/>
        <v>0</v>
      </c>
      <c r="AP576" s="82">
        <f t="shared" si="51"/>
        <v>0</v>
      </c>
      <c r="AQ576" s="49">
        <f t="shared" si="51"/>
        <v>0</v>
      </c>
      <c r="AR576" s="82">
        <f t="shared" si="51"/>
        <v>0</v>
      </c>
      <c r="AS576" s="49">
        <f t="shared" si="51"/>
        <v>0</v>
      </c>
      <c r="AT576" s="235">
        <f t="shared" si="51"/>
        <v>0</v>
      </c>
      <c r="AU576" s="82">
        <f t="shared" si="51"/>
        <v>0</v>
      </c>
      <c r="AV576" s="49">
        <f t="shared" si="51"/>
        <v>0</v>
      </c>
      <c r="AW576" s="235">
        <f t="shared" si="51"/>
        <v>0</v>
      </c>
      <c r="AX576" s="49">
        <f t="shared" si="51"/>
        <v>0</v>
      </c>
      <c r="AY576" s="235">
        <f t="shared" si="51"/>
        <v>0</v>
      </c>
      <c r="AZ576" s="82">
        <f t="shared" si="51"/>
        <v>0</v>
      </c>
      <c r="BA576" s="49">
        <f t="shared" si="51"/>
        <v>0</v>
      </c>
      <c r="BB576" s="49">
        <f t="shared" si="51"/>
        <v>0</v>
      </c>
      <c r="BC576" s="82">
        <f t="shared" si="51"/>
        <v>0</v>
      </c>
      <c r="BD576" s="49">
        <f t="shared" si="51"/>
        <v>0</v>
      </c>
      <c r="BE576" s="49">
        <f t="shared" si="51"/>
        <v>0</v>
      </c>
      <c r="BF576" s="235">
        <f t="shared" si="51"/>
        <v>0</v>
      </c>
      <c r="BG576" s="231">
        <f t="shared" si="51"/>
        <v>0</v>
      </c>
      <c r="BH576" s="543">
        <f t="shared" si="51"/>
        <v>0</v>
      </c>
      <c r="BI576" s="49">
        <f t="shared" si="51"/>
        <v>0</v>
      </c>
      <c r="BJ576" s="50">
        <f t="shared" si="51"/>
        <v>0</v>
      </c>
      <c r="BK576" s="49">
        <f t="shared" si="51"/>
        <v>0</v>
      </c>
      <c r="BL576" s="291">
        <f t="shared" si="51"/>
        <v>0</v>
      </c>
      <c r="BM576" s="50">
        <f t="shared" si="51"/>
        <v>0</v>
      </c>
      <c r="BN576" s="49">
        <f t="shared" si="51"/>
        <v>0</v>
      </c>
      <c r="BO576" s="235">
        <f t="shared" si="51"/>
        <v>0</v>
      </c>
      <c r="BP576" s="291">
        <f t="shared" si="51"/>
        <v>0</v>
      </c>
      <c r="BQ576" s="235">
        <f t="shared" si="51"/>
        <v>0</v>
      </c>
      <c r="BR576" s="82">
        <f t="shared" ref="BR576:CI576" si="52">SUM(BR50:BR53)</f>
        <v>0</v>
      </c>
      <c r="BS576" s="49">
        <f t="shared" si="52"/>
        <v>0</v>
      </c>
      <c r="BT576" s="50">
        <f t="shared" si="52"/>
        <v>0</v>
      </c>
      <c r="BU576" s="49">
        <f t="shared" si="52"/>
        <v>0</v>
      </c>
      <c r="BV576" s="291">
        <f t="shared" si="52"/>
        <v>0</v>
      </c>
      <c r="BW576" s="235">
        <f t="shared" si="52"/>
        <v>0</v>
      </c>
      <c r="BX576" s="235">
        <f t="shared" si="52"/>
        <v>0</v>
      </c>
      <c r="BY576" s="82">
        <f t="shared" si="52"/>
        <v>0</v>
      </c>
      <c r="BZ576" s="49">
        <f t="shared" si="52"/>
        <v>0</v>
      </c>
      <c r="CA576" s="235">
        <f t="shared" si="52"/>
        <v>0</v>
      </c>
      <c r="CB576" s="291">
        <f t="shared" si="52"/>
        <v>0</v>
      </c>
      <c r="CC576" s="50">
        <f t="shared" si="52"/>
        <v>0</v>
      </c>
      <c r="CD576" s="49">
        <f t="shared" si="52"/>
        <v>0</v>
      </c>
      <c r="CE576" s="235">
        <f t="shared" si="52"/>
        <v>0</v>
      </c>
      <c r="CF576" s="235">
        <f t="shared" si="52"/>
        <v>0</v>
      </c>
      <c r="CG576" s="82">
        <f t="shared" si="52"/>
        <v>0</v>
      </c>
      <c r="CH576" s="49">
        <f t="shared" si="52"/>
        <v>0</v>
      </c>
      <c r="CI576" s="82">
        <f t="shared" si="52"/>
        <v>0</v>
      </c>
    </row>
    <row r="577" spans="2:87" x14ac:dyDescent="0.3">
      <c r="B577" s="7" t="s">
        <v>754</v>
      </c>
      <c r="C577" s="322">
        <f>SUM(C55:C65)</f>
        <v>11053</v>
      </c>
      <c r="D577" s="235">
        <f>SUM(D55:D65)</f>
        <v>4088</v>
      </c>
      <c r="E577" s="367">
        <f t="shared" si="31"/>
        <v>0.36985433818872704</v>
      </c>
      <c r="F577" s="49">
        <f t="shared" ref="F577:AK577" si="53">SUM(F55:F65)</f>
        <v>2663</v>
      </c>
      <c r="G577" s="49">
        <f t="shared" si="53"/>
        <v>1005</v>
      </c>
      <c r="H577" s="49">
        <f t="shared" si="53"/>
        <v>1841</v>
      </c>
      <c r="I577" s="49">
        <f t="shared" si="53"/>
        <v>3045</v>
      </c>
      <c r="J577" s="50">
        <f t="shared" si="53"/>
        <v>234</v>
      </c>
      <c r="K577" s="49">
        <f t="shared" si="53"/>
        <v>0</v>
      </c>
      <c r="L577" s="231">
        <f t="shared" si="53"/>
        <v>0</v>
      </c>
      <c r="M577" s="543">
        <f t="shared" si="53"/>
        <v>0</v>
      </c>
      <c r="N577" s="49">
        <f t="shared" si="53"/>
        <v>0</v>
      </c>
      <c r="O577" s="235">
        <f t="shared" si="53"/>
        <v>0</v>
      </c>
      <c r="P577" s="291">
        <f t="shared" si="53"/>
        <v>0</v>
      </c>
      <c r="Q577" s="63">
        <f t="shared" si="53"/>
        <v>0</v>
      </c>
      <c r="R577" s="63">
        <f t="shared" si="53"/>
        <v>0</v>
      </c>
      <c r="S577" s="62">
        <f t="shared" si="53"/>
        <v>0</v>
      </c>
      <c r="T577" s="49">
        <f t="shared" si="53"/>
        <v>0</v>
      </c>
      <c r="U577" s="49">
        <f t="shared" si="53"/>
        <v>0</v>
      </c>
      <c r="V577" s="82">
        <f t="shared" si="53"/>
        <v>0</v>
      </c>
      <c r="W577" s="62">
        <f t="shared" si="53"/>
        <v>0</v>
      </c>
      <c r="X577" s="235">
        <f t="shared" si="53"/>
        <v>0</v>
      </c>
      <c r="Y577" s="291">
        <f t="shared" si="53"/>
        <v>0</v>
      </c>
      <c r="Z577" s="50">
        <f t="shared" si="53"/>
        <v>0</v>
      </c>
      <c r="AA577" s="49">
        <f t="shared" si="53"/>
        <v>0</v>
      </c>
      <c r="AB577" s="63">
        <f t="shared" si="53"/>
        <v>0</v>
      </c>
      <c r="AC577" s="62">
        <f t="shared" si="53"/>
        <v>0</v>
      </c>
      <c r="AD577" s="49">
        <f t="shared" si="53"/>
        <v>0</v>
      </c>
      <c r="AE577" s="235">
        <f t="shared" si="53"/>
        <v>0</v>
      </c>
      <c r="AF577" s="82">
        <f t="shared" si="53"/>
        <v>0</v>
      </c>
      <c r="AG577" s="82">
        <f t="shared" si="53"/>
        <v>0</v>
      </c>
      <c r="AH577" s="49">
        <f t="shared" si="53"/>
        <v>0</v>
      </c>
      <c r="AI577" s="82">
        <f t="shared" si="53"/>
        <v>0</v>
      </c>
      <c r="AJ577" s="49">
        <f t="shared" si="53"/>
        <v>0</v>
      </c>
      <c r="AK577" s="235">
        <f t="shared" si="53"/>
        <v>0</v>
      </c>
      <c r="AL577" s="82">
        <f t="shared" ref="AL577:BQ577" si="54">SUM(AL55:AL65)</f>
        <v>0</v>
      </c>
      <c r="AM577" s="49">
        <f t="shared" si="54"/>
        <v>0</v>
      </c>
      <c r="AN577" s="235">
        <f t="shared" si="54"/>
        <v>0</v>
      </c>
      <c r="AO577" s="235">
        <f t="shared" si="54"/>
        <v>0</v>
      </c>
      <c r="AP577" s="82">
        <f t="shared" si="54"/>
        <v>0</v>
      </c>
      <c r="AQ577" s="49">
        <f t="shared" si="54"/>
        <v>0</v>
      </c>
      <c r="AR577" s="82">
        <f t="shared" si="54"/>
        <v>0</v>
      </c>
      <c r="AS577" s="49">
        <f t="shared" si="54"/>
        <v>0</v>
      </c>
      <c r="AT577" s="235">
        <f t="shared" si="54"/>
        <v>0</v>
      </c>
      <c r="AU577" s="82">
        <f t="shared" si="54"/>
        <v>0</v>
      </c>
      <c r="AV577" s="49">
        <f t="shared" si="54"/>
        <v>0</v>
      </c>
      <c r="AW577" s="235">
        <f t="shared" si="54"/>
        <v>0</v>
      </c>
      <c r="AX577" s="49">
        <f t="shared" si="54"/>
        <v>0</v>
      </c>
      <c r="AY577" s="235">
        <f t="shared" si="54"/>
        <v>0</v>
      </c>
      <c r="AZ577" s="82">
        <f t="shared" si="54"/>
        <v>0</v>
      </c>
      <c r="BA577" s="49">
        <f t="shared" si="54"/>
        <v>0</v>
      </c>
      <c r="BB577" s="49">
        <f t="shared" si="54"/>
        <v>0</v>
      </c>
      <c r="BC577" s="82">
        <f t="shared" si="54"/>
        <v>0</v>
      </c>
      <c r="BD577" s="49">
        <f t="shared" si="54"/>
        <v>0</v>
      </c>
      <c r="BE577" s="49">
        <f t="shared" si="54"/>
        <v>0</v>
      </c>
      <c r="BF577" s="235">
        <f t="shared" si="54"/>
        <v>0</v>
      </c>
      <c r="BG577" s="231">
        <f t="shared" si="54"/>
        <v>0</v>
      </c>
      <c r="BH577" s="543">
        <f t="shared" si="54"/>
        <v>0</v>
      </c>
      <c r="BI577" s="49">
        <f t="shared" si="54"/>
        <v>0</v>
      </c>
      <c r="BJ577" s="50">
        <f t="shared" si="54"/>
        <v>0</v>
      </c>
      <c r="BK577" s="49">
        <f t="shared" si="54"/>
        <v>0</v>
      </c>
      <c r="BL577" s="291">
        <f t="shared" si="54"/>
        <v>0</v>
      </c>
      <c r="BM577" s="50">
        <f t="shared" si="54"/>
        <v>0</v>
      </c>
      <c r="BN577" s="49">
        <f t="shared" si="54"/>
        <v>0</v>
      </c>
      <c r="BO577" s="235">
        <f t="shared" si="54"/>
        <v>0</v>
      </c>
      <c r="BP577" s="291">
        <f t="shared" si="54"/>
        <v>0</v>
      </c>
      <c r="BQ577" s="235">
        <f t="shared" si="54"/>
        <v>0</v>
      </c>
      <c r="BR577" s="82">
        <f t="shared" ref="BR577:CI577" si="55">SUM(BR55:BR65)</f>
        <v>0</v>
      </c>
      <c r="BS577" s="49">
        <f t="shared" si="55"/>
        <v>0</v>
      </c>
      <c r="BT577" s="50">
        <f t="shared" si="55"/>
        <v>0</v>
      </c>
      <c r="BU577" s="49">
        <f t="shared" si="55"/>
        <v>0</v>
      </c>
      <c r="BV577" s="291">
        <f t="shared" si="55"/>
        <v>0</v>
      </c>
      <c r="BW577" s="235">
        <f t="shared" si="55"/>
        <v>0</v>
      </c>
      <c r="BX577" s="235">
        <f t="shared" si="55"/>
        <v>0</v>
      </c>
      <c r="BY577" s="82">
        <f t="shared" si="55"/>
        <v>0</v>
      </c>
      <c r="BZ577" s="49">
        <f t="shared" si="55"/>
        <v>0</v>
      </c>
      <c r="CA577" s="235">
        <f t="shared" si="55"/>
        <v>0</v>
      </c>
      <c r="CB577" s="291">
        <f t="shared" si="55"/>
        <v>0</v>
      </c>
      <c r="CC577" s="50">
        <f t="shared" si="55"/>
        <v>0</v>
      </c>
      <c r="CD577" s="49">
        <f t="shared" si="55"/>
        <v>0</v>
      </c>
      <c r="CE577" s="235">
        <f t="shared" si="55"/>
        <v>0</v>
      </c>
      <c r="CF577" s="235">
        <f t="shared" si="55"/>
        <v>0</v>
      </c>
      <c r="CG577" s="82">
        <f t="shared" si="55"/>
        <v>0</v>
      </c>
      <c r="CH577" s="49">
        <f t="shared" si="55"/>
        <v>0</v>
      </c>
      <c r="CI577" s="82">
        <f t="shared" si="55"/>
        <v>0</v>
      </c>
    </row>
    <row r="578" spans="2:87" x14ac:dyDescent="0.3">
      <c r="B578" s="7" t="s">
        <v>694</v>
      </c>
      <c r="C578" s="322">
        <f>SUM(C66:C69)</f>
        <v>6108</v>
      </c>
      <c r="D578" s="235">
        <f>SUM(D66:D69)</f>
        <v>2473</v>
      </c>
      <c r="E578" s="367">
        <f t="shared" si="31"/>
        <v>0.40487884741322855</v>
      </c>
      <c r="F578" s="49">
        <f t="shared" ref="F578:AK578" si="56">SUM(F66:F69)</f>
        <v>1451</v>
      </c>
      <c r="G578" s="49">
        <f t="shared" si="56"/>
        <v>436</v>
      </c>
      <c r="H578" s="49">
        <f t="shared" si="56"/>
        <v>1196</v>
      </c>
      <c r="I578" s="49">
        <f t="shared" si="56"/>
        <v>1374</v>
      </c>
      <c r="J578" s="50">
        <f t="shared" si="56"/>
        <v>258</v>
      </c>
      <c r="K578" s="49">
        <f t="shared" si="56"/>
        <v>0</v>
      </c>
      <c r="L578" s="231">
        <f t="shared" si="56"/>
        <v>0</v>
      </c>
      <c r="M578" s="543">
        <f t="shared" si="56"/>
        <v>0</v>
      </c>
      <c r="N578" s="49">
        <f t="shared" si="56"/>
        <v>0</v>
      </c>
      <c r="O578" s="235">
        <f t="shared" si="56"/>
        <v>0</v>
      </c>
      <c r="P578" s="291">
        <f t="shared" si="56"/>
        <v>0</v>
      </c>
      <c r="Q578" s="63">
        <f t="shared" si="56"/>
        <v>0</v>
      </c>
      <c r="R578" s="63">
        <f t="shared" si="56"/>
        <v>0</v>
      </c>
      <c r="S578" s="62">
        <f t="shared" si="56"/>
        <v>0</v>
      </c>
      <c r="T578" s="49">
        <f t="shared" si="56"/>
        <v>0</v>
      </c>
      <c r="U578" s="49">
        <f t="shared" si="56"/>
        <v>0</v>
      </c>
      <c r="V578" s="82">
        <f t="shared" si="56"/>
        <v>0</v>
      </c>
      <c r="W578" s="62">
        <f t="shared" si="56"/>
        <v>0</v>
      </c>
      <c r="X578" s="235">
        <f t="shared" si="56"/>
        <v>0</v>
      </c>
      <c r="Y578" s="291">
        <f t="shared" si="56"/>
        <v>0</v>
      </c>
      <c r="Z578" s="50">
        <f t="shared" si="56"/>
        <v>0</v>
      </c>
      <c r="AA578" s="49">
        <f t="shared" si="56"/>
        <v>0</v>
      </c>
      <c r="AB578" s="63">
        <f t="shared" si="56"/>
        <v>0</v>
      </c>
      <c r="AC578" s="62">
        <f t="shared" si="56"/>
        <v>0</v>
      </c>
      <c r="AD578" s="49">
        <f t="shared" si="56"/>
        <v>0</v>
      </c>
      <c r="AE578" s="235">
        <f t="shared" si="56"/>
        <v>0</v>
      </c>
      <c r="AF578" s="82">
        <f t="shared" si="56"/>
        <v>0</v>
      </c>
      <c r="AG578" s="82">
        <f t="shared" si="56"/>
        <v>0</v>
      </c>
      <c r="AH578" s="49">
        <f t="shared" si="56"/>
        <v>0</v>
      </c>
      <c r="AI578" s="82">
        <f t="shared" si="56"/>
        <v>0</v>
      </c>
      <c r="AJ578" s="49">
        <f t="shared" si="56"/>
        <v>0</v>
      </c>
      <c r="AK578" s="235">
        <f t="shared" si="56"/>
        <v>0</v>
      </c>
      <c r="AL578" s="82">
        <f t="shared" ref="AL578:BQ578" si="57">SUM(AL66:AL69)</f>
        <v>0</v>
      </c>
      <c r="AM578" s="49">
        <f t="shared" si="57"/>
        <v>0</v>
      </c>
      <c r="AN578" s="235">
        <f t="shared" si="57"/>
        <v>0</v>
      </c>
      <c r="AO578" s="235">
        <f t="shared" si="57"/>
        <v>0</v>
      </c>
      <c r="AP578" s="82">
        <f t="shared" si="57"/>
        <v>0</v>
      </c>
      <c r="AQ578" s="49">
        <f t="shared" si="57"/>
        <v>0</v>
      </c>
      <c r="AR578" s="82">
        <f t="shared" si="57"/>
        <v>0</v>
      </c>
      <c r="AS578" s="49">
        <f t="shared" si="57"/>
        <v>0</v>
      </c>
      <c r="AT578" s="235">
        <f t="shared" si="57"/>
        <v>0</v>
      </c>
      <c r="AU578" s="82">
        <f t="shared" si="57"/>
        <v>0</v>
      </c>
      <c r="AV578" s="49">
        <f t="shared" si="57"/>
        <v>0</v>
      </c>
      <c r="AW578" s="235">
        <f t="shared" si="57"/>
        <v>0</v>
      </c>
      <c r="AX578" s="49">
        <f t="shared" si="57"/>
        <v>0</v>
      </c>
      <c r="AY578" s="235">
        <f t="shared" si="57"/>
        <v>0</v>
      </c>
      <c r="AZ578" s="82">
        <f t="shared" si="57"/>
        <v>0</v>
      </c>
      <c r="BA578" s="49">
        <f t="shared" si="57"/>
        <v>0</v>
      </c>
      <c r="BB578" s="49">
        <f t="shared" si="57"/>
        <v>0</v>
      </c>
      <c r="BC578" s="82">
        <f t="shared" si="57"/>
        <v>0</v>
      </c>
      <c r="BD578" s="49">
        <f t="shared" si="57"/>
        <v>0</v>
      </c>
      <c r="BE578" s="49">
        <f t="shared" si="57"/>
        <v>0</v>
      </c>
      <c r="BF578" s="235">
        <f t="shared" si="57"/>
        <v>0</v>
      </c>
      <c r="BG578" s="231">
        <f t="shared" si="57"/>
        <v>0</v>
      </c>
      <c r="BH578" s="543">
        <f t="shared" si="57"/>
        <v>0</v>
      </c>
      <c r="BI578" s="49">
        <f t="shared" si="57"/>
        <v>0</v>
      </c>
      <c r="BJ578" s="50">
        <f t="shared" si="57"/>
        <v>0</v>
      </c>
      <c r="BK578" s="49">
        <f t="shared" si="57"/>
        <v>0</v>
      </c>
      <c r="BL578" s="291">
        <f t="shared" si="57"/>
        <v>0</v>
      </c>
      <c r="BM578" s="50">
        <f t="shared" si="57"/>
        <v>0</v>
      </c>
      <c r="BN578" s="49">
        <f t="shared" si="57"/>
        <v>0</v>
      </c>
      <c r="BO578" s="235">
        <f t="shared" si="57"/>
        <v>0</v>
      </c>
      <c r="BP578" s="291">
        <f t="shared" si="57"/>
        <v>0</v>
      </c>
      <c r="BQ578" s="235">
        <f t="shared" si="57"/>
        <v>0</v>
      </c>
      <c r="BR578" s="82">
        <f t="shared" ref="BR578:CI578" si="58">SUM(BR66:BR69)</f>
        <v>0</v>
      </c>
      <c r="BS578" s="49">
        <f t="shared" si="58"/>
        <v>0</v>
      </c>
      <c r="BT578" s="50">
        <f t="shared" si="58"/>
        <v>0</v>
      </c>
      <c r="BU578" s="49">
        <f t="shared" si="58"/>
        <v>0</v>
      </c>
      <c r="BV578" s="291">
        <f t="shared" si="58"/>
        <v>0</v>
      </c>
      <c r="BW578" s="63">
        <f t="shared" si="58"/>
        <v>0</v>
      </c>
      <c r="BX578" s="235">
        <f t="shared" si="58"/>
        <v>0</v>
      </c>
      <c r="BY578" s="82">
        <f t="shared" si="58"/>
        <v>0</v>
      </c>
      <c r="BZ578" s="49">
        <f t="shared" si="58"/>
        <v>0</v>
      </c>
      <c r="CA578" s="235">
        <f t="shared" si="58"/>
        <v>0</v>
      </c>
      <c r="CB578" s="291">
        <f t="shared" si="58"/>
        <v>0</v>
      </c>
      <c r="CC578" s="50">
        <f t="shared" si="58"/>
        <v>0</v>
      </c>
      <c r="CD578" s="49">
        <f t="shared" si="58"/>
        <v>0</v>
      </c>
      <c r="CE578" s="235">
        <f t="shared" si="58"/>
        <v>0</v>
      </c>
      <c r="CF578" s="235">
        <f t="shared" si="58"/>
        <v>0</v>
      </c>
      <c r="CG578" s="82">
        <f t="shared" si="58"/>
        <v>0</v>
      </c>
      <c r="CH578" s="49">
        <f t="shared" si="58"/>
        <v>0</v>
      </c>
      <c r="CI578" s="82">
        <f t="shared" si="58"/>
        <v>0</v>
      </c>
    </row>
    <row r="579" spans="2:87" x14ac:dyDescent="0.3">
      <c r="B579" s="7" t="s">
        <v>755</v>
      </c>
      <c r="C579" s="322">
        <f>SUM(C70:C73)</f>
        <v>4935</v>
      </c>
      <c r="D579" s="235">
        <f>SUM(D70:D73)</f>
        <v>1670</v>
      </c>
      <c r="E579" s="367">
        <f t="shared" si="31"/>
        <v>0.33839918946301922</v>
      </c>
      <c r="F579" s="49">
        <f t="shared" ref="F579:AK579" si="59">SUM(F70:F73)</f>
        <v>990</v>
      </c>
      <c r="G579" s="49">
        <f t="shared" si="59"/>
        <v>326</v>
      </c>
      <c r="H579" s="49">
        <f t="shared" si="59"/>
        <v>803</v>
      </c>
      <c r="I579" s="49">
        <f t="shared" si="59"/>
        <v>1059</v>
      </c>
      <c r="J579" s="50">
        <f t="shared" si="59"/>
        <v>140</v>
      </c>
      <c r="K579" s="49">
        <f t="shared" si="59"/>
        <v>0</v>
      </c>
      <c r="L579" s="231">
        <f t="shared" si="59"/>
        <v>0</v>
      </c>
      <c r="M579" s="543">
        <f t="shared" si="59"/>
        <v>0</v>
      </c>
      <c r="N579" s="49">
        <f t="shared" si="59"/>
        <v>0</v>
      </c>
      <c r="O579" s="235">
        <f t="shared" si="59"/>
        <v>0</v>
      </c>
      <c r="P579" s="291">
        <f t="shared" si="59"/>
        <v>0</v>
      </c>
      <c r="Q579" s="63">
        <f t="shared" si="59"/>
        <v>0</v>
      </c>
      <c r="R579" s="63">
        <f t="shared" si="59"/>
        <v>0</v>
      </c>
      <c r="S579" s="62">
        <f t="shared" si="59"/>
        <v>0</v>
      </c>
      <c r="T579" s="49">
        <f t="shared" si="59"/>
        <v>0</v>
      </c>
      <c r="U579" s="49">
        <f t="shared" si="59"/>
        <v>0</v>
      </c>
      <c r="V579" s="82">
        <f t="shared" si="59"/>
        <v>0</v>
      </c>
      <c r="W579" s="62">
        <f t="shared" si="59"/>
        <v>0</v>
      </c>
      <c r="X579" s="235">
        <f t="shared" si="59"/>
        <v>0</v>
      </c>
      <c r="Y579" s="291">
        <f t="shared" si="59"/>
        <v>0</v>
      </c>
      <c r="Z579" s="50">
        <f t="shared" si="59"/>
        <v>0</v>
      </c>
      <c r="AA579" s="49">
        <f t="shared" si="59"/>
        <v>0</v>
      </c>
      <c r="AB579" s="63">
        <f t="shared" si="59"/>
        <v>0</v>
      </c>
      <c r="AC579" s="62">
        <f t="shared" si="59"/>
        <v>0</v>
      </c>
      <c r="AD579" s="49">
        <f t="shared" si="59"/>
        <v>0</v>
      </c>
      <c r="AE579" s="235">
        <f t="shared" si="59"/>
        <v>0</v>
      </c>
      <c r="AF579" s="82">
        <f t="shared" si="59"/>
        <v>0</v>
      </c>
      <c r="AG579" s="82">
        <f t="shared" si="59"/>
        <v>0</v>
      </c>
      <c r="AH579" s="49">
        <f t="shared" si="59"/>
        <v>0</v>
      </c>
      <c r="AI579" s="82">
        <f t="shared" si="59"/>
        <v>0</v>
      </c>
      <c r="AJ579" s="49">
        <f t="shared" si="59"/>
        <v>0</v>
      </c>
      <c r="AK579" s="235">
        <f t="shared" si="59"/>
        <v>0</v>
      </c>
      <c r="AL579" s="82">
        <f t="shared" ref="AL579:BQ579" si="60">SUM(AL70:AL73)</f>
        <v>0</v>
      </c>
      <c r="AM579" s="49">
        <f t="shared" si="60"/>
        <v>0</v>
      </c>
      <c r="AN579" s="235">
        <f t="shared" si="60"/>
        <v>0</v>
      </c>
      <c r="AO579" s="235">
        <f t="shared" si="60"/>
        <v>0</v>
      </c>
      <c r="AP579" s="82">
        <f t="shared" si="60"/>
        <v>0</v>
      </c>
      <c r="AQ579" s="49">
        <f t="shared" si="60"/>
        <v>0</v>
      </c>
      <c r="AR579" s="82">
        <f t="shared" si="60"/>
        <v>0</v>
      </c>
      <c r="AS579" s="49">
        <f t="shared" si="60"/>
        <v>0</v>
      </c>
      <c r="AT579" s="235">
        <f t="shared" si="60"/>
        <v>0</v>
      </c>
      <c r="AU579" s="82">
        <f t="shared" si="60"/>
        <v>0</v>
      </c>
      <c r="AV579" s="49">
        <f t="shared" si="60"/>
        <v>0</v>
      </c>
      <c r="AW579" s="235">
        <f t="shared" si="60"/>
        <v>0</v>
      </c>
      <c r="AX579" s="49">
        <f t="shared" si="60"/>
        <v>0</v>
      </c>
      <c r="AY579" s="235">
        <f t="shared" si="60"/>
        <v>0</v>
      </c>
      <c r="AZ579" s="82">
        <f t="shared" si="60"/>
        <v>0</v>
      </c>
      <c r="BA579" s="49">
        <f t="shared" si="60"/>
        <v>0</v>
      </c>
      <c r="BB579" s="49">
        <f t="shared" si="60"/>
        <v>0</v>
      </c>
      <c r="BC579" s="82">
        <f t="shared" si="60"/>
        <v>0</v>
      </c>
      <c r="BD579" s="49">
        <f t="shared" si="60"/>
        <v>0</v>
      </c>
      <c r="BE579" s="49">
        <f t="shared" si="60"/>
        <v>0</v>
      </c>
      <c r="BF579" s="235">
        <f t="shared" si="60"/>
        <v>0</v>
      </c>
      <c r="BG579" s="231">
        <f t="shared" si="60"/>
        <v>0</v>
      </c>
      <c r="BH579" s="543">
        <f t="shared" si="60"/>
        <v>0</v>
      </c>
      <c r="BI579" s="49">
        <f t="shared" si="60"/>
        <v>0</v>
      </c>
      <c r="BJ579" s="50">
        <f t="shared" si="60"/>
        <v>0</v>
      </c>
      <c r="BK579" s="49">
        <f t="shared" si="60"/>
        <v>0</v>
      </c>
      <c r="BL579" s="291">
        <f t="shared" si="60"/>
        <v>0</v>
      </c>
      <c r="BM579" s="50">
        <f t="shared" si="60"/>
        <v>0</v>
      </c>
      <c r="BN579" s="49">
        <f t="shared" si="60"/>
        <v>0</v>
      </c>
      <c r="BO579" s="235">
        <f t="shared" si="60"/>
        <v>0</v>
      </c>
      <c r="BP579" s="291">
        <f t="shared" si="60"/>
        <v>0</v>
      </c>
      <c r="BQ579" s="235">
        <f t="shared" si="60"/>
        <v>0</v>
      </c>
      <c r="BR579" s="82">
        <f t="shared" ref="BR579:CI579" si="61">SUM(BR70:BR73)</f>
        <v>0</v>
      </c>
      <c r="BS579" s="49">
        <f t="shared" si="61"/>
        <v>0</v>
      </c>
      <c r="BT579" s="50">
        <f t="shared" si="61"/>
        <v>0</v>
      </c>
      <c r="BU579" s="49">
        <f t="shared" si="61"/>
        <v>0</v>
      </c>
      <c r="BV579" s="291">
        <f t="shared" si="61"/>
        <v>0</v>
      </c>
      <c r="BW579" s="63">
        <f t="shared" si="61"/>
        <v>0</v>
      </c>
      <c r="BX579" s="235">
        <f t="shared" si="61"/>
        <v>0</v>
      </c>
      <c r="BY579" s="82">
        <f t="shared" si="61"/>
        <v>0</v>
      </c>
      <c r="BZ579" s="49">
        <f t="shared" si="61"/>
        <v>0</v>
      </c>
      <c r="CA579" s="235">
        <f t="shared" si="61"/>
        <v>0</v>
      </c>
      <c r="CB579" s="291">
        <f t="shared" si="61"/>
        <v>0</v>
      </c>
      <c r="CC579" s="50">
        <f t="shared" si="61"/>
        <v>0</v>
      </c>
      <c r="CD579" s="49">
        <f t="shared" si="61"/>
        <v>0</v>
      </c>
      <c r="CE579" s="235">
        <f t="shared" si="61"/>
        <v>0</v>
      </c>
      <c r="CF579" s="235">
        <f t="shared" si="61"/>
        <v>0</v>
      </c>
      <c r="CG579" s="82">
        <f t="shared" si="61"/>
        <v>0</v>
      </c>
      <c r="CH579" s="49">
        <f t="shared" si="61"/>
        <v>0</v>
      </c>
      <c r="CI579" s="82">
        <f t="shared" si="61"/>
        <v>0</v>
      </c>
    </row>
    <row r="580" spans="2:87" x14ac:dyDescent="0.3">
      <c r="B580" s="7" t="s">
        <v>756</v>
      </c>
      <c r="C580" s="322">
        <f>SUM(C74:C76)</f>
        <v>4178</v>
      </c>
      <c r="D580" s="235">
        <f>SUM(D74:D76)</f>
        <v>1398</v>
      </c>
      <c r="E580" s="367">
        <f t="shared" si="31"/>
        <v>0.33460986117759695</v>
      </c>
      <c r="F580" s="49">
        <f t="shared" ref="F580:AK580" si="62">SUM(F74:F76)</f>
        <v>747</v>
      </c>
      <c r="G580" s="49">
        <f t="shared" si="62"/>
        <v>314</v>
      </c>
      <c r="H580" s="49">
        <f t="shared" si="62"/>
        <v>630</v>
      </c>
      <c r="I580" s="49">
        <f t="shared" si="62"/>
        <v>738</v>
      </c>
      <c r="J580" s="50">
        <f t="shared" si="62"/>
        <v>166</v>
      </c>
      <c r="K580" s="49">
        <f t="shared" si="62"/>
        <v>0</v>
      </c>
      <c r="L580" s="231">
        <f t="shared" si="62"/>
        <v>0</v>
      </c>
      <c r="M580" s="543">
        <f t="shared" si="62"/>
        <v>0</v>
      </c>
      <c r="N580" s="49">
        <f t="shared" si="62"/>
        <v>0</v>
      </c>
      <c r="O580" s="235">
        <f t="shared" si="62"/>
        <v>0</v>
      </c>
      <c r="P580" s="291">
        <f t="shared" si="62"/>
        <v>0</v>
      </c>
      <c r="Q580" s="63">
        <f t="shared" si="62"/>
        <v>0</v>
      </c>
      <c r="R580" s="63">
        <f t="shared" si="62"/>
        <v>0</v>
      </c>
      <c r="S580" s="62">
        <f t="shared" si="62"/>
        <v>0</v>
      </c>
      <c r="T580" s="49">
        <f t="shared" si="62"/>
        <v>0</v>
      </c>
      <c r="U580" s="49">
        <f t="shared" si="62"/>
        <v>0</v>
      </c>
      <c r="V580" s="82">
        <f t="shared" si="62"/>
        <v>0</v>
      </c>
      <c r="W580" s="62">
        <f t="shared" si="62"/>
        <v>0</v>
      </c>
      <c r="X580" s="235">
        <f t="shared" si="62"/>
        <v>0</v>
      </c>
      <c r="Y580" s="291">
        <f t="shared" si="62"/>
        <v>0</v>
      </c>
      <c r="Z580" s="50">
        <f t="shared" si="62"/>
        <v>0</v>
      </c>
      <c r="AA580" s="49">
        <f t="shared" si="62"/>
        <v>0</v>
      </c>
      <c r="AB580" s="63">
        <f t="shared" si="62"/>
        <v>0</v>
      </c>
      <c r="AC580" s="62">
        <f t="shared" si="62"/>
        <v>0</v>
      </c>
      <c r="AD580" s="49">
        <f t="shared" si="62"/>
        <v>0</v>
      </c>
      <c r="AE580" s="235">
        <f t="shared" si="62"/>
        <v>0</v>
      </c>
      <c r="AF580" s="82">
        <f t="shared" si="62"/>
        <v>0</v>
      </c>
      <c r="AG580" s="82">
        <f t="shared" si="62"/>
        <v>0</v>
      </c>
      <c r="AH580" s="49">
        <f t="shared" si="62"/>
        <v>0</v>
      </c>
      <c r="AI580" s="82">
        <f t="shared" si="62"/>
        <v>0</v>
      </c>
      <c r="AJ580" s="49">
        <f t="shared" si="62"/>
        <v>0</v>
      </c>
      <c r="AK580" s="235">
        <f t="shared" si="62"/>
        <v>0</v>
      </c>
      <c r="AL580" s="82">
        <f t="shared" ref="AL580:BQ580" si="63">SUM(AL74:AL76)</f>
        <v>0</v>
      </c>
      <c r="AM580" s="49">
        <f t="shared" si="63"/>
        <v>0</v>
      </c>
      <c r="AN580" s="235">
        <f t="shared" si="63"/>
        <v>0</v>
      </c>
      <c r="AO580" s="235">
        <f t="shared" si="63"/>
        <v>0</v>
      </c>
      <c r="AP580" s="82">
        <f t="shared" si="63"/>
        <v>0</v>
      </c>
      <c r="AQ580" s="49">
        <f t="shared" si="63"/>
        <v>0</v>
      </c>
      <c r="AR580" s="82">
        <f t="shared" si="63"/>
        <v>0</v>
      </c>
      <c r="AS580" s="49">
        <f t="shared" si="63"/>
        <v>0</v>
      </c>
      <c r="AT580" s="235">
        <f t="shared" si="63"/>
        <v>0</v>
      </c>
      <c r="AU580" s="82">
        <f t="shared" si="63"/>
        <v>0</v>
      </c>
      <c r="AV580" s="49">
        <f t="shared" si="63"/>
        <v>0</v>
      </c>
      <c r="AW580" s="235">
        <f t="shared" si="63"/>
        <v>0</v>
      </c>
      <c r="AX580" s="49">
        <f t="shared" si="63"/>
        <v>0</v>
      </c>
      <c r="AY580" s="235">
        <f t="shared" si="63"/>
        <v>0</v>
      </c>
      <c r="AZ580" s="82">
        <f t="shared" si="63"/>
        <v>0</v>
      </c>
      <c r="BA580" s="49">
        <f t="shared" si="63"/>
        <v>0</v>
      </c>
      <c r="BB580" s="49">
        <f t="shared" si="63"/>
        <v>0</v>
      </c>
      <c r="BC580" s="82">
        <f t="shared" si="63"/>
        <v>0</v>
      </c>
      <c r="BD580" s="49">
        <f t="shared" si="63"/>
        <v>0</v>
      </c>
      <c r="BE580" s="49">
        <f t="shared" si="63"/>
        <v>0</v>
      </c>
      <c r="BF580" s="235">
        <f t="shared" si="63"/>
        <v>0</v>
      </c>
      <c r="BG580" s="231">
        <f t="shared" si="63"/>
        <v>0</v>
      </c>
      <c r="BH580" s="543">
        <f t="shared" si="63"/>
        <v>0</v>
      </c>
      <c r="BI580" s="49">
        <f t="shared" si="63"/>
        <v>0</v>
      </c>
      <c r="BJ580" s="50">
        <f t="shared" si="63"/>
        <v>0</v>
      </c>
      <c r="BK580" s="49">
        <f t="shared" si="63"/>
        <v>0</v>
      </c>
      <c r="BL580" s="291">
        <f t="shared" si="63"/>
        <v>0</v>
      </c>
      <c r="BM580" s="50">
        <f t="shared" si="63"/>
        <v>0</v>
      </c>
      <c r="BN580" s="49">
        <f t="shared" si="63"/>
        <v>0</v>
      </c>
      <c r="BO580" s="235">
        <f t="shared" si="63"/>
        <v>0</v>
      </c>
      <c r="BP580" s="291">
        <f t="shared" si="63"/>
        <v>0</v>
      </c>
      <c r="BQ580" s="235">
        <f t="shared" si="63"/>
        <v>0</v>
      </c>
      <c r="BR580" s="82">
        <f t="shared" ref="BR580:CI580" si="64">SUM(BR74:BR76)</f>
        <v>0</v>
      </c>
      <c r="BS580" s="49">
        <f t="shared" si="64"/>
        <v>0</v>
      </c>
      <c r="BT580" s="50">
        <f t="shared" si="64"/>
        <v>0</v>
      </c>
      <c r="BU580" s="49">
        <f t="shared" si="64"/>
        <v>0</v>
      </c>
      <c r="BV580" s="291">
        <f t="shared" si="64"/>
        <v>0</v>
      </c>
      <c r="BW580" s="63">
        <f t="shared" si="64"/>
        <v>0</v>
      </c>
      <c r="BX580" s="235">
        <f t="shared" si="64"/>
        <v>0</v>
      </c>
      <c r="BY580" s="82">
        <f t="shared" si="64"/>
        <v>0</v>
      </c>
      <c r="BZ580" s="49">
        <f t="shared" si="64"/>
        <v>0</v>
      </c>
      <c r="CA580" s="235">
        <f t="shared" si="64"/>
        <v>0</v>
      </c>
      <c r="CB580" s="291">
        <f t="shared" si="64"/>
        <v>0</v>
      </c>
      <c r="CC580" s="50">
        <f t="shared" si="64"/>
        <v>0</v>
      </c>
      <c r="CD580" s="49">
        <f t="shared" si="64"/>
        <v>0</v>
      </c>
      <c r="CE580" s="235">
        <f t="shared" si="64"/>
        <v>0</v>
      </c>
      <c r="CF580" s="235">
        <f t="shared" si="64"/>
        <v>0</v>
      </c>
      <c r="CG580" s="82">
        <f t="shared" si="64"/>
        <v>0</v>
      </c>
      <c r="CH580" s="49">
        <f t="shared" si="64"/>
        <v>0</v>
      </c>
      <c r="CI580" s="82">
        <f t="shared" si="64"/>
        <v>0</v>
      </c>
    </row>
    <row r="581" spans="2:87" x14ac:dyDescent="0.3">
      <c r="B581" s="7" t="s">
        <v>776</v>
      </c>
      <c r="C581" s="322">
        <f>SUM(C77:C79)</f>
        <v>3620</v>
      </c>
      <c r="D581" s="235">
        <f>SUM(D77:D79)</f>
        <v>992</v>
      </c>
      <c r="E581" s="367">
        <f t="shared" si="31"/>
        <v>0.2740331491712707</v>
      </c>
      <c r="F581" s="49">
        <f t="shared" ref="F581:AK581" si="65">SUM(F77:F79)</f>
        <v>568</v>
      </c>
      <c r="G581" s="49">
        <f t="shared" si="65"/>
        <v>190</v>
      </c>
      <c r="H581" s="49">
        <f t="shared" si="65"/>
        <v>447</v>
      </c>
      <c r="I581" s="49">
        <f t="shared" si="65"/>
        <v>549</v>
      </c>
      <c r="J581" s="50">
        <f t="shared" si="65"/>
        <v>102</v>
      </c>
      <c r="K581" s="49">
        <f t="shared" si="65"/>
        <v>0</v>
      </c>
      <c r="L581" s="231">
        <f t="shared" si="65"/>
        <v>0</v>
      </c>
      <c r="M581" s="543">
        <f t="shared" si="65"/>
        <v>0</v>
      </c>
      <c r="N581" s="49">
        <f t="shared" si="65"/>
        <v>0</v>
      </c>
      <c r="O581" s="235">
        <f t="shared" si="65"/>
        <v>0</v>
      </c>
      <c r="P581" s="291">
        <f t="shared" si="65"/>
        <v>0</v>
      </c>
      <c r="Q581" s="63">
        <f t="shared" si="65"/>
        <v>0</v>
      </c>
      <c r="R581" s="63">
        <f t="shared" si="65"/>
        <v>0</v>
      </c>
      <c r="S581" s="62">
        <f t="shared" si="65"/>
        <v>0</v>
      </c>
      <c r="T581" s="49">
        <f t="shared" si="65"/>
        <v>0</v>
      </c>
      <c r="U581" s="49">
        <f t="shared" si="65"/>
        <v>0</v>
      </c>
      <c r="V581" s="82">
        <f t="shared" si="65"/>
        <v>0</v>
      </c>
      <c r="W581" s="62">
        <f t="shared" si="65"/>
        <v>0</v>
      </c>
      <c r="X581" s="235">
        <f t="shared" si="65"/>
        <v>0</v>
      </c>
      <c r="Y581" s="291">
        <f t="shared" si="65"/>
        <v>0</v>
      </c>
      <c r="Z581" s="50">
        <f t="shared" si="65"/>
        <v>0</v>
      </c>
      <c r="AA581" s="49">
        <f t="shared" si="65"/>
        <v>0</v>
      </c>
      <c r="AB581" s="63">
        <f t="shared" si="65"/>
        <v>0</v>
      </c>
      <c r="AC581" s="62">
        <f t="shared" si="65"/>
        <v>0</v>
      </c>
      <c r="AD581" s="49">
        <f t="shared" si="65"/>
        <v>0</v>
      </c>
      <c r="AE581" s="235">
        <f t="shared" si="65"/>
        <v>0</v>
      </c>
      <c r="AF581" s="82">
        <f t="shared" si="65"/>
        <v>0</v>
      </c>
      <c r="AG581" s="82">
        <f t="shared" si="65"/>
        <v>0</v>
      </c>
      <c r="AH581" s="49">
        <f t="shared" si="65"/>
        <v>0</v>
      </c>
      <c r="AI581" s="82">
        <f t="shared" si="65"/>
        <v>0</v>
      </c>
      <c r="AJ581" s="49">
        <f t="shared" si="65"/>
        <v>0</v>
      </c>
      <c r="AK581" s="235">
        <f t="shared" si="65"/>
        <v>0</v>
      </c>
      <c r="AL581" s="82">
        <f t="shared" ref="AL581:BQ581" si="66">SUM(AL77:AL79)</f>
        <v>0</v>
      </c>
      <c r="AM581" s="49">
        <f t="shared" si="66"/>
        <v>0</v>
      </c>
      <c r="AN581" s="235">
        <f t="shared" si="66"/>
        <v>0</v>
      </c>
      <c r="AO581" s="235">
        <f t="shared" si="66"/>
        <v>0</v>
      </c>
      <c r="AP581" s="82">
        <f t="shared" si="66"/>
        <v>0</v>
      </c>
      <c r="AQ581" s="49">
        <f t="shared" si="66"/>
        <v>0</v>
      </c>
      <c r="AR581" s="82">
        <f t="shared" si="66"/>
        <v>0</v>
      </c>
      <c r="AS581" s="49">
        <f t="shared" si="66"/>
        <v>0</v>
      </c>
      <c r="AT581" s="235">
        <f t="shared" si="66"/>
        <v>0</v>
      </c>
      <c r="AU581" s="82">
        <f t="shared" si="66"/>
        <v>0</v>
      </c>
      <c r="AV581" s="49">
        <f t="shared" si="66"/>
        <v>0</v>
      </c>
      <c r="AW581" s="235">
        <f t="shared" si="66"/>
        <v>0</v>
      </c>
      <c r="AX581" s="49">
        <f t="shared" si="66"/>
        <v>0</v>
      </c>
      <c r="AY581" s="235">
        <f t="shared" si="66"/>
        <v>0</v>
      </c>
      <c r="AZ581" s="82">
        <f t="shared" si="66"/>
        <v>0</v>
      </c>
      <c r="BA581" s="49">
        <f t="shared" si="66"/>
        <v>0</v>
      </c>
      <c r="BB581" s="49">
        <f t="shared" si="66"/>
        <v>0</v>
      </c>
      <c r="BC581" s="82">
        <f t="shared" si="66"/>
        <v>0</v>
      </c>
      <c r="BD581" s="49">
        <f t="shared" si="66"/>
        <v>0</v>
      </c>
      <c r="BE581" s="49">
        <f t="shared" si="66"/>
        <v>0</v>
      </c>
      <c r="BF581" s="235">
        <f t="shared" si="66"/>
        <v>0</v>
      </c>
      <c r="BG581" s="231">
        <f t="shared" si="66"/>
        <v>0</v>
      </c>
      <c r="BH581" s="543">
        <f t="shared" si="66"/>
        <v>0</v>
      </c>
      <c r="BI581" s="49">
        <f t="shared" si="66"/>
        <v>0</v>
      </c>
      <c r="BJ581" s="50">
        <f t="shared" si="66"/>
        <v>0</v>
      </c>
      <c r="BK581" s="49">
        <f t="shared" si="66"/>
        <v>0</v>
      </c>
      <c r="BL581" s="291">
        <f t="shared" si="66"/>
        <v>0</v>
      </c>
      <c r="BM581" s="50">
        <f t="shared" si="66"/>
        <v>0</v>
      </c>
      <c r="BN581" s="49">
        <f t="shared" si="66"/>
        <v>0</v>
      </c>
      <c r="BO581" s="235">
        <f t="shared" si="66"/>
        <v>0</v>
      </c>
      <c r="BP581" s="291">
        <f t="shared" si="66"/>
        <v>0</v>
      </c>
      <c r="BQ581" s="235">
        <f t="shared" si="66"/>
        <v>0</v>
      </c>
      <c r="BR581" s="82">
        <f t="shared" ref="BR581:CI581" si="67">SUM(BR77:BR79)</f>
        <v>0</v>
      </c>
      <c r="BS581" s="49">
        <f t="shared" si="67"/>
        <v>0</v>
      </c>
      <c r="BT581" s="50">
        <f t="shared" si="67"/>
        <v>0</v>
      </c>
      <c r="BU581" s="49">
        <f t="shared" si="67"/>
        <v>0</v>
      </c>
      <c r="BV581" s="291">
        <f t="shared" si="67"/>
        <v>0</v>
      </c>
      <c r="BW581" s="63">
        <f t="shared" si="67"/>
        <v>0</v>
      </c>
      <c r="BX581" s="235">
        <f t="shared" si="67"/>
        <v>0</v>
      </c>
      <c r="BY581" s="82">
        <f t="shared" si="67"/>
        <v>0</v>
      </c>
      <c r="BZ581" s="49">
        <f t="shared" si="67"/>
        <v>0</v>
      </c>
      <c r="CA581" s="235">
        <f t="shared" si="67"/>
        <v>0</v>
      </c>
      <c r="CB581" s="291">
        <f t="shared" si="67"/>
        <v>0</v>
      </c>
      <c r="CC581" s="50">
        <f t="shared" si="67"/>
        <v>0</v>
      </c>
      <c r="CD581" s="49">
        <f t="shared" si="67"/>
        <v>0</v>
      </c>
      <c r="CE581" s="235">
        <f t="shared" si="67"/>
        <v>0</v>
      </c>
      <c r="CF581" s="235">
        <f t="shared" si="67"/>
        <v>0</v>
      </c>
      <c r="CG581" s="82">
        <f t="shared" si="67"/>
        <v>0</v>
      </c>
      <c r="CH581" s="49">
        <f t="shared" si="67"/>
        <v>0</v>
      </c>
      <c r="CI581" s="82">
        <f t="shared" si="67"/>
        <v>0</v>
      </c>
    </row>
    <row r="582" spans="2:87" x14ac:dyDescent="0.3">
      <c r="B582" s="7" t="s">
        <v>757</v>
      </c>
      <c r="C582" s="322">
        <f>SUM(C81:C85)</f>
        <v>5452</v>
      </c>
      <c r="D582" s="235">
        <f>SUM(D81:D85)</f>
        <v>1195</v>
      </c>
      <c r="E582" s="367">
        <f t="shared" si="31"/>
        <v>0.21918561995597946</v>
      </c>
      <c r="F582" s="49">
        <f t="shared" ref="F582:AK582" si="68">SUM(F81:F85)</f>
        <v>580</v>
      </c>
      <c r="G582" s="49">
        <f t="shared" si="68"/>
        <v>226</v>
      </c>
      <c r="H582" s="49">
        <f t="shared" si="68"/>
        <v>464</v>
      </c>
      <c r="I582" s="49">
        <f t="shared" si="68"/>
        <v>610</v>
      </c>
      <c r="J582" s="50">
        <f t="shared" si="68"/>
        <v>107</v>
      </c>
      <c r="K582" s="49">
        <f t="shared" si="68"/>
        <v>0</v>
      </c>
      <c r="L582" s="231">
        <f t="shared" si="68"/>
        <v>0</v>
      </c>
      <c r="M582" s="543">
        <f t="shared" si="68"/>
        <v>0</v>
      </c>
      <c r="N582" s="49">
        <f t="shared" si="68"/>
        <v>0</v>
      </c>
      <c r="O582" s="235">
        <f t="shared" si="68"/>
        <v>0</v>
      </c>
      <c r="P582" s="291">
        <f t="shared" si="68"/>
        <v>0</v>
      </c>
      <c r="Q582" s="63">
        <f t="shared" si="68"/>
        <v>0</v>
      </c>
      <c r="R582" s="63">
        <f t="shared" si="68"/>
        <v>0</v>
      </c>
      <c r="S582" s="62">
        <f t="shared" si="68"/>
        <v>0</v>
      </c>
      <c r="T582" s="49">
        <f t="shared" si="68"/>
        <v>0</v>
      </c>
      <c r="U582" s="49">
        <f t="shared" si="68"/>
        <v>0</v>
      </c>
      <c r="V582" s="82">
        <f t="shared" si="68"/>
        <v>0</v>
      </c>
      <c r="W582" s="62">
        <f t="shared" si="68"/>
        <v>0</v>
      </c>
      <c r="X582" s="235">
        <f t="shared" si="68"/>
        <v>0</v>
      </c>
      <c r="Y582" s="291">
        <f t="shared" si="68"/>
        <v>0</v>
      </c>
      <c r="Z582" s="50">
        <f t="shared" si="68"/>
        <v>0</v>
      </c>
      <c r="AA582" s="49">
        <f t="shared" si="68"/>
        <v>0</v>
      </c>
      <c r="AB582" s="63">
        <f t="shared" si="68"/>
        <v>0</v>
      </c>
      <c r="AC582" s="62">
        <f t="shared" si="68"/>
        <v>0</v>
      </c>
      <c r="AD582" s="49">
        <f t="shared" si="68"/>
        <v>0</v>
      </c>
      <c r="AE582" s="235">
        <f t="shared" si="68"/>
        <v>0</v>
      </c>
      <c r="AF582" s="82">
        <f t="shared" si="68"/>
        <v>0</v>
      </c>
      <c r="AG582" s="82">
        <f t="shared" si="68"/>
        <v>0</v>
      </c>
      <c r="AH582" s="49">
        <f t="shared" si="68"/>
        <v>0</v>
      </c>
      <c r="AI582" s="82">
        <f t="shared" si="68"/>
        <v>0</v>
      </c>
      <c r="AJ582" s="49">
        <f t="shared" si="68"/>
        <v>0</v>
      </c>
      <c r="AK582" s="235">
        <f t="shared" si="68"/>
        <v>0</v>
      </c>
      <c r="AL582" s="82">
        <f t="shared" ref="AL582:BQ582" si="69">SUM(AL81:AL85)</f>
        <v>0</v>
      </c>
      <c r="AM582" s="49">
        <f t="shared" si="69"/>
        <v>0</v>
      </c>
      <c r="AN582" s="235">
        <f t="shared" si="69"/>
        <v>0</v>
      </c>
      <c r="AO582" s="235">
        <f t="shared" si="69"/>
        <v>0</v>
      </c>
      <c r="AP582" s="82">
        <f t="shared" si="69"/>
        <v>0</v>
      </c>
      <c r="AQ582" s="49">
        <f t="shared" si="69"/>
        <v>0</v>
      </c>
      <c r="AR582" s="82">
        <f t="shared" si="69"/>
        <v>0</v>
      </c>
      <c r="AS582" s="49">
        <f t="shared" si="69"/>
        <v>0</v>
      </c>
      <c r="AT582" s="235">
        <f t="shared" si="69"/>
        <v>0</v>
      </c>
      <c r="AU582" s="82">
        <f t="shared" si="69"/>
        <v>0</v>
      </c>
      <c r="AV582" s="49">
        <f t="shared" si="69"/>
        <v>0</v>
      </c>
      <c r="AW582" s="235">
        <f t="shared" si="69"/>
        <v>0</v>
      </c>
      <c r="AX582" s="49">
        <f t="shared" si="69"/>
        <v>0</v>
      </c>
      <c r="AY582" s="235">
        <f t="shared" si="69"/>
        <v>0</v>
      </c>
      <c r="AZ582" s="82">
        <f t="shared" si="69"/>
        <v>0</v>
      </c>
      <c r="BA582" s="49">
        <f t="shared" si="69"/>
        <v>0</v>
      </c>
      <c r="BB582" s="49">
        <f t="shared" si="69"/>
        <v>0</v>
      </c>
      <c r="BC582" s="82">
        <f t="shared" si="69"/>
        <v>0</v>
      </c>
      <c r="BD582" s="49">
        <f t="shared" si="69"/>
        <v>0</v>
      </c>
      <c r="BE582" s="49">
        <f t="shared" si="69"/>
        <v>0</v>
      </c>
      <c r="BF582" s="235">
        <f t="shared" si="69"/>
        <v>0</v>
      </c>
      <c r="BG582" s="231">
        <f t="shared" si="69"/>
        <v>0</v>
      </c>
      <c r="BH582" s="543">
        <f t="shared" si="69"/>
        <v>0</v>
      </c>
      <c r="BI582" s="49">
        <f t="shared" si="69"/>
        <v>0</v>
      </c>
      <c r="BJ582" s="50">
        <f t="shared" si="69"/>
        <v>0</v>
      </c>
      <c r="BK582" s="49">
        <f t="shared" si="69"/>
        <v>0</v>
      </c>
      <c r="BL582" s="291">
        <f t="shared" si="69"/>
        <v>0</v>
      </c>
      <c r="BM582" s="50">
        <f t="shared" si="69"/>
        <v>0</v>
      </c>
      <c r="BN582" s="49">
        <f t="shared" si="69"/>
        <v>0</v>
      </c>
      <c r="BO582" s="235">
        <f t="shared" si="69"/>
        <v>0</v>
      </c>
      <c r="BP582" s="291">
        <f t="shared" si="69"/>
        <v>0</v>
      </c>
      <c r="BQ582" s="235">
        <f t="shared" si="69"/>
        <v>0</v>
      </c>
      <c r="BR582" s="82">
        <f t="shared" ref="BR582:CI582" si="70">SUM(BR81:BR85)</f>
        <v>0</v>
      </c>
      <c r="BS582" s="49">
        <f t="shared" si="70"/>
        <v>0</v>
      </c>
      <c r="BT582" s="50">
        <f t="shared" si="70"/>
        <v>0</v>
      </c>
      <c r="BU582" s="49">
        <f t="shared" si="70"/>
        <v>0</v>
      </c>
      <c r="BV582" s="291">
        <f t="shared" si="70"/>
        <v>0</v>
      </c>
      <c r="BW582" s="63">
        <f t="shared" si="70"/>
        <v>0</v>
      </c>
      <c r="BX582" s="235">
        <f t="shared" si="70"/>
        <v>0</v>
      </c>
      <c r="BY582" s="82">
        <f t="shared" si="70"/>
        <v>0</v>
      </c>
      <c r="BZ582" s="49">
        <f t="shared" si="70"/>
        <v>0</v>
      </c>
      <c r="CA582" s="235">
        <f t="shared" si="70"/>
        <v>0</v>
      </c>
      <c r="CB582" s="291">
        <f t="shared" si="70"/>
        <v>0</v>
      </c>
      <c r="CC582" s="50">
        <f t="shared" si="70"/>
        <v>0</v>
      </c>
      <c r="CD582" s="49">
        <f t="shared" si="70"/>
        <v>0</v>
      </c>
      <c r="CE582" s="235">
        <f t="shared" si="70"/>
        <v>0</v>
      </c>
      <c r="CF582" s="235">
        <f t="shared" si="70"/>
        <v>0</v>
      </c>
      <c r="CG582" s="82">
        <f t="shared" si="70"/>
        <v>0</v>
      </c>
      <c r="CH582" s="49">
        <f t="shared" si="70"/>
        <v>0</v>
      </c>
      <c r="CI582" s="82">
        <f t="shared" si="70"/>
        <v>0</v>
      </c>
    </row>
    <row r="583" spans="2:87" x14ac:dyDescent="0.3">
      <c r="B583" s="7" t="s">
        <v>758</v>
      </c>
      <c r="C583" s="322">
        <f>SUM(C86:C93)</f>
        <v>9374</v>
      </c>
      <c r="D583" s="235">
        <f>SUM(D86:D93)</f>
        <v>2852</v>
      </c>
      <c r="E583" s="367">
        <f t="shared" si="31"/>
        <v>0.3042457862171965</v>
      </c>
      <c r="F583" s="49">
        <f t="shared" ref="F583:AK583" si="71">SUM(F86:F93)</f>
        <v>1849</v>
      </c>
      <c r="G583" s="49">
        <f t="shared" si="71"/>
        <v>607</v>
      </c>
      <c r="H583" s="49">
        <f t="shared" si="71"/>
        <v>1422</v>
      </c>
      <c r="I583" s="49">
        <f t="shared" si="71"/>
        <v>1918</v>
      </c>
      <c r="J583" s="50">
        <f t="shared" si="71"/>
        <v>173</v>
      </c>
      <c r="K583" s="49">
        <f t="shared" si="71"/>
        <v>0</v>
      </c>
      <c r="L583" s="231">
        <f t="shared" si="71"/>
        <v>0</v>
      </c>
      <c r="M583" s="543">
        <f t="shared" si="71"/>
        <v>0</v>
      </c>
      <c r="N583" s="49">
        <f t="shared" si="71"/>
        <v>0</v>
      </c>
      <c r="O583" s="235">
        <f t="shared" si="71"/>
        <v>0</v>
      </c>
      <c r="P583" s="291">
        <f t="shared" si="71"/>
        <v>0</v>
      </c>
      <c r="Q583" s="63">
        <f t="shared" si="71"/>
        <v>0</v>
      </c>
      <c r="R583" s="63">
        <f t="shared" si="71"/>
        <v>0</v>
      </c>
      <c r="S583" s="62">
        <f t="shared" si="71"/>
        <v>0</v>
      </c>
      <c r="T583" s="49">
        <f t="shared" si="71"/>
        <v>0</v>
      </c>
      <c r="U583" s="49">
        <f t="shared" si="71"/>
        <v>0</v>
      </c>
      <c r="V583" s="82">
        <f t="shared" si="71"/>
        <v>0</v>
      </c>
      <c r="W583" s="62">
        <f t="shared" si="71"/>
        <v>0</v>
      </c>
      <c r="X583" s="235">
        <f t="shared" si="71"/>
        <v>0</v>
      </c>
      <c r="Y583" s="291">
        <f t="shared" si="71"/>
        <v>0</v>
      </c>
      <c r="Z583" s="50">
        <f t="shared" si="71"/>
        <v>0</v>
      </c>
      <c r="AA583" s="49">
        <f t="shared" si="71"/>
        <v>0</v>
      </c>
      <c r="AB583" s="63">
        <f t="shared" si="71"/>
        <v>0</v>
      </c>
      <c r="AC583" s="62">
        <f t="shared" si="71"/>
        <v>0</v>
      </c>
      <c r="AD583" s="49">
        <f t="shared" si="71"/>
        <v>0</v>
      </c>
      <c r="AE583" s="235">
        <f t="shared" si="71"/>
        <v>0</v>
      </c>
      <c r="AF583" s="82">
        <f t="shared" si="71"/>
        <v>0</v>
      </c>
      <c r="AG583" s="82">
        <f t="shared" si="71"/>
        <v>0</v>
      </c>
      <c r="AH583" s="49">
        <f t="shared" si="71"/>
        <v>0</v>
      </c>
      <c r="AI583" s="82">
        <f t="shared" si="71"/>
        <v>0</v>
      </c>
      <c r="AJ583" s="49">
        <f t="shared" si="71"/>
        <v>0</v>
      </c>
      <c r="AK583" s="235">
        <f t="shared" si="71"/>
        <v>0</v>
      </c>
      <c r="AL583" s="82">
        <f t="shared" ref="AL583:BQ583" si="72">SUM(AL86:AL93)</f>
        <v>0</v>
      </c>
      <c r="AM583" s="49">
        <f t="shared" si="72"/>
        <v>0</v>
      </c>
      <c r="AN583" s="235">
        <f t="shared" si="72"/>
        <v>0</v>
      </c>
      <c r="AO583" s="235">
        <f t="shared" si="72"/>
        <v>0</v>
      </c>
      <c r="AP583" s="82">
        <f t="shared" si="72"/>
        <v>0</v>
      </c>
      <c r="AQ583" s="49">
        <f t="shared" si="72"/>
        <v>0</v>
      </c>
      <c r="AR583" s="82">
        <f t="shared" si="72"/>
        <v>0</v>
      </c>
      <c r="AS583" s="49">
        <f t="shared" si="72"/>
        <v>0</v>
      </c>
      <c r="AT583" s="235">
        <f t="shared" si="72"/>
        <v>0</v>
      </c>
      <c r="AU583" s="82">
        <f t="shared" si="72"/>
        <v>0</v>
      </c>
      <c r="AV583" s="49">
        <f t="shared" si="72"/>
        <v>0</v>
      </c>
      <c r="AW583" s="235">
        <f t="shared" si="72"/>
        <v>0</v>
      </c>
      <c r="AX583" s="49">
        <f t="shared" si="72"/>
        <v>0</v>
      </c>
      <c r="AY583" s="235">
        <f t="shared" si="72"/>
        <v>0</v>
      </c>
      <c r="AZ583" s="82">
        <f t="shared" si="72"/>
        <v>0</v>
      </c>
      <c r="BA583" s="49">
        <f t="shared" si="72"/>
        <v>0</v>
      </c>
      <c r="BB583" s="49">
        <f t="shared" si="72"/>
        <v>0</v>
      </c>
      <c r="BC583" s="82">
        <f t="shared" si="72"/>
        <v>0</v>
      </c>
      <c r="BD583" s="49">
        <f t="shared" si="72"/>
        <v>0</v>
      </c>
      <c r="BE583" s="49">
        <f t="shared" si="72"/>
        <v>0</v>
      </c>
      <c r="BF583" s="235">
        <f t="shared" si="72"/>
        <v>0</v>
      </c>
      <c r="BG583" s="231">
        <f t="shared" si="72"/>
        <v>0</v>
      </c>
      <c r="BH583" s="543">
        <f t="shared" si="72"/>
        <v>0</v>
      </c>
      <c r="BI583" s="49">
        <f t="shared" si="72"/>
        <v>0</v>
      </c>
      <c r="BJ583" s="50">
        <f t="shared" si="72"/>
        <v>0</v>
      </c>
      <c r="BK583" s="49">
        <f t="shared" si="72"/>
        <v>0</v>
      </c>
      <c r="BL583" s="291">
        <f t="shared" si="72"/>
        <v>0</v>
      </c>
      <c r="BM583" s="50">
        <f t="shared" si="72"/>
        <v>0</v>
      </c>
      <c r="BN583" s="49">
        <f t="shared" si="72"/>
        <v>0</v>
      </c>
      <c r="BO583" s="235">
        <f t="shared" si="72"/>
        <v>0</v>
      </c>
      <c r="BP583" s="291">
        <f t="shared" si="72"/>
        <v>0</v>
      </c>
      <c r="BQ583" s="235">
        <f t="shared" si="72"/>
        <v>0</v>
      </c>
      <c r="BR583" s="82">
        <f t="shared" ref="BR583:CI583" si="73">SUM(BR86:BR93)</f>
        <v>0</v>
      </c>
      <c r="BS583" s="49">
        <f t="shared" si="73"/>
        <v>0</v>
      </c>
      <c r="BT583" s="50">
        <f t="shared" si="73"/>
        <v>0</v>
      </c>
      <c r="BU583" s="49">
        <f t="shared" si="73"/>
        <v>0</v>
      </c>
      <c r="BV583" s="291">
        <f t="shared" si="73"/>
        <v>0</v>
      </c>
      <c r="BW583" s="63">
        <f t="shared" si="73"/>
        <v>0</v>
      </c>
      <c r="BX583" s="235">
        <f t="shared" si="73"/>
        <v>0</v>
      </c>
      <c r="BY583" s="82">
        <f t="shared" si="73"/>
        <v>0</v>
      </c>
      <c r="BZ583" s="49">
        <f t="shared" si="73"/>
        <v>0</v>
      </c>
      <c r="CA583" s="235">
        <f t="shared" si="73"/>
        <v>0</v>
      </c>
      <c r="CB583" s="291">
        <f t="shared" si="73"/>
        <v>0</v>
      </c>
      <c r="CC583" s="50">
        <f t="shared" si="73"/>
        <v>0</v>
      </c>
      <c r="CD583" s="49">
        <f t="shared" si="73"/>
        <v>0</v>
      </c>
      <c r="CE583" s="235">
        <f t="shared" si="73"/>
        <v>0</v>
      </c>
      <c r="CF583" s="235">
        <f t="shared" si="73"/>
        <v>0</v>
      </c>
      <c r="CG583" s="82">
        <f t="shared" si="73"/>
        <v>0</v>
      </c>
      <c r="CH583" s="49">
        <f t="shared" si="73"/>
        <v>0</v>
      </c>
      <c r="CI583" s="82">
        <f t="shared" si="73"/>
        <v>0</v>
      </c>
    </row>
    <row r="584" spans="2:87" x14ac:dyDescent="0.3">
      <c r="B584" s="7" t="s">
        <v>695</v>
      </c>
      <c r="C584" s="322">
        <f>SUM(C94:C102)</f>
        <v>10459</v>
      </c>
      <c r="D584" s="235">
        <f>SUM(D94:D102)</f>
        <v>5912</v>
      </c>
      <c r="E584" s="367">
        <f t="shared" si="31"/>
        <v>0.56525480447461518</v>
      </c>
      <c r="F584" s="49">
        <f t="shared" ref="F584:AK584" si="74">SUM(F94:F102)</f>
        <v>3739</v>
      </c>
      <c r="G584" s="49">
        <f t="shared" si="74"/>
        <v>1138</v>
      </c>
      <c r="H584" s="49">
        <f t="shared" si="74"/>
        <v>3132</v>
      </c>
      <c r="I584" s="49">
        <f t="shared" si="74"/>
        <v>3719</v>
      </c>
      <c r="J584" s="50">
        <f t="shared" si="74"/>
        <v>510</v>
      </c>
      <c r="K584" s="49">
        <f t="shared" si="74"/>
        <v>0</v>
      </c>
      <c r="L584" s="231">
        <f t="shared" si="74"/>
        <v>0</v>
      </c>
      <c r="M584" s="543">
        <f t="shared" si="74"/>
        <v>0</v>
      </c>
      <c r="N584" s="49">
        <f t="shared" si="74"/>
        <v>0</v>
      </c>
      <c r="O584" s="235">
        <f t="shared" si="74"/>
        <v>0</v>
      </c>
      <c r="P584" s="291">
        <f t="shared" si="74"/>
        <v>0</v>
      </c>
      <c r="Q584" s="63">
        <f t="shared" si="74"/>
        <v>0</v>
      </c>
      <c r="R584" s="63">
        <f t="shared" si="74"/>
        <v>0</v>
      </c>
      <c r="S584" s="62">
        <f t="shared" si="74"/>
        <v>0</v>
      </c>
      <c r="T584" s="49">
        <f t="shared" si="74"/>
        <v>0</v>
      </c>
      <c r="U584" s="49">
        <f t="shared" si="74"/>
        <v>0</v>
      </c>
      <c r="V584" s="82">
        <f t="shared" si="74"/>
        <v>0</v>
      </c>
      <c r="W584" s="62">
        <f t="shared" si="74"/>
        <v>0</v>
      </c>
      <c r="X584" s="235">
        <f t="shared" si="74"/>
        <v>0</v>
      </c>
      <c r="Y584" s="291">
        <f t="shared" si="74"/>
        <v>0</v>
      </c>
      <c r="Z584" s="50">
        <f t="shared" si="74"/>
        <v>0</v>
      </c>
      <c r="AA584" s="49">
        <f t="shared" si="74"/>
        <v>0</v>
      </c>
      <c r="AB584" s="63">
        <f t="shared" si="74"/>
        <v>0</v>
      </c>
      <c r="AC584" s="62">
        <f t="shared" si="74"/>
        <v>0</v>
      </c>
      <c r="AD584" s="49">
        <f t="shared" si="74"/>
        <v>0</v>
      </c>
      <c r="AE584" s="235">
        <f t="shared" si="74"/>
        <v>0</v>
      </c>
      <c r="AF584" s="82">
        <f t="shared" si="74"/>
        <v>0</v>
      </c>
      <c r="AG584" s="82">
        <f t="shared" si="74"/>
        <v>0</v>
      </c>
      <c r="AH584" s="49">
        <f t="shared" si="74"/>
        <v>0</v>
      </c>
      <c r="AI584" s="82">
        <f t="shared" si="74"/>
        <v>0</v>
      </c>
      <c r="AJ584" s="49">
        <f t="shared" si="74"/>
        <v>0</v>
      </c>
      <c r="AK584" s="235">
        <f t="shared" si="74"/>
        <v>0</v>
      </c>
      <c r="AL584" s="82">
        <f t="shared" ref="AL584:BQ584" si="75">SUM(AL94:AL102)</f>
        <v>0</v>
      </c>
      <c r="AM584" s="49">
        <f t="shared" si="75"/>
        <v>0</v>
      </c>
      <c r="AN584" s="235">
        <f t="shared" si="75"/>
        <v>0</v>
      </c>
      <c r="AO584" s="235">
        <f t="shared" si="75"/>
        <v>0</v>
      </c>
      <c r="AP584" s="82">
        <f t="shared" si="75"/>
        <v>0</v>
      </c>
      <c r="AQ584" s="49">
        <f t="shared" si="75"/>
        <v>0</v>
      </c>
      <c r="AR584" s="82">
        <f t="shared" si="75"/>
        <v>0</v>
      </c>
      <c r="AS584" s="49">
        <f t="shared" si="75"/>
        <v>0</v>
      </c>
      <c r="AT584" s="235">
        <f t="shared" si="75"/>
        <v>0</v>
      </c>
      <c r="AU584" s="82">
        <f t="shared" si="75"/>
        <v>0</v>
      </c>
      <c r="AV584" s="49">
        <f t="shared" si="75"/>
        <v>0</v>
      </c>
      <c r="AW584" s="235">
        <f t="shared" si="75"/>
        <v>0</v>
      </c>
      <c r="AX584" s="49">
        <f t="shared" si="75"/>
        <v>0</v>
      </c>
      <c r="AY584" s="235">
        <f t="shared" si="75"/>
        <v>0</v>
      </c>
      <c r="AZ584" s="82">
        <f t="shared" si="75"/>
        <v>0</v>
      </c>
      <c r="BA584" s="49">
        <f t="shared" si="75"/>
        <v>0</v>
      </c>
      <c r="BB584" s="49">
        <f t="shared" si="75"/>
        <v>0</v>
      </c>
      <c r="BC584" s="82">
        <f t="shared" si="75"/>
        <v>0</v>
      </c>
      <c r="BD584" s="49">
        <f t="shared" si="75"/>
        <v>0</v>
      </c>
      <c r="BE584" s="49">
        <f t="shared" si="75"/>
        <v>0</v>
      </c>
      <c r="BF584" s="235">
        <f t="shared" si="75"/>
        <v>0</v>
      </c>
      <c r="BG584" s="231">
        <f t="shared" si="75"/>
        <v>0</v>
      </c>
      <c r="BH584" s="543">
        <f t="shared" si="75"/>
        <v>0</v>
      </c>
      <c r="BI584" s="49">
        <f t="shared" si="75"/>
        <v>0</v>
      </c>
      <c r="BJ584" s="50">
        <f t="shared" si="75"/>
        <v>0</v>
      </c>
      <c r="BK584" s="49">
        <f t="shared" si="75"/>
        <v>0</v>
      </c>
      <c r="BL584" s="291">
        <f t="shared" si="75"/>
        <v>0</v>
      </c>
      <c r="BM584" s="50">
        <f t="shared" si="75"/>
        <v>0</v>
      </c>
      <c r="BN584" s="49">
        <f t="shared" si="75"/>
        <v>0</v>
      </c>
      <c r="BO584" s="235">
        <f t="shared" si="75"/>
        <v>0</v>
      </c>
      <c r="BP584" s="291">
        <f t="shared" si="75"/>
        <v>0</v>
      </c>
      <c r="BQ584" s="235">
        <f t="shared" si="75"/>
        <v>0</v>
      </c>
      <c r="BR584" s="82">
        <f t="shared" ref="BR584:CI584" si="76">SUM(BR94:BR102)</f>
        <v>0</v>
      </c>
      <c r="BS584" s="49">
        <f t="shared" si="76"/>
        <v>0</v>
      </c>
      <c r="BT584" s="50">
        <f t="shared" si="76"/>
        <v>0</v>
      </c>
      <c r="BU584" s="49">
        <f t="shared" si="76"/>
        <v>0</v>
      </c>
      <c r="BV584" s="291">
        <f t="shared" si="76"/>
        <v>0</v>
      </c>
      <c r="BW584" s="63">
        <f t="shared" si="76"/>
        <v>0</v>
      </c>
      <c r="BX584" s="235">
        <f t="shared" si="76"/>
        <v>0</v>
      </c>
      <c r="BY584" s="82">
        <f t="shared" si="76"/>
        <v>0</v>
      </c>
      <c r="BZ584" s="49">
        <f t="shared" si="76"/>
        <v>0</v>
      </c>
      <c r="CA584" s="235">
        <f t="shared" si="76"/>
        <v>0</v>
      </c>
      <c r="CB584" s="291">
        <f t="shared" si="76"/>
        <v>0</v>
      </c>
      <c r="CC584" s="50">
        <f t="shared" si="76"/>
        <v>0</v>
      </c>
      <c r="CD584" s="49">
        <f t="shared" si="76"/>
        <v>0</v>
      </c>
      <c r="CE584" s="235">
        <f t="shared" si="76"/>
        <v>0</v>
      </c>
      <c r="CF584" s="235">
        <f t="shared" si="76"/>
        <v>0</v>
      </c>
      <c r="CG584" s="82">
        <f t="shared" si="76"/>
        <v>0</v>
      </c>
      <c r="CH584" s="49">
        <f t="shared" si="76"/>
        <v>0</v>
      </c>
      <c r="CI584" s="82">
        <f t="shared" si="76"/>
        <v>0</v>
      </c>
    </row>
    <row r="585" spans="2:87" x14ac:dyDescent="0.3">
      <c r="B585" s="7" t="s">
        <v>696</v>
      </c>
      <c r="C585" s="322">
        <f>SUM(C103:C112)</f>
        <v>10888</v>
      </c>
      <c r="D585" s="235">
        <f>SUM(D103:D112)</f>
        <v>5076</v>
      </c>
      <c r="E585" s="367">
        <f t="shared" si="31"/>
        <v>0.46620132255694341</v>
      </c>
      <c r="F585" s="49">
        <f t="shared" ref="F585:AK585" si="77">SUM(F103:F112)</f>
        <v>3246</v>
      </c>
      <c r="G585" s="49">
        <f t="shared" si="77"/>
        <v>1106</v>
      </c>
      <c r="H585" s="49">
        <f t="shared" si="77"/>
        <v>2748</v>
      </c>
      <c r="I585" s="49">
        <f t="shared" si="77"/>
        <v>3152</v>
      </c>
      <c r="J585" s="50">
        <f t="shared" si="77"/>
        <v>332</v>
      </c>
      <c r="K585" s="49">
        <f t="shared" si="77"/>
        <v>0</v>
      </c>
      <c r="L585" s="231">
        <f t="shared" si="77"/>
        <v>0</v>
      </c>
      <c r="M585" s="543">
        <f t="shared" si="77"/>
        <v>0</v>
      </c>
      <c r="N585" s="49">
        <f t="shared" si="77"/>
        <v>0</v>
      </c>
      <c r="O585" s="235">
        <f t="shared" si="77"/>
        <v>0</v>
      </c>
      <c r="P585" s="291">
        <f t="shared" si="77"/>
        <v>0</v>
      </c>
      <c r="Q585" s="63">
        <f t="shared" si="77"/>
        <v>0</v>
      </c>
      <c r="R585" s="63">
        <f t="shared" si="77"/>
        <v>0</v>
      </c>
      <c r="S585" s="62">
        <f t="shared" si="77"/>
        <v>0</v>
      </c>
      <c r="T585" s="49">
        <f t="shared" si="77"/>
        <v>0</v>
      </c>
      <c r="U585" s="49">
        <f t="shared" si="77"/>
        <v>0</v>
      </c>
      <c r="V585" s="82">
        <f t="shared" si="77"/>
        <v>0</v>
      </c>
      <c r="W585" s="62">
        <f t="shared" si="77"/>
        <v>0</v>
      </c>
      <c r="X585" s="235">
        <f t="shared" si="77"/>
        <v>0</v>
      </c>
      <c r="Y585" s="291">
        <f t="shared" si="77"/>
        <v>0</v>
      </c>
      <c r="Z585" s="50">
        <f t="shared" si="77"/>
        <v>0</v>
      </c>
      <c r="AA585" s="49">
        <f t="shared" si="77"/>
        <v>0</v>
      </c>
      <c r="AB585" s="63">
        <f t="shared" si="77"/>
        <v>0</v>
      </c>
      <c r="AC585" s="62">
        <f t="shared" si="77"/>
        <v>0</v>
      </c>
      <c r="AD585" s="49">
        <f t="shared" si="77"/>
        <v>0</v>
      </c>
      <c r="AE585" s="235">
        <f t="shared" si="77"/>
        <v>0</v>
      </c>
      <c r="AF585" s="82">
        <f t="shared" si="77"/>
        <v>0</v>
      </c>
      <c r="AG585" s="82">
        <f t="shared" si="77"/>
        <v>0</v>
      </c>
      <c r="AH585" s="49">
        <f t="shared" si="77"/>
        <v>0</v>
      </c>
      <c r="AI585" s="82">
        <f t="shared" si="77"/>
        <v>0</v>
      </c>
      <c r="AJ585" s="49">
        <f t="shared" si="77"/>
        <v>0</v>
      </c>
      <c r="AK585" s="235">
        <f t="shared" si="77"/>
        <v>0</v>
      </c>
      <c r="AL585" s="82">
        <f t="shared" ref="AL585:BQ585" si="78">SUM(AL103:AL112)</f>
        <v>0</v>
      </c>
      <c r="AM585" s="49">
        <f t="shared" si="78"/>
        <v>0</v>
      </c>
      <c r="AN585" s="235">
        <f t="shared" si="78"/>
        <v>0</v>
      </c>
      <c r="AO585" s="235">
        <f t="shared" si="78"/>
        <v>0</v>
      </c>
      <c r="AP585" s="82">
        <f t="shared" si="78"/>
        <v>0</v>
      </c>
      <c r="AQ585" s="49">
        <f t="shared" si="78"/>
        <v>0</v>
      </c>
      <c r="AR585" s="82">
        <f t="shared" si="78"/>
        <v>0</v>
      </c>
      <c r="AS585" s="49">
        <f t="shared" si="78"/>
        <v>0</v>
      </c>
      <c r="AT585" s="235">
        <f t="shared" si="78"/>
        <v>0</v>
      </c>
      <c r="AU585" s="82">
        <f t="shared" si="78"/>
        <v>0</v>
      </c>
      <c r="AV585" s="49">
        <f t="shared" si="78"/>
        <v>0</v>
      </c>
      <c r="AW585" s="235">
        <f t="shared" si="78"/>
        <v>0</v>
      </c>
      <c r="AX585" s="49">
        <f t="shared" si="78"/>
        <v>0</v>
      </c>
      <c r="AY585" s="235">
        <f t="shared" si="78"/>
        <v>0</v>
      </c>
      <c r="AZ585" s="82">
        <f t="shared" si="78"/>
        <v>0</v>
      </c>
      <c r="BA585" s="49">
        <f t="shared" si="78"/>
        <v>0</v>
      </c>
      <c r="BB585" s="49">
        <f t="shared" si="78"/>
        <v>0</v>
      </c>
      <c r="BC585" s="82">
        <f t="shared" si="78"/>
        <v>0</v>
      </c>
      <c r="BD585" s="49">
        <f t="shared" si="78"/>
        <v>0</v>
      </c>
      <c r="BE585" s="49">
        <f t="shared" si="78"/>
        <v>0</v>
      </c>
      <c r="BF585" s="235">
        <f t="shared" si="78"/>
        <v>0</v>
      </c>
      <c r="BG585" s="231">
        <f t="shared" si="78"/>
        <v>0</v>
      </c>
      <c r="BH585" s="543">
        <f t="shared" si="78"/>
        <v>0</v>
      </c>
      <c r="BI585" s="49">
        <f t="shared" si="78"/>
        <v>0</v>
      </c>
      <c r="BJ585" s="50">
        <f t="shared" si="78"/>
        <v>0</v>
      </c>
      <c r="BK585" s="49">
        <f t="shared" si="78"/>
        <v>0</v>
      </c>
      <c r="BL585" s="291">
        <f t="shared" si="78"/>
        <v>0</v>
      </c>
      <c r="BM585" s="50">
        <f t="shared" si="78"/>
        <v>0</v>
      </c>
      <c r="BN585" s="49">
        <f t="shared" si="78"/>
        <v>0</v>
      </c>
      <c r="BO585" s="235">
        <f t="shared" si="78"/>
        <v>0</v>
      </c>
      <c r="BP585" s="291">
        <f t="shared" si="78"/>
        <v>0</v>
      </c>
      <c r="BQ585" s="235">
        <f t="shared" si="78"/>
        <v>0</v>
      </c>
      <c r="BR585" s="82">
        <f t="shared" ref="BR585:CI585" si="79">SUM(BR103:BR112)</f>
        <v>0</v>
      </c>
      <c r="BS585" s="49">
        <f t="shared" si="79"/>
        <v>0</v>
      </c>
      <c r="BT585" s="50">
        <f t="shared" si="79"/>
        <v>0</v>
      </c>
      <c r="BU585" s="49">
        <f t="shared" si="79"/>
        <v>0</v>
      </c>
      <c r="BV585" s="291">
        <f t="shared" si="79"/>
        <v>0</v>
      </c>
      <c r="BW585" s="63">
        <f t="shared" si="79"/>
        <v>0</v>
      </c>
      <c r="BX585" s="235">
        <f t="shared" si="79"/>
        <v>0</v>
      </c>
      <c r="BY585" s="82">
        <f t="shared" si="79"/>
        <v>0</v>
      </c>
      <c r="BZ585" s="49">
        <f t="shared" si="79"/>
        <v>0</v>
      </c>
      <c r="CA585" s="235">
        <f t="shared" si="79"/>
        <v>0</v>
      </c>
      <c r="CB585" s="291">
        <f t="shared" si="79"/>
        <v>0</v>
      </c>
      <c r="CC585" s="50">
        <f t="shared" si="79"/>
        <v>0</v>
      </c>
      <c r="CD585" s="49">
        <f t="shared" si="79"/>
        <v>0</v>
      </c>
      <c r="CE585" s="235">
        <f t="shared" si="79"/>
        <v>0</v>
      </c>
      <c r="CF585" s="235">
        <f t="shared" si="79"/>
        <v>0</v>
      </c>
      <c r="CG585" s="82">
        <f t="shared" si="79"/>
        <v>0</v>
      </c>
      <c r="CH585" s="49">
        <f t="shared" si="79"/>
        <v>0</v>
      </c>
      <c r="CI585" s="82">
        <f t="shared" si="79"/>
        <v>0</v>
      </c>
    </row>
    <row r="586" spans="2:87" x14ac:dyDescent="0.3">
      <c r="B586" s="7" t="s">
        <v>7</v>
      </c>
      <c r="C586" s="322">
        <f>SUM(C113)</f>
        <v>1451</v>
      </c>
      <c r="D586" s="235">
        <f>SUM(D113)</f>
        <v>280</v>
      </c>
      <c r="E586" s="367">
        <f t="shared" si="31"/>
        <v>0.19297036526533426</v>
      </c>
      <c r="F586" s="49">
        <f t="shared" ref="F586:AK586" si="80">SUM(F113)</f>
        <v>149</v>
      </c>
      <c r="G586" s="49">
        <f t="shared" si="80"/>
        <v>39</v>
      </c>
      <c r="H586" s="49">
        <f t="shared" si="80"/>
        <v>118</v>
      </c>
      <c r="I586" s="49">
        <f t="shared" si="80"/>
        <v>138</v>
      </c>
      <c r="J586" s="50">
        <f t="shared" si="80"/>
        <v>32</v>
      </c>
      <c r="K586" s="49">
        <f t="shared" si="80"/>
        <v>0</v>
      </c>
      <c r="L586" s="231">
        <f t="shared" si="80"/>
        <v>0</v>
      </c>
      <c r="M586" s="543">
        <f t="shared" si="80"/>
        <v>0</v>
      </c>
      <c r="N586" s="49">
        <f t="shared" si="80"/>
        <v>0</v>
      </c>
      <c r="O586" s="235">
        <f t="shared" si="80"/>
        <v>0</v>
      </c>
      <c r="P586" s="291">
        <f t="shared" si="80"/>
        <v>0</v>
      </c>
      <c r="Q586" s="63">
        <f t="shared" si="80"/>
        <v>0</v>
      </c>
      <c r="R586" s="63">
        <f t="shared" si="80"/>
        <v>0</v>
      </c>
      <c r="S586" s="62">
        <f t="shared" si="80"/>
        <v>0</v>
      </c>
      <c r="T586" s="49">
        <f t="shared" si="80"/>
        <v>0</v>
      </c>
      <c r="U586" s="49">
        <f t="shared" si="80"/>
        <v>0</v>
      </c>
      <c r="V586" s="82">
        <f t="shared" si="80"/>
        <v>0</v>
      </c>
      <c r="W586" s="62">
        <f t="shared" si="80"/>
        <v>0</v>
      </c>
      <c r="X586" s="235">
        <f t="shared" si="80"/>
        <v>0</v>
      </c>
      <c r="Y586" s="291">
        <f t="shared" si="80"/>
        <v>0</v>
      </c>
      <c r="Z586" s="50">
        <f t="shared" si="80"/>
        <v>0</v>
      </c>
      <c r="AA586" s="49">
        <f t="shared" si="80"/>
        <v>0</v>
      </c>
      <c r="AB586" s="63">
        <f t="shared" si="80"/>
        <v>0</v>
      </c>
      <c r="AC586" s="62">
        <f t="shared" si="80"/>
        <v>0</v>
      </c>
      <c r="AD586" s="49">
        <f t="shared" si="80"/>
        <v>0</v>
      </c>
      <c r="AE586" s="235">
        <f t="shared" si="80"/>
        <v>0</v>
      </c>
      <c r="AF586" s="82">
        <f t="shared" si="80"/>
        <v>0</v>
      </c>
      <c r="AG586" s="82">
        <f t="shared" si="80"/>
        <v>0</v>
      </c>
      <c r="AH586" s="49">
        <f t="shared" si="80"/>
        <v>0</v>
      </c>
      <c r="AI586" s="82">
        <f t="shared" si="80"/>
        <v>0</v>
      </c>
      <c r="AJ586" s="49">
        <f t="shared" si="80"/>
        <v>0</v>
      </c>
      <c r="AK586" s="235">
        <f t="shared" si="80"/>
        <v>0</v>
      </c>
      <c r="AL586" s="82">
        <f t="shared" ref="AL586:BQ586" si="81">SUM(AL113)</f>
        <v>0</v>
      </c>
      <c r="AM586" s="49">
        <f t="shared" si="81"/>
        <v>0</v>
      </c>
      <c r="AN586" s="235">
        <f t="shared" si="81"/>
        <v>0</v>
      </c>
      <c r="AO586" s="235">
        <f t="shared" si="81"/>
        <v>0</v>
      </c>
      <c r="AP586" s="82">
        <f t="shared" si="81"/>
        <v>0</v>
      </c>
      <c r="AQ586" s="49">
        <f t="shared" si="81"/>
        <v>0</v>
      </c>
      <c r="AR586" s="82">
        <f t="shared" si="81"/>
        <v>0</v>
      </c>
      <c r="AS586" s="49">
        <f t="shared" si="81"/>
        <v>0</v>
      </c>
      <c r="AT586" s="235">
        <f t="shared" si="81"/>
        <v>0</v>
      </c>
      <c r="AU586" s="82">
        <f t="shared" si="81"/>
        <v>0</v>
      </c>
      <c r="AV586" s="49">
        <f t="shared" si="81"/>
        <v>0</v>
      </c>
      <c r="AW586" s="235">
        <f t="shared" si="81"/>
        <v>0</v>
      </c>
      <c r="AX586" s="49">
        <f t="shared" si="81"/>
        <v>0</v>
      </c>
      <c r="AY586" s="235">
        <f t="shared" si="81"/>
        <v>0</v>
      </c>
      <c r="AZ586" s="82">
        <f t="shared" si="81"/>
        <v>0</v>
      </c>
      <c r="BA586" s="49">
        <f t="shared" si="81"/>
        <v>0</v>
      </c>
      <c r="BB586" s="49">
        <f t="shared" si="81"/>
        <v>0</v>
      </c>
      <c r="BC586" s="82">
        <f t="shared" si="81"/>
        <v>0</v>
      </c>
      <c r="BD586" s="49">
        <f t="shared" si="81"/>
        <v>0</v>
      </c>
      <c r="BE586" s="49">
        <f t="shared" si="81"/>
        <v>0</v>
      </c>
      <c r="BF586" s="235">
        <f t="shared" si="81"/>
        <v>0</v>
      </c>
      <c r="BG586" s="231">
        <f t="shared" si="81"/>
        <v>0</v>
      </c>
      <c r="BH586" s="543">
        <f t="shared" si="81"/>
        <v>0</v>
      </c>
      <c r="BI586" s="49">
        <f t="shared" si="81"/>
        <v>0</v>
      </c>
      <c r="BJ586" s="50">
        <f t="shared" si="81"/>
        <v>0</v>
      </c>
      <c r="BK586" s="49">
        <f t="shared" si="81"/>
        <v>0</v>
      </c>
      <c r="BL586" s="291">
        <f t="shared" si="81"/>
        <v>0</v>
      </c>
      <c r="BM586" s="50">
        <f t="shared" si="81"/>
        <v>0</v>
      </c>
      <c r="BN586" s="49">
        <f t="shared" si="81"/>
        <v>0</v>
      </c>
      <c r="BO586" s="235">
        <f t="shared" si="81"/>
        <v>0</v>
      </c>
      <c r="BP586" s="291">
        <f t="shared" si="81"/>
        <v>0</v>
      </c>
      <c r="BQ586" s="235">
        <f t="shared" si="81"/>
        <v>0</v>
      </c>
      <c r="BR586" s="82">
        <f t="shared" ref="BR586:CI586" si="82">SUM(BR113)</f>
        <v>0</v>
      </c>
      <c r="BS586" s="49">
        <f t="shared" si="82"/>
        <v>0</v>
      </c>
      <c r="BT586" s="50">
        <f t="shared" si="82"/>
        <v>0</v>
      </c>
      <c r="BU586" s="49">
        <f t="shared" si="82"/>
        <v>0</v>
      </c>
      <c r="BV586" s="291">
        <f t="shared" si="82"/>
        <v>0</v>
      </c>
      <c r="BW586" s="63">
        <f t="shared" si="82"/>
        <v>0</v>
      </c>
      <c r="BX586" s="235">
        <f t="shared" si="82"/>
        <v>0</v>
      </c>
      <c r="BY586" s="82">
        <f t="shared" si="82"/>
        <v>0</v>
      </c>
      <c r="BZ586" s="49">
        <f t="shared" si="82"/>
        <v>0</v>
      </c>
      <c r="CA586" s="235">
        <f t="shared" si="82"/>
        <v>0</v>
      </c>
      <c r="CB586" s="291">
        <f t="shared" si="82"/>
        <v>0</v>
      </c>
      <c r="CC586" s="50">
        <f t="shared" si="82"/>
        <v>0</v>
      </c>
      <c r="CD586" s="49">
        <f t="shared" si="82"/>
        <v>0</v>
      </c>
      <c r="CE586" s="235">
        <f t="shared" si="82"/>
        <v>0</v>
      </c>
      <c r="CF586" s="235">
        <f t="shared" si="82"/>
        <v>0</v>
      </c>
      <c r="CG586" s="82">
        <f t="shared" si="82"/>
        <v>0</v>
      </c>
      <c r="CH586" s="49">
        <f t="shared" si="82"/>
        <v>0</v>
      </c>
      <c r="CI586" s="82">
        <f t="shared" si="82"/>
        <v>0</v>
      </c>
    </row>
    <row r="587" spans="2:87" x14ac:dyDescent="0.3">
      <c r="B587" s="7" t="s">
        <v>697</v>
      </c>
      <c r="C587" s="322">
        <f>SUM(C114:C116)</f>
        <v>4425</v>
      </c>
      <c r="D587" s="235">
        <f>SUM(D114:D116)</f>
        <v>1216</v>
      </c>
      <c r="E587" s="367">
        <f t="shared" si="31"/>
        <v>0.27480225988700563</v>
      </c>
      <c r="F587" s="49">
        <f t="shared" ref="F587:AK587" si="83">SUM(F114:F116)</f>
        <v>686</v>
      </c>
      <c r="G587" s="49">
        <f t="shared" si="83"/>
        <v>244</v>
      </c>
      <c r="H587" s="49">
        <f t="shared" si="83"/>
        <v>517</v>
      </c>
      <c r="I587" s="49">
        <f t="shared" si="83"/>
        <v>724</v>
      </c>
      <c r="J587" s="50">
        <f t="shared" si="83"/>
        <v>70</v>
      </c>
      <c r="K587" s="49">
        <f t="shared" si="83"/>
        <v>0</v>
      </c>
      <c r="L587" s="231">
        <f t="shared" si="83"/>
        <v>0</v>
      </c>
      <c r="M587" s="543">
        <f t="shared" si="83"/>
        <v>0</v>
      </c>
      <c r="N587" s="49">
        <f t="shared" si="83"/>
        <v>0</v>
      </c>
      <c r="O587" s="235">
        <f t="shared" si="83"/>
        <v>0</v>
      </c>
      <c r="P587" s="291">
        <f t="shared" si="83"/>
        <v>0</v>
      </c>
      <c r="Q587" s="63">
        <f t="shared" si="83"/>
        <v>0</v>
      </c>
      <c r="R587" s="63">
        <f t="shared" si="83"/>
        <v>0</v>
      </c>
      <c r="S587" s="62">
        <f t="shared" si="83"/>
        <v>0</v>
      </c>
      <c r="T587" s="49">
        <f t="shared" si="83"/>
        <v>0</v>
      </c>
      <c r="U587" s="49">
        <f t="shared" si="83"/>
        <v>0</v>
      </c>
      <c r="V587" s="82">
        <f t="shared" si="83"/>
        <v>0</v>
      </c>
      <c r="W587" s="62">
        <f t="shared" si="83"/>
        <v>0</v>
      </c>
      <c r="X587" s="235">
        <f t="shared" si="83"/>
        <v>0</v>
      </c>
      <c r="Y587" s="291">
        <f t="shared" si="83"/>
        <v>0</v>
      </c>
      <c r="Z587" s="50">
        <f t="shared" si="83"/>
        <v>0</v>
      </c>
      <c r="AA587" s="49">
        <f t="shared" si="83"/>
        <v>0</v>
      </c>
      <c r="AB587" s="63">
        <f t="shared" si="83"/>
        <v>0</v>
      </c>
      <c r="AC587" s="62">
        <f t="shared" si="83"/>
        <v>0</v>
      </c>
      <c r="AD587" s="49">
        <f t="shared" si="83"/>
        <v>0</v>
      </c>
      <c r="AE587" s="235">
        <f t="shared" si="83"/>
        <v>0</v>
      </c>
      <c r="AF587" s="82">
        <f t="shared" si="83"/>
        <v>0</v>
      </c>
      <c r="AG587" s="82">
        <f t="shared" si="83"/>
        <v>0</v>
      </c>
      <c r="AH587" s="49">
        <f t="shared" si="83"/>
        <v>0</v>
      </c>
      <c r="AI587" s="82">
        <f t="shared" si="83"/>
        <v>0</v>
      </c>
      <c r="AJ587" s="49">
        <f t="shared" si="83"/>
        <v>0</v>
      </c>
      <c r="AK587" s="235">
        <f t="shared" si="83"/>
        <v>0</v>
      </c>
      <c r="AL587" s="82">
        <f t="shared" ref="AL587:BQ587" si="84">SUM(AL114:AL116)</f>
        <v>0</v>
      </c>
      <c r="AM587" s="49">
        <f t="shared" si="84"/>
        <v>0</v>
      </c>
      <c r="AN587" s="235">
        <f t="shared" si="84"/>
        <v>0</v>
      </c>
      <c r="AO587" s="235">
        <f t="shared" si="84"/>
        <v>0</v>
      </c>
      <c r="AP587" s="82">
        <f t="shared" si="84"/>
        <v>0</v>
      </c>
      <c r="AQ587" s="49">
        <f t="shared" si="84"/>
        <v>0</v>
      </c>
      <c r="AR587" s="82">
        <f t="shared" si="84"/>
        <v>0</v>
      </c>
      <c r="AS587" s="49">
        <f t="shared" si="84"/>
        <v>0</v>
      </c>
      <c r="AT587" s="235">
        <f t="shared" si="84"/>
        <v>0</v>
      </c>
      <c r="AU587" s="82">
        <f t="shared" si="84"/>
        <v>0</v>
      </c>
      <c r="AV587" s="49">
        <f t="shared" si="84"/>
        <v>0</v>
      </c>
      <c r="AW587" s="235">
        <f t="shared" si="84"/>
        <v>0</v>
      </c>
      <c r="AX587" s="49">
        <f t="shared" si="84"/>
        <v>0</v>
      </c>
      <c r="AY587" s="235">
        <f t="shared" si="84"/>
        <v>0</v>
      </c>
      <c r="AZ587" s="82">
        <f t="shared" si="84"/>
        <v>0</v>
      </c>
      <c r="BA587" s="49">
        <f t="shared" si="84"/>
        <v>0</v>
      </c>
      <c r="BB587" s="49">
        <f t="shared" si="84"/>
        <v>0</v>
      </c>
      <c r="BC587" s="82">
        <f t="shared" si="84"/>
        <v>0</v>
      </c>
      <c r="BD587" s="49">
        <f t="shared" si="84"/>
        <v>0</v>
      </c>
      <c r="BE587" s="49">
        <f t="shared" si="84"/>
        <v>0</v>
      </c>
      <c r="BF587" s="235">
        <f t="shared" si="84"/>
        <v>0</v>
      </c>
      <c r="BG587" s="231">
        <f t="shared" si="84"/>
        <v>0</v>
      </c>
      <c r="BH587" s="543">
        <f t="shared" si="84"/>
        <v>0</v>
      </c>
      <c r="BI587" s="49">
        <f t="shared" si="84"/>
        <v>0</v>
      </c>
      <c r="BJ587" s="50">
        <f t="shared" si="84"/>
        <v>0</v>
      </c>
      <c r="BK587" s="49">
        <f t="shared" si="84"/>
        <v>0</v>
      </c>
      <c r="BL587" s="291">
        <f t="shared" si="84"/>
        <v>0</v>
      </c>
      <c r="BM587" s="50">
        <f t="shared" si="84"/>
        <v>0</v>
      </c>
      <c r="BN587" s="49">
        <f t="shared" si="84"/>
        <v>0</v>
      </c>
      <c r="BO587" s="235">
        <f t="shared" si="84"/>
        <v>0</v>
      </c>
      <c r="BP587" s="291">
        <f t="shared" si="84"/>
        <v>0</v>
      </c>
      <c r="BQ587" s="235">
        <f t="shared" si="84"/>
        <v>0</v>
      </c>
      <c r="BR587" s="82">
        <f t="shared" ref="BR587:CI587" si="85">SUM(BR114:BR116)</f>
        <v>0</v>
      </c>
      <c r="BS587" s="49">
        <f t="shared" si="85"/>
        <v>0</v>
      </c>
      <c r="BT587" s="50">
        <f t="shared" si="85"/>
        <v>0</v>
      </c>
      <c r="BU587" s="49">
        <f t="shared" si="85"/>
        <v>0</v>
      </c>
      <c r="BV587" s="291">
        <f t="shared" si="85"/>
        <v>0</v>
      </c>
      <c r="BW587" s="63">
        <f t="shared" si="85"/>
        <v>0</v>
      </c>
      <c r="BX587" s="235">
        <f t="shared" si="85"/>
        <v>0</v>
      </c>
      <c r="BY587" s="82">
        <f t="shared" si="85"/>
        <v>0</v>
      </c>
      <c r="BZ587" s="49">
        <f t="shared" si="85"/>
        <v>0</v>
      </c>
      <c r="CA587" s="235">
        <f t="shared" si="85"/>
        <v>0</v>
      </c>
      <c r="CB587" s="291">
        <f t="shared" si="85"/>
        <v>0</v>
      </c>
      <c r="CC587" s="50">
        <f t="shared" si="85"/>
        <v>0</v>
      </c>
      <c r="CD587" s="49">
        <f t="shared" si="85"/>
        <v>0</v>
      </c>
      <c r="CE587" s="235">
        <f t="shared" si="85"/>
        <v>0</v>
      </c>
      <c r="CF587" s="235">
        <f t="shared" si="85"/>
        <v>0</v>
      </c>
      <c r="CG587" s="82">
        <f t="shared" si="85"/>
        <v>0</v>
      </c>
      <c r="CH587" s="49">
        <f t="shared" si="85"/>
        <v>0</v>
      </c>
      <c r="CI587" s="82">
        <f t="shared" si="85"/>
        <v>0</v>
      </c>
    </row>
    <row r="588" spans="2:87" x14ac:dyDescent="0.3">
      <c r="B588" s="7" t="s">
        <v>698</v>
      </c>
      <c r="C588" s="322">
        <f>SUM(C117:C118)</f>
        <v>1860</v>
      </c>
      <c r="D588" s="235">
        <f>SUM(D117:D118)</f>
        <v>379</v>
      </c>
      <c r="E588" s="367">
        <f t="shared" si="31"/>
        <v>0.20376344086021506</v>
      </c>
      <c r="F588" s="49">
        <f t="shared" ref="F588:AK588" si="86">SUM(F117:F118)</f>
        <v>212</v>
      </c>
      <c r="G588" s="49">
        <f t="shared" si="86"/>
        <v>98</v>
      </c>
      <c r="H588" s="49">
        <f t="shared" si="86"/>
        <v>112</v>
      </c>
      <c r="I588" s="49">
        <f t="shared" si="86"/>
        <v>223</v>
      </c>
      <c r="J588" s="50">
        <f t="shared" si="86"/>
        <v>47</v>
      </c>
      <c r="K588" s="49">
        <f t="shared" si="86"/>
        <v>0</v>
      </c>
      <c r="L588" s="231">
        <f t="shared" si="86"/>
        <v>0</v>
      </c>
      <c r="M588" s="543">
        <f t="shared" si="86"/>
        <v>0</v>
      </c>
      <c r="N588" s="49">
        <f t="shared" si="86"/>
        <v>0</v>
      </c>
      <c r="O588" s="235">
        <f t="shared" si="86"/>
        <v>0</v>
      </c>
      <c r="P588" s="291">
        <f t="shared" si="86"/>
        <v>0</v>
      </c>
      <c r="Q588" s="63">
        <f t="shared" si="86"/>
        <v>0</v>
      </c>
      <c r="R588" s="63">
        <f t="shared" si="86"/>
        <v>0</v>
      </c>
      <c r="S588" s="62">
        <f t="shared" si="86"/>
        <v>0</v>
      </c>
      <c r="T588" s="49">
        <f t="shared" si="86"/>
        <v>0</v>
      </c>
      <c r="U588" s="49">
        <f t="shared" si="86"/>
        <v>0</v>
      </c>
      <c r="V588" s="82">
        <f t="shared" si="86"/>
        <v>0</v>
      </c>
      <c r="W588" s="62">
        <f t="shared" si="86"/>
        <v>0</v>
      </c>
      <c r="X588" s="235">
        <f t="shared" si="86"/>
        <v>0</v>
      </c>
      <c r="Y588" s="291">
        <f t="shared" si="86"/>
        <v>0</v>
      </c>
      <c r="Z588" s="50">
        <f t="shared" si="86"/>
        <v>0</v>
      </c>
      <c r="AA588" s="49">
        <f t="shared" si="86"/>
        <v>0</v>
      </c>
      <c r="AB588" s="63">
        <f t="shared" si="86"/>
        <v>0</v>
      </c>
      <c r="AC588" s="62">
        <f t="shared" si="86"/>
        <v>0</v>
      </c>
      <c r="AD588" s="49">
        <f t="shared" si="86"/>
        <v>0</v>
      </c>
      <c r="AE588" s="235">
        <f t="shared" si="86"/>
        <v>0</v>
      </c>
      <c r="AF588" s="82">
        <f t="shared" si="86"/>
        <v>0</v>
      </c>
      <c r="AG588" s="82">
        <f t="shared" si="86"/>
        <v>0</v>
      </c>
      <c r="AH588" s="49">
        <f t="shared" si="86"/>
        <v>0</v>
      </c>
      <c r="AI588" s="82">
        <f t="shared" si="86"/>
        <v>0</v>
      </c>
      <c r="AJ588" s="49">
        <f t="shared" si="86"/>
        <v>0</v>
      </c>
      <c r="AK588" s="235">
        <f t="shared" si="86"/>
        <v>0</v>
      </c>
      <c r="AL588" s="82">
        <f t="shared" ref="AL588:BQ588" si="87">SUM(AL117:AL118)</f>
        <v>0</v>
      </c>
      <c r="AM588" s="49">
        <f t="shared" si="87"/>
        <v>0</v>
      </c>
      <c r="AN588" s="235">
        <f t="shared" si="87"/>
        <v>0</v>
      </c>
      <c r="AO588" s="235">
        <f t="shared" si="87"/>
        <v>0</v>
      </c>
      <c r="AP588" s="82">
        <f t="shared" si="87"/>
        <v>0</v>
      </c>
      <c r="AQ588" s="49">
        <f t="shared" si="87"/>
        <v>0</v>
      </c>
      <c r="AR588" s="82">
        <f t="shared" si="87"/>
        <v>0</v>
      </c>
      <c r="AS588" s="49">
        <f t="shared" si="87"/>
        <v>0</v>
      </c>
      <c r="AT588" s="235">
        <f t="shared" si="87"/>
        <v>0</v>
      </c>
      <c r="AU588" s="82">
        <f t="shared" si="87"/>
        <v>0</v>
      </c>
      <c r="AV588" s="49">
        <f t="shared" si="87"/>
        <v>0</v>
      </c>
      <c r="AW588" s="235">
        <f t="shared" si="87"/>
        <v>0</v>
      </c>
      <c r="AX588" s="49">
        <f t="shared" si="87"/>
        <v>0</v>
      </c>
      <c r="AY588" s="235">
        <f t="shared" si="87"/>
        <v>0</v>
      </c>
      <c r="AZ588" s="82">
        <f t="shared" si="87"/>
        <v>0</v>
      </c>
      <c r="BA588" s="49">
        <f t="shared" si="87"/>
        <v>0</v>
      </c>
      <c r="BB588" s="49">
        <f t="shared" si="87"/>
        <v>0</v>
      </c>
      <c r="BC588" s="82">
        <f t="shared" si="87"/>
        <v>0</v>
      </c>
      <c r="BD588" s="49">
        <f t="shared" si="87"/>
        <v>0</v>
      </c>
      <c r="BE588" s="49">
        <f t="shared" si="87"/>
        <v>0</v>
      </c>
      <c r="BF588" s="235">
        <f t="shared" si="87"/>
        <v>0</v>
      </c>
      <c r="BG588" s="231">
        <f t="shared" si="87"/>
        <v>0</v>
      </c>
      <c r="BH588" s="543">
        <f t="shared" si="87"/>
        <v>0</v>
      </c>
      <c r="BI588" s="49">
        <f t="shared" si="87"/>
        <v>0</v>
      </c>
      <c r="BJ588" s="50">
        <f t="shared" si="87"/>
        <v>0</v>
      </c>
      <c r="BK588" s="49">
        <f t="shared" si="87"/>
        <v>0</v>
      </c>
      <c r="BL588" s="291">
        <f t="shared" si="87"/>
        <v>0</v>
      </c>
      <c r="BM588" s="50">
        <f t="shared" si="87"/>
        <v>0</v>
      </c>
      <c r="BN588" s="49">
        <f t="shared" si="87"/>
        <v>0</v>
      </c>
      <c r="BO588" s="235">
        <f t="shared" si="87"/>
        <v>0</v>
      </c>
      <c r="BP588" s="291">
        <f t="shared" si="87"/>
        <v>0</v>
      </c>
      <c r="BQ588" s="235">
        <f t="shared" si="87"/>
        <v>0</v>
      </c>
      <c r="BR588" s="82">
        <f t="shared" ref="BR588:CI588" si="88">SUM(BR117:BR118)</f>
        <v>0</v>
      </c>
      <c r="BS588" s="49">
        <f t="shared" si="88"/>
        <v>0</v>
      </c>
      <c r="BT588" s="50">
        <f t="shared" si="88"/>
        <v>0</v>
      </c>
      <c r="BU588" s="49">
        <f t="shared" si="88"/>
        <v>0</v>
      </c>
      <c r="BV588" s="291">
        <f t="shared" si="88"/>
        <v>0</v>
      </c>
      <c r="BW588" s="63">
        <f t="shared" si="88"/>
        <v>0</v>
      </c>
      <c r="BX588" s="235">
        <f t="shared" si="88"/>
        <v>0</v>
      </c>
      <c r="BY588" s="82">
        <f t="shared" si="88"/>
        <v>0</v>
      </c>
      <c r="BZ588" s="49">
        <f t="shared" si="88"/>
        <v>0</v>
      </c>
      <c r="CA588" s="235">
        <f t="shared" si="88"/>
        <v>0</v>
      </c>
      <c r="CB588" s="291">
        <f t="shared" si="88"/>
        <v>0</v>
      </c>
      <c r="CC588" s="50">
        <f t="shared" si="88"/>
        <v>0</v>
      </c>
      <c r="CD588" s="49">
        <f t="shared" si="88"/>
        <v>0</v>
      </c>
      <c r="CE588" s="235">
        <f t="shared" si="88"/>
        <v>0</v>
      </c>
      <c r="CF588" s="235">
        <f t="shared" si="88"/>
        <v>0</v>
      </c>
      <c r="CG588" s="82">
        <f t="shared" si="88"/>
        <v>0</v>
      </c>
      <c r="CH588" s="49">
        <f t="shared" si="88"/>
        <v>0</v>
      </c>
      <c r="CI588" s="82">
        <f t="shared" si="88"/>
        <v>0</v>
      </c>
    </row>
    <row r="589" spans="2:87" x14ac:dyDescent="0.3">
      <c r="B589" s="7" t="s">
        <v>699</v>
      </c>
      <c r="C589" s="322">
        <f>SUM(C119:C122)</f>
        <v>4019</v>
      </c>
      <c r="D589" s="235">
        <f>SUM(D119:D122)</f>
        <v>1542</v>
      </c>
      <c r="E589" s="367">
        <f t="shared" si="31"/>
        <v>0.38367753172430952</v>
      </c>
      <c r="F589" s="49">
        <f t="shared" ref="F589:AK589" si="89">SUM(F119:F122)</f>
        <v>624</v>
      </c>
      <c r="G589" s="49">
        <f t="shared" si="89"/>
        <v>302</v>
      </c>
      <c r="H589" s="49">
        <f t="shared" si="89"/>
        <v>521</v>
      </c>
      <c r="I589" s="49">
        <f t="shared" si="89"/>
        <v>454</v>
      </c>
      <c r="J589" s="50">
        <f t="shared" si="89"/>
        <v>379</v>
      </c>
      <c r="K589" s="49">
        <f t="shared" si="89"/>
        <v>0</v>
      </c>
      <c r="L589" s="231">
        <f t="shared" si="89"/>
        <v>0</v>
      </c>
      <c r="M589" s="543">
        <f t="shared" si="89"/>
        <v>0</v>
      </c>
      <c r="N589" s="49">
        <f t="shared" si="89"/>
        <v>0</v>
      </c>
      <c r="O589" s="235">
        <f t="shared" si="89"/>
        <v>0</v>
      </c>
      <c r="P589" s="291">
        <f t="shared" si="89"/>
        <v>0</v>
      </c>
      <c r="Q589" s="63">
        <f t="shared" si="89"/>
        <v>0</v>
      </c>
      <c r="R589" s="63">
        <f t="shared" si="89"/>
        <v>0</v>
      </c>
      <c r="S589" s="62">
        <f t="shared" si="89"/>
        <v>0</v>
      </c>
      <c r="T589" s="49">
        <f t="shared" si="89"/>
        <v>0</v>
      </c>
      <c r="U589" s="49">
        <f t="shared" si="89"/>
        <v>0</v>
      </c>
      <c r="V589" s="82">
        <f t="shared" si="89"/>
        <v>0</v>
      </c>
      <c r="W589" s="62">
        <f t="shared" si="89"/>
        <v>0</v>
      </c>
      <c r="X589" s="235">
        <f t="shared" si="89"/>
        <v>0</v>
      </c>
      <c r="Y589" s="291">
        <f t="shared" si="89"/>
        <v>0</v>
      </c>
      <c r="Z589" s="50">
        <f t="shared" si="89"/>
        <v>0</v>
      </c>
      <c r="AA589" s="49">
        <f t="shared" si="89"/>
        <v>0</v>
      </c>
      <c r="AB589" s="63">
        <f t="shared" si="89"/>
        <v>0</v>
      </c>
      <c r="AC589" s="62">
        <f t="shared" si="89"/>
        <v>0</v>
      </c>
      <c r="AD589" s="49">
        <f t="shared" si="89"/>
        <v>0</v>
      </c>
      <c r="AE589" s="235">
        <f t="shared" si="89"/>
        <v>0</v>
      </c>
      <c r="AF589" s="82">
        <f t="shared" si="89"/>
        <v>0</v>
      </c>
      <c r="AG589" s="82">
        <f t="shared" si="89"/>
        <v>0</v>
      </c>
      <c r="AH589" s="49">
        <f t="shared" si="89"/>
        <v>0</v>
      </c>
      <c r="AI589" s="82">
        <f t="shared" si="89"/>
        <v>0</v>
      </c>
      <c r="AJ589" s="49">
        <f t="shared" si="89"/>
        <v>0</v>
      </c>
      <c r="AK589" s="235">
        <f t="shared" si="89"/>
        <v>0</v>
      </c>
      <c r="AL589" s="82">
        <f t="shared" ref="AL589:BQ589" si="90">SUM(AL119:AL122)</f>
        <v>0</v>
      </c>
      <c r="AM589" s="49">
        <f t="shared" si="90"/>
        <v>0</v>
      </c>
      <c r="AN589" s="235">
        <f t="shared" si="90"/>
        <v>0</v>
      </c>
      <c r="AO589" s="235">
        <f t="shared" si="90"/>
        <v>0</v>
      </c>
      <c r="AP589" s="82">
        <f t="shared" si="90"/>
        <v>0</v>
      </c>
      <c r="AQ589" s="49">
        <f t="shared" si="90"/>
        <v>0</v>
      </c>
      <c r="AR589" s="82">
        <f t="shared" si="90"/>
        <v>0</v>
      </c>
      <c r="AS589" s="49">
        <f t="shared" si="90"/>
        <v>0</v>
      </c>
      <c r="AT589" s="235">
        <f t="shared" si="90"/>
        <v>0</v>
      </c>
      <c r="AU589" s="82">
        <f t="shared" si="90"/>
        <v>0</v>
      </c>
      <c r="AV589" s="49">
        <f t="shared" si="90"/>
        <v>0</v>
      </c>
      <c r="AW589" s="235">
        <f t="shared" si="90"/>
        <v>0</v>
      </c>
      <c r="AX589" s="49">
        <f t="shared" si="90"/>
        <v>0</v>
      </c>
      <c r="AY589" s="235">
        <f t="shared" si="90"/>
        <v>0</v>
      </c>
      <c r="AZ589" s="82">
        <f t="shared" si="90"/>
        <v>0</v>
      </c>
      <c r="BA589" s="49">
        <f t="shared" si="90"/>
        <v>0</v>
      </c>
      <c r="BB589" s="49">
        <f t="shared" si="90"/>
        <v>0</v>
      </c>
      <c r="BC589" s="82">
        <f t="shared" si="90"/>
        <v>0</v>
      </c>
      <c r="BD589" s="49">
        <f t="shared" si="90"/>
        <v>0</v>
      </c>
      <c r="BE589" s="49">
        <f t="shared" si="90"/>
        <v>0</v>
      </c>
      <c r="BF589" s="235">
        <f t="shared" si="90"/>
        <v>0</v>
      </c>
      <c r="BG589" s="231">
        <f t="shared" si="90"/>
        <v>0</v>
      </c>
      <c r="BH589" s="543">
        <f t="shared" si="90"/>
        <v>0</v>
      </c>
      <c r="BI589" s="49">
        <f t="shared" si="90"/>
        <v>0</v>
      </c>
      <c r="BJ589" s="50">
        <f t="shared" si="90"/>
        <v>0</v>
      </c>
      <c r="BK589" s="49">
        <f t="shared" si="90"/>
        <v>0</v>
      </c>
      <c r="BL589" s="291">
        <f t="shared" si="90"/>
        <v>0</v>
      </c>
      <c r="BM589" s="50">
        <f t="shared" si="90"/>
        <v>0</v>
      </c>
      <c r="BN589" s="49">
        <f t="shared" si="90"/>
        <v>0</v>
      </c>
      <c r="BO589" s="235">
        <f t="shared" si="90"/>
        <v>0</v>
      </c>
      <c r="BP589" s="291">
        <f t="shared" si="90"/>
        <v>0</v>
      </c>
      <c r="BQ589" s="235">
        <f t="shared" si="90"/>
        <v>0</v>
      </c>
      <c r="BR589" s="82">
        <f t="shared" ref="BR589:CI589" si="91">SUM(BR119:BR122)</f>
        <v>0</v>
      </c>
      <c r="BS589" s="49">
        <f t="shared" si="91"/>
        <v>0</v>
      </c>
      <c r="BT589" s="50">
        <f t="shared" si="91"/>
        <v>0</v>
      </c>
      <c r="BU589" s="49">
        <f t="shared" si="91"/>
        <v>0</v>
      </c>
      <c r="BV589" s="291">
        <f t="shared" si="91"/>
        <v>0</v>
      </c>
      <c r="BW589" s="63">
        <f t="shared" si="91"/>
        <v>0</v>
      </c>
      <c r="BX589" s="235">
        <f t="shared" si="91"/>
        <v>0</v>
      </c>
      <c r="BY589" s="82">
        <f t="shared" si="91"/>
        <v>0</v>
      </c>
      <c r="BZ589" s="49">
        <f t="shared" si="91"/>
        <v>0</v>
      </c>
      <c r="CA589" s="235">
        <f t="shared" si="91"/>
        <v>2</v>
      </c>
      <c r="CB589" s="291">
        <f t="shared" si="91"/>
        <v>0</v>
      </c>
      <c r="CC589" s="50">
        <f t="shared" si="91"/>
        <v>2</v>
      </c>
      <c r="CD589" s="49">
        <f t="shared" si="91"/>
        <v>0</v>
      </c>
      <c r="CE589" s="235">
        <f t="shared" si="91"/>
        <v>0</v>
      </c>
      <c r="CF589" s="235">
        <f t="shared" si="91"/>
        <v>0</v>
      </c>
      <c r="CG589" s="82">
        <f t="shared" si="91"/>
        <v>0</v>
      </c>
      <c r="CH589" s="49">
        <f t="shared" si="91"/>
        <v>0</v>
      </c>
      <c r="CI589" s="82">
        <f t="shared" si="91"/>
        <v>0</v>
      </c>
    </row>
    <row r="590" spans="2:87" x14ac:dyDescent="0.3">
      <c r="B590" s="7" t="s">
        <v>759</v>
      </c>
      <c r="C590" s="322">
        <f>SUM(C123:C127)</f>
        <v>6421</v>
      </c>
      <c r="D590" s="235">
        <f>SUM(D123:D127)</f>
        <v>1725</v>
      </c>
      <c r="E590" s="367">
        <f t="shared" si="31"/>
        <v>0.26864974303068057</v>
      </c>
      <c r="F590" s="49">
        <f t="shared" ref="F590:AK590" si="92">SUM(F123:F127)</f>
        <v>909</v>
      </c>
      <c r="G590" s="49">
        <f t="shared" si="92"/>
        <v>351</v>
      </c>
      <c r="H590" s="49">
        <f t="shared" si="92"/>
        <v>736</v>
      </c>
      <c r="I590" s="49">
        <f t="shared" si="92"/>
        <v>864</v>
      </c>
      <c r="J590" s="50">
        <f t="shared" si="92"/>
        <v>258</v>
      </c>
      <c r="K590" s="49">
        <f t="shared" si="92"/>
        <v>0</v>
      </c>
      <c r="L590" s="231">
        <f t="shared" si="92"/>
        <v>0</v>
      </c>
      <c r="M590" s="543">
        <f t="shared" si="92"/>
        <v>0</v>
      </c>
      <c r="N590" s="49">
        <f t="shared" si="92"/>
        <v>0</v>
      </c>
      <c r="O590" s="235">
        <f t="shared" si="92"/>
        <v>0</v>
      </c>
      <c r="P590" s="291">
        <f t="shared" si="92"/>
        <v>0</v>
      </c>
      <c r="Q590" s="63">
        <f t="shared" si="92"/>
        <v>0</v>
      </c>
      <c r="R590" s="63">
        <f t="shared" si="92"/>
        <v>0</v>
      </c>
      <c r="S590" s="62">
        <f t="shared" si="92"/>
        <v>0</v>
      </c>
      <c r="T590" s="49">
        <f t="shared" si="92"/>
        <v>0</v>
      </c>
      <c r="U590" s="49">
        <f t="shared" si="92"/>
        <v>0</v>
      </c>
      <c r="V590" s="82">
        <f t="shared" si="92"/>
        <v>0</v>
      </c>
      <c r="W590" s="62">
        <f t="shared" si="92"/>
        <v>0</v>
      </c>
      <c r="X590" s="235">
        <f t="shared" si="92"/>
        <v>0</v>
      </c>
      <c r="Y590" s="291">
        <f t="shared" si="92"/>
        <v>0</v>
      </c>
      <c r="Z590" s="50">
        <f t="shared" si="92"/>
        <v>0</v>
      </c>
      <c r="AA590" s="49">
        <f t="shared" si="92"/>
        <v>0</v>
      </c>
      <c r="AB590" s="63">
        <f t="shared" si="92"/>
        <v>0</v>
      </c>
      <c r="AC590" s="62">
        <f t="shared" si="92"/>
        <v>0</v>
      </c>
      <c r="AD590" s="49">
        <f t="shared" si="92"/>
        <v>0</v>
      </c>
      <c r="AE590" s="235">
        <f t="shared" si="92"/>
        <v>0</v>
      </c>
      <c r="AF590" s="82">
        <f t="shared" si="92"/>
        <v>0</v>
      </c>
      <c r="AG590" s="82">
        <f t="shared" si="92"/>
        <v>0</v>
      </c>
      <c r="AH590" s="49">
        <f t="shared" si="92"/>
        <v>0</v>
      </c>
      <c r="AI590" s="82">
        <f t="shared" si="92"/>
        <v>0</v>
      </c>
      <c r="AJ590" s="49">
        <f t="shared" si="92"/>
        <v>0</v>
      </c>
      <c r="AK590" s="235">
        <f t="shared" si="92"/>
        <v>0</v>
      </c>
      <c r="AL590" s="82">
        <f t="shared" ref="AL590:BQ590" si="93">SUM(AL123:AL127)</f>
        <v>0</v>
      </c>
      <c r="AM590" s="49">
        <f t="shared" si="93"/>
        <v>0</v>
      </c>
      <c r="AN590" s="235">
        <f t="shared" si="93"/>
        <v>0</v>
      </c>
      <c r="AO590" s="235">
        <f t="shared" si="93"/>
        <v>0</v>
      </c>
      <c r="AP590" s="82">
        <f t="shared" si="93"/>
        <v>0</v>
      </c>
      <c r="AQ590" s="49">
        <f t="shared" si="93"/>
        <v>0</v>
      </c>
      <c r="AR590" s="82">
        <f t="shared" si="93"/>
        <v>0</v>
      </c>
      <c r="AS590" s="49">
        <f t="shared" si="93"/>
        <v>0</v>
      </c>
      <c r="AT590" s="235">
        <f t="shared" si="93"/>
        <v>0</v>
      </c>
      <c r="AU590" s="82">
        <f t="shared" si="93"/>
        <v>0</v>
      </c>
      <c r="AV590" s="49">
        <f t="shared" si="93"/>
        <v>0</v>
      </c>
      <c r="AW590" s="235">
        <f t="shared" si="93"/>
        <v>0</v>
      </c>
      <c r="AX590" s="49">
        <f t="shared" si="93"/>
        <v>0</v>
      </c>
      <c r="AY590" s="235">
        <f t="shared" si="93"/>
        <v>0</v>
      </c>
      <c r="AZ590" s="82">
        <f t="shared" si="93"/>
        <v>0</v>
      </c>
      <c r="BA590" s="49">
        <f t="shared" si="93"/>
        <v>0</v>
      </c>
      <c r="BB590" s="49">
        <f t="shared" si="93"/>
        <v>0</v>
      </c>
      <c r="BC590" s="82">
        <f t="shared" si="93"/>
        <v>0</v>
      </c>
      <c r="BD590" s="49">
        <f t="shared" si="93"/>
        <v>0</v>
      </c>
      <c r="BE590" s="49">
        <f t="shared" si="93"/>
        <v>0</v>
      </c>
      <c r="BF590" s="235">
        <f t="shared" si="93"/>
        <v>0</v>
      </c>
      <c r="BG590" s="231">
        <f t="shared" si="93"/>
        <v>0</v>
      </c>
      <c r="BH590" s="543">
        <f t="shared" si="93"/>
        <v>0</v>
      </c>
      <c r="BI590" s="49">
        <f t="shared" si="93"/>
        <v>0</v>
      </c>
      <c r="BJ590" s="50">
        <f t="shared" si="93"/>
        <v>0</v>
      </c>
      <c r="BK590" s="49">
        <f t="shared" si="93"/>
        <v>0</v>
      </c>
      <c r="BL590" s="291">
        <f t="shared" si="93"/>
        <v>0</v>
      </c>
      <c r="BM590" s="50">
        <f t="shared" si="93"/>
        <v>0</v>
      </c>
      <c r="BN590" s="49">
        <f t="shared" si="93"/>
        <v>0</v>
      </c>
      <c r="BO590" s="235">
        <f t="shared" si="93"/>
        <v>0</v>
      </c>
      <c r="BP590" s="291">
        <f t="shared" si="93"/>
        <v>0</v>
      </c>
      <c r="BQ590" s="235">
        <f t="shared" si="93"/>
        <v>0</v>
      </c>
      <c r="BR590" s="82">
        <f t="shared" ref="BR590:CI590" si="94">SUM(BR123:BR127)</f>
        <v>0</v>
      </c>
      <c r="BS590" s="49">
        <f t="shared" si="94"/>
        <v>0</v>
      </c>
      <c r="BT590" s="50">
        <f t="shared" si="94"/>
        <v>0</v>
      </c>
      <c r="BU590" s="49">
        <f t="shared" si="94"/>
        <v>0</v>
      </c>
      <c r="BV590" s="291">
        <f t="shared" si="94"/>
        <v>0</v>
      </c>
      <c r="BW590" s="63">
        <f t="shared" si="94"/>
        <v>0</v>
      </c>
      <c r="BX590" s="235">
        <f t="shared" si="94"/>
        <v>0</v>
      </c>
      <c r="BY590" s="82">
        <f t="shared" si="94"/>
        <v>0</v>
      </c>
      <c r="BZ590" s="49">
        <f t="shared" si="94"/>
        <v>0</v>
      </c>
      <c r="CA590" s="235">
        <f t="shared" si="94"/>
        <v>0</v>
      </c>
      <c r="CB590" s="291">
        <f t="shared" si="94"/>
        <v>0</v>
      </c>
      <c r="CC590" s="50">
        <f t="shared" si="94"/>
        <v>0</v>
      </c>
      <c r="CD590" s="49">
        <f t="shared" si="94"/>
        <v>0</v>
      </c>
      <c r="CE590" s="235">
        <f t="shared" si="94"/>
        <v>0</v>
      </c>
      <c r="CF590" s="235">
        <f t="shared" si="94"/>
        <v>0</v>
      </c>
      <c r="CG590" s="82">
        <f t="shared" si="94"/>
        <v>0</v>
      </c>
      <c r="CH590" s="49">
        <f t="shared" si="94"/>
        <v>0</v>
      </c>
      <c r="CI590" s="82">
        <f t="shared" si="94"/>
        <v>0</v>
      </c>
    </row>
    <row r="591" spans="2:87" x14ac:dyDescent="0.3">
      <c r="B591" s="7" t="s">
        <v>760</v>
      </c>
      <c r="C591" s="322">
        <f>SUM(C128:C132)</f>
        <v>4366</v>
      </c>
      <c r="D591" s="235">
        <f>SUM(D128:D132)</f>
        <v>785</v>
      </c>
      <c r="E591" s="367">
        <f t="shared" si="31"/>
        <v>0.17979844251030691</v>
      </c>
      <c r="F591" s="49">
        <f t="shared" ref="F591:AK591" si="95">SUM(F128:F132)</f>
        <v>423</v>
      </c>
      <c r="G591" s="49">
        <f t="shared" si="95"/>
        <v>180</v>
      </c>
      <c r="H591" s="49">
        <f t="shared" si="95"/>
        <v>298</v>
      </c>
      <c r="I591" s="49">
        <f t="shared" si="95"/>
        <v>446</v>
      </c>
      <c r="J591" s="50">
        <f t="shared" si="95"/>
        <v>119</v>
      </c>
      <c r="K591" s="49">
        <f t="shared" si="95"/>
        <v>0</v>
      </c>
      <c r="L591" s="231">
        <f t="shared" si="95"/>
        <v>0</v>
      </c>
      <c r="M591" s="543">
        <f t="shared" si="95"/>
        <v>0</v>
      </c>
      <c r="N591" s="49">
        <f t="shared" si="95"/>
        <v>0</v>
      </c>
      <c r="O591" s="235">
        <f t="shared" si="95"/>
        <v>0</v>
      </c>
      <c r="P591" s="291">
        <f t="shared" si="95"/>
        <v>0</v>
      </c>
      <c r="Q591" s="63">
        <f t="shared" si="95"/>
        <v>0</v>
      </c>
      <c r="R591" s="63">
        <f t="shared" si="95"/>
        <v>0</v>
      </c>
      <c r="S591" s="62">
        <f t="shared" si="95"/>
        <v>0</v>
      </c>
      <c r="T591" s="49">
        <f t="shared" si="95"/>
        <v>0</v>
      </c>
      <c r="U591" s="49">
        <f t="shared" si="95"/>
        <v>0</v>
      </c>
      <c r="V591" s="82">
        <f t="shared" si="95"/>
        <v>0</v>
      </c>
      <c r="W591" s="62">
        <f t="shared" si="95"/>
        <v>0</v>
      </c>
      <c r="X591" s="235">
        <f t="shared" si="95"/>
        <v>0</v>
      </c>
      <c r="Y591" s="291">
        <f t="shared" si="95"/>
        <v>0</v>
      </c>
      <c r="Z591" s="50">
        <f t="shared" si="95"/>
        <v>0</v>
      </c>
      <c r="AA591" s="49">
        <f t="shared" si="95"/>
        <v>0</v>
      </c>
      <c r="AB591" s="63">
        <f t="shared" si="95"/>
        <v>0</v>
      </c>
      <c r="AC591" s="62">
        <f t="shared" si="95"/>
        <v>0</v>
      </c>
      <c r="AD591" s="49">
        <f t="shared" si="95"/>
        <v>0</v>
      </c>
      <c r="AE591" s="235">
        <f t="shared" si="95"/>
        <v>0</v>
      </c>
      <c r="AF591" s="82">
        <f t="shared" si="95"/>
        <v>0</v>
      </c>
      <c r="AG591" s="82">
        <f t="shared" si="95"/>
        <v>0</v>
      </c>
      <c r="AH591" s="49">
        <f t="shared" si="95"/>
        <v>0</v>
      </c>
      <c r="AI591" s="82">
        <f t="shared" si="95"/>
        <v>0</v>
      </c>
      <c r="AJ591" s="49">
        <f t="shared" si="95"/>
        <v>0</v>
      </c>
      <c r="AK591" s="235">
        <f t="shared" si="95"/>
        <v>0</v>
      </c>
      <c r="AL591" s="82">
        <f t="shared" ref="AL591:BQ591" si="96">SUM(AL128:AL132)</f>
        <v>0</v>
      </c>
      <c r="AM591" s="49">
        <f t="shared" si="96"/>
        <v>0</v>
      </c>
      <c r="AN591" s="235">
        <f t="shared" si="96"/>
        <v>0</v>
      </c>
      <c r="AO591" s="235">
        <f t="shared" si="96"/>
        <v>0</v>
      </c>
      <c r="AP591" s="82">
        <f t="shared" si="96"/>
        <v>0</v>
      </c>
      <c r="AQ591" s="49">
        <f t="shared" si="96"/>
        <v>0</v>
      </c>
      <c r="AR591" s="82">
        <f t="shared" si="96"/>
        <v>0</v>
      </c>
      <c r="AS591" s="49">
        <f t="shared" si="96"/>
        <v>0</v>
      </c>
      <c r="AT591" s="235">
        <f t="shared" si="96"/>
        <v>0</v>
      </c>
      <c r="AU591" s="82">
        <f t="shared" si="96"/>
        <v>0</v>
      </c>
      <c r="AV591" s="49">
        <f t="shared" si="96"/>
        <v>0</v>
      </c>
      <c r="AW591" s="235">
        <f t="shared" si="96"/>
        <v>0</v>
      </c>
      <c r="AX591" s="49">
        <f t="shared" si="96"/>
        <v>0</v>
      </c>
      <c r="AY591" s="235">
        <f t="shared" si="96"/>
        <v>0</v>
      </c>
      <c r="AZ591" s="82">
        <f t="shared" si="96"/>
        <v>0</v>
      </c>
      <c r="BA591" s="49">
        <f t="shared" si="96"/>
        <v>0</v>
      </c>
      <c r="BB591" s="49">
        <f t="shared" si="96"/>
        <v>0</v>
      </c>
      <c r="BC591" s="82">
        <f t="shared" si="96"/>
        <v>0</v>
      </c>
      <c r="BD591" s="49">
        <f t="shared" si="96"/>
        <v>0</v>
      </c>
      <c r="BE591" s="49">
        <f t="shared" si="96"/>
        <v>0</v>
      </c>
      <c r="BF591" s="235">
        <f t="shared" si="96"/>
        <v>0</v>
      </c>
      <c r="BG591" s="231">
        <f t="shared" si="96"/>
        <v>0</v>
      </c>
      <c r="BH591" s="543">
        <f t="shared" si="96"/>
        <v>0</v>
      </c>
      <c r="BI591" s="49">
        <f t="shared" si="96"/>
        <v>0</v>
      </c>
      <c r="BJ591" s="50">
        <f t="shared" si="96"/>
        <v>0</v>
      </c>
      <c r="BK591" s="49">
        <f t="shared" si="96"/>
        <v>0</v>
      </c>
      <c r="BL591" s="291">
        <f t="shared" si="96"/>
        <v>0</v>
      </c>
      <c r="BM591" s="50">
        <f t="shared" si="96"/>
        <v>0</v>
      </c>
      <c r="BN591" s="49">
        <f t="shared" si="96"/>
        <v>0</v>
      </c>
      <c r="BO591" s="235">
        <f t="shared" si="96"/>
        <v>0</v>
      </c>
      <c r="BP591" s="291">
        <f t="shared" si="96"/>
        <v>0</v>
      </c>
      <c r="BQ591" s="235">
        <f t="shared" si="96"/>
        <v>0</v>
      </c>
      <c r="BR591" s="82">
        <f t="shared" ref="BR591:CI591" si="97">SUM(BR128:BR132)</f>
        <v>0</v>
      </c>
      <c r="BS591" s="49">
        <f t="shared" si="97"/>
        <v>0</v>
      </c>
      <c r="BT591" s="50">
        <f t="shared" si="97"/>
        <v>0</v>
      </c>
      <c r="BU591" s="49">
        <f t="shared" si="97"/>
        <v>0</v>
      </c>
      <c r="BV591" s="291">
        <f t="shared" si="97"/>
        <v>0</v>
      </c>
      <c r="BW591" s="63">
        <f t="shared" si="97"/>
        <v>0</v>
      </c>
      <c r="BX591" s="235">
        <f t="shared" si="97"/>
        <v>0</v>
      </c>
      <c r="BY591" s="82">
        <f t="shared" si="97"/>
        <v>0</v>
      </c>
      <c r="BZ591" s="49">
        <f t="shared" si="97"/>
        <v>0</v>
      </c>
      <c r="CA591" s="235">
        <f t="shared" si="97"/>
        <v>0</v>
      </c>
      <c r="CB591" s="291">
        <f t="shared" si="97"/>
        <v>0</v>
      </c>
      <c r="CC591" s="50">
        <f t="shared" si="97"/>
        <v>0</v>
      </c>
      <c r="CD591" s="49">
        <f t="shared" si="97"/>
        <v>0</v>
      </c>
      <c r="CE591" s="235">
        <f t="shared" si="97"/>
        <v>0</v>
      </c>
      <c r="CF591" s="235">
        <f t="shared" si="97"/>
        <v>0</v>
      </c>
      <c r="CG591" s="82">
        <f t="shared" si="97"/>
        <v>0</v>
      </c>
      <c r="CH591" s="49">
        <f t="shared" si="97"/>
        <v>0</v>
      </c>
      <c r="CI591" s="82">
        <f t="shared" si="97"/>
        <v>0</v>
      </c>
    </row>
    <row r="592" spans="2:87" x14ac:dyDescent="0.3">
      <c r="B592" s="7" t="s">
        <v>700</v>
      </c>
      <c r="C592" s="322">
        <f>SUM(C133:C135)</f>
        <v>4149</v>
      </c>
      <c r="D592" s="235">
        <f>SUM(D133:D135)</f>
        <v>1203</v>
      </c>
      <c r="E592" s="367">
        <f t="shared" si="31"/>
        <v>0.28994938539407084</v>
      </c>
      <c r="F592" s="49">
        <f t="shared" ref="F592:AK592" si="98">SUM(F133:F135)</f>
        <v>719</v>
      </c>
      <c r="G592" s="49">
        <f t="shared" si="98"/>
        <v>265</v>
      </c>
      <c r="H592" s="49">
        <f t="shared" si="98"/>
        <v>525</v>
      </c>
      <c r="I592" s="49">
        <f t="shared" si="98"/>
        <v>758</v>
      </c>
      <c r="J592" s="50">
        <f t="shared" si="98"/>
        <v>85</v>
      </c>
      <c r="K592" s="49">
        <f t="shared" si="98"/>
        <v>0</v>
      </c>
      <c r="L592" s="231">
        <f t="shared" si="98"/>
        <v>0</v>
      </c>
      <c r="M592" s="543">
        <f t="shared" si="98"/>
        <v>0</v>
      </c>
      <c r="N592" s="49">
        <f t="shared" si="98"/>
        <v>0</v>
      </c>
      <c r="O592" s="235">
        <f t="shared" si="98"/>
        <v>0</v>
      </c>
      <c r="P592" s="291">
        <f t="shared" si="98"/>
        <v>0</v>
      </c>
      <c r="Q592" s="63">
        <f t="shared" si="98"/>
        <v>0</v>
      </c>
      <c r="R592" s="63">
        <f t="shared" si="98"/>
        <v>0</v>
      </c>
      <c r="S592" s="62">
        <f t="shared" si="98"/>
        <v>0</v>
      </c>
      <c r="T592" s="49">
        <f t="shared" si="98"/>
        <v>0</v>
      </c>
      <c r="U592" s="49">
        <f t="shared" si="98"/>
        <v>0</v>
      </c>
      <c r="V592" s="82">
        <f t="shared" si="98"/>
        <v>0</v>
      </c>
      <c r="W592" s="62">
        <f t="shared" si="98"/>
        <v>0</v>
      </c>
      <c r="X592" s="235">
        <f t="shared" si="98"/>
        <v>0</v>
      </c>
      <c r="Y592" s="291">
        <f t="shared" si="98"/>
        <v>0</v>
      </c>
      <c r="Z592" s="50">
        <f t="shared" si="98"/>
        <v>0</v>
      </c>
      <c r="AA592" s="49">
        <f t="shared" si="98"/>
        <v>0</v>
      </c>
      <c r="AB592" s="63">
        <f t="shared" si="98"/>
        <v>0</v>
      </c>
      <c r="AC592" s="62">
        <f t="shared" si="98"/>
        <v>0</v>
      </c>
      <c r="AD592" s="49">
        <f t="shared" si="98"/>
        <v>0</v>
      </c>
      <c r="AE592" s="235">
        <f t="shared" si="98"/>
        <v>0</v>
      </c>
      <c r="AF592" s="82">
        <f t="shared" si="98"/>
        <v>0</v>
      </c>
      <c r="AG592" s="82">
        <f t="shared" si="98"/>
        <v>0</v>
      </c>
      <c r="AH592" s="49">
        <f t="shared" si="98"/>
        <v>0</v>
      </c>
      <c r="AI592" s="82">
        <f t="shared" si="98"/>
        <v>0</v>
      </c>
      <c r="AJ592" s="49">
        <f t="shared" si="98"/>
        <v>0</v>
      </c>
      <c r="AK592" s="235">
        <f t="shared" si="98"/>
        <v>0</v>
      </c>
      <c r="AL592" s="82">
        <f t="shared" ref="AL592:BQ592" si="99">SUM(AL133:AL135)</f>
        <v>0</v>
      </c>
      <c r="AM592" s="49">
        <f t="shared" si="99"/>
        <v>0</v>
      </c>
      <c r="AN592" s="235">
        <f t="shared" si="99"/>
        <v>0</v>
      </c>
      <c r="AO592" s="235">
        <f t="shared" si="99"/>
        <v>0</v>
      </c>
      <c r="AP592" s="82">
        <f t="shared" si="99"/>
        <v>0</v>
      </c>
      <c r="AQ592" s="49">
        <f t="shared" si="99"/>
        <v>0</v>
      </c>
      <c r="AR592" s="82">
        <f t="shared" si="99"/>
        <v>0</v>
      </c>
      <c r="AS592" s="49">
        <f t="shared" si="99"/>
        <v>0</v>
      </c>
      <c r="AT592" s="235">
        <f t="shared" si="99"/>
        <v>0</v>
      </c>
      <c r="AU592" s="82">
        <f t="shared" si="99"/>
        <v>0</v>
      </c>
      <c r="AV592" s="49">
        <f t="shared" si="99"/>
        <v>0</v>
      </c>
      <c r="AW592" s="235">
        <f t="shared" si="99"/>
        <v>0</v>
      </c>
      <c r="AX592" s="49">
        <f t="shared" si="99"/>
        <v>0</v>
      </c>
      <c r="AY592" s="235">
        <f t="shared" si="99"/>
        <v>0</v>
      </c>
      <c r="AZ592" s="82">
        <f t="shared" si="99"/>
        <v>0</v>
      </c>
      <c r="BA592" s="49">
        <f t="shared" si="99"/>
        <v>0</v>
      </c>
      <c r="BB592" s="49">
        <f t="shared" si="99"/>
        <v>0</v>
      </c>
      <c r="BC592" s="82">
        <f t="shared" si="99"/>
        <v>0</v>
      </c>
      <c r="BD592" s="49">
        <f t="shared" si="99"/>
        <v>0</v>
      </c>
      <c r="BE592" s="49">
        <f t="shared" si="99"/>
        <v>0</v>
      </c>
      <c r="BF592" s="235">
        <f t="shared" si="99"/>
        <v>0</v>
      </c>
      <c r="BG592" s="231">
        <f t="shared" si="99"/>
        <v>0</v>
      </c>
      <c r="BH592" s="543">
        <f t="shared" si="99"/>
        <v>0</v>
      </c>
      <c r="BI592" s="49">
        <f t="shared" si="99"/>
        <v>0</v>
      </c>
      <c r="BJ592" s="50">
        <f t="shared" si="99"/>
        <v>0</v>
      </c>
      <c r="BK592" s="49">
        <f t="shared" si="99"/>
        <v>0</v>
      </c>
      <c r="BL592" s="291">
        <f t="shared" si="99"/>
        <v>0</v>
      </c>
      <c r="BM592" s="50">
        <f t="shared" si="99"/>
        <v>0</v>
      </c>
      <c r="BN592" s="49">
        <f t="shared" si="99"/>
        <v>0</v>
      </c>
      <c r="BO592" s="235">
        <f t="shared" si="99"/>
        <v>0</v>
      </c>
      <c r="BP592" s="291">
        <f t="shared" si="99"/>
        <v>0</v>
      </c>
      <c r="BQ592" s="235">
        <f t="shared" si="99"/>
        <v>0</v>
      </c>
      <c r="BR592" s="82">
        <f t="shared" ref="BR592:CI592" si="100">SUM(BR133:BR135)</f>
        <v>0</v>
      </c>
      <c r="BS592" s="49">
        <f t="shared" si="100"/>
        <v>0</v>
      </c>
      <c r="BT592" s="50">
        <f t="shared" si="100"/>
        <v>0</v>
      </c>
      <c r="BU592" s="49">
        <f t="shared" si="100"/>
        <v>0</v>
      </c>
      <c r="BV592" s="291">
        <f t="shared" si="100"/>
        <v>0</v>
      </c>
      <c r="BW592" s="63">
        <f t="shared" si="100"/>
        <v>0</v>
      </c>
      <c r="BX592" s="235">
        <f t="shared" si="100"/>
        <v>0</v>
      </c>
      <c r="BY592" s="82">
        <f t="shared" si="100"/>
        <v>0</v>
      </c>
      <c r="BZ592" s="49">
        <f t="shared" si="100"/>
        <v>0</v>
      </c>
      <c r="CA592" s="235">
        <f t="shared" si="100"/>
        <v>0</v>
      </c>
      <c r="CB592" s="291">
        <f t="shared" si="100"/>
        <v>0</v>
      </c>
      <c r="CC592" s="50">
        <f t="shared" si="100"/>
        <v>0</v>
      </c>
      <c r="CD592" s="49">
        <f t="shared" si="100"/>
        <v>0</v>
      </c>
      <c r="CE592" s="235">
        <f t="shared" si="100"/>
        <v>0</v>
      </c>
      <c r="CF592" s="235">
        <f t="shared" si="100"/>
        <v>0</v>
      </c>
      <c r="CG592" s="82">
        <f t="shared" si="100"/>
        <v>0</v>
      </c>
      <c r="CH592" s="49">
        <f t="shared" si="100"/>
        <v>0</v>
      </c>
      <c r="CI592" s="82">
        <f t="shared" si="100"/>
        <v>0</v>
      </c>
    </row>
    <row r="593" spans="2:87" x14ac:dyDescent="0.3">
      <c r="B593" s="7" t="s">
        <v>701</v>
      </c>
      <c r="C593" s="322">
        <f>SUM(C136:C153)</f>
        <v>19423</v>
      </c>
      <c r="D593" s="235">
        <f>SUM(D136:D153)</f>
        <v>8855</v>
      </c>
      <c r="E593" s="367">
        <f t="shared" si="31"/>
        <v>0.45590279565463626</v>
      </c>
      <c r="F593" s="49">
        <f t="shared" ref="F593:AK593" si="101">SUM(F136:F153)</f>
        <v>5653</v>
      </c>
      <c r="G593" s="49">
        <f t="shared" si="101"/>
        <v>1835</v>
      </c>
      <c r="H593" s="49">
        <f t="shared" si="101"/>
        <v>4372</v>
      </c>
      <c r="I593" s="49">
        <f t="shared" si="101"/>
        <v>5637</v>
      </c>
      <c r="J593" s="50">
        <f t="shared" si="101"/>
        <v>863</v>
      </c>
      <c r="K593" s="49">
        <f t="shared" si="101"/>
        <v>0</v>
      </c>
      <c r="L593" s="231">
        <f t="shared" si="101"/>
        <v>0</v>
      </c>
      <c r="M593" s="543">
        <f t="shared" si="101"/>
        <v>0</v>
      </c>
      <c r="N593" s="49">
        <f t="shared" si="101"/>
        <v>0</v>
      </c>
      <c r="O593" s="235">
        <f t="shared" si="101"/>
        <v>0</v>
      </c>
      <c r="P593" s="291">
        <f t="shared" si="101"/>
        <v>0</v>
      </c>
      <c r="Q593" s="63">
        <f t="shared" si="101"/>
        <v>0</v>
      </c>
      <c r="R593" s="63">
        <f t="shared" si="101"/>
        <v>0</v>
      </c>
      <c r="S593" s="62">
        <f t="shared" si="101"/>
        <v>0</v>
      </c>
      <c r="T593" s="49">
        <f t="shared" si="101"/>
        <v>0</v>
      </c>
      <c r="U593" s="49">
        <f t="shared" si="101"/>
        <v>0</v>
      </c>
      <c r="V593" s="82">
        <f t="shared" si="101"/>
        <v>0</v>
      </c>
      <c r="W593" s="62">
        <f t="shared" si="101"/>
        <v>0</v>
      </c>
      <c r="X593" s="235">
        <f t="shared" si="101"/>
        <v>0</v>
      </c>
      <c r="Y593" s="291">
        <f t="shared" si="101"/>
        <v>0</v>
      </c>
      <c r="Z593" s="50">
        <f t="shared" si="101"/>
        <v>0</v>
      </c>
      <c r="AA593" s="49">
        <f t="shared" si="101"/>
        <v>0</v>
      </c>
      <c r="AB593" s="63">
        <f t="shared" si="101"/>
        <v>0</v>
      </c>
      <c r="AC593" s="62">
        <f t="shared" si="101"/>
        <v>0</v>
      </c>
      <c r="AD593" s="49">
        <f t="shared" si="101"/>
        <v>0</v>
      </c>
      <c r="AE593" s="235">
        <f t="shared" si="101"/>
        <v>0</v>
      </c>
      <c r="AF593" s="82">
        <f t="shared" si="101"/>
        <v>0</v>
      </c>
      <c r="AG593" s="82">
        <f t="shared" si="101"/>
        <v>0</v>
      </c>
      <c r="AH593" s="49">
        <f t="shared" si="101"/>
        <v>0</v>
      </c>
      <c r="AI593" s="82">
        <f t="shared" si="101"/>
        <v>0</v>
      </c>
      <c r="AJ593" s="49">
        <f t="shared" si="101"/>
        <v>0</v>
      </c>
      <c r="AK593" s="235">
        <f t="shared" si="101"/>
        <v>0</v>
      </c>
      <c r="AL593" s="82">
        <f t="shared" ref="AL593:BQ593" si="102">SUM(AL136:AL153)</f>
        <v>0</v>
      </c>
      <c r="AM593" s="49">
        <f t="shared" si="102"/>
        <v>0</v>
      </c>
      <c r="AN593" s="235">
        <f t="shared" si="102"/>
        <v>0</v>
      </c>
      <c r="AO593" s="235">
        <f t="shared" si="102"/>
        <v>0</v>
      </c>
      <c r="AP593" s="82">
        <f t="shared" si="102"/>
        <v>0</v>
      </c>
      <c r="AQ593" s="49">
        <f t="shared" si="102"/>
        <v>0</v>
      </c>
      <c r="AR593" s="82">
        <f t="shared" si="102"/>
        <v>0</v>
      </c>
      <c r="AS593" s="49">
        <f t="shared" si="102"/>
        <v>0</v>
      </c>
      <c r="AT593" s="235">
        <f t="shared" si="102"/>
        <v>0</v>
      </c>
      <c r="AU593" s="82">
        <f t="shared" si="102"/>
        <v>0</v>
      </c>
      <c r="AV593" s="49">
        <f t="shared" si="102"/>
        <v>0</v>
      </c>
      <c r="AW593" s="235">
        <f t="shared" si="102"/>
        <v>0</v>
      </c>
      <c r="AX593" s="49">
        <f t="shared" si="102"/>
        <v>0</v>
      </c>
      <c r="AY593" s="235">
        <f t="shared" si="102"/>
        <v>0</v>
      </c>
      <c r="AZ593" s="82">
        <f t="shared" si="102"/>
        <v>0</v>
      </c>
      <c r="BA593" s="49">
        <f t="shared" si="102"/>
        <v>0</v>
      </c>
      <c r="BB593" s="49">
        <f t="shared" si="102"/>
        <v>0</v>
      </c>
      <c r="BC593" s="82">
        <f t="shared" si="102"/>
        <v>0</v>
      </c>
      <c r="BD593" s="49">
        <f t="shared" si="102"/>
        <v>0</v>
      </c>
      <c r="BE593" s="49">
        <f t="shared" si="102"/>
        <v>0</v>
      </c>
      <c r="BF593" s="235">
        <f t="shared" si="102"/>
        <v>0</v>
      </c>
      <c r="BG593" s="231">
        <f t="shared" si="102"/>
        <v>0</v>
      </c>
      <c r="BH593" s="543">
        <f t="shared" si="102"/>
        <v>0</v>
      </c>
      <c r="BI593" s="49">
        <f t="shared" si="102"/>
        <v>0</v>
      </c>
      <c r="BJ593" s="50">
        <f t="shared" si="102"/>
        <v>0</v>
      </c>
      <c r="BK593" s="49">
        <f t="shared" si="102"/>
        <v>0</v>
      </c>
      <c r="BL593" s="291">
        <f t="shared" si="102"/>
        <v>0</v>
      </c>
      <c r="BM593" s="50">
        <f t="shared" si="102"/>
        <v>0</v>
      </c>
      <c r="BN593" s="49">
        <f t="shared" si="102"/>
        <v>0</v>
      </c>
      <c r="BO593" s="235">
        <f t="shared" si="102"/>
        <v>0</v>
      </c>
      <c r="BP593" s="291">
        <f t="shared" si="102"/>
        <v>0</v>
      </c>
      <c r="BQ593" s="235">
        <f t="shared" si="102"/>
        <v>0</v>
      </c>
      <c r="BR593" s="82">
        <f t="shared" ref="BR593:CI593" si="103">SUM(BR136:BR153)</f>
        <v>0</v>
      </c>
      <c r="BS593" s="49">
        <f t="shared" si="103"/>
        <v>0</v>
      </c>
      <c r="BT593" s="50">
        <f t="shared" si="103"/>
        <v>0</v>
      </c>
      <c r="BU593" s="49">
        <f t="shared" si="103"/>
        <v>0</v>
      </c>
      <c r="BV593" s="291">
        <f t="shared" si="103"/>
        <v>0</v>
      </c>
      <c r="BW593" s="63">
        <f t="shared" si="103"/>
        <v>0</v>
      </c>
      <c r="BX593" s="235">
        <f t="shared" si="103"/>
        <v>0</v>
      </c>
      <c r="BY593" s="82">
        <f t="shared" si="103"/>
        <v>0</v>
      </c>
      <c r="BZ593" s="49">
        <f t="shared" si="103"/>
        <v>0</v>
      </c>
      <c r="CA593" s="235">
        <f t="shared" si="103"/>
        <v>0</v>
      </c>
      <c r="CB593" s="291">
        <f t="shared" si="103"/>
        <v>0</v>
      </c>
      <c r="CC593" s="50">
        <f t="shared" si="103"/>
        <v>0</v>
      </c>
      <c r="CD593" s="49">
        <f t="shared" si="103"/>
        <v>0</v>
      </c>
      <c r="CE593" s="235">
        <f t="shared" si="103"/>
        <v>0</v>
      </c>
      <c r="CF593" s="235">
        <f t="shared" si="103"/>
        <v>0</v>
      </c>
      <c r="CG593" s="82">
        <f t="shared" si="103"/>
        <v>0</v>
      </c>
      <c r="CH593" s="49">
        <f t="shared" si="103"/>
        <v>0</v>
      </c>
      <c r="CI593" s="82">
        <f t="shared" si="103"/>
        <v>0</v>
      </c>
    </row>
    <row r="594" spans="2:87" x14ac:dyDescent="0.3">
      <c r="B594" s="7" t="s">
        <v>702</v>
      </c>
      <c r="C594" s="322">
        <f>SUM(C154:C162)</f>
        <v>9946</v>
      </c>
      <c r="D594" s="235">
        <f>SUM(D154:D162)</f>
        <v>3103</v>
      </c>
      <c r="E594" s="367">
        <f t="shared" si="31"/>
        <v>0.31198471747436157</v>
      </c>
      <c r="F594" s="49">
        <f t="shared" ref="F594:AK594" si="104">SUM(F154:F162)</f>
        <v>1855</v>
      </c>
      <c r="G594" s="49">
        <f t="shared" si="104"/>
        <v>666</v>
      </c>
      <c r="H594" s="49">
        <f t="shared" si="104"/>
        <v>1307</v>
      </c>
      <c r="I594" s="49">
        <f t="shared" si="104"/>
        <v>1867</v>
      </c>
      <c r="J594" s="50">
        <f t="shared" si="104"/>
        <v>339</v>
      </c>
      <c r="K594" s="49">
        <f t="shared" si="104"/>
        <v>0</v>
      </c>
      <c r="L594" s="231">
        <f t="shared" si="104"/>
        <v>0</v>
      </c>
      <c r="M594" s="543">
        <f t="shared" si="104"/>
        <v>0</v>
      </c>
      <c r="N594" s="49">
        <f t="shared" si="104"/>
        <v>0</v>
      </c>
      <c r="O594" s="235">
        <f t="shared" si="104"/>
        <v>0</v>
      </c>
      <c r="P594" s="291">
        <f t="shared" si="104"/>
        <v>0</v>
      </c>
      <c r="Q594" s="63">
        <f t="shared" si="104"/>
        <v>0</v>
      </c>
      <c r="R594" s="63">
        <f t="shared" si="104"/>
        <v>0</v>
      </c>
      <c r="S594" s="62">
        <f t="shared" si="104"/>
        <v>0</v>
      </c>
      <c r="T594" s="49">
        <f t="shared" si="104"/>
        <v>0</v>
      </c>
      <c r="U594" s="49">
        <f t="shared" si="104"/>
        <v>0</v>
      </c>
      <c r="V594" s="82">
        <f t="shared" si="104"/>
        <v>0</v>
      </c>
      <c r="W594" s="62">
        <f t="shared" si="104"/>
        <v>0</v>
      </c>
      <c r="X594" s="235">
        <f t="shared" si="104"/>
        <v>0</v>
      </c>
      <c r="Y594" s="291">
        <f t="shared" si="104"/>
        <v>0</v>
      </c>
      <c r="Z594" s="50">
        <f t="shared" si="104"/>
        <v>0</v>
      </c>
      <c r="AA594" s="49">
        <f t="shared" si="104"/>
        <v>0</v>
      </c>
      <c r="AB594" s="63">
        <f t="shared" si="104"/>
        <v>0</v>
      </c>
      <c r="AC594" s="62">
        <f t="shared" si="104"/>
        <v>0</v>
      </c>
      <c r="AD594" s="49">
        <f t="shared" si="104"/>
        <v>0</v>
      </c>
      <c r="AE594" s="235">
        <f t="shared" si="104"/>
        <v>0</v>
      </c>
      <c r="AF594" s="82">
        <f t="shared" si="104"/>
        <v>0</v>
      </c>
      <c r="AG594" s="82">
        <f t="shared" si="104"/>
        <v>0</v>
      </c>
      <c r="AH594" s="49">
        <f t="shared" si="104"/>
        <v>0</v>
      </c>
      <c r="AI594" s="82">
        <f t="shared" si="104"/>
        <v>0</v>
      </c>
      <c r="AJ594" s="49">
        <f t="shared" si="104"/>
        <v>0</v>
      </c>
      <c r="AK594" s="235">
        <f t="shared" si="104"/>
        <v>0</v>
      </c>
      <c r="AL594" s="82">
        <f t="shared" ref="AL594:BQ594" si="105">SUM(AL154:AL162)</f>
        <v>0</v>
      </c>
      <c r="AM594" s="49">
        <f t="shared" si="105"/>
        <v>0</v>
      </c>
      <c r="AN594" s="235">
        <f t="shared" si="105"/>
        <v>0</v>
      </c>
      <c r="AO594" s="235">
        <f t="shared" si="105"/>
        <v>0</v>
      </c>
      <c r="AP594" s="82">
        <f t="shared" si="105"/>
        <v>0</v>
      </c>
      <c r="AQ594" s="49">
        <f t="shared" si="105"/>
        <v>0</v>
      </c>
      <c r="AR594" s="82">
        <f t="shared" si="105"/>
        <v>0</v>
      </c>
      <c r="AS594" s="49">
        <f t="shared" si="105"/>
        <v>0</v>
      </c>
      <c r="AT594" s="235">
        <f t="shared" si="105"/>
        <v>0</v>
      </c>
      <c r="AU594" s="82">
        <f t="shared" si="105"/>
        <v>0</v>
      </c>
      <c r="AV594" s="49">
        <f t="shared" si="105"/>
        <v>0</v>
      </c>
      <c r="AW594" s="235">
        <f t="shared" si="105"/>
        <v>0</v>
      </c>
      <c r="AX594" s="49">
        <f t="shared" si="105"/>
        <v>0</v>
      </c>
      <c r="AY594" s="235">
        <f t="shared" si="105"/>
        <v>0</v>
      </c>
      <c r="AZ594" s="82">
        <f t="shared" si="105"/>
        <v>0</v>
      </c>
      <c r="BA594" s="49">
        <f t="shared" si="105"/>
        <v>0</v>
      </c>
      <c r="BB594" s="49">
        <f t="shared" si="105"/>
        <v>0</v>
      </c>
      <c r="BC594" s="82">
        <f t="shared" si="105"/>
        <v>0</v>
      </c>
      <c r="BD594" s="49">
        <f t="shared" si="105"/>
        <v>0</v>
      </c>
      <c r="BE594" s="49">
        <f t="shared" si="105"/>
        <v>0</v>
      </c>
      <c r="BF594" s="235">
        <f t="shared" si="105"/>
        <v>0</v>
      </c>
      <c r="BG594" s="231">
        <f t="shared" si="105"/>
        <v>0</v>
      </c>
      <c r="BH594" s="543">
        <f t="shared" si="105"/>
        <v>0</v>
      </c>
      <c r="BI594" s="49">
        <f t="shared" si="105"/>
        <v>0</v>
      </c>
      <c r="BJ594" s="50">
        <f t="shared" si="105"/>
        <v>0</v>
      </c>
      <c r="BK594" s="49">
        <f t="shared" si="105"/>
        <v>0</v>
      </c>
      <c r="BL594" s="291">
        <f t="shared" si="105"/>
        <v>0</v>
      </c>
      <c r="BM594" s="50">
        <f t="shared" si="105"/>
        <v>0</v>
      </c>
      <c r="BN594" s="49">
        <f t="shared" si="105"/>
        <v>0</v>
      </c>
      <c r="BO594" s="235">
        <f t="shared" si="105"/>
        <v>0</v>
      </c>
      <c r="BP594" s="291">
        <f t="shared" si="105"/>
        <v>0</v>
      </c>
      <c r="BQ594" s="235">
        <f t="shared" si="105"/>
        <v>0</v>
      </c>
      <c r="BR594" s="82">
        <f t="shared" ref="BR594:CI594" si="106">SUM(BR154:BR162)</f>
        <v>0</v>
      </c>
      <c r="BS594" s="49">
        <f t="shared" si="106"/>
        <v>0</v>
      </c>
      <c r="BT594" s="50">
        <f t="shared" si="106"/>
        <v>0</v>
      </c>
      <c r="BU594" s="49">
        <f t="shared" si="106"/>
        <v>0</v>
      </c>
      <c r="BV594" s="291">
        <f t="shared" si="106"/>
        <v>0</v>
      </c>
      <c r="BW594" s="63">
        <f t="shared" si="106"/>
        <v>0</v>
      </c>
      <c r="BX594" s="235">
        <f t="shared" si="106"/>
        <v>0</v>
      </c>
      <c r="BY594" s="82">
        <f t="shared" si="106"/>
        <v>0</v>
      </c>
      <c r="BZ594" s="49">
        <f t="shared" si="106"/>
        <v>0</v>
      </c>
      <c r="CA594" s="235">
        <f t="shared" si="106"/>
        <v>0</v>
      </c>
      <c r="CB594" s="291">
        <f t="shared" si="106"/>
        <v>0</v>
      </c>
      <c r="CC594" s="50">
        <f t="shared" si="106"/>
        <v>0</v>
      </c>
      <c r="CD594" s="49">
        <f t="shared" si="106"/>
        <v>0</v>
      </c>
      <c r="CE594" s="235">
        <f t="shared" si="106"/>
        <v>0</v>
      </c>
      <c r="CF594" s="235">
        <f t="shared" si="106"/>
        <v>0</v>
      </c>
      <c r="CG594" s="82">
        <f t="shared" si="106"/>
        <v>0</v>
      </c>
      <c r="CH594" s="49">
        <f t="shared" si="106"/>
        <v>0</v>
      </c>
      <c r="CI594" s="82">
        <f t="shared" si="106"/>
        <v>0</v>
      </c>
    </row>
    <row r="595" spans="2:87" x14ac:dyDescent="0.3">
      <c r="B595" s="7" t="s">
        <v>761</v>
      </c>
      <c r="C595" s="322">
        <f>SUM(C163:C174)</f>
        <v>13943</v>
      </c>
      <c r="D595" s="235">
        <f>SUM(D163:D174)</f>
        <v>4600</v>
      </c>
      <c r="E595" s="367">
        <f t="shared" si="31"/>
        <v>0.32991465251380619</v>
      </c>
      <c r="F595" s="49">
        <f t="shared" ref="F595:AK595" si="107">SUM(F163:F174)</f>
        <v>2159</v>
      </c>
      <c r="G595" s="49">
        <f t="shared" si="107"/>
        <v>968</v>
      </c>
      <c r="H595" s="49">
        <f t="shared" si="107"/>
        <v>1656</v>
      </c>
      <c r="I595" s="49">
        <f t="shared" si="107"/>
        <v>2143</v>
      </c>
      <c r="J595" s="50">
        <f t="shared" si="107"/>
        <v>906</v>
      </c>
      <c r="K595" s="49">
        <f t="shared" si="107"/>
        <v>0</v>
      </c>
      <c r="L595" s="231">
        <f t="shared" si="107"/>
        <v>0</v>
      </c>
      <c r="M595" s="543">
        <f t="shared" si="107"/>
        <v>0</v>
      </c>
      <c r="N595" s="49">
        <f t="shared" si="107"/>
        <v>0</v>
      </c>
      <c r="O595" s="235">
        <f t="shared" si="107"/>
        <v>0</v>
      </c>
      <c r="P595" s="291">
        <f t="shared" si="107"/>
        <v>0</v>
      </c>
      <c r="Q595" s="63">
        <f t="shared" si="107"/>
        <v>0</v>
      </c>
      <c r="R595" s="63">
        <f t="shared" si="107"/>
        <v>0</v>
      </c>
      <c r="S595" s="62">
        <f t="shared" si="107"/>
        <v>0</v>
      </c>
      <c r="T595" s="49">
        <f t="shared" si="107"/>
        <v>0</v>
      </c>
      <c r="U595" s="49">
        <f t="shared" si="107"/>
        <v>0</v>
      </c>
      <c r="V595" s="82">
        <f t="shared" si="107"/>
        <v>0</v>
      </c>
      <c r="W595" s="62">
        <f t="shared" si="107"/>
        <v>0</v>
      </c>
      <c r="X595" s="235">
        <f t="shared" si="107"/>
        <v>0</v>
      </c>
      <c r="Y595" s="291">
        <f t="shared" si="107"/>
        <v>0</v>
      </c>
      <c r="Z595" s="50">
        <f t="shared" si="107"/>
        <v>0</v>
      </c>
      <c r="AA595" s="49">
        <f t="shared" si="107"/>
        <v>0</v>
      </c>
      <c r="AB595" s="63">
        <f t="shared" si="107"/>
        <v>0</v>
      </c>
      <c r="AC595" s="62">
        <f t="shared" si="107"/>
        <v>0</v>
      </c>
      <c r="AD595" s="49">
        <f t="shared" si="107"/>
        <v>0</v>
      </c>
      <c r="AE595" s="235">
        <f t="shared" si="107"/>
        <v>0</v>
      </c>
      <c r="AF595" s="82">
        <f t="shared" si="107"/>
        <v>0</v>
      </c>
      <c r="AG595" s="82">
        <f t="shared" si="107"/>
        <v>0</v>
      </c>
      <c r="AH595" s="49">
        <f t="shared" si="107"/>
        <v>0</v>
      </c>
      <c r="AI595" s="82">
        <f t="shared" si="107"/>
        <v>0</v>
      </c>
      <c r="AJ595" s="49">
        <f t="shared" si="107"/>
        <v>0</v>
      </c>
      <c r="AK595" s="235">
        <f t="shared" si="107"/>
        <v>0</v>
      </c>
      <c r="AL595" s="82">
        <f t="shared" ref="AL595:BQ595" si="108">SUM(AL163:AL174)</f>
        <v>0</v>
      </c>
      <c r="AM595" s="49">
        <f t="shared" si="108"/>
        <v>0</v>
      </c>
      <c r="AN595" s="235">
        <f t="shared" si="108"/>
        <v>0</v>
      </c>
      <c r="AO595" s="235">
        <f t="shared" si="108"/>
        <v>0</v>
      </c>
      <c r="AP595" s="82">
        <f t="shared" si="108"/>
        <v>0</v>
      </c>
      <c r="AQ595" s="49">
        <f t="shared" si="108"/>
        <v>0</v>
      </c>
      <c r="AR595" s="82">
        <f t="shared" si="108"/>
        <v>0</v>
      </c>
      <c r="AS595" s="49">
        <f t="shared" si="108"/>
        <v>0</v>
      </c>
      <c r="AT595" s="235">
        <f t="shared" si="108"/>
        <v>0</v>
      </c>
      <c r="AU595" s="82">
        <f t="shared" si="108"/>
        <v>0</v>
      </c>
      <c r="AV595" s="49">
        <f t="shared" si="108"/>
        <v>0</v>
      </c>
      <c r="AW595" s="235">
        <f t="shared" si="108"/>
        <v>0</v>
      </c>
      <c r="AX595" s="49">
        <f t="shared" si="108"/>
        <v>0</v>
      </c>
      <c r="AY595" s="235">
        <f t="shared" si="108"/>
        <v>0</v>
      </c>
      <c r="AZ595" s="82">
        <f t="shared" si="108"/>
        <v>0</v>
      </c>
      <c r="BA595" s="49">
        <f t="shared" si="108"/>
        <v>0</v>
      </c>
      <c r="BB595" s="49">
        <f t="shared" si="108"/>
        <v>0</v>
      </c>
      <c r="BC595" s="82">
        <f t="shared" si="108"/>
        <v>0</v>
      </c>
      <c r="BD595" s="49">
        <f t="shared" si="108"/>
        <v>0</v>
      </c>
      <c r="BE595" s="49">
        <f t="shared" si="108"/>
        <v>0</v>
      </c>
      <c r="BF595" s="235">
        <f t="shared" si="108"/>
        <v>0</v>
      </c>
      <c r="BG595" s="231">
        <f t="shared" si="108"/>
        <v>0</v>
      </c>
      <c r="BH595" s="543">
        <f t="shared" si="108"/>
        <v>0</v>
      </c>
      <c r="BI595" s="49">
        <f t="shared" si="108"/>
        <v>0</v>
      </c>
      <c r="BJ595" s="50">
        <f t="shared" si="108"/>
        <v>0</v>
      </c>
      <c r="BK595" s="49">
        <f t="shared" si="108"/>
        <v>0</v>
      </c>
      <c r="BL595" s="291">
        <f t="shared" si="108"/>
        <v>0</v>
      </c>
      <c r="BM595" s="50">
        <f t="shared" si="108"/>
        <v>0</v>
      </c>
      <c r="BN595" s="49">
        <f t="shared" si="108"/>
        <v>0</v>
      </c>
      <c r="BO595" s="235">
        <f t="shared" si="108"/>
        <v>0</v>
      </c>
      <c r="BP595" s="291">
        <f t="shared" si="108"/>
        <v>0</v>
      </c>
      <c r="BQ595" s="235">
        <f t="shared" si="108"/>
        <v>0</v>
      </c>
      <c r="BR595" s="82">
        <f t="shared" ref="BR595:CI595" si="109">SUM(BR163:BR174)</f>
        <v>0</v>
      </c>
      <c r="BS595" s="49">
        <f t="shared" si="109"/>
        <v>0</v>
      </c>
      <c r="BT595" s="50">
        <f t="shared" si="109"/>
        <v>0</v>
      </c>
      <c r="BU595" s="49">
        <f t="shared" si="109"/>
        <v>0</v>
      </c>
      <c r="BV595" s="291">
        <f t="shared" si="109"/>
        <v>0</v>
      </c>
      <c r="BW595" s="63">
        <f t="shared" si="109"/>
        <v>0</v>
      </c>
      <c r="BX595" s="235">
        <f t="shared" si="109"/>
        <v>0</v>
      </c>
      <c r="BY595" s="82">
        <f t="shared" si="109"/>
        <v>0</v>
      </c>
      <c r="BZ595" s="49">
        <f t="shared" si="109"/>
        <v>0</v>
      </c>
      <c r="CA595" s="235">
        <f t="shared" si="109"/>
        <v>0</v>
      </c>
      <c r="CB595" s="291">
        <f t="shared" si="109"/>
        <v>0</v>
      </c>
      <c r="CC595" s="50">
        <f t="shared" si="109"/>
        <v>0</v>
      </c>
      <c r="CD595" s="49">
        <f t="shared" si="109"/>
        <v>0</v>
      </c>
      <c r="CE595" s="235">
        <f t="shared" si="109"/>
        <v>0</v>
      </c>
      <c r="CF595" s="235">
        <f t="shared" si="109"/>
        <v>0</v>
      </c>
      <c r="CG595" s="82">
        <f t="shared" si="109"/>
        <v>0</v>
      </c>
      <c r="CH595" s="49">
        <f t="shared" si="109"/>
        <v>0</v>
      </c>
      <c r="CI595" s="82">
        <f t="shared" si="109"/>
        <v>0</v>
      </c>
    </row>
    <row r="596" spans="2:87" x14ac:dyDescent="0.3">
      <c r="B596" s="7" t="s">
        <v>753</v>
      </c>
      <c r="C596" s="322">
        <f>SUM(C175:C193)</f>
        <v>20187</v>
      </c>
      <c r="D596" s="235">
        <f>SUM(D175:D193)</f>
        <v>6518</v>
      </c>
      <c r="E596" s="367">
        <f t="shared" si="31"/>
        <v>0.32288106206964878</v>
      </c>
      <c r="F596" s="49">
        <f t="shared" ref="F596:AK596" si="110">SUM(F175:F193)</f>
        <v>3425</v>
      </c>
      <c r="G596" s="49">
        <f t="shared" si="110"/>
        <v>1319</v>
      </c>
      <c r="H596" s="49">
        <f t="shared" si="110"/>
        <v>2583</v>
      </c>
      <c r="I596" s="49">
        <f t="shared" si="110"/>
        <v>3516</v>
      </c>
      <c r="J596" s="50">
        <f t="shared" si="110"/>
        <v>871</v>
      </c>
      <c r="K596" s="49">
        <f t="shared" si="110"/>
        <v>0</v>
      </c>
      <c r="L596" s="231">
        <f t="shared" si="110"/>
        <v>0</v>
      </c>
      <c r="M596" s="543">
        <f t="shared" si="110"/>
        <v>0</v>
      </c>
      <c r="N596" s="49">
        <f t="shared" si="110"/>
        <v>0</v>
      </c>
      <c r="O596" s="235">
        <f t="shared" si="110"/>
        <v>0</v>
      </c>
      <c r="P596" s="291">
        <f t="shared" si="110"/>
        <v>0</v>
      </c>
      <c r="Q596" s="63">
        <f t="shared" si="110"/>
        <v>0</v>
      </c>
      <c r="R596" s="63">
        <f t="shared" si="110"/>
        <v>0</v>
      </c>
      <c r="S596" s="62">
        <f t="shared" si="110"/>
        <v>0</v>
      </c>
      <c r="T596" s="49">
        <f t="shared" si="110"/>
        <v>0</v>
      </c>
      <c r="U596" s="49">
        <f t="shared" si="110"/>
        <v>0</v>
      </c>
      <c r="V596" s="82">
        <f t="shared" si="110"/>
        <v>0</v>
      </c>
      <c r="W596" s="62">
        <f t="shared" si="110"/>
        <v>0</v>
      </c>
      <c r="X596" s="235">
        <f t="shared" si="110"/>
        <v>0</v>
      </c>
      <c r="Y596" s="291">
        <f t="shared" si="110"/>
        <v>0</v>
      </c>
      <c r="Z596" s="50">
        <f t="shared" si="110"/>
        <v>0</v>
      </c>
      <c r="AA596" s="49">
        <f t="shared" si="110"/>
        <v>0</v>
      </c>
      <c r="AB596" s="63">
        <f t="shared" si="110"/>
        <v>0</v>
      </c>
      <c r="AC596" s="62">
        <f t="shared" si="110"/>
        <v>0</v>
      </c>
      <c r="AD596" s="49">
        <f t="shared" si="110"/>
        <v>0</v>
      </c>
      <c r="AE596" s="235">
        <f t="shared" si="110"/>
        <v>0</v>
      </c>
      <c r="AF596" s="82">
        <f t="shared" si="110"/>
        <v>0</v>
      </c>
      <c r="AG596" s="82">
        <f t="shared" si="110"/>
        <v>0</v>
      </c>
      <c r="AH596" s="49">
        <f t="shared" si="110"/>
        <v>0</v>
      </c>
      <c r="AI596" s="82">
        <f t="shared" si="110"/>
        <v>0</v>
      </c>
      <c r="AJ596" s="49">
        <f t="shared" si="110"/>
        <v>0</v>
      </c>
      <c r="AK596" s="235">
        <f t="shared" si="110"/>
        <v>0</v>
      </c>
      <c r="AL596" s="82">
        <f t="shared" ref="AL596:BQ596" si="111">SUM(AL175:AL193)</f>
        <v>0</v>
      </c>
      <c r="AM596" s="49">
        <f t="shared" si="111"/>
        <v>0</v>
      </c>
      <c r="AN596" s="235">
        <f t="shared" si="111"/>
        <v>0</v>
      </c>
      <c r="AO596" s="235">
        <f t="shared" si="111"/>
        <v>0</v>
      </c>
      <c r="AP596" s="82">
        <f t="shared" si="111"/>
        <v>0</v>
      </c>
      <c r="AQ596" s="49">
        <f t="shared" si="111"/>
        <v>0</v>
      </c>
      <c r="AR596" s="82">
        <f t="shared" si="111"/>
        <v>0</v>
      </c>
      <c r="AS596" s="49">
        <f t="shared" si="111"/>
        <v>0</v>
      </c>
      <c r="AT596" s="235">
        <f t="shared" si="111"/>
        <v>0</v>
      </c>
      <c r="AU596" s="82">
        <f t="shared" si="111"/>
        <v>0</v>
      </c>
      <c r="AV596" s="49">
        <f t="shared" si="111"/>
        <v>0</v>
      </c>
      <c r="AW596" s="235">
        <f t="shared" si="111"/>
        <v>0</v>
      </c>
      <c r="AX596" s="49">
        <f t="shared" si="111"/>
        <v>0</v>
      </c>
      <c r="AY596" s="235">
        <f t="shared" si="111"/>
        <v>0</v>
      </c>
      <c r="AZ596" s="82">
        <f t="shared" si="111"/>
        <v>0</v>
      </c>
      <c r="BA596" s="49">
        <f t="shared" si="111"/>
        <v>0</v>
      </c>
      <c r="BB596" s="49">
        <f t="shared" si="111"/>
        <v>0</v>
      </c>
      <c r="BC596" s="82">
        <f t="shared" si="111"/>
        <v>0</v>
      </c>
      <c r="BD596" s="49">
        <f t="shared" si="111"/>
        <v>0</v>
      </c>
      <c r="BE596" s="49">
        <f t="shared" si="111"/>
        <v>0</v>
      </c>
      <c r="BF596" s="235">
        <f t="shared" si="111"/>
        <v>0</v>
      </c>
      <c r="BG596" s="231">
        <f t="shared" si="111"/>
        <v>0</v>
      </c>
      <c r="BH596" s="543">
        <f t="shared" si="111"/>
        <v>0</v>
      </c>
      <c r="BI596" s="49">
        <f t="shared" si="111"/>
        <v>0</v>
      </c>
      <c r="BJ596" s="50">
        <f t="shared" si="111"/>
        <v>0</v>
      </c>
      <c r="BK596" s="49">
        <f t="shared" si="111"/>
        <v>0</v>
      </c>
      <c r="BL596" s="291">
        <f t="shared" si="111"/>
        <v>0</v>
      </c>
      <c r="BM596" s="50">
        <f t="shared" si="111"/>
        <v>0</v>
      </c>
      <c r="BN596" s="49">
        <f t="shared" si="111"/>
        <v>0</v>
      </c>
      <c r="BO596" s="235">
        <f t="shared" si="111"/>
        <v>0</v>
      </c>
      <c r="BP596" s="291">
        <f t="shared" si="111"/>
        <v>0</v>
      </c>
      <c r="BQ596" s="235">
        <f t="shared" si="111"/>
        <v>0</v>
      </c>
      <c r="BR596" s="82">
        <f t="shared" ref="BR596:CI596" si="112">SUM(BR175:BR193)</f>
        <v>0</v>
      </c>
      <c r="BS596" s="49">
        <f t="shared" si="112"/>
        <v>0</v>
      </c>
      <c r="BT596" s="50">
        <f t="shared" si="112"/>
        <v>0</v>
      </c>
      <c r="BU596" s="49">
        <f t="shared" si="112"/>
        <v>0</v>
      </c>
      <c r="BV596" s="291">
        <f t="shared" si="112"/>
        <v>0</v>
      </c>
      <c r="BW596" s="63">
        <f t="shared" si="112"/>
        <v>0</v>
      </c>
      <c r="BX596" s="235">
        <f t="shared" si="112"/>
        <v>0</v>
      </c>
      <c r="BY596" s="82">
        <f t="shared" si="112"/>
        <v>0</v>
      </c>
      <c r="BZ596" s="49">
        <f t="shared" si="112"/>
        <v>0</v>
      </c>
      <c r="CA596" s="235">
        <f t="shared" si="112"/>
        <v>0</v>
      </c>
      <c r="CB596" s="291">
        <f t="shared" si="112"/>
        <v>0</v>
      </c>
      <c r="CC596" s="50">
        <f t="shared" si="112"/>
        <v>0</v>
      </c>
      <c r="CD596" s="49">
        <f t="shared" si="112"/>
        <v>0</v>
      </c>
      <c r="CE596" s="235">
        <f t="shared" si="112"/>
        <v>0</v>
      </c>
      <c r="CF596" s="235">
        <f t="shared" si="112"/>
        <v>0</v>
      </c>
      <c r="CG596" s="82">
        <f t="shared" si="112"/>
        <v>0</v>
      </c>
      <c r="CH596" s="49">
        <f t="shared" si="112"/>
        <v>0</v>
      </c>
      <c r="CI596" s="82">
        <f t="shared" si="112"/>
        <v>0</v>
      </c>
    </row>
    <row r="597" spans="2:87" x14ac:dyDescent="0.3">
      <c r="B597" s="17" t="s">
        <v>777</v>
      </c>
      <c r="C597" s="322">
        <f>SUM(C194:C204)</f>
        <v>10504</v>
      </c>
      <c r="D597" s="235">
        <f>SUM(D194:D204)</f>
        <v>6122</v>
      </c>
      <c r="E597" s="367">
        <f t="shared" si="31"/>
        <v>0.58282559025133285</v>
      </c>
      <c r="F597" s="49">
        <f t="shared" ref="F597:AK597" si="113">SUM(F194:F204)</f>
        <v>0</v>
      </c>
      <c r="G597" s="49">
        <f t="shared" si="113"/>
        <v>0</v>
      </c>
      <c r="H597" s="49">
        <f t="shared" si="113"/>
        <v>0</v>
      </c>
      <c r="I597" s="49">
        <f t="shared" si="113"/>
        <v>0</v>
      </c>
      <c r="J597" s="50">
        <f t="shared" si="113"/>
        <v>0</v>
      </c>
      <c r="K597" s="49">
        <f t="shared" si="113"/>
        <v>0</v>
      </c>
      <c r="L597" s="231">
        <f t="shared" si="113"/>
        <v>0</v>
      </c>
      <c r="M597" s="543">
        <f t="shared" si="113"/>
        <v>0</v>
      </c>
      <c r="N597" s="49">
        <f t="shared" si="113"/>
        <v>0</v>
      </c>
      <c r="O597" s="235">
        <f t="shared" si="113"/>
        <v>0</v>
      </c>
      <c r="P597" s="291">
        <f t="shared" si="113"/>
        <v>0</v>
      </c>
      <c r="Q597" s="63">
        <f t="shared" si="113"/>
        <v>0</v>
      </c>
      <c r="R597" s="63">
        <f t="shared" si="113"/>
        <v>0</v>
      </c>
      <c r="S597" s="62">
        <f t="shared" si="113"/>
        <v>0</v>
      </c>
      <c r="T597" s="49">
        <f t="shared" si="113"/>
        <v>0</v>
      </c>
      <c r="U597" s="49">
        <f t="shared" si="113"/>
        <v>0</v>
      </c>
      <c r="V597" s="82">
        <f t="shared" si="113"/>
        <v>0</v>
      </c>
      <c r="W597" s="62">
        <f t="shared" si="113"/>
        <v>0</v>
      </c>
      <c r="X597" s="235">
        <f t="shared" si="113"/>
        <v>0</v>
      </c>
      <c r="Y597" s="291">
        <f t="shared" si="113"/>
        <v>0</v>
      </c>
      <c r="Z597" s="50">
        <f t="shared" si="113"/>
        <v>0</v>
      </c>
      <c r="AA597" s="49">
        <f t="shared" si="113"/>
        <v>0</v>
      </c>
      <c r="AB597" s="63">
        <f t="shared" si="113"/>
        <v>0</v>
      </c>
      <c r="AC597" s="62">
        <f t="shared" si="113"/>
        <v>0</v>
      </c>
      <c r="AD597" s="49">
        <f t="shared" si="113"/>
        <v>0</v>
      </c>
      <c r="AE597" s="235">
        <f t="shared" si="113"/>
        <v>0</v>
      </c>
      <c r="AF597" s="82">
        <f t="shared" si="113"/>
        <v>0</v>
      </c>
      <c r="AG597" s="82">
        <f t="shared" si="113"/>
        <v>0</v>
      </c>
      <c r="AH597" s="49">
        <f t="shared" si="113"/>
        <v>0</v>
      </c>
      <c r="AI597" s="82">
        <f t="shared" si="113"/>
        <v>0</v>
      </c>
      <c r="AJ597" s="49">
        <f t="shared" si="113"/>
        <v>0</v>
      </c>
      <c r="AK597" s="235">
        <f t="shared" si="113"/>
        <v>0</v>
      </c>
      <c r="AL597" s="82">
        <f t="shared" ref="AL597:BQ597" si="114">SUM(AL194:AL204)</f>
        <v>0</v>
      </c>
      <c r="AM597" s="49">
        <f t="shared" si="114"/>
        <v>7</v>
      </c>
      <c r="AN597" s="235">
        <f t="shared" si="114"/>
        <v>5</v>
      </c>
      <c r="AO597" s="235">
        <f t="shared" si="114"/>
        <v>8</v>
      </c>
      <c r="AP597" s="82">
        <f t="shared" si="114"/>
        <v>12</v>
      </c>
      <c r="AQ597" s="49">
        <f t="shared" si="114"/>
        <v>0</v>
      </c>
      <c r="AR597" s="82">
        <f t="shared" si="114"/>
        <v>0</v>
      </c>
      <c r="AS597" s="49">
        <f t="shared" si="114"/>
        <v>0</v>
      </c>
      <c r="AT597" s="235">
        <f t="shared" si="114"/>
        <v>0</v>
      </c>
      <c r="AU597" s="82">
        <f t="shared" si="114"/>
        <v>0</v>
      </c>
      <c r="AV597" s="49">
        <f t="shared" si="114"/>
        <v>1775</v>
      </c>
      <c r="AW597" s="235">
        <f t="shared" si="114"/>
        <v>2298</v>
      </c>
      <c r="AX597" s="49">
        <f t="shared" si="114"/>
        <v>2905</v>
      </c>
      <c r="AY597" s="235">
        <f t="shared" si="114"/>
        <v>988</v>
      </c>
      <c r="AZ597" s="82">
        <f t="shared" si="114"/>
        <v>1005</v>
      </c>
      <c r="BA597" s="49">
        <f t="shared" si="114"/>
        <v>0</v>
      </c>
      <c r="BB597" s="49">
        <f t="shared" si="114"/>
        <v>0</v>
      </c>
      <c r="BC597" s="82">
        <f t="shared" si="114"/>
        <v>0</v>
      </c>
      <c r="BD597" s="49">
        <f t="shared" si="114"/>
        <v>0</v>
      </c>
      <c r="BE597" s="49">
        <f t="shared" si="114"/>
        <v>0</v>
      </c>
      <c r="BF597" s="235">
        <f t="shared" si="114"/>
        <v>0</v>
      </c>
      <c r="BG597" s="231">
        <f t="shared" si="114"/>
        <v>0</v>
      </c>
      <c r="BH597" s="543">
        <f t="shared" si="114"/>
        <v>0</v>
      </c>
      <c r="BI597" s="49">
        <f t="shared" si="114"/>
        <v>0</v>
      </c>
      <c r="BJ597" s="50">
        <f t="shared" si="114"/>
        <v>0</v>
      </c>
      <c r="BK597" s="49">
        <f t="shared" si="114"/>
        <v>0</v>
      </c>
      <c r="BL597" s="291">
        <f t="shared" si="114"/>
        <v>0</v>
      </c>
      <c r="BM597" s="50">
        <f t="shared" si="114"/>
        <v>0</v>
      </c>
      <c r="BN597" s="49">
        <f t="shared" si="114"/>
        <v>0</v>
      </c>
      <c r="BO597" s="235">
        <f t="shared" si="114"/>
        <v>0</v>
      </c>
      <c r="BP597" s="291">
        <f t="shared" si="114"/>
        <v>0</v>
      </c>
      <c r="BQ597" s="235">
        <f t="shared" si="114"/>
        <v>0</v>
      </c>
      <c r="BR597" s="82">
        <f t="shared" ref="BR597:CI597" si="115">SUM(BR194:BR204)</f>
        <v>0</v>
      </c>
      <c r="BS597" s="49">
        <f t="shared" si="115"/>
        <v>0</v>
      </c>
      <c r="BT597" s="50">
        <f t="shared" si="115"/>
        <v>0</v>
      </c>
      <c r="BU597" s="49">
        <f t="shared" si="115"/>
        <v>0</v>
      </c>
      <c r="BV597" s="291">
        <f t="shared" si="115"/>
        <v>0</v>
      </c>
      <c r="BW597" s="63">
        <f t="shared" si="115"/>
        <v>0</v>
      </c>
      <c r="BX597" s="235">
        <f t="shared" si="115"/>
        <v>0</v>
      </c>
      <c r="BY597" s="82">
        <f t="shared" si="115"/>
        <v>0</v>
      </c>
      <c r="BZ597" s="49">
        <f t="shared" si="115"/>
        <v>0</v>
      </c>
      <c r="CA597" s="235">
        <f t="shared" si="115"/>
        <v>0</v>
      </c>
      <c r="CB597" s="291">
        <f t="shared" si="115"/>
        <v>0</v>
      </c>
      <c r="CC597" s="50">
        <f t="shared" si="115"/>
        <v>0</v>
      </c>
      <c r="CD597" s="49">
        <f t="shared" si="115"/>
        <v>0</v>
      </c>
      <c r="CE597" s="235">
        <f t="shared" si="115"/>
        <v>0</v>
      </c>
      <c r="CF597" s="235">
        <f t="shared" si="115"/>
        <v>0</v>
      </c>
      <c r="CG597" s="82">
        <f t="shared" si="115"/>
        <v>0</v>
      </c>
      <c r="CH597" s="49">
        <f t="shared" si="115"/>
        <v>0</v>
      </c>
      <c r="CI597" s="82">
        <f t="shared" si="115"/>
        <v>0</v>
      </c>
    </row>
    <row r="598" spans="2:87" x14ac:dyDescent="0.3">
      <c r="B598" s="17" t="s">
        <v>703</v>
      </c>
      <c r="C598" s="322">
        <f>SUM(C205:C208)</f>
        <v>5921</v>
      </c>
      <c r="D598" s="235">
        <f>SUM(D205:D208)</f>
        <v>2573</v>
      </c>
      <c r="E598" s="367">
        <f t="shared" si="31"/>
        <v>0.43455497382198954</v>
      </c>
      <c r="F598" s="49">
        <f t="shared" ref="F598:AK598" si="116">SUM(F205:F208)</f>
        <v>1183</v>
      </c>
      <c r="G598" s="49">
        <f t="shared" si="116"/>
        <v>519</v>
      </c>
      <c r="H598" s="49">
        <f t="shared" si="116"/>
        <v>908</v>
      </c>
      <c r="I598" s="49">
        <f t="shared" si="116"/>
        <v>1034</v>
      </c>
      <c r="J598" s="50">
        <f t="shared" si="116"/>
        <v>712</v>
      </c>
      <c r="K598" s="49">
        <f t="shared" si="116"/>
        <v>0</v>
      </c>
      <c r="L598" s="231">
        <f t="shared" si="116"/>
        <v>0</v>
      </c>
      <c r="M598" s="543">
        <f t="shared" si="116"/>
        <v>0</v>
      </c>
      <c r="N598" s="49">
        <f t="shared" si="116"/>
        <v>0</v>
      </c>
      <c r="O598" s="235">
        <f t="shared" si="116"/>
        <v>0</v>
      </c>
      <c r="P598" s="291">
        <f t="shared" si="116"/>
        <v>0</v>
      </c>
      <c r="Q598" s="63">
        <f t="shared" si="116"/>
        <v>0</v>
      </c>
      <c r="R598" s="63">
        <f t="shared" si="116"/>
        <v>0</v>
      </c>
      <c r="S598" s="62">
        <f t="shared" si="116"/>
        <v>0</v>
      </c>
      <c r="T598" s="49">
        <f t="shared" si="116"/>
        <v>0</v>
      </c>
      <c r="U598" s="49">
        <f t="shared" si="116"/>
        <v>0</v>
      </c>
      <c r="V598" s="82">
        <f t="shared" si="116"/>
        <v>0</v>
      </c>
      <c r="W598" s="62">
        <f t="shared" si="116"/>
        <v>0</v>
      </c>
      <c r="X598" s="235">
        <f t="shared" si="116"/>
        <v>0</v>
      </c>
      <c r="Y598" s="291">
        <f t="shared" si="116"/>
        <v>0</v>
      </c>
      <c r="Z598" s="50">
        <f t="shared" si="116"/>
        <v>0</v>
      </c>
      <c r="AA598" s="49">
        <f t="shared" si="116"/>
        <v>0</v>
      </c>
      <c r="AB598" s="63">
        <f t="shared" si="116"/>
        <v>0</v>
      </c>
      <c r="AC598" s="62">
        <f t="shared" si="116"/>
        <v>0</v>
      </c>
      <c r="AD598" s="49">
        <f t="shared" si="116"/>
        <v>0</v>
      </c>
      <c r="AE598" s="235">
        <f t="shared" si="116"/>
        <v>0</v>
      </c>
      <c r="AF598" s="82">
        <f t="shared" si="116"/>
        <v>0</v>
      </c>
      <c r="AG598" s="82">
        <f t="shared" si="116"/>
        <v>0</v>
      </c>
      <c r="AH598" s="49">
        <f t="shared" si="116"/>
        <v>0</v>
      </c>
      <c r="AI598" s="82">
        <f t="shared" si="116"/>
        <v>0</v>
      </c>
      <c r="AJ598" s="49">
        <f t="shared" si="116"/>
        <v>0</v>
      </c>
      <c r="AK598" s="235">
        <f t="shared" si="116"/>
        <v>0</v>
      </c>
      <c r="AL598" s="82">
        <f t="shared" ref="AL598:BQ598" si="117">SUM(AL205:AL208)</f>
        <v>0</v>
      </c>
      <c r="AM598" s="49">
        <f t="shared" si="117"/>
        <v>0</v>
      </c>
      <c r="AN598" s="235">
        <f t="shared" si="117"/>
        <v>0</v>
      </c>
      <c r="AO598" s="235">
        <f t="shared" si="117"/>
        <v>0</v>
      </c>
      <c r="AP598" s="82">
        <f t="shared" si="117"/>
        <v>0</v>
      </c>
      <c r="AQ598" s="49">
        <f t="shared" si="117"/>
        <v>0</v>
      </c>
      <c r="AR598" s="82">
        <f t="shared" si="117"/>
        <v>0</v>
      </c>
      <c r="AS598" s="49">
        <f t="shared" si="117"/>
        <v>0</v>
      </c>
      <c r="AT598" s="235">
        <f t="shared" si="117"/>
        <v>0</v>
      </c>
      <c r="AU598" s="82">
        <f t="shared" si="117"/>
        <v>0</v>
      </c>
      <c r="AV598" s="49">
        <f t="shared" si="117"/>
        <v>0</v>
      </c>
      <c r="AW598" s="235">
        <f t="shared" si="117"/>
        <v>0</v>
      </c>
      <c r="AX598" s="49">
        <f t="shared" si="117"/>
        <v>0</v>
      </c>
      <c r="AY598" s="235">
        <f t="shared" si="117"/>
        <v>0</v>
      </c>
      <c r="AZ598" s="82">
        <f t="shared" si="117"/>
        <v>0</v>
      </c>
      <c r="BA598" s="49">
        <f t="shared" si="117"/>
        <v>0</v>
      </c>
      <c r="BB598" s="49">
        <f t="shared" si="117"/>
        <v>0</v>
      </c>
      <c r="BC598" s="82">
        <f t="shared" si="117"/>
        <v>0</v>
      </c>
      <c r="BD598" s="49">
        <f t="shared" si="117"/>
        <v>0</v>
      </c>
      <c r="BE598" s="49">
        <f t="shared" si="117"/>
        <v>0</v>
      </c>
      <c r="BF598" s="235">
        <f t="shared" si="117"/>
        <v>0</v>
      </c>
      <c r="BG598" s="231">
        <f t="shared" si="117"/>
        <v>0</v>
      </c>
      <c r="BH598" s="543">
        <f t="shared" si="117"/>
        <v>0</v>
      </c>
      <c r="BI598" s="49">
        <f t="shared" si="117"/>
        <v>4</v>
      </c>
      <c r="BJ598" s="50">
        <f t="shared" si="117"/>
        <v>5</v>
      </c>
      <c r="BK598" s="49">
        <f t="shared" si="117"/>
        <v>0</v>
      </c>
      <c r="BL598" s="291">
        <f t="shared" si="117"/>
        <v>0</v>
      </c>
      <c r="BM598" s="50">
        <f t="shared" si="117"/>
        <v>0</v>
      </c>
      <c r="BN598" s="49">
        <f t="shared" si="117"/>
        <v>0</v>
      </c>
      <c r="BO598" s="235">
        <f t="shared" si="117"/>
        <v>0</v>
      </c>
      <c r="BP598" s="291">
        <f t="shared" si="117"/>
        <v>0</v>
      </c>
      <c r="BQ598" s="235">
        <f t="shared" si="117"/>
        <v>0</v>
      </c>
      <c r="BR598" s="82">
        <f t="shared" ref="BR598:CI598" si="118">SUM(BR205:BR208)</f>
        <v>0</v>
      </c>
      <c r="BS598" s="49">
        <f t="shared" si="118"/>
        <v>0</v>
      </c>
      <c r="BT598" s="50">
        <f t="shared" si="118"/>
        <v>0</v>
      </c>
      <c r="BU598" s="49">
        <f t="shared" si="118"/>
        <v>0</v>
      </c>
      <c r="BV598" s="291">
        <f t="shared" si="118"/>
        <v>0</v>
      </c>
      <c r="BW598" s="63">
        <f t="shared" si="118"/>
        <v>0</v>
      </c>
      <c r="BX598" s="235">
        <f t="shared" si="118"/>
        <v>0</v>
      </c>
      <c r="BY598" s="82">
        <f t="shared" si="118"/>
        <v>0</v>
      </c>
      <c r="BZ598" s="49">
        <f t="shared" si="118"/>
        <v>4</v>
      </c>
      <c r="CA598" s="235">
        <f t="shared" si="118"/>
        <v>4</v>
      </c>
      <c r="CB598" s="291">
        <f t="shared" si="118"/>
        <v>2</v>
      </c>
      <c r="CC598" s="50">
        <f t="shared" si="118"/>
        <v>3</v>
      </c>
      <c r="CD598" s="49">
        <f t="shared" si="118"/>
        <v>0</v>
      </c>
      <c r="CE598" s="235">
        <f t="shared" si="118"/>
        <v>0</v>
      </c>
      <c r="CF598" s="235">
        <f t="shared" si="118"/>
        <v>0</v>
      </c>
      <c r="CG598" s="82">
        <f t="shared" si="118"/>
        <v>0</v>
      </c>
      <c r="CH598" s="49">
        <f t="shared" si="118"/>
        <v>0</v>
      </c>
      <c r="CI598" s="82">
        <f t="shared" si="118"/>
        <v>0</v>
      </c>
    </row>
    <row r="599" spans="2:87" x14ac:dyDescent="0.3">
      <c r="B599" s="17" t="s">
        <v>8</v>
      </c>
      <c r="C599" s="322">
        <f>SUM(C209:C212)</f>
        <v>3993</v>
      </c>
      <c r="D599" s="235">
        <f>SUM(D209:D212)</f>
        <v>2257</v>
      </c>
      <c r="E599" s="367">
        <f t="shared" si="31"/>
        <v>0.56523916854495371</v>
      </c>
      <c r="F599" s="49">
        <f t="shared" ref="F599:AK599" si="119">SUM(F209:F212)</f>
        <v>0</v>
      </c>
      <c r="G599" s="49">
        <f t="shared" si="119"/>
        <v>0</v>
      </c>
      <c r="H599" s="49">
        <f t="shared" si="119"/>
        <v>0</v>
      </c>
      <c r="I599" s="49">
        <f t="shared" si="119"/>
        <v>0</v>
      </c>
      <c r="J599" s="50">
        <f t="shared" si="119"/>
        <v>0</v>
      </c>
      <c r="K599" s="49">
        <f t="shared" si="119"/>
        <v>1104</v>
      </c>
      <c r="L599" s="231">
        <f t="shared" si="119"/>
        <v>1217</v>
      </c>
      <c r="M599" s="543">
        <f t="shared" si="119"/>
        <v>1417</v>
      </c>
      <c r="N599" s="49">
        <f t="shared" si="119"/>
        <v>0</v>
      </c>
      <c r="O599" s="235">
        <f t="shared" si="119"/>
        <v>0</v>
      </c>
      <c r="P599" s="291">
        <f t="shared" si="119"/>
        <v>0</v>
      </c>
      <c r="Q599" s="63">
        <f t="shared" si="119"/>
        <v>0</v>
      </c>
      <c r="R599" s="63">
        <f t="shared" si="119"/>
        <v>0</v>
      </c>
      <c r="S599" s="62">
        <f t="shared" si="119"/>
        <v>0</v>
      </c>
      <c r="T599" s="49">
        <f t="shared" si="119"/>
        <v>0</v>
      </c>
      <c r="U599" s="49">
        <f t="shared" si="119"/>
        <v>0</v>
      </c>
      <c r="V599" s="82">
        <f t="shared" si="119"/>
        <v>0</v>
      </c>
      <c r="W599" s="62">
        <f t="shared" si="119"/>
        <v>0</v>
      </c>
      <c r="X599" s="235">
        <f t="shared" si="119"/>
        <v>0</v>
      </c>
      <c r="Y599" s="291">
        <f t="shared" si="119"/>
        <v>0</v>
      </c>
      <c r="Z599" s="50">
        <f t="shared" si="119"/>
        <v>0</v>
      </c>
      <c r="AA599" s="49">
        <f t="shared" si="119"/>
        <v>0</v>
      </c>
      <c r="AB599" s="63">
        <f t="shared" si="119"/>
        <v>0</v>
      </c>
      <c r="AC599" s="62">
        <f t="shared" si="119"/>
        <v>0</v>
      </c>
      <c r="AD599" s="49">
        <f t="shared" si="119"/>
        <v>0</v>
      </c>
      <c r="AE599" s="235">
        <f t="shared" si="119"/>
        <v>0</v>
      </c>
      <c r="AF599" s="82">
        <f t="shared" si="119"/>
        <v>0</v>
      </c>
      <c r="AG599" s="82">
        <f t="shared" si="119"/>
        <v>0</v>
      </c>
      <c r="AH599" s="49">
        <f t="shared" si="119"/>
        <v>0</v>
      </c>
      <c r="AI599" s="82">
        <f t="shared" si="119"/>
        <v>0</v>
      </c>
      <c r="AJ599" s="49">
        <f t="shared" si="119"/>
        <v>0</v>
      </c>
      <c r="AK599" s="235">
        <f t="shared" si="119"/>
        <v>0</v>
      </c>
      <c r="AL599" s="82">
        <f t="shared" ref="AL599:BQ599" si="120">SUM(AL209:AL212)</f>
        <v>0</v>
      </c>
      <c r="AM599" s="49">
        <f t="shared" si="120"/>
        <v>0</v>
      </c>
      <c r="AN599" s="235">
        <f t="shared" si="120"/>
        <v>0</v>
      </c>
      <c r="AO599" s="235">
        <f t="shared" si="120"/>
        <v>0</v>
      </c>
      <c r="AP599" s="82">
        <f t="shared" si="120"/>
        <v>0</v>
      </c>
      <c r="AQ599" s="49">
        <f t="shared" si="120"/>
        <v>0</v>
      </c>
      <c r="AR599" s="82">
        <f t="shared" si="120"/>
        <v>0</v>
      </c>
      <c r="AS599" s="49">
        <f t="shared" si="120"/>
        <v>0</v>
      </c>
      <c r="AT599" s="235">
        <f t="shared" si="120"/>
        <v>0</v>
      </c>
      <c r="AU599" s="82">
        <f t="shared" si="120"/>
        <v>0</v>
      </c>
      <c r="AV599" s="49">
        <f t="shared" si="120"/>
        <v>0</v>
      </c>
      <c r="AW599" s="235">
        <f t="shared" si="120"/>
        <v>0</v>
      </c>
      <c r="AX599" s="49">
        <f t="shared" si="120"/>
        <v>0</v>
      </c>
      <c r="AY599" s="235">
        <f t="shared" si="120"/>
        <v>0</v>
      </c>
      <c r="AZ599" s="82">
        <f t="shared" si="120"/>
        <v>0</v>
      </c>
      <c r="BA599" s="49">
        <f t="shared" si="120"/>
        <v>0</v>
      </c>
      <c r="BB599" s="49">
        <f t="shared" si="120"/>
        <v>0</v>
      </c>
      <c r="BC599" s="82">
        <f t="shared" si="120"/>
        <v>0</v>
      </c>
      <c r="BD599" s="49">
        <f t="shared" si="120"/>
        <v>0</v>
      </c>
      <c r="BE599" s="49">
        <f t="shared" si="120"/>
        <v>0</v>
      </c>
      <c r="BF599" s="235">
        <f t="shared" si="120"/>
        <v>0</v>
      </c>
      <c r="BG599" s="231">
        <f t="shared" si="120"/>
        <v>0</v>
      </c>
      <c r="BH599" s="543">
        <f t="shared" si="120"/>
        <v>0</v>
      </c>
      <c r="BI599" s="49">
        <f t="shared" si="120"/>
        <v>0</v>
      </c>
      <c r="BJ599" s="50">
        <f t="shared" si="120"/>
        <v>0</v>
      </c>
      <c r="BK599" s="49">
        <f t="shared" si="120"/>
        <v>0</v>
      </c>
      <c r="BL599" s="291">
        <f t="shared" si="120"/>
        <v>0</v>
      </c>
      <c r="BM599" s="50">
        <f t="shared" si="120"/>
        <v>0</v>
      </c>
      <c r="BN599" s="49">
        <f t="shared" si="120"/>
        <v>0</v>
      </c>
      <c r="BO599" s="235">
        <f t="shared" si="120"/>
        <v>0</v>
      </c>
      <c r="BP599" s="291">
        <f t="shared" si="120"/>
        <v>0</v>
      </c>
      <c r="BQ599" s="235">
        <f t="shared" si="120"/>
        <v>0</v>
      </c>
      <c r="BR599" s="82">
        <f t="shared" ref="BR599:CI599" si="121">SUM(BR209:BR212)</f>
        <v>0</v>
      </c>
      <c r="BS599" s="49">
        <f t="shared" si="121"/>
        <v>0</v>
      </c>
      <c r="BT599" s="50">
        <f t="shared" si="121"/>
        <v>0</v>
      </c>
      <c r="BU599" s="49">
        <f t="shared" si="121"/>
        <v>0</v>
      </c>
      <c r="BV599" s="291">
        <f t="shared" si="121"/>
        <v>0</v>
      </c>
      <c r="BW599" s="63">
        <f t="shared" si="121"/>
        <v>0</v>
      </c>
      <c r="BX599" s="235">
        <f t="shared" si="121"/>
        <v>0</v>
      </c>
      <c r="BY599" s="82">
        <f t="shared" si="121"/>
        <v>0</v>
      </c>
      <c r="BZ599" s="49">
        <f t="shared" si="121"/>
        <v>0</v>
      </c>
      <c r="CA599" s="235">
        <f t="shared" si="121"/>
        <v>0</v>
      </c>
      <c r="CB599" s="291">
        <f t="shared" si="121"/>
        <v>0</v>
      </c>
      <c r="CC599" s="50">
        <f t="shared" si="121"/>
        <v>0</v>
      </c>
      <c r="CD599" s="49">
        <f t="shared" si="121"/>
        <v>0</v>
      </c>
      <c r="CE599" s="235">
        <f t="shared" si="121"/>
        <v>0</v>
      </c>
      <c r="CF599" s="235">
        <f t="shared" si="121"/>
        <v>0</v>
      </c>
      <c r="CG599" s="82">
        <f t="shared" si="121"/>
        <v>0</v>
      </c>
      <c r="CH599" s="49">
        <f t="shared" si="121"/>
        <v>0</v>
      </c>
      <c r="CI599" s="82">
        <f t="shared" si="121"/>
        <v>0</v>
      </c>
    </row>
    <row r="600" spans="2:87" x14ac:dyDescent="0.3">
      <c r="B600" s="17" t="s">
        <v>17</v>
      </c>
      <c r="C600" s="322">
        <f>SUM(C213:C225)</f>
        <v>12311</v>
      </c>
      <c r="D600" s="235">
        <f>SUM(D213:D225)</f>
        <v>4615</v>
      </c>
      <c r="E600" s="367">
        <f t="shared" si="31"/>
        <v>0.37486800422386485</v>
      </c>
      <c r="F600" s="49">
        <f t="shared" ref="F600:AK600" si="122">SUM(F213:F225)</f>
        <v>0</v>
      </c>
      <c r="G600" s="49">
        <f t="shared" si="122"/>
        <v>0</v>
      </c>
      <c r="H600" s="49">
        <f t="shared" si="122"/>
        <v>0</v>
      </c>
      <c r="I600" s="49">
        <f t="shared" si="122"/>
        <v>0</v>
      </c>
      <c r="J600" s="50">
        <f t="shared" si="122"/>
        <v>0</v>
      </c>
      <c r="K600" s="49">
        <f t="shared" si="122"/>
        <v>0</v>
      </c>
      <c r="L600" s="231">
        <f t="shared" si="122"/>
        <v>0</v>
      </c>
      <c r="M600" s="543">
        <f t="shared" si="122"/>
        <v>0</v>
      </c>
      <c r="N600" s="49">
        <f t="shared" si="122"/>
        <v>0</v>
      </c>
      <c r="O600" s="235">
        <f t="shared" si="122"/>
        <v>0</v>
      </c>
      <c r="P600" s="291">
        <f t="shared" si="122"/>
        <v>0</v>
      </c>
      <c r="Q600" s="63">
        <f t="shared" si="122"/>
        <v>0</v>
      </c>
      <c r="R600" s="63">
        <f t="shared" si="122"/>
        <v>0</v>
      </c>
      <c r="S600" s="62">
        <f t="shared" si="122"/>
        <v>0</v>
      </c>
      <c r="T600" s="49">
        <f t="shared" si="122"/>
        <v>0</v>
      </c>
      <c r="U600" s="49">
        <f t="shared" si="122"/>
        <v>0</v>
      </c>
      <c r="V600" s="82">
        <f t="shared" si="122"/>
        <v>0</v>
      </c>
      <c r="W600" s="62">
        <f t="shared" si="122"/>
        <v>0</v>
      </c>
      <c r="X600" s="235">
        <f t="shared" si="122"/>
        <v>0</v>
      </c>
      <c r="Y600" s="291">
        <f t="shared" si="122"/>
        <v>0</v>
      </c>
      <c r="Z600" s="50">
        <f t="shared" si="122"/>
        <v>0</v>
      </c>
      <c r="AA600" s="49">
        <f t="shared" si="122"/>
        <v>0</v>
      </c>
      <c r="AB600" s="63">
        <f t="shared" si="122"/>
        <v>0</v>
      </c>
      <c r="AC600" s="62">
        <f t="shared" si="122"/>
        <v>0</v>
      </c>
      <c r="AD600" s="49">
        <f t="shared" si="122"/>
        <v>0</v>
      </c>
      <c r="AE600" s="235">
        <f t="shared" si="122"/>
        <v>0</v>
      </c>
      <c r="AF600" s="82">
        <f t="shared" si="122"/>
        <v>0</v>
      </c>
      <c r="AG600" s="82">
        <f t="shared" si="122"/>
        <v>0</v>
      </c>
      <c r="AH600" s="49">
        <f t="shared" si="122"/>
        <v>0</v>
      </c>
      <c r="AI600" s="82">
        <f t="shared" si="122"/>
        <v>0</v>
      </c>
      <c r="AJ600" s="49">
        <f t="shared" si="122"/>
        <v>0</v>
      </c>
      <c r="AK600" s="235">
        <f t="shared" si="122"/>
        <v>0</v>
      </c>
      <c r="AL600" s="82">
        <f t="shared" ref="AL600:BQ600" si="123">SUM(AL213:AL225)</f>
        <v>0</v>
      </c>
      <c r="AM600" s="49">
        <f t="shared" si="123"/>
        <v>0</v>
      </c>
      <c r="AN600" s="235">
        <f t="shared" si="123"/>
        <v>0</v>
      </c>
      <c r="AO600" s="235">
        <f t="shared" si="123"/>
        <v>0</v>
      </c>
      <c r="AP600" s="82">
        <f t="shared" si="123"/>
        <v>0</v>
      </c>
      <c r="AQ600" s="49">
        <f t="shared" si="123"/>
        <v>0</v>
      </c>
      <c r="AR600" s="82">
        <f t="shared" si="123"/>
        <v>0</v>
      </c>
      <c r="AS600" s="49">
        <f t="shared" si="123"/>
        <v>0</v>
      </c>
      <c r="AT600" s="235">
        <f t="shared" si="123"/>
        <v>0</v>
      </c>
      <c r="AU600" s="82">
        <f t="shared" si="123"/>
        <v>0</v>
      </c>
      <c r="AV600" s="49">
        <f t="shared" si="123"/>
        <v>0</v>
      </c>
      <c r="AW600" s="235">
        <f t="shared" si="123"/>
        <v>0</v>
      </c>
      <c r="AX600" s="49">
        <f t="shared" si="123"/>
        <v>0</v>
      </c>
      <c r="AY600" s="235">
        <f t="shared" si="123"/>
        <v>0</v>
      </c>
      <c r="AZ600" s="82">
        <f t="shared" si="123"/>
        <v>0</v>
      </c>
      <c r="BA600" s="49">
        <f t="shared" si="123"/>
        <v>2663</v>
      </c>
      <c r="BB600" s="49">
        <f t="shared" si="123"/>
        <v>1596</v>
      </c>
      <c r="BC600" s="82">
        <f t="shared" si="123"/>
        <v>1348</v>
      </c>
      <c r="BD600" s="49">
        <f t="shared" si="123"/>
        <v>0</v>
      </c>
      <c r="BE600" s="49">
        <f t="shared" si="123"/>
        <v>0</v>
      </c>
      <c r="BF600" s="235">
        <f t="shared" si="123"/>
        <v>0</v>
      </c>
      <c r="BG600" s="231">
        <f t="shared" si="123"/>
        <v>0</v>
      </c>
      <c r="BH600" s="543">
        <f t="shared" si="123"/>
        <v>0</v>
      </c>
      <c r="BI600" s="49">
        <f t="shared" si="123"/>
        <v>94</v>
      </c>
      <c r="BJ600" s="50">
        <f t="shared" si="123"/>
        <v>114</v>
      </c>
      <c r="BK600" s="49">
        <f t="shared" si="123"/>
        <v>0</v>
      </c>
      <c r="BL600" s="291">
        <f t="shared" si="123"/>
        <v>0</v>
      </c>
      <c r="BM600" s="50">
        <f t="shared" si="123"/>
        <v>0</v>
      </c>
      <c r="BN600" s="49">
        <f t="shared" si="123"/>
        <v>0</v>
      </c>
      <c r="BO600" s="235">
        <f t="shared" si="123"/>
        <v>0</v>
      </c>
      <c r="BP600" s="291">
        <f t="shared" si="123"/>
        <v>0</v>
      </c>
      <c r="BQ600" s="235">
        <f t="shared" si="123"/>
        <v>0</v>
      </c>
      <c r="BR600" s="82">
        <f t="shared" ref="BR600:CI600" si="124">SUM(BR213:BR225)</f>
        <v>0</v>
      </c>
      <c r="BS600" s="49">
        <f t="shared" si="124"/>
        <v>0</v>
      </c>
      <c r="BT600" s="50">
        <f t="shared" si="124"/>
        <v>0</v>
      </c>
      <c r="BU600" s="49">
        <f t="shared" si="124"/>
        <v>52</v>
      </c>
      <c r="BV600" s="291">
        <f t="shared" si="124"/>
        <v>45</v>
      </c>
      <c r="BW600" s="63">
        <f t="shared" si="124"/>
        <v>104</v>
      </c>
      <c r="BX600" s="235">
        <f t="shared" si="124"/>
        <v>35</v>
      </c>
      <c r="BY600" s="82">
        <f t="shared" si="124"/>
        <v>29</v>
      </c>
      <c r="BZ600" s="49">
        <f t="shared" si="124"/>
        <v>0</v>
      </c>
      <c r="CA600" s="235">
        <f t="shared" si="124"/>
        <v>0</v>
      </c>
      <c r="CB600" s="291">
        <f t="shared" si="124"/>
        <v>0</v>
      </c>
      <c r="CC600" s="50">
        <f t="shared" si="124"/>
        <v>0</v>
      </c>
      <c r="CD600" s="49">
        <f t="shared" si="124"/>
        <v>0</v>
      </c>
      <c r="CE600" s="235">
        <f t="shared" si="124"/>
        <v>0</v>
      </c>
      <c r="CF600" s="235">
        <f t="shared" si="124"/>
        <v>0</v>
      </c>
      <c r="CG600" s="82">
        <f t="shared" si="124"/>
        <v>0</v>
      </c>
      <c r="CH600" s="49">
        <f t="shared" si="124"/>
        <v>0</v>
      </c>
      <c r="CI600" s="82">
        <f t="shared" si="124"/>
        <v>0</v>
      </c>
    </row>
    <row r="601" spans="2:87" x14ac:dyDescent="0.3">
      <c r="B601" s="17" t="s">
        <v>804</v>
      </c>
      <c r="C601" s="322">
        <f>SUM(C226:C232)</f>
        <v>9427</v>
      </c>
      <c r="D601" s="235">
        <f>SUM(D226:D232)</f>
        <v>4380</v>
      </c>
      <c r="E601" s="367">
        <f t="shared" si="31"/>
        <v>0.46462289169407023</v>
      </c>
      <c r="F601" s="49">
        <f t="shared" ref="F601:AK601" si="125">SUM(F226:F232)</f>
        <v>0</v>
      </c>
      <c r="G601" s="49">
        <f t="shared" si="125"/>
        <v>0</v>
      </c>
      <c r="H601" s="49">
        <f t="shared" si="125"/>
        <v>0</v>
      </c>
      <c r="I601" s="49">
        <f t="shared" si="125"/>
        <v>0</v>
      </c>
      <c r="J601" s="50">
        <f t="shared" si="125"/>
        <v>0</v>
      </c>
      <c r="K601" s="49">
        <f t="shared" si="125"/>
        <v>0</v>
      </c>
      <c r="L601" s="231">
        <f t="shared" si="125"/>
        <v>0</v>
      </c>
      <c r="M601" s="543">
        <f t="shared" si="125"/>
        <v>0</v>
      </c>
      <c r="N601" s="49">
        <f t="shared" si="125"/>
        <v>0</v>
      </c>
      <c r="O601" s="235">
        <f t="shared" si="125"/>
        <v>0</v>
      </c>
      <c r="P601" s="291">
        <f t="shared" si="125"/>
        <v>0</v>
      </c>
      <c r="Q601" s="63">
        <f t="shared" si="125"/>
        <v>0</v>
      </c>
      <c r="R601" s="63">
        <f t="shared" si="125"/>
        <v>0</v>
      </c>
      <c r="S601" s="62">
        <f t="shared" si="125"/>
        <v>0</v>
      </c>
      <c r="T601" s="49">
        <f t="shared" si="125"/>
        <v>0</v>
      </c>
      <c r="U601" s="49">
        <f t="shared" si="125"/>
        <v>0</v>
      </c>
      <c r="V601" s="82">
        <f t="shared" si="125"/>
        <v>0</v>
      </c>
      <c r="W601" s="62">
        <f t="shared" si="125"/>
        <v>0</v>
      </c>
      <c r="X601" s="235">
        <f t="shared" si="125"/>
        <v>0</v>
      </c>
      <c r="Y601" s="291">
        <f t="shared" si="125"/>
        <v>0</v>
      </c>
      <c r="Z601" s="50">
        <f t="shared" si="125"/>
        <v>0</v>
      </c>
      <c r="AA601" s="49">
        <f t="shared" si="125"/>
        <v>0</v>
      </c>
      <c r="AB601" s="63">
        <f t="shared" si="125"/>
        <v>0</v>
      </c>
      <c r="AC601" s="62">
        <f t="shared" si="125"/>
        <v>0</v>
      </c>
      <c r="AD601" s="49">
        <f t="shared" si="125"/>
        <v>0</v>
      </c>
      <c r="AE601" s="235">
        <f t="shared" si="125"/>
        <v>0</v>
      </c>
      <c r="AF601" s="82">
        <f t="shared" si="125"/>
        <v>0</v>
      </c>
      <c r="AG601" s="82">
        <f t="shared" si="125"/>
        <v>0</v>
      </c>
      <c r="AH601" s="49">
        <f t="shared" si="125"/>
        <v>0</v>
      </c>
      <c r="AI601" s="82">
        <f t="shared" si="125"/>
        <v>0</v>
      </c>
      <c r="AJ601" s="49">
        <f t="shared" si="125"/>
        <v>0</v>
      </c>
      <c r="AK601" s="235">
        <f t="shared" si="125"/>
        <v>0</v>
      </c>
      <c r="AL601" s="82">
        <f t="shared" ref="AL601:BQ601" si="126">SUM(AL226:AL232)</f>
        <v>0</v>
      </c>
      <c r="AM601" s="49">
        <f t="shared" si="126"/>
        <v>0</v>
      </c>
      <c r="AN601" s="235">
        <f t="shared" si="126"/>
        <v>0</v>
      </c>
      <c r="AO601" s="235">
        <f t="shared" si="126"/>
        <v>0</v>
      </c>
      <c r="AP601" s="82">
        <f t="shared" si="126"/>
        <v>0</v>
      </c>
      <c r="AQ601" s="49">
        <f t="shared" si="126"/>
        <v>0</v>
      </c>
      <c r="AR601" s="82">
        <f t="shared" si="126"/>
        <v>0</v>
      </c>
      <c r="AS601" s="49">
        <f t="shared" si="126"/>
        <v>0</v>
      </c>
      <c r="AT601" s="235">
        <f t="shared" si="126"/>
        <v>0</v>
      </c>
      <c r="AU601" s="82">
        <f t="shared" si="126"/>
        <v>0</v>
      </c>
      <c r="AV601" s="49">
        <f t="shared" si="126"/>
        <v>0</v>
      </c>
      <c r="AW601" s="235">
        <f t="shared" si="126"/>
        <v>0</v>
      </c>
      <c r="AX601" s="49">
        <f t="shared" si="126"/>
        <v>0</v>
      </c>
      <c r="AY601" s="235">
        <f t="shared" si="126"/>
        <v>0</v>
      </c>
      <c r="AZ601" s="82">
        <f t="shared" si="126"/>
        <v>0</v>
      </c>
      <c r="BA601" s="49">
        <f t="shared" si="126"/>
        <v>0</v>
      </c>
      <c r="BB601" s="49">
        <f t="shared" si="126"/>
        <v>0</v>
      </c>
      <c r="BC601" s="82">
        <f t="shared" si="126"/>
        <v>0</v>
      </c>
      <c r="BD601" s="49">
        <f t="shared" si="126"/>
        <v>0</v>
      </c>
      <c r="BE601" s="49">
        <f t="shared" si="126"/>
        <v>0</v>
      </c>
      <c r="BF601" s="235">
        <f t="shared" si="126"/>
        <v>0</v>
      </c>
      <c r="BG601" s="231">
        <f t="shared" si="126"/>
        <v>0</v>
      </c>
      <c r="BH601" s="543">
        <f t="shared" si="126"/>
        <v>0</v>
      </c>
      <c r="BI601" s="49">
        <f t="shared" si="126"/>
        <v>2135</v>
      </c>
      <c r="BJ601" s="50">
        <f t="shared" si="126"/>
        <v>2103</v>
      </c>
      <c r="BK601" s="49">
        <f t="shared" si="126"/>
        <v>0</v>
      </c>
      <c r="BL601" s="291">
        <f t="shared" si="126"/>
        <v>0</v>
      </c>
      <c r="BM601" s="50">
        <f t="shared" si="126"/>
        <v>0</v>
      </c>
      <c r="BN601" s="49">
        <f t="shared" si="126"/>
        <v>0</v>
      </c>
      <c r="BO601" s="235">
        <f t="shared" si="126"/>
        <v>0</v>
      </c>
      <c r="BP601" s="291">
        <f t="shared" si="126"/>
        <v>0</v>
      </c>
      <c r="BQ601" s="235">
        <f t="shared" si="126"/>
        <v>0</v>
      </c>
      <c r="BR601" s="82">
        <f t="shared" ref="BR601:CI601" si="127">SUM(BR226:BR232)</f>
        <v>0</v>
      </c>
      <c r="BS601" s="49">
        <f t="shared" si="127"/>
        <v>0</v>
      </c>
      <c r="BT601" s="50">
        <f t="shared" si="127"/>
        <v>0</v>
      </c>
      <c r="BU601" s="49">
        <f t="shared" si="127"/>
        <v>0</v>
      </c>
      <c r="BV601" s="291">
        <f t="shared" si="127"/>
        <v>0</v>
      </c>
      <c r="BW601" s="63">
        <f t="shared" si="127"/>
        <v>0</v>
      </c>
      <c r="BX601" s="235">
        <f t="shared" si="127"/>
        <v>0</v>
      </c>
      <c r="BY601" s="82">
        <f t="shared" si="127"/>
        <v>0</v>
      </c>
      <c r="BZ601" s="49">
        <f t="shared" si="127"/>
        <v>0</v>
      </c>
      <c r="CA601" s="235">
        <f t="shared" si="127"/>
        <v>0</v>
      </c>
      <c r="CB601" s="291">
        <f t="shared" si="127"/>
        <v>0</v>
      </c>
      <c r="CC601" s="50">
        <f t="shared" si="127"/>
        <v>0</v>
      </c>
      <c r="CD601" s="49">
        <f t="shared" si="127"/>
        <v>2235</v>
      </c>
      <c r="CE601" s="235">
        <f t="shared" si="127"/>
        <v>1662</v>
      </c>
      <c r="CF601" s="235">
        <f t="shared" si="127"/>
        <v>1966</v>
      </c>
      <c r="CG601" s="82">
        <f t="shared" si="127"/>
        <v>1250</v>
      </c>
      <c r="CH601" s="49">
        <f t="shared" si="127"/>
        <v>0</v>
      </c>
      <c r="CI601" s="82">
        <f t="shared" si="127"/>
        <v>0</v>
      </c>
    </row>
    <row r="602" spans="2:87" x14ac:dyDescent="0.3">
      <c r="B602" s="17" t="s">
        <v>18</v>
      </c>
      <c r="C602" s="322">
        <f>SUM(C233:C238)</f>
        <v>5262</v>
      </c>
      <c r="D602" s="235">
        <f>SUM(D233:D238)</f>
        <v>3079</v>
      </c>
      <c r="E602" s="367">
        <f t="shared" si="31"/>
        <v>0.58513873052071452</v>
      </c>
      <c r="F602" s="49">
        <f t="shared" ref="F602:AK602" si="128">SUM(F233:F238)</f>
        <v>0</v>
      </c>
      <c r="G602" s="49">
        <f t="shared" si="128"/>
        <v>0</v>
      </c>
      <c r="H602" s="49">
        <f t="shared" si="128"/>
        <v>0</v>
      </c>
      <c r="I602" s="49">
        <f t="shared" si="128"/>
        <v>0</v>
      </c>
      <c r="J602" s="50">
        <f t="shared" si="128"/>
        <v>0</v>
      </c>
      <c r="K602" s="49">
        <f t="shared" si="128"/>
        <v>0</v>
      </c>
      <c r="L602" s="231">
        <f t="shared" si="128"/>
        <v>0</v>
      </c>
      <c r="M602" s="543">
        <f t="shared" si="128"/>
        <v>0</v>
      </c>
      <c r="N602" s="49">
        <f t="shared" si="128"/>
        <v>658</v>
      </c>
      <c r="O602" s="235">
        <f t="shared" si="128"/>
        <v>844</v>
      </c>
      <c r="P602" s="291">
        <f t="shared" si="128"/>
        <v>717</v>
      </c>
      <c r="Q602" s="63">
        <f t="shared" si="128"/>
        <v>1329</v>
      </c>
      <c r="R602" s="63">
        <f t="shared" si="128"/>
        <v>917</v>
      </c>
      <c r="S602" s="62">
        <f t="shared" si="128"/>
        <v>0</v>
      </c>
      <c r="T602" s="49">
        <f t="shared" si="128"/>
        <v>0</v>
      </c>
      <c r="U602" s="49">
        <f t="shared" si="128"/>
        <v>0</v>
      </c>
      <c r="V602" s="82">
        <f t="shared" si="128"/>
        <v>0</v>
      </c>
      <c r="W602" s="62">
        <f t="shared" si="128"/>
        <v>12</v>
      </c>
      <c r="X602" s="235">
        <f t="shared" si="128"/>
        <v>7</v>
      </c>
      <c r="Y602" s="291">
        <f t="shared" si="128"/>
        <v>4</v>
      </c>
      <c r="Z602" s="50">
        <f t="shared" si="128"/>
        <v>13</v>
      </c>
      <c r="AA602" s="49">
        <f t="shared" si="128"/>
        <v>1</v>
      </c>
      <c r="AB602" s="63">
        <f t="shared" si="128"/>
        <v>1</v>
      </c>
      <c r="AC602" s="62">
        <f t="shared" si="128"/>
        <v>0</v>
      </c>
      <c r="AD602" s="49">
        <f t="shared" si="128"/>
        <v>0</v>
      </c>
      <c r="AE602" s="235">
        <f t="shared" si="128"/>
        <v>0</v>
      </c>
      <c r="AF602" s="82">
        <f t="shared" si="128"/>
        <v>0</v>
      </c>
      <c r="AG602" s="82">
        <f t="shared" si="128"/>
        <v>0</v>
      </c>
      <c r="AH602" s="49">
        <f t="shared" si="128"/>
        <v>0</v>
      </c>
      <c r="AI602" s="82">
        <f t="shared" si="128"/>
        <v>0</v>
      </c>
      <c r="AJ602" s="49">
        <f t="shared" si="128"/>
        <v>0</v>
      </c>
      <c r="AK602" s="235">
        <f t="shared" si="128"/>
        <v>0</v>
      </c>
      <c r="AL602" s="82">
        <f t="shared" ref="AL602:BQ602" si="129">SUM(AL233:AL238)</f>
        <v>0</v>
      </c>
      <c r="AM602" s="49">
        <f t="shared" si="129"/>
        <v>0</v>
      </c>
      <c r="AN602" s="235">
        <f t="shared" si="129"/>
        <v>0</v>
      </c>
      <c r="AO602" s="235">
        <f t="shared" si="129"/>
        <v>0</v>
      </c>
      <c r="AP602" s="82">
        <f t="shared" si="129"/>
        <v>0</v>
      </c>
      <c r="AQ602" s="49">
        <f t="shared" si="129"/>
        <v>0</v>
      </c>
      <c r="AR602" s="82">
        <f t="shared" si="129"/>
        <v>0</v>
      </c>
      <c r="AS602" s="49">
        <f t="shared" si="129"/>
        <v>0</v>
      </c>
      <c r="AT602" s="235">
        <f t="shared" si="129"/>
        <v>0</v>
      </c>
      <c r="AU602" s="82">
        <f t="shared" si="129"/>
        <v>0</v>
      </c>
      <c r="AV602" s="49">
        <f t="shared" si="129"/>
        <v>0</v>
      </c>
      <c r="AW602" s="235">
        <f t="shared" si="129"/>
        <v>0</v>
      </c>
      <c r="AX602" s="49">
        <f t="shared" si="129"/>
        <v>0</v>
      </c>
      <c r="AY602" s="235">
        <f t="shared" si="129"/>
        <v>0</v>
      </c>
      <c r="AZ602" s="82">
        <f t="shared" si="129"/>
        <v>0</v>
      </c>
      <c r="BA602" s="49">
        <f t="shared" si="129"/>
        <v>0</v>
      </c>
      <c r="BB602" s="49">
        <f t="shared" si="129"/>
        <v>0</v>
      </c>
      <c r="BC602" s="82">
        <f t="shared" si="129"/>
        <v>0</v>
      </c>
      <c r="BD602" s="49">
        <f t="shared" si="129"/>
        <v>0</v>
      </c>
      <c r="BE602" s="49">
        <f t="shared" si="129"/>
        <v>0</v>
      </c>
      <c r="BF602" s="235">
        <f t="shared" si="129"/>
        <v>0</v>
      </c>
      <c r="BG602" s="231">
        <f t="shared" si="129"/>
        <v>0</v>
      </c>
      <c r="BH602" s="543">
        <f t="shared" si="129"/>
        <v>0</v>
      </c>
      <c r="BI602" s="49">
        <f t="shared" si="129"/>
        <v>0</v>
      </c>
      <c r="BJ602" s="50">
        <f t="shared" si="129"/>
        <v>0</v>
      </c>
      <c r="BK602" s="49">
        <f t="shared" si="129"/>
        <v>0</v>
      </c>
      <c r="BL602" s="291">
        <f t="shared" si="129"/>
        <v>0</v>
      </c>
      <c r="BM602" s="50">
        <f t="shared" si="129"/>
        <v>0</v>
      </c>
      <c r="BN602" s="49">
        <f t="shared" si="129"/>
        <v>0</v>
      </c>
      <c r="BO602" s="235">
        <f t="shared" si="129"/>
        <v>0</v>
      </c>
      <c r="BP602" s="291">
        <f t="shared" si="129"/>
        <v>0</v>
      </c>
      <c r="BQ602" s="235">
        <f t="shared" si="129"/>
        <v>0</v>
      </c>
      <c r="BR602" s="82">
        <f t="shared" ref="BR602:CI602" si="130">SUM(BR233:BR238)</f>
        <v>0</v>
      </c>
      <c r="BS602" s="49">
        <f t="shared" si="130"/>
        <v>0</v>
      </c>
      <c r="BT602" s="50">
        <f t="shared" si="130"/>
        <v>0</v>
      </c>
      <c r="BU602" s="49">
        <f t="shared" si="130"/>
        <v>0</v>
      </c>
      <c r="BV602" s="291">
        <f t="shared" si="130"/>
        <v>0</v>
      </c>
      <c r="BW602" s="63">
        <f t="shared" si="130"/>
        <v>0</v>
      </c>
      <c r="BX602" s="235">
        <f t="shared" si="130"/>
        <v>0</v>
      </c>
      <c r="BY602" s="82">
        <f t="shared" si="130"/>
        <v>0</v>
      </c>
      <c r="BZ602" s="49">
        <f t="shared" si="130"/>
        <v>0</v>
      </c>
      <c r="CA602" s="235">
        <f t="shared" si="130"/>
        <v>0</v>
      </c>
      <c r="CB602" s="291">
        <f t="shared" si="130"/>
        <v>0</v>
      </c>
      <c r="CC602" s="50">
        <f t="shared" si="130"/>
        <v>0</v>
      </c>
      <c r="CD602" s="49">
        <f t="shared" si="130"/>
        <v>0</v>
      </c>
      <c r="CE602" s="235">
        <f t="shared" si="130"/>
        <v>0</v>
      </c>
      <c r="CF602" s="235">
        <f t="shared" si="130"/>
        <v>0</v>
      </c>
      <c r="CG602" s="82">
        <f t="shared" si="130"/>
        <v>0</v>
      </c>
      <c r="CH602" s="49">
        <f t="shared" si="130"/>
        <v>0</v>
      </c>
      <c r="CI602" s="82">
        <f t="shared" si="130"/>
        <v>0</v>
      </c>
    </row>
    <row r="603" spans="2:87" x14ac:dyDescent="0.3">
      <c r="B603" s="17" t="s">
        <v>704</v>
      </c>
      <c r="C603" s="322">
        <f>SUM(C239:C245)</f>
        <v>6762</v>
      </c>
      <c r="D603" s="235">
        <f>SUM(D239:D245)</f>
        <v>3765</v>
      </c>
      <c r="E603" s="367">
        <f t="shared" si="31"/>
        <v>0.55678793256433012</v>
      </c>
      <c r="F603" s="49">
        <f t="shared" ref="F603:AK603" si="131">SUM(F239:F245)</f>
        <v>0</v>
      </c>
      <c r="G603" s="49">
        <f t="shared" si="131"/>
        <v>0</v>
      </c>
      <c r="H603" s="49">
        <f t="shared" si="131"/>
        <v>0</v>
      </c>
      <c r="I603" s="49">
        <f t="shared" si="131"/>
        <v>0</v>
      </c>
      <c r="J603" s="50">
        <f t="shared" si="131"/>
        <v>0</v>
      </c>
      <c r="K603" s="49">
        <f t="shared" si="131"/>
        <v>0</v>
      </c>
      <c r="L603" s="231">
        <f t="shared" si="131"/>
        <v>0</v>
      </c>
      <c r="M603" s="543">
        <f t="shared" si="131"/>
        <v>0</v>
      </c>
      <c r="N603" s="49">
        <f t="shared" si="131"/>
        <v>0</v>
      </c>
      <c r="O603" s="235">
        <f t="shared" si="131"/>
        <v>0</v>
      </c>
      <c r="P603" s="291">
        <f t="shared" si="131"/>
        <v>0</v>
      </c>
      <c r="Q603" s="63">
        <f t="shared" si="131"/>
        <v>0</v>
      </c>
      <c r="R603" s="63">
        <f t="shared" si="131"/>
        <v>0</v>
      </c>
      <c r="S603" s="62">
        <f t="shared" si="131"/>
        <v>1060</v>
      </c>
      <c r="T603" s="49">
        <f t="shared" si="131"/>
        <v>1747</v>
      </c>
      <c r="U603" s="49">
        <f t="shared" si="131"/>
        <v>1756</v>
      </c>
      <c r="V603" s="82">
        <f t="shared" si="131"/>
        <v>629</v>
      </c>
      <c r="W603" s="62">
        <f t="shared" si="131"/>
        <v>0</v>
      </c>
      <c r="X603" s="235">
        <f t="shared" si="131"/>
        <v>0</v>
      </c>
      <c r="Y603" s="291">
        <f t="shared" si="131"/>
        <v>0</v>
      </c>
      <c r="Z603" s="50">
        <f t="shared" si="131"/>
        <v>0</v>
      </c>
      <c r="AA603" s="49">
        <f t="shared" si="131"/>
        <v>0</v>
      </c>
      <c r="AB603" s="63">
        <f t="shared" si="131"/>
        <v>0</v>
      </c>
      <c r="AC603" s="62">
        <f t="shared" si="131"/>
        <v>0</v>
      </c>
      <c r="AD603" s="49">
        <f t="shared" si="131"/>
        <v>0</v>
      </c>
      <c r="AE603" s="235">
        <f t="shared" si="131"/>
        <v>0</v>
      </c>
      <c r="AF603" s="82">
        <f t="shared" si="131"/>
        <v>0</v>
      </c>
      <c r="AG603" s="82">
        <f t="shared" si="131"/>
        <v>0</v>
      </c>
      <c r="AH603" s="49">
        <f t="shared" si="131"/>
        <v>0</v>
      </c>
      <c r="AI603" s="82">
        <f t="shared" si="131"/>
        <v>0</v>
      </c>
      <c r="AJ603" s="49">
        <f t="shared" si="131"/>
        <v>0</v>
      </c>
      <c r="AK603" s="235">
        <f t="shared" si="131"/>
        <v>0</v>
      </c>
      <c r="AL603" s="82">
        <f t="shared" ref="AL603:BQ603" si="132">SUM(AL239:AL245)</f>
        <v>0</v>
      </c>
      <c r="AM603" s="49">
        <f t="shared" si="132"/>
        <v>0</v>
      </c>
      <c r="AN603" s="235">
        <f t="shared" si="132"/>
        <v>0</v>
      </c>
      <c r="AO603" s="235">
        <f t="shared" si="132"/>
        <v>0</v>
      </c>
      <c r="AP603" s="82">
        <f t="shared" si="132"/>
        <v>0</v>
      </c>
      <c r="AQ603" s="49">
        <f t="shared" si="132"/>
        <v>0</v>
      </c>
      <c r="AR603" s="82">
        <f t="shared" si="132"/>
        <v>0</v>
      </c>
      <c r="AS603" s="49">
        <f t="shared" si="132"/>
        <v>0</v>
      </c>
      <c r="AT603" s="235">
        <f t="shared" si="132"/>
        <v>0</v>
      </c>
      <c r="AU603" s="82">
        <f t="shared" si="132"/>
        <v>0</v>
      </c>
      <c r="AV603" s="49">
        <f t="shared" si="132"/>
        <v>63</v>
      </c>
      <c r="AW603" s="235">
        <f t="shared" si="132"/>
        <v>56</v>
      </c>
      <c r="AX603" s="49">
        <f t="shared" si="132"/>
        <v>83</v>
      </c>
      <c r="AY603" s="235">
        <f t="shared" si="132"/>
        <v>54</v>
      </c>
      <c r="AZ603" s="82">
        <f t="shared" si="132"/>
        <v>25</v>
      </c>
      <c r="BA603" s="49">
        <f t="shared" si="132"/>
        <v>0</v>
      </c>
      <c r="BB603" s="49">
        <f t="shared" si="132"/>
        <v>0</v>
      </c>
      <c r="BC603" s="82">
        <f t="shared" si="132"/>
        <v>0</v>
      </c>
      <c r="BD603" s="49">
        <f t="shared" si="132"/>
        <v>0</v>
      </c>
      <c r="BE603" s="49">
        <f t="shared" si="132"/>
        <v>0</v>
      </c>
      <c r="BF603" s="235">
        <f t="shared" si="132"/>
        <v>0</v>
      </c>
      <c r="BG603" s="231">
        <f t="shared" si="132"/>
        <v>0</v>
      </c>
      <c r="BH603" s="543">
        <f t="shared" si="132"/>
        <v>0</v>
      </c>
      <c r="BI603" s="49">
        <f t="shared" si="132"/>
        <v>0</v>
      </c>
      <c r="BJ603" s="50">
        <f t="shared" si="132"/>
        <v>0</v>
      </c>
      <c r="BK603" s="49">
        <f t="shared" si="132"/>
        <v>0</v>
      </c>
      <c r="BL603" s="291">
        <f t="shared" si="132"/>
        <v>0</v>
      </c>
      <c r="BM603" s="50">
        <f t="shared" si="132"/>
        <v>0</v>
      </c>
      <c r="BN603" s="49">
        <f t="shared" si="132"/>
        <v>0</v>
      </c>
      <c r="BO603" s="235">
        <f t="shared" si="132"/>
        <v>0</v>
      </c>
      <c r="BP603" s="291">
        <f t="shared" si="132"/>
        <v>0</v>
      </c>
      <c r="BQ603" s="235">
        <f t="shared" si="132"/>
        <v>0</v>
      </c>
      <c r="BR603" s="82">
        <f t="shared" ref="BR603:CI603" si="133">SUM(BR239:BR245)</f>
        <v>0</v>
      </c>
      <c r="BS603" s="49">
        <f t="shared" si="133"/>
        <v>0</v>
      </c>
      <c r="BT603" s="50">
        <f t="shared" si="133"/>
        <v>0</v>
      </c>
      <c r="BU603" s="49">
        <f t="shared" si="133"/>
        <v>0</v>
      </c>
      <c r="BV603" s="291">
        <f t="shared" si="133"/>
        <v>0</v>
      </c>
      <c r="BW603" s="63">
        <f t="shared" si="133"/>
        <v>0</v>
      </c>
      <c r="BX603" s="235">
        <f t="shared" si="133"/>
        <v>0</v>
      </c>
      <c r="BY603" s="82">
        <f t="shared" si="133"/>
        <v>0</v>
      </c>
      <c r="BZ603" s="49">
        <f t="shared" si="133"/>
        <v>0</v>
      </c>
      <c r="CA603" s="235">
        <f t="shared" si="133"/>
        <v>0</v>
      </c>
      <c r="CB603" s="291">
        <f t="shared" si="133"/>
        <v>0</v>
      </c>
      <c r="CC603" s="50">
        <f t="shared" si="133"/>
        <v>0</v>
      </c>
      <c r="CD603" s="49">
        <f t="shared" si="133"/>
        <v>0</v>
      </c>
      <c r="CE603" s="235">
        <f t="shared" si="133"/>
        <v>0</v>
      </c>
      <c r="CF603" s="235">
        <f t="shared" si="133"/>
        <v>0</v>
      </c>
      <c r="CG603" s="82">
        <f t="shared" si="133"/>
        <v>0</v>
      </c>
      <c r="CH603" s="49">
        <f t="shared" si="133"/>
        <v>0</v>
      </c>
      <c r="CI603" s="82">
        <f t="shared" si="133"/>
        <v>0</v>
      </c>
    </row>
    <row r="604" spans="2:87" x14ac:dyDescent="0.3">
      <c r="B604" s="17" t="s">
        <v>705</v>
      </c>
      <c r="C604" s="322">
        <f>SUM(C246:C253)</f>
        <v>7317</v>
      </c>
      <c r="D604" s="235">
        <f>SUM(D246:D253)</f>
        <v>5097</v>
      </c>
      <c r="E604" s="367">
        <f t="shared" si="31"/>
        <v>0.6965969659696597</v>
      </c>
      <c r="F604" s="49">
        <f t="shared" ref="F604:AK604" si="134">SUM(F246:F253)</f>
        <v>5</v>
      </c>
      <c r="G604" s="49">
        <f t="shared" si="134"/>
        <v>3</v>
      </c>
      <c r="H604" s="49">
        <f t="shared" si="134"/>
        <v>4</v>
      </c>
      <c r="I604" s="49">
        <f t="shared" si="134"/>
        <v>5</v>
      </c>
      <c r="J604" s="50">
        <f t="shared" si="134"/>
        <v>3</v>
      </c>
      <c r="K604" s="49">
        <f t="shared" si="134"/>
        <v>0</v>
      </c>
      <c r="L604" s="231">
        <f t="shared" si="134"/>
        <v>0</v>
      </c>
      <c r="M604" s="543">
        <f t="shared" si="134"/>
        <v>0</v>
      </c>
      <c r="N604" s="49">
        <f t="shared" si="134"/>
        <v>9</v>
      </c>
      <c r="O604" s="235">
        <f t="shared" si="134"/>
        <v>13</v>
      </c>
      <c r="P604" s="291">
        <f t="shared" si="134"/>
        <v>8</v>
      </c>
      <c r="Q604" s="63">
        <f t="shared" si="134"/>
        <v>20</v>
      </c>
      <c r="R604" s="63">
        <f t="shared" si="134"/>
        <v>12</v>
      </c>
      <c r="S604" s="62">
        <f t="shared" si="134"/>
        <v>0</v>
      </c>
      <c r="T604" s="49">
        <f t="shared" si="134"/>
        <v>0</v>
      </c>
      <c r="U604" s="49">
        <f t="shared" si="134"/>
        <v>0</v>
      </c>
      <c r="V604" s="82">
        <f t="shared" si="134"/>
        <v>0</v>
      </c>
      <c r="W604" s="62">
        <f t="shared" si="134"/>
        <v>3435</v>
      </c>
      <c r="X604" s="235">
        <f t="shared" si="134"/>
        <v>1167</v>
      </c>
      <c r="Y604" s="291">
        <f t="shared" si="134"/>
        <v>1100</v>
      </c>
      <c r="Z604" s="50">
        <f t="shared" si="134"/>
        <v>3342</v>
      </c>
      <c r="AA604" s="49">
        <f t="shared" si="134"/>
        <v>0</v>
      </c>
      <c r="AB604" s="63">
        <f t="shared" si="134"/>
        <v>0</v>
      </c>
      <c r="AC604" s="62">
        <f t="shared" si="134"/>
        <v>0</v>
      </c>
      <c r="AD604" s="49">
        <f t="shared" si="134"/>
        <v>0</v>
      </c>
      <c r="AE604" s="235">
        <f t="shared" si="134"/>
        <v>0</v>
      </c>
      <c r="AF604" s="82">
        <f t="shared" si="134"/>
        <v>0</v>
      </c>
      <c r="AG604" s="82">
        <f t="shared" si="134"/>
        <v>0</v>
      </c>
      <c r="AH604" s="49">
        <f t="shared" si="134"/>
        <v>0</v>
      </c>
      <c r="AI604" s="82">
        <f t="shared" si="134"/>
        <v>0</v>
      </c>
      <c r="AJ604" s="49">
        <f t="shared" si="134"/>
        <v>0</v>
      </c>
      <c r="AK604" s="235">
        <f t="shared" si="134"/>
        <v>0</v>
      </c>
      <c r="AL604" s="82">
        <f t="shared" ref="AL604:BQ604" si="135">SUM(AL246:AL253)</f>
        <v>0</v>
      </c>
      <c r="AM604" s="49">
        <f t="shared" si="135"/>
        <v>0</v>
      </c>
      <c r="AN604" s="235">
        <f t="shared" si="135"/>
        <v>0</v>
      </c>
      <c r="AO604" s="235">
        <f t="shared" si="135"/>
        <v>0</v>
      </c>
      <c r="AP604" s="82">
        <f t="shared" si="135"/>
        <v>0</v>
      </c>
      <c r="AQ604" s="49">
        <f t="shared" si="135"/>
        <v>0</v>
      </c>
      <c r="AR604" s="82">
        <f t="shared" si="135"/>
        <v>0</v>
      </c>
      <c r="AS604" s="49">
        <f t="shared" si="135"/>
        <v>0</v>
      </c>
      <c r="AT604" s="235">
        <f t="shared" si="135"/>
        <v>0</v>
      </c>
      <c r="AU604" s="82">
        <f t="shared" si="135"/>
        <v>0</v>
      </c>
      <c r="AV604" s="49">
        <f t="shared" si="135"/>
        <v>0</v>
      </c>
      <c r="AW604" s="235">
        <f t="shared" si="135"/>
        <v>0</v>
      </c>
      <c r="AX604" s="49">
        <f t="shared" si="135"/>
        <v>0</v>
      </c>
      <c r="AY604" s="235">
        <f t="shared" si="135"/>
        <v>0</v>
      </c>
      <c r="AZ604" s="82">
        <f t="shared" si="135"/>
        <v>0</v>
      </c>
      <c r="BA604" s="49">
        <f t="shared" si="135"/>
        <v>0</v>
      </c>
      <c r="BB604" s="49">
        <f t="shared" si="135"/>
        <v>0</v>
      </c>
      <c r="BC604" s="82">
        <f t="shared" si="135"/>
        <v>0</v>
      </c>
      <c r="BD604" s="49">
        <f t="shared" si="135"/>
        <v>0</v>
      </c>
      <c r="BE604" s="49">
        <f t="shared" si="135"/>
        <v>0</v>
      </c>
      <c r="BF604" s="235">
        <f t="shared" si="135"/>
        <v>0</v>
      </c>
      <c r="BG604" s="231">
        <f t="shared" si="135"/>
        <v>0</v>
      </c>
      <c r="BH604" s="543">
        <f t="shared" si="135"/>
        <v>0</v>
      </c>
      <c r="BI604" s="49">
        <f t="shared" si="135"/>
        <v>0</v>
      </c>
      <c r="BJ604" s="50">
        <f t="shared" si="135"/>
        <v>0</v>
      </c>
      <c r="BK604" s="49">
        <f t="shared" si="135"/>
        <v>0</v>
      </c>
      <c r="BL604" s="291">
        <f t="shared" si="135"/>
        <v>0</v>
      </c>
      <c r="BM604" s="50">
        <f t="shared" si="135"/>
        <v>0</v>
      </c>
      <c r="BN604" s="49">
        <f t="shared" si="135"/>
        <v>0</v>
      </c>
      <c r="BO604" s="235">
        <f t="shared" si="135"/>
        <v>0</v>
      </c>
      <c r="BP604" s="291">
        <f t="shared" si="135"/>
        <v>0</v>
      </c>
      <c r="BQ604" s="235">
        <f t="shared" si="135"/>
        <v>0</v>
      </c>
      <c r="BR604" s="82">
        <f t="shared" ref="BR604:CI604" si="136">SUM(BR246:BR253)</f>
        <v>0</v>
      </c>
      <c r="BS604" s="49">
        <f t="shared" si="136"/>
        <v>0</v>
      </c>
      <c r="BT604" s="50">
        <f t="shared" si="136"/>
        <v>0</v>
      </c>
      <c r="BU604" s="49">
        <f t="shared" si="136"/>
        <v>0</v>
      </c>
      <c r="BV604" s="291">
        <f t="shared" si="136"/>
        <v>0</v>
      </c>
      <c r="BW604" s="63">
        <f t="shared" si="136"/>
        <v>0</v>
      </c>
      <c r="BX604" s="235">
        <f t="shared" si="136"/>
        <v>0</v>
      </c>
      <c r="BY604" s="82">
        <f t="shared" si="136"/>
        <v>0</v>
      </c>
      <c r="BZ604" s="49">
        <f t="shared" si="136"/>
        <v>0</v>
      </c>
      <c r="CA604" s="235">
        <f t="shared" si="136"/>
        <v>0</v>
      </c>
      <c r="CB604" s="291">
        <f t="shared" si="136"/>
        <v>0</v>
      </c>
      <c r="CC604" s="50">
        <f t="shared" si="136"/>
        <v>0</v>
      </c>
      <c r="CD604" s="49">
        <f t="shared" si="136"/>
        <v>0</v>
      </c>
      <c r="CE604" s="235">
        <f t="shared" si="136"/>
        <v>0</v>
      </c>
      <c r="CF604" s="235">
        <f t="shared" si="136"/>
        <v>0</v>
      </c>
      <c r="CG604" s="82">
        <f t="shared" si="136"/>
        <v>0</v>
      </c>
      <c r="CH604" s="49">
        <f t="shared" si="136"/>
        <v>0</v>
      </c>
      <c r="CI604" s="82">
        <f t="shared" si="136"/>
        <v>0</v>
      </c>
    </row>
    <row r="605" spans="2:87" x14ac:dyDescent="0.3">
      <c r="B605" s="17" t="s">
        <v>9</v>
      </c>
      <c r="C605" s="474">
        <f>SUM(C398:C398)</f>
        <v>95</v>
      </c>
      <c r="D605" s="296">
        <f>SUM(D398:D398)</f>
        <v>42</v>
      </c>
      <c r="E605" s="367">
        <f t="shared" si="31"/>
        <v>0.44210526315789472</v>
      </c>
      <c r="F605" s="49">
        <f t="shared" ref="F605:AK605" si="137">SUM(F398:F398)</f>
        <v>21</v>
      </c>
      <c r="G605" s="49">
        <f t="shared" si="137"/>
        <v>10</v>
      </c>
      <c r="H605" s="49">
        <f t="shared" si="137"/>
        <v>22</v>
      </c>
      <c r="I605" s="49">
        <f t="shared" si="137"/>
        <v>28</v>
      </c>
      <c r="J605" s="50">
        <f t="shared" si="137"/>
        <v>5</v>
      </c>
      <c r="K605" s="49">
        <f t="shared" si="137"/>
        <v>0</v>
      </c>
      <c r="L605" s="231">
        <f t="shared" si="137"/>
        <v>0</v>
      </c>
      <c r="M605" s="543">
        <f t="shared" si="137"/>
        <v>0</v>
      </c>
      <c r="N605" s="49">
        <f t="shared" si="137"/>
        <v>0</v>
      </c>
      <c r="O605" s="235">
        <f t="shared" si="137"/>
        <v>0</v>
      </c>
      <c r="P605" s="291">
        <f t="shared" si="137"/>
        <v>0</v>
      </c>
      <c r="Q605" s="63">
        <f t="shared" si="137"/>
        <v>0</v>
      </c>
      <c r="R605" s="63">
        <f t="shared" si="137"/>
        <v>0</v>
      </c>
      <c r="S605" s="62">
        <f t="shared" si="137"/>
        <v>0</v>
      </c>
      <c r="T605" s="49">
        <f t="shared" si="137"/>
        <v>0</v>
      </c>
      <c r="U605" s="49">
        <f t="shared" si="137"/>
        <v>0</v>
      </c>
      <c r="V605" s="82">
        <f t="shared" si="137"/>
        <v>0</v>
      </c>
      <c r="W605" s="62">
        <f t="shared" si="137"/>
        <v>0</v>
      </c>
      <c r="X605" s="235">
        <f t="shared" si="137"/>
        <v>0</v>
      </c>
      <c r="Y605" s="291">
        <f t="shared" si="137"/>
        <v>0</v>
      </c>
      <c r="Z605" s="50">
        <f t="shared" si="137"/>
        <v>0</v>
      </c>
      <c r="AA605" s="49">
        <f t="shared" si="137"/>
        <v>0</v>
      </c>
      <c r="AB605" s="63">
        <f t="shared" si="137"/>
        <v>0</v>
      </c>
      <c r="AC605" s="62">
        <f t="shared" si="137"/>
        <v>0</v>
      </c>
      <c r="AD605" s="49">
        <f t="shared" si="137"/>
        <v>0</v>
      </c>
      <c r="AE605" s="235">
        <f t="shared" si="137"/>
        <v>0</v>
      </c>
      <c r="AF605" s="82">
        <f t="shared" si="137"/>
        <v>0</v>
      </c>
      <c r="AG605" s="82">
        <f t="shared" si="137"/>
        <v>0</v>
      </c>
      <c r="AH605" s="49">
        <f t="shared" si="137"/>
        <v>0</v>
      </c>
      <c r="AI605" s="82">
        <f t="shared" si="137"/>
        <v>0</v>
      </c>
      <c r="AJ605" s="49">
        <f t="shared" si="137"/>
        <v>0</v>
      </c>
      <c r="AK605" s="235">
        <f t="shared" si="137"/>
        <v>0</v>
      </c>
      <c r="AL605" s="82">
        <f t="shared" ref="AL605:BQ605" si="138">SUM(AL398:AL398)</f>
        <v>0</v>
      </c>
      <c r="AM605" s="49">
        <f t="shared" si="138"/>
        <v>0</v>
      </c>
      <c r="AN605" s="235">
        <f t="shared" si="138"/>
        <v>0</v>
      </c>
      <c r="AO605" s="235">
        <f t="shared" si="138"/>
        <v>0</v>
      </c>
      <c r="AP605" s="82">
        <f t="shared" si="138"/>
        <v>0</v>
      </c>
      <c r="AQ605" s="49">
        <f t="shared" si="138"/>
        <v>0</v>
      </c>
      <c r="AR605" s="82">
        <f t="shared" si="138"/>
        <v>0</v>
      </c>
      <c r="AS605" s="49">
        <f t="shared" si="138"/>
        <v>0</v>
      </c>
      <c r="AT605" s="235">
        <f t="shared" si="138"/>
        <v>0</v>
      </c>
      <c r="AU605" s="82">
        <f t="shared" si="138"/>
        <v>0</v>
      </c>
      <c r="AV605" s="49">
        <f t="shared" si="138"/>
        <v>0</v>
      </c>
      <c r="AW605" s="235">
        <f t="shared" si="138"/>
        <v>0</v>
      </c>
      <c r="AX605" s="49">
        <f t="shared" si="138"/>
        <v>0</v>
      </c>
      <c r="AY605" s="235">
        <f t="shared" si="138"/>
        <v>0</v>
      </c>
      <c r="AZ605" s="82">
        <f t="shared" si="138"/>
        <v>0</v>
      </c>
      <c r="BA605" s="49">
        <f t="shared" si="138"/>
        <v>0</v>
      </c>
      <c r="BB605" s="49">
        <f t="shared" si="138"/>
        <v>0</v>
      </c>
      <c r="BC605" s="82">
        <f t="shared" si="138"/>
        <v>0</v>
      </c>
      <c r="BD605" s="49">
        <f t="shared" si="138"/>
        <v>0</v>
      </c>
      <c r="BE605" s="49">
        <f t="shared" si="138"/>
        <v>0</v>
      </c>
      <c r="BF605" s="235">
        <f t="shared" si="138"/>
        <v>0</v>
      </c>
      <c r="BG605" s="231">
        <f t="shared" si="138"/>
        <v>0</v>
      </c>
      <c r="BH605" s="543">
        <f t="shared" si="138"/>
        <v>0</v>
      </c>
      <c r="BI605" s="49">
        <f t="shared" si="138"/>
        <v>0</v>
      </c>
      <c r="BJ605" s="50">
        <f t="shared" si="138"/>
        <v>0</v>
      </c>
      <c r="BK605" s="49">
        <f t="shared" si="138"/>
        <v>0</v>
      </c>
      <c r="BL605" s="291">
        <f t="shared" si="138"/>
        <v>0</v>
      </c>
      <c r="BM605" s="50">
        <f t="shared" si="138"/>
        <v>0</v>
      </c>
      <c r="BN605" s="49">
        <f t="shared" si="138"/>
        <v>0</v>
      </c>
      <c r="BO605" s="235">
        <f t="shared" si="138"/>
        <v>0</v>
      </c>
      <c r="BP605" s="291">
        <f t="shared" si="138"/>
        <v>0</v>
      </c>
      <c r="BQ605" s="235">
        <f t="shared" si="138"/>
        <v>0</v>
      </c>
      <c r="BR605" s="82">
        <f t="shared" ref="BR605:CI605" si="139">SUM(BR398:BR398)</f>
        <v>0</v>
      </c>
      <c r="BS605" s="49">
        <f t="shared" si="139"/>
        <v>0</v>
      </c>
      <c r="BT605" s="50">
        <f t="shared" si="139"/>
        <v>0</v>
      </c>
      <c r="BU605" s="49">
        <f t="shared" si="139"/>
        <v>0</v>
      </c>
      <c r="BV605" s="291">
        <f t="shared" si="139"/>
        <v>0</v>
      </c>
      <c r="BW605" s="63">
        <f t="shared" si="139"/>
        <v>0</v>
      </c>
      <c r="BX605" s="235">
        <f t="shared" si="139"/>
        <v>0</v>
      </c>
      <c r="BY605" s="82">
        <f t="shared" si="139"/>
        <v>0</v>
      </c>
      <c r="BZ605" s="49">
        <f t="shared" si="139"/>
        <v>0</v>
      </c>
      <c r="CA605" s="235">
        <f t="shared" si="139"/>
        <v>0</v>
      </c>
      <c r="CB605" s="291">
        <f t="shared" si="139"/>
        <v>0</v>
      </c>
      <c r="CC605" s="50">
        <f t="shared" si="139"/>
        <v>0</v>
      </c>
      <c r="CD605" s="49">
        <f t="shared" si="139"/>
        <v>0</v>
      </c>
      <c r="CE605" s="235">
        <f t="shared" si="139"/>
        <v>0</v>
      </c>
      <c r="CF605" s="235">
        <f t="shared" si="139"/>
        <v>0</v>
      </c>
      <c r="CG605" s="82">
        <f t="shared" si="139"/>
        <v>0</v>
      </c>
      <c r="CH605" s="49">
        <f t="shared" si="139"/>
        <v>0</v>
      </c>
      <c r="CI605" s="82">
        <f t="shared" si="139"/>
        <v>0</v>
      </c>
    </row>
    <row r="606" spans="2:87" x14ac:dyDescent="0.3">
      <c r="B606" s="17" t="s">
        <v>706</v>
      </c>
      <c r="C606" s="322">
        <f>SUM(C255:C263)</f>
        <v>8939</v>
      </c>
      <c r="D606" s="235">
        <f>SUM(D255:D263)</f>
        <v>5857</v>
      </c>
      <c r="E606" s="367">
        <f t="shared" si="31"/>
        <v>0.65521870455308195</v>
      </c>
      <c r="F606" s="49">
        <f t="shared" ref="F606:AK606" si="140">SUM(F255:F263)</f>
        <v>0</v>
      </c>
      <c r="G606" s="49">
        <f t="shared" si="140"/>
        <v>0</v>
      </c>
      <c r="H606" s="49">
        <f t="shared" si="140"/>
        <v>0</v>
      </c>
      <c r="I606" s="49">
        <f t="shared" si="140"/>
        <v>0</v>
      </c>
      <c r="J606" s="50">
        <f t="shared" si="140"/>
        <v>0</v>
      </c>
      <c r="K606" s="49">
        <f t="shared" si="140"/>
        <v>0</v>
      </c>
      <c r="L606" s="231">
        <f t="shared" si="140"/>
        <v>0</v>
      </c>
      <c r="M606" s="543">
        <f t="shared" si="140"/>
        <v>0</v>
      </c>
      <c r="N606" s="49">
        <f t="shared" si="140"/>
        <v>0</v>
      </c>
      <c r="O606" s="235">
        <f t="shared" si="140"/>
        <v>0</v>
      </c>
      <c r="P606" s="291">
        <f t="shared" si="140"/>
        <v>0</v>
      </c>
      <c r="Q606" s="63">
        <f t="shared" si="140"/>
        <v>0</v>
      </c>
      <c r="R606" s="63">
        <f t="shared" si="140"/>
        <v>0</v>
      </c>
      <c r="S606" s="62">
        <f t="shared" si="140"/>
        <v>0</v>
      </c>
      <c r="T606" s="49">
        <f t="shared" si="140"/>
        <v>0</v>
      </c>
      <c r="U606" s="49">
        <f t="shared" si="140"/>
        <v>0</v>
      </c>
      <c r="V606" s="82">
        <f t="shared" si="140"/>
        <v>0</v>
      </c>
      <c r="W606" s="62">
        <f t="shared" si="140"/>
        <v>0</v>
      </c>
      <c r="X606" s="235">
        <f t="shared" si="140"/>
        <v>0</v>
      </c>
      <c r="Y606" s="291">
        <f t="shared" si="140"/>
        <v>0</v>
      </c>
      <c r="Z606" s="50">
        <f t="shared" si="140"/>
        <v>0</v>
      </c>
      <c r="AA606" s="49">
        <f t="shared" si="140"/>
        <v>0</v>
      </c>
      <c r="AB606" s="63">
        <f t="shared" si="140"/>
        <v>0</v>
      </c>
      <c r="AC606" s="62">
        <f t="shared" si="140"/>
        <v>0</v>
      </c>
      <c r="AD606" s="49">
        <f t="shared" si="140"/>
        <v>0</v>
      </c>
      <c r="AE606" s="235">
        <f t="shared" si="140"/>
        <v>0</v>
      </c>
      <c r="AF606" s="82">
        <f t="shared" si="140"/>
        <v>0</v>
      </c>
      <c r="AG606" s="82">
        <f t="shared" si="140"/>
        <v>0</v>
      </c>
      <c r="AH606" s="49">
        <f t="shared" si="140"/>
        <v>0</v>
      </c>
      <c r="AI606" s="82">
        <f t="shared" si="140"/>
        <v>0</v>
      </c>
      <c r="AJ606" s="49">
        <f t="shared" si="140"/>
        <v>0</v>
      </c>
      <c r="AK606" s="235">
        <f t="shared" si="140"/>
        <v>0</v>
      </c>
      <c r="AL606" s="82">
        <f t="shared" ref="AL606:BQ606" si="141">SUM(AL255:AL263)</f>
        <v>0</v>
      </c>
      <c r="AM606" s="49">
        <f t="shared" si="141"/>
        <v>0</v>
      </c>
      <c r="AN606" s="235">
        <f t="shared" si="141"/>
        <v>0</v>
      </c>
      <c r="AO606" s="235">
        <f t="shared" si="141"/>
        <v>0</v>
      </c>
      <c r="AP606" s="82">
        <f t="shared" si="141"/>
        <v>0</v>
      </c>
      <c r="AQ606" s="49">
        <f t="shared" si="141"/>
        <v>0</v>
      </c>
      <c r="AR606" s="82">
        <f t="shared" si="141"/>
        <v>0</v>
      </c>
      <c r="AS606" s="49">
        <f t="shared" si="141"/>
        <v>0</v>
      </c>
      <c r="AT606" s="235">
        <f t="shared" si="141"/>
        <v>0</v>
      </c>
      <c r="AU606" s="82">
        <f t="shared" si="141"/>
        <v>0</v>
      </c>
      <c r="AV606" s="49">
        <f t="shared" si="141"/>
        <v>2074</v>
      </c>
      <c r="AW606" s="235">
        <f t="shared" si="141"/>
        <v>2576</v>
      </c>
      <c r="AX606" s="49">
        <f t="shared" si="141"/>
        <v>2318</v>
      </c>
      <c r="AY606" s="235">
        <f t="shared" si="141"/>
        <v>1158</v>
      </c>
      <c r="AZ606" s="82">
        <f t="shared" si="141"/>
        <v>668</v>
      </c>
      <c r="BA606" s="49">
        <f t="shared" si="141"/>
        <v>0</v>
      </c>
      <c r="BB606" s="49">
        <f t="shared" si="141"/>
        <v>0</v>
      </c>
      <c r="BC606" s="82">
        <f t="shared" si="141"/>
        <v>0</v>
      </c>
      <c r="BD606" s="49">
        <f t="shared" si="141"/>
        <v>0</v>
      </c>
      <c r="BE606" s="49">
        <f t="shared" si="141"/>
        <v>0</v>
      </c>
      <c r="BF606" s="235">
        <f t="shared" si="141"/>
        <v>0</v>
      </c>
      <c r="BG606" s="231">
        <f t="shared" si="141"/>
        <v>0</v>
      </c>
      <c r="BH606" s="543">
        <f t="shared" si="141"/>
        <v>0</v>
      </c>
      <c r="BI606" s="49">
        <f t="shared" si="141"/>
        <v>0</v>
      </c>
      <c r="BJ606" s="50">
        <f t="shared" si="141"/>
        <v>0</v>
      </c>
      <c r="BK606" s="49">
        <f t="shared" si="141"/>
        <v>0</v>
      </c>
      <c r="BL606" s="291">
        <f t="shared" si="141"/>
        <v>0</v>
      </c>
      <c r="BM606" s="50">
        <f t="shared" si="141"/>
        <v>0</v>
      </c>
      <c r="BN606" s="49">
        <f t="shared" si="141"/>
        <v>0</v>
      </c>
      <c r="BO606" s="235">
        <f t="shared" si="141"/>
        <v>0</v>
      </c>
      <c r="BP606" s="291">
        <f t="shared" si="141"/>
        <v>0</v>
      </c>
      <c r="BQ606" s="235">
        <f t="shared" si="141"/>
        <v>0</v>
      </c>
      <c r="BR606" s="82">
        <f t="shared" ref="BR606:CI606" si="142">SUM(BR255:BR263)</f>
        <v>0</v>
      </c>
      <c r="BS606" s="49">
        <f t="shared" si="142"/>
        <v>0</v>
      </c>
      <c r="BT606" s="50">
        <f t="shared" si="142"/>
        <v>0</v>
      </c>
      <c r="BU606" s="49">
        <f t="shared" si="142"/>
        <v>0</v>
      </c>
      <c r="BV606" s="291">
        <f t="shared" si="142"/>
        <v>0</v>
      </c>
      <c r="BW606" s="63">
        <f t="shared" si="142"/>
        <v>0</v>
      </c>
      <c r="BX606" s="235">
        <f t="shared" si="142"/>
        <v>0</v>
      </c>
      <c r="BY606" s="82">
        <f t="shared" si="142"/>
        <v>0</v>
      </c>
      <c r="BZ606" s="49">
        <f t="shared" si="142"/>
        <v>0</v>
      </c>
      <c r="CA606" s="235">
        <f t="shared" si="142"/>
        <v>0</v>
      </c>
      <c r="CB606" s="291">
        <f t="shared" si="142"/>
        <v>0</v>
      </c>
      <c r="CC606" s="50">
        <f t="shared" si="142"/>
        <v>0</v>
      </c>
      <c r="CD606" s="49">
        <f t="shared" si="142"/>
        <v>0</v>
      </c>
      <c r="CE606" s="235">
        <f t="shared" si="142"/>
        <v>0</v>
      </c>
      <c r="CF606" s="235">
        <f t="shared" si="142"/>
        <v>0</v>
      </c>
      <c r="CG606" s="82">
        <f t="shared" si="142"/>
        <v>0</v>
      </c>
      <c r="CH606" s="49">
        <f t="shared" si="142"/>
        <v>0</v>
      </c>
      <c r="CI606" s="82">
        <f t="shared" si="142"/>
        <v>0</v>
      </c>
    </row>
    <row r="607" spans="2:87" x14ac:dyDescent="0.3">
      <c r="B607" s="17" t="s">
        <v>707</v>
      </c>
      <c r="C607" s="322">
        <f>SUM(C264:C267)</f>
        <v>4513</v>
      </c>
      <c r="D607" s="235">
        <f>SUM(D264:D267)</f>
        <v>1761</v>
      </c>
      <c r="E607" s="367">
        <f t="shared" si="31"/>
        <v>0.39020607134943497</v>
      </c>
      <c r="F607" s="49">
        <f t="shared" ref="F607:AK607" si="143">SUM(F264:F267)</f>
        <v>0</v>
      </c>
      <c r="G607" s="49">
        <f t="shared" si="143"/>
        <v>0</v>
      </c>
      <c r="H607" s="49">
        <f t="shared" si="143"/>
        <v>0</v>
      </c>
      <c r="I607" s="49">
        <f t="shared" si="143"/>
        <v>0</v>
      </c>
      <c r="J607" s="50">
        <f t="shared" si="143"/>
        <v>0</v>
      </c>
      <c r="K607" s="49">
        <f t="shared" si="143"/>
        <v>0</v>
      </c>
      <c r="L607" s="231">
        <f t="shared" si="143"/>
        <v>0</v>
      </c>
      <c r="M607" s="543">
        <f t="shared" si="143"/>
        <v>0</v>
      </c>
      <c r="N607" s="49">
        <f t="shared" si="143"/>
        <v>0</v>
      </c>
      <c r="O607" s="235">
        <f t="shared" si="143"/>
        <v>0</v>
      </c>
      <c r="P607" s="291">
        <f t="shared" si="143"/>
        <v>0</v>
      </c>
      <c r="Q607" s="63">
        <f t="shared" si="143"/>
        <v>0</v>
      </c>
      <c r="R607" s="63">
        <f t="shared" si="143"/>
        <v>0</v>
      </c>
      <c r="S607" s="62">
        <f t="shared" si="143"/>
        <v>0</v>
      </c>
      <c r="T607" s="49">
        <f t="shared" si="143"/>
        <v>0</v>
      </c>
      <c r="U607" s="49">
        <f t="shared" si="143"/>
        <v>0</v>
      </c>
      <c r="V607" s="82">
        <f t="shared" si="143"/>
        <v>0</v>
      </c>
      <c r="W607" s="62">
        <f t="shared" si="143"/>
        <v>0</v>
      </c>
      <c r="X607" s="235">
        <f t="shared" si="143"/>
        <v>0</v>
      </c>
      <c r="Y607" s="291">
        <f t="shared" si="143"/>
        <v>0</v>
      </c>
      <c r="Z607" s="50">
        <f t="shared" si="143"/>
        <v>0</v>
      </c>
      <c r="AA607" s="49">
        <f t="shared" si="143"/>
        <v>0</v>
      </c>
      <c r="AB607" s="63">
        <f t="shared" si="143"/>
        <v>0</v>
      </c>
      <c r="AC607" s="62">
        <f t="shared" si="143"/>
        <v>0</v>
      </c>
      <c r="AD607" s="49">
        <f t="shared" si="143"/>
        <v>0</v>
      </c>
      <c r="AE607" s="235">
        <f t="shared" si="143"/>
        <v>0</v>
      </c>
      <c r="AF607" s="82">
        <f t="shared" si="143"/>
        <v>0</v>
      </c>
      <c r="AG607" s="82">
        <f t="shared" si="143"/>
        <v>1197</v>
      </c>
      <c r="AH607" s="49">
        <f t="shared" si="143"/>
        <v>0</v>
      </c>
      <c r="AI607" s="82">
        <f t="shared" si="143"/>
        <v>0</v>
      </c>
      <c r="AJ607" s="49">
        <f t="shared" si="143"/>
        <v>0</v>
      </c>
      <c r="AK607" s="235">
        <f t="shared" si="143"/>
        <v>0</v>
      </c>
      <c r="AL607" s="82">
        <f t="shared" ref="AL607:BQ607" si="144">SUM(AL264:AL267)</f>
        <v>0</v>
      </c>
      <c r="AM607" s="49">
        <f t="shared" si="144"/>
        <v>0</v>
      </c>
      <c r="AN607" s="235">
        <f t="shared" si="144"/>
        <v>0</v>
      </c>
      <c r="AO607" s="235">
        <f t="shared" si="144"/>
        <v>0</v>
      </c>
      <c r="AP607" s="82">
        <f t="shared" si="144"/>
        <v>0</v>
      </c>
      <c r="AQ607" s="49">
        <f t="shared" si="144"/>
        <v>0</v>
      </c>
      <c r="AR607" s="82">
        <f t="shared" si="144"/>
        <v>0</v>
      </c>
      <c r="AS607" s="49">
        <f t="shared" si="144"/>
        <v>0</v>
      </c>
      <c r="AT607" s="235">
        <f t="shared" si="144"/>
        <v>0</v>
      </c>
      <c r="AU607" s="82">
        <f t="shared" si="144"/>
        <v>0</v>
      </c>
      <c r="AV607" s="49">
        <f t="shared" si="144"/>
        <v>0</v>
      </c>
      <c r="AW607" s="235">
        <f t="shared" si="144"/>
        <v>0</v>
      </c>
      <c r="AX607" s="49">
        <f t="shared" si="144"/>
        <v>0</v>
      </c>
      <c r="AY607" s="235">
        <f t="shared" si="144"/>
        <v>0</v>
      </c>
      <c r="AZ607" s="82">
        <f t="shared" si="144"/>
        <v>0</v>
      </c>
      <c r="BA607" s="49">
        <f t="shared" si="144"/>
        <v>0</v>
      </c>
      <c r="BB607" s="49">
        <f t="shared" si="144"/>
        <v>0</v>
      </c>
      <c r="BC607" s="82">
        <f t="shared" si="144"/>
        <v>0</v>
      </c>
      <c r="BD607" s="49">
        <f t="shared" si="144"/>
        <v>0</v>
      </c>
      <c r="BE607" s="49">
        <f t="shared" si="144"/>
        <v>0</v>
      </c>
      <c r="BF607" s="235">
        <f t="shared" si="144"/>
        <v>0</v>
      </c>
      <c r="BG607" s="231">
        <f t="shared" si="144"/>
        <v>0</v>
      </c>
      <c r="BH607" s="543">
        <f t="shared" si="144"/>
        <v>0</v>
      </c>
      <c r="BI607" s="49">
        <f t="shared" si="144"/>
        <v>0</v>
      </c>
      <c r="BJ607" s="50">
        <f t="shared" si="144"/>
        <v>0</v>
      </c>
      <c r="BK607" s="49">
        <f t="shared" si="144"/>
        <v>0</v>
      </c>
      <c r="BL607" s="291">
        <f t="shared" si="144"/>
        <v>0</v>
      </c>
      <c r="BM607" s="50">
        <f t="shared" si="144"/>
        <v>0</v>
      </c>
      <c r="BN607" s="49">
        <f t="shared" si="144"/>
        <v>0</v>
      </c>
      <c r="BO607" s="235">
        <f t="shared" si="144"/>
        <v>0</v>
      </c>
      <c r="BP607" s="291">
        <f t="shared" si="144"/>
        <v>0</v>
      </c>
      <c r="BQ607" s="235">
        <f t="shared" si="144"/>
        <v>0</v>
      </c>
      <c r="BR607" s="82">
        <f t="shared" ref="BR607:CI607" si="145">SUM(BR264:BR267)</f>
        <v>0</v>
      </c>
      <c r="BS607" s="49">
        <f t="shared" si="145"/>
        <v>0</v>
      </c>
      <c r="BT607" s="50">
        <f t="shared" si="145"/>
        <v>0</v>
      </c>
      <c r="BU607" s="49">
        <f t="shared" si="145"/>
        <v>0</v>
      </c>
      <c r="BV607" s="291">
        <f t="shared" si="145"/>
        <v>0</v>
      </c>
      <c r="BW607" s="63">
        <f t="shared" si="145"/>
        <v>0</v>
      </c>
      <c r="BX607" s="235">
        <f t="shared" si="145"/>
        <v>0</v>
      </c>
      <c r="BY607" s="82">
        <f t="shared" si="145"/>
        <v>0</v>
      </c>
      <c r="BZ607" s="49">
        <f t="shared" si="145"/>
        <v>0</v>
      </c>
      <c r="CA607" s="235">
        <f t="shared" si="145"/>
        <v>0</v>
      </c>
      <c r="CB607" s="291">
        <f t="shared" si="145"/>
        <v>0</v>
      </c>
      <c r="CC607" s="50">
        <f t="shared" si="145"/>
        <v>0</v>
      </c>
      <c r="CD607" s="49">
        <f t="shared" si="145"/>
        <v>0</v>
      </c>
      <c r="CE607" s="235">
        <f t="shared" si="145"/>
        <v>0</v>
      </c>
      <c r="CF607" s="235">
        <f t="shared" si="145"/>
        <v>0</v>
      </c>
      <c r="CG607" s="82">
        <f t="shared" si="145"/>
        <v>0</v>
      </c>
      <c r="CH607" s="49">
        <f t="shared" si="145"/>
        <v>0</v>
      </c>
      <c r="CI607" s="82">
        <f t="shared" si="145"/>
        <v>0</v>
      </c>
    </row>
    <row r="608" spans="2:87" x14ac:dyDescent="0.3">
      <c r="B608" s="17" t="s">
        <v>19</v>
      </c>
      <c r="C608" s="322">
        <f>SUM(C268:C274)</f>
        <v>6490</v>
      </c>
      <c r="D608" s="235">
        <f>SUM(D268:D274)</f>
        <v>2521</v>
      </c>
      <c r="E608" s="367">
        <f t="shared" si="31"/>
        <v>0.38844375963020028</v>
      </c>
      <c r="F608" s="49">
        <f t="shared" ref="F608:AK608" si="146">SUM(F268:F274)</f>
        <v>0</v>
      </c>
      <c r="G608" s="49">
        <f t="shared" si="146"/>
        <v>0</v>
      </c>
      <c r="H608" s="49">
        <f t="shared" si="146"/>
        <v>0</v>
      </c>
      <c r="I608" s="49">
        <f t="shared" si="146"/>
        <v>0</v>
      </c>
      <c r="J608" s="50">
        <f t="shared" si="146"/>
        <v>0</v>
      </c>
      <c r="K608" s="49">
        <f t="shared" si="146"/>
        <v>0</v>
      </c>
      <c r="L608" s="231">
        <f t="shared" si="146"/>
        <v>0</v>
      </c>
      <c r="M608" s="543">
        <f t="shared" si="146"/>
        <v>0</v>
      </c>
      <c r="N608" s="49">
        <f t="shared" si="146"/>
        <v>0</v>
      </c>
      <c r="O608" s="235">
        <f t="shared" si="146"/>
        <v>0</v>
      </c>
      <c r="P608" s="291">
        <f t="shared" si="146"/>
        <v>0</v>
      </c>
      <c r="Q608" s="63">
        <f t="shared" si="146"/>
        <v>0</v>
      </c>
      <c r="R608" s="63">
        <f t="shared" si="146"/>
        <v>0</v>
      </c>
      <c r="S608" s="62">
        <f t="shared" si="146"/>
        <v>0</v>
      </c>
      <c r="T608" s="49">
        <f t="shared" si="146"/>
        <v>0</v>
      </c>
      <c r="U608" s="49">
        <f t="shared" si="146"/>
        <v>0</v>
      </c>
      <c r="V608" s="82">
        <f t="shared" si="146"/>
        <v>0</v>
      </c>
      <c r="W608" s="62">
        <f t="shared" si="146"/>
        <v>0</v>
      </c>
      <c r="X608" s="235">
        <f t="shared" si="146"/>
        <v>0</v>
      </c>
      <c r="Y608" s="291">
        <f t="shared" si="146"/>
        <v>0</v>
      </c>
      <c r="Z608" s="50">
        <f t="shared" si="146"/>
        <v>0</v>
      </c>
      <c r="AA608" s="49">
        <f t="shared" si="146"/>
        <v>0</v>
      </c>
      <c r="AB608" s="63">
        <f t="shared" si="146"/>
        <v>0</v>
      </c>
      <c r="AC608" s="62">
        <f t="shared" si="146"/>
        <v>0</v>
      </c>
      <c r="AD608" s="49">
        <f t="shared" si="146"/>
        <v>0</v>
      </c>
      <c r="AE608" s="235">
        <f t="shared" si="146"/>
        <v>0</v>
      </c>
      <c r="AF608" s="82">
        <f t="shared" si="146"/>
        <v>0</v>
      </c>
      <c r="AG608" s="82">
        <f t="shared" si="146"/>
        <v>0</v>
      </c>
      <c r="AH608" s="49">
        <f t="shared" si="146"/>
        <v>1494</v>
      </c>
      <c r="AI608" s="82">
        <f t="shared" si="146"/>
        <v>997</v>
      </c>
      <c r="AJ608" s="49">
        <f t="shared" si="146"/>
        <v>0</v>
      </c>
      <c r="AK608" s="235">
        <f t="shared" si="146"/>
        <v>0</v>
      </c>
      <c r="AL608" s="82">
        <f t="shared" ref="AL608:BQ608" si="147">SUM(AL268:AL274)</f>
        <v>0</v>
      </c>
      <c r="AM608" s="49">
        <f t="shared" si="147"/>
        <v>0</v>
      </c>
      <c r="AN608" s="235">
        <f t="shared" si="147"/>
        <v>0</v>
      </c>
      <c r="AO608" s="235">
        <f t="shared" si="147"/>
        <v>0</v>
      </c>
      <c r="AP608" s="82">
        <f t="shared" si="147"/>
        <v>0</v>
      </c>
      <c r="AQ608" s="49">
        <f t="shared" si="147"/>
        <v>0</v>
      </c>
      <c r="AR608" s="82">
        <f t="shared" si="147"/>
        <v>0</v>
      </c>
      <c r="AS608" s="49">
        <f t="shared" si="147"/>
        <v>0</v>
      </c>
      <c r="AT608" s="235">
        <f t="shared" si="147"/>
        <v>0</v>
      </c>
      <c r="AU608" s="82">
        <f t="shared" si="147"/>
        <v>0</v>
      </c>
      <c r="AV608" s="49">
        <f t="shared" si="147"/>
        <v>0</v>
      </c>
      <c r="AW608" s="235">
        <f t="shared" si="147"/>
        <v>0</v>
      </c>
      <c r="AX608" s="49">
        <f t="shared" si="147"/>
        <v>0</v>
      </c>
      <c r="AY608" s="235">
        <f t="shared" si="147"/>
        <v>0</v>
      </c>
      <c r="AZ608" s="82">
        <f t="shared" si="147"/>
        <v>0</v>
      </c>
      <c r="BA608" s="49">
        <f t="shared" si="147"/>
        <v>0</v>
      </c>
      <c r="BB608" s="49">
        <f t="shared" si="147"/>
        <v>0</v>
      </c>
      <c r="BC608" s="82">
        <f t="shared" si="147"/>
        <v>0</v>
      </c>
      <c r="BD608" s="49">
        <f t="shared" si="147"/>
        <v>0</v>
      </c>
      <c r="BE608" s="49">
        <f t="shared" si="147"/>
        <v>0</v>
      </c>
      <c r="BF608" s="235">
        <f t="shared" si="147"/>
        <v>0</v>
      </c>
      <c r="BG608" s="231">
        <f t="shared" si="147"/>
        <v>0</v>
      </c>
      <c r="BH608" s="543">
        <f t="shared" si="147"/>
        <v>0</v>
      </c>
      <c r="BI608" s="49">
        <f t="shared" si="147"/>
        <v>1</v>
      </c>
      <c r="BJ608" s="50">
        <f t="shared" si="147"/>
        <v>2</v>
      </c>
      <c r="BK608" s="49">
        <f t="shared" si="147"/>
        <v>0</v>
      </c>
      <c r="BL608" s="291">
        <f t="shared" si="147"/>
        <v>0</v>
      </c>
      <c r="BM608" s="50">
        <f t="shared" si="147"/>
        <v>0</v>
      </c>
      <c r="BN608" s="49">
        <f t="shared" si="147"/>
        <v>0</v>
      </c>
      <c r="BO608" s="235">
        <f t="shared" si="147"/>
        <v>0</v>
      </c>
      <c r="BP608" s="291">
        <f t="shared" si="147"/>
        <v>0</v>
      </c>
      <c r="BQ608" s="235">
        <f t="shared" si="147"/>
        <v>0</v>
      </c>
      <c r="BR608" s="82">
        <f t="shared" ref="BR608:CI608" si="148">SUM(BR268:BR274)</f>
        <v>0</v>
      </c>
      <c r="BS608" s="49">
        <f t="shared" si="148"/>
        <v>0</v>
      </c>
      <c r="BT608" s="50">
        <f t="shared" si="148"/>
        <v>0</v>
      </c>
      <c r="BU608" s="49">
        <f t="shared" si="148"/>
        <v>1</v>
      </c>
      <c r="BV608" s="291">
        <f t="shared" si="148"/>
        <v>0</v>
      </c>
      <c r="BW608" s="63">
        <f t="shared" si="148"/>
        <v>1</v>
      </c>
      <c r="BX608" s="235">
        <f t="shared" si="148"/>
        <v>2</v>
      </c>
      <c r="BY608" s="82">
        <f t="shared" si="148"/>
        <v>0</v>
      </c>
      <c r="BZ608" s="49">
        <f t="shared" si="148"/>
        <v>0</v>
      </c>
      <c r="CA608" s="235">
        <f t="shared" si="148"/>
        <v>0</v>
      </c>
      <c r="CB608" s="291">
        <f t="shared" si="148"/>
        <v>0</v>
      </c>
      <c r="CC608" s="50">
        <f t="shared" si="148"/>
        <v>0</v>
      </c>
      <c r="CD608" s="49">
        <f t="shared" si="148"/>
        <v>0</v>
      </c>
      <c r="CE608" s="235">
        <f t="shared" si="148"/>
        <v>0</v>
      </c>
      <c r="CF608" s="235">
        <f t="shared" si="148"/>
        <v>0</v>
      </c>
      <c r="CG608" s="82">
        <f t="shared" si="148"/>
        <v>0</v>
      </c>
      <c r="CH608" s="49">
        <f t="shared" si="148"/>
        <v>0</v>
      </c>
      <c r="CI608" s="82">
        <f t="shared" si="148"/>
        <v>0</v>
      </c>
    </row>
    <row r="609" spans="2:87" x14ac:dyDescent="0.3">
      <c r="B609" s="17" t="s">
        <v>778</v>
      </c>
      <c r="C609" s="322">
        <f>SUM(C275:C286)</f>
        <v>13173</v>
      </c>
      <c r="D609" s="235">
        <f>SUM(D275:D286)</f>
        <v>5871</v>
      </c>
      <c r="E609" s="367">
        <f t="shared" si="31"/>
        <v>0.44568435436119336</v>
      </c>
      <c r="F609" s="49">
        <f t="shared" ref="F609:AK609" si="149">SUM(F275:F286)</f>
        <v>0</v>
      </c>
      <c r="G609" s="49">
        <f t="shared" si="149"/>
        <v>0</v>
      </c>
      <c r="H609" s="49">
        <f t="shared" si="149"/>
        <v>0</v>
      </c>
      <c r="I609" s="49">
        <f t="shared" si="149"/>
        <v>0</v>
      </c>
      <c r="J609" s="50">
        <f t="shared" si="149"/>
        <v>0</v>
      </c>
      <c r="K609" s="49">
        <f t="shared" si="149"/>
        <v>0</v>
      </c>
      <c r="L609" s="231">
        <f t="shared" si="149"/>
        <v>0</v>
      </c>
      <c r="M609" s="543">
        <f t="shared" si="149"/>
        <v>0</v>
      </c>
      <c r="N609" s="49">
        <f t="shared" si="149"/>
        <v>0</v>
      </c>
      <c r="O609" s="235">
        <f t="shared" si="149"/>
        <v>0</v>
      </c>
      <c r="P609" s="291">
        <f t="shared" si="149"/>
        <v>0</v>
      </c>
      <c r="Q609" s="63">
        <f t="shared" si="149"/>
        <v>0</v>
      </c>
      <c r="R609" s="63">
        <f t="shared" si="149"/>
        <v>0</v>
      </c>
      <c r="S609" s="62">
        <f t="shared" si="149"/>
        <v>0</v>
      </c>
      <c r="T609" s="49">
        <f t="shared" si="149"/>
        <v>0</v>
      </c>
      <c r="U609" s="49">
        <f t="shared" si="149"/>
        <v>0</v>
      </c>
      <c r="V609" s="82">
        <f t="shared" si="149"/>
        <v>0</v>
      </c>
      <c r="W609" s="62">
        <f t="shared" si="149"/>
        <v>0</v>
      </c>
      <c r="X609" s="235">
        <f t="shared" si="149"/>
        <v>0</v>
      </c>
      <c r="Y609" s="291">
        <f t="shared" si="149"/>
        <v>0</v>
      </c>
      <c r="Z609" s="50">
        <f t="shared" si="149"/>
        <v>0</v>
      </c>
      <c r="AA609" s="49">
        <f t="shared" si="149"/>
        <v>0</v>
      </c>
      <c r="AB609" s="63">
        <f t="shared" si="149"/>
        <v>0</v>
      </c>
      <c r="AC609" s="62">
        <f t="shared" si="149"/>
        <v>0</v>
      </c>
      <c r="AD609" s="49">
        <f t="shared" si="149"/>
        <v>0</v>
      </c>
      <c r="AE609" s="235">
        <f t="shared" si="149"/>
        <v>0</v>
      </c>
      <c r="AF609" s="82">
        <f t="shared" si="149"/>
        <v>0</v>
      </c>
      <c r="AG609" s="82">
        <f t="shared" si="149"/>
        <v>0</v>
      </c>
      <c r="AH609" s="49">
        <f t="shared" si="149"/>
        <v>0</v>
      </c>
      <c r="AI609" s="82">
        <f t="shared" si="149"/>
        <v>0</v>
      </c>
      <c r="AJ609" s="49">
        <f t="shared" si="149"/>
        <v>2351</v>
      </c>
      <c r="AK609" s="235">
        <f t="shared" si="149"/>
        <v>1893</v>
      </c>
      <c r="AL609" s="82">
        <f t="shared" ref="AL609:BQ609" si="150">SUM(AL275:AL286)</f>
        <v>2394</v>
      </c>
      <c r="AM609" s="49">
        <f t="shared" si="150"/>
        <v>0</v>
      </c>
      <c r="AN609" s="235">
        <f t="shared" si="150"/>
        <v>0</v>
      </c>
      <c r="AO609" s="235">
        <f t="shared" si="150"/>
        <v>0</v>
      </c>
      <c r="AP609" s="82">
        <f t="shared" si="150"/>
        <v>0</v>
      </c>
      <c r="AQ609" s="49">
        <f t="shared" si="150"/>
        <v>0</v>
      </c>
      <c r="AR609" s="82">
        <f t="shared" si="150"/>
        <v>0</v>
      </c>
      <c r="AS609" s="49">
        <f t="shared" si="150"/>
        <v>0</v>
      </c>
      <c r="AT609" s="235">
        <f t="shared" si="150"/>
        <v>0</v>
      </c>
      <c r="AU609" s="82">
        <f t="shared" si="150"/>
        <v>0</v>
      </c>
      <c r="AV609" s="49">
        <f t="shared" si="150"/>
        <v>0</v>
      </c>
      <c r="AW609" s="235">
        <f t="shared" si="150"/>
        <v>0</v>
      </c>
      <c r="AX609" s="49">
        <f t="shared" si="150"/>
        <v>0</v>
      </c>
      <c r="AY609" s="235">
        <f t="shared" si="150"/>
        <v>0</v>
      </c>
      <c r="AZ609" s="82">
        <f t="shared" si="150"/>
        <v>0</v>
      </c>
      <c r="BA609" s="49">
        <f t="shared" si="150"/>
        <v>0</v>
      </c>
      <c r="BB609" s="49">
        <f t="shared" si="150"/>
        <v>0</v>
      </c>
      <c r="BC609" s="82">
        <f t="shared" si="150"/>
        <v>0</v>
      </c>
      <c r="BD609" s="49">
        <f t="shared" si="150"/>
        <v>0</v>
      </c>
      <c r="BE609" s="49">
        <f t="shared" si="150"/>
        <v>0</v>
      </c>
      <c r="BF609" s="235">
        <f t="shared" si="150"/>
        <v>0</v>
      </c>
      <c r="BG609" s="231">
        <f t="shared" si="150"/>
        <v>0</v>
      </c>
      <c r="BH609" s="543">
        <f t="shared" si="150"/>
        <v>0</v>
      </c>
      <c r="BI609" s="49">
        <f t="shared" si="150"/>
        <v>0</v>
      </c>
      <c r="BJ609" s="50">
        <f t="shared" si="150"/>
        <v>0</v>
      </c>
      <c r="BK609" s="49">
        <f t="shared" si="150"/>
        <v>0</v>
      </c>
      <c r="BL609" s="291">
        <f t="shared" si="150"/>
        <v>0</v>
      </c>
      <c r="BM609" s="50">
        <f t="shared" si="150"/>
        <v>0</v>
      </c>
      <c r="BN609" s="49">
        <f t="shared" si="150"/>
        <v>0</v>
      </c>
      <c r="BO609" s="235">
        <f t="shared" si="150"/>
        <v>0</v>
      </c>
      <c r="BP609" s="291">
        <f t="shared" si="150"/>
        <v>0</v>
      </c>
      <c r="BQ609" s="235">
        <f t="shared" si="150"/>
        <v>0</v>
      </c>
      <c r="BR609" s="82">
        <f t="shared" ref="BR609:CI609" si="151">SUM(BR275:BR286)</f>
        <v>0</v>
      </c>
      <c r="BS609" s="49">
        <f t="shared" si="151"/>
        <v>0</v>
      </c>
      <c r="BT609" s="50">
        <f t="shared" si="151"/>
        <v>0</v>
      </c>
      <c r="BU609" s="49">
        <f t="shared" si="151"/>
        <v>0</v>
      </c>
      <c r="BV609" s="291">
        <f t="shared" si="151"/>
        <v>0</v>
      </c>
      <c r="BW609" s="63">
        <f t="shared" si="151"/>
        <v>0</v>
      </c>
      <c r="BX609" s="235">
        <f t="shared" si="151"/>
        <v>0</v>
      </c>
      <c r="BY609" s="82">
        <f t="shared" si="151"/>
        <v>0</v>
      </c>
      <c r="BZ609" s="49">
        <f t="shared" si="151"/>
        <v>0</v>
      </c>
      <c r="CA609" s="235">
        <f t="shared" si="151"/>
        <v>0</v>
      </c>
      <c r="CB609" s="291">
        <f t="shared" si="151"/>
        <v>0</v>
      </c>
      <c r="CC609" s="50">
        <f t="shared" si="151"/>
        <v>0</v>
      </c>
      <c r="CD609" s="49">
        <f t="shared" si="151"/>
        <v>0</v>
      </c>
      <c r="CE609" s="235">
        <f t="shared" si="151"/>
        <v>0</v>
      </c>
      <c r="CF609" s="235">
        <f t="shared" si="151"/>
        <v>0</v>
      </c>
      <c r="CG609" s="82">
        <f t="shared" si="151"/>
        <v>0</v>
      </c>
      <c r="CH609" s="49">
        <f t="shared" si="151"/>
        <v>0</v>
      </c>
      <c r="CI609" s="82">
        <f t="shared" si="151"/>
        <v>0</v>
      </c>
    </row>
    <row r="610" spans="2:87" x14ac:dyDescent="0.3">
      <c r="B610" s="17" t="s">
        <v>708</v>
      </c>
      <c r="C610" s="322">
        <f>SUM(C287:C294)</f>
        <v>7271</v>
      </c>
      <c r="D610" s="235">
        <f>SUM(D287:D294)</f>
        <v>3615</v>
      </c>
      <c r="E610" s="367">
        <f t="shared" si="31"/>
        <v>0.49718058038784213</v>
      </c>
      <c r="F610" s="49">
        <f t="shared" ref="F610:AK610" si="152">SUM(F287:F294)</f>
        <v>0</v>
      </c>
      <c r="G610" s="49">
        <f t="shared" si="152"/>
        <v>0</v>
      </c>
      <c r="H610" s="49">
        <f t="shared" si="152"/>
        <v>0</v>
      </c>
      <c r="I610" s="49">
        <f t="shared" si="152"/>
        <v>0</v>
      </c>
      <c r="J610" s="50">
        <f t="shared" si="152"/>
        <v>0</v>
      </c>
      <c r="K610" s="49">
        <f t="shared" si="152"/>
        <v>0</v>
      </c>
      <c r="L610" s="231">
        <f t="shared" si="152"/>
        <v>0</v>
      </c>
      <c r="M610" s="543">
        <f t="shared" si="152"/>
        <v>0</v>
      </c>
      <c r="N610" s="49">
        <f t="shared" si="152"/>
        <v>0</v>
      </c>
      <c r="O610" s="235">
        <f t="shared" si="152"/>
        <v>0</v>
      </c>
      <c r="P610" s="291">
        <f t="shared" si="152"/>
        <v>0</v>
      </c>
      <c r="Q610" s="63">
        <f t="shared" si="152"/>
        <v>0</v>
      </c>
      <c r="R610" s="63">
        <f t="shared" si="152"/>
        <v>0</v>
      </c>
      <c r="S610" s="62">
        <f t="shared" si="152"/>
        <v>0</v>
      </c>
      <c r="T610" s="49">
        <f t="shared" si="152"/>
        <v>0</v>
      </c>
      <c r="U610" s="49">
        <f t="shared" si="152"/>
        <v>0</v>
      </c>
      <c r="V610" s="82">
        <f t="shared" si="152"/>
        <v>0</v>
      </c>
      <c r="W610" s="62">
        <f t="shared" si="152"/>
        <v>0</v>
      </c>
      <c r="X610" s="235">
        <f t="shared" si="152"/>
        <v>0</v>
      </c>
      <c r="Y610" s="291">
        <f t="shared" si="152"/>
        <v>0</v>
      </c>
      <c r="Z610" s="50">
        <f t="shared" si="152"/>
        <v>0</v>
      </c>
      <c r="AA610" s="49">
        <f t="shared" si="152"/>
        <v>0</v>
      </c>
      <c r="AB610" s="63">
        <f t="shared" si="152"/>
        <v>0</v>
      </c>
      <c r="AC610" s="62">
        <f t="shared" si="152"/>
        <v>0</v>
      </c>
      <c r="AD610" s="49">
        <f t="shared" si="152"/>
        <v>0</v>
      </c>
      <c r="AE610" s="235">
        <f t="shared" si="152"/>
        <v>0</v>
      </c>
      <c r="AF610" s="82">
        <f t="shared" si="152"/>
        <v>0</v>
      </c>
      <c r="AG610" s="82">
        <f t="shared" si="152"/>
        <v>0</v>
      </c>
      <c r="AH610" s="49">
        <f t="shared" si="152"/>
        <v>0</v>
      </c>
      <c r="AI610" s="82">
        <f t="shared" si="152"/>
        <v>0</v>
      </c>
      <c r="AJ610" s="49">
        <f t="shared" si="152"/>
        <v>0</v>
      </c>
      <c r="AK610" s="235">
        <f t="shared" si="152"/>
        <v>0</v>
      </c>
      <c r="AL610" s="82">
        <f t="shared" ref="AL610:BQ610" si="153">SUM(AL287:AL294)</f>
        <v>0</v>
      </c>
      <c r="AM610" s="49">
        <f t="shared" si="153"/>
        <v>0</v>
      </c>
      <c r="AN610" s="235">
        <f t="shared" si="153"/>
        <v>0</v>
      </c>
      <c r="AO610" s="235">
        <f t="shared" si="153"/>
        <v>0</v>
      </c>
      <c r="AP610" s="82">
        <f t="shared" si="153"/>
        <v>0</v>
      </c>
      <c r="AQ610" s="49">
        <f t="shared" si="153"/>
        <v>1512</v>
      </c>
      <c r="AR610" s="82">
        <f t="shared" si="153"/>
        <v>2125</v>
      </c>
      <c r="AS610" s="49">
        <f t="shared" si="153"/>
        <v>0</v>
      </c>
      <c r="AT610" s="235">
        <f t="shared" si="153"/>
        <v>0</v>
      </c>
      <c r="AU610" s="82">
        <f t="shared" si="153"/>
        <v>0</v>
      </c>
      <c r="AV610" s="49">
        <f t="shared" si="153"/>
        <v>0</v>
      </c>
      <c r="AW610" s="235">
        <f t="shared" si="153"/>
        <v>0</v>
      </c>
      <c r="AX610" s="49">
        <f t="shared" si="153"/>
        <v>0</v>
      </c>
      <c r="AY610" s="235">
        <f t="shared" si="153"/>
        <v>0</v>
      </c>
      <c r="AZ610" s="82">
        <f t="shared" si="153"/>
        <v>0</v>
      </c>
      <c r="BA610" s="49">
        <f t="shared" si="153"/>
        <v>0</v>
      </c>
      <c r="BB610" s="49">
        <f t="shared" si="153"/>
        <v>0</v>
      </c>
      <c r="BC610" s="82">
        <f t="shared" si="153"/>
        <v>0</v>
      </c>
      <c r="BD610" s="49">
        <f t="shared" si="153"/>
        <v>0</v>
      </c>
      <c r="BE610" s="49">
        <f t="shared" si="153"/>
        <v>0</v>
      </c>
      <c r="BF610" s="235">
        <f t="shared" si="153"/>
        <v>0</v>
      </c>
      <c r="BG610" s="231">
        <f t="shared" si="153"/>
        <v>0</v>
      </c>
      <c r="BH610" s="543">
        <f t="shared" si="153"/>
        <v>0</v>
      </c>
      <c r="BI610" s="49">
        <f t="shared" si="153"/>
        <v>0</v>
      </c>
      <c r="BJ610" s="50">
        <f t="shared" si="153"/>
        <v>0</v>
      </c>
      <c r="BK610" s="49">
        <f t="shared" si="153"/>
        <v>0</v>
      </c>
      <c r="BL610" s="291">
        <f t="shared" si="153"/>
        <v>0</v>
      </c>
      <c r="BM610" s="50">
        <f t="shared" si="153"/>
        <v>0</v>
      </c>
      <c r="BN610" s="49">
        <f t="shared" si="153"/>
        <v>0</v>
      </c>
      <c r="BO610" s="235">
        <f t="shared" si="153"/>
        <v>0</v>
      </c>
      <c r="BP610" s="291">
        <f t="shared" si="153"/>
        <v>0</v>
      </c>
      <c r="BQ610" s="235">
        <f t="shared" si="153"/>
        <v>0</v>
      </c>
      <c r="BR610" s="82">
        <f t="shared" ref="BR610:CI610" si="154">SUM(BR287:BR294)</f>
        <v>0</v>
      </c>
      <c r="BS610" s="49">
        <f t="shared" si="154"/>
        <v>0</v>
      </c>
      <c r="BT610" s="50">
        <f t="shared" si="154"/>
        <v>0</v>
      </c>
      <c r="BU610" s="49">
        <f t="shared" si="154"/>
        <v>0</v>
      </c>
      <c r="BV610" s="291">
        <f t="shared" si="154"/>
        <v>0</v>
      </c>
      <c r="BW610" s="63">
        <f t="shared" si="154"/>
        <v>0</v>
      </c>
      <c r="BX610" s="235">
        <f t="shared" si="154"/>
        <v>0</v>
      </c>
      <c r="BY610" s="82">
        <f t="shared" si="154"/>
        <v>0</v>
      </c>
      <c r="BZ610" s="49">
        <f t="shared" si="154"/>
        <v>0</v>
      </c>
      <c r="CA610" s="235">
        <f t="shared" si="154"/>
        <v>0</v>
      </c>
      <c r="CB610" s="291">
        <f t="shared" si="154"/>
        <v>0</v>
      </c>
      <c r="CC610" s="50">
        <f t="shared" si="154"/>
        <v>0</v>
      </c>
      <c r="CD610" s="49">
        <f t="shared" si="154"/>
        <v>0</v>
      </c>
      <c r="CE610" s="235">
        <f t="shared" si="154"/>
        <v>0</v>
      </c>
      <c r="CF610" s="235">
        <f t="shared" si="154"/>
        <v>0</v>
      </c>
      <c r="CG610" s="82">
        <f t="shared" si="154"/>
        <v>0</v>
      </c>
      <c r="CH610" s="49">
        <f t="shared" si="154"/>
        <v>0</v>
      </c>
      <c r="CI610" s="82">
        <f t="shared" si="154"/>
        <v>0</v>
      </c>
    </row>
    <row r="611" spans="2:87" x14ac:dyDescent="0.3">
      <c r="B611" s="17" t="s">
        <v>709</v>
      </c>
      <c r="C611" s="322">
        <f>SUM(C295:C301)</f>
        <v>7722</v>
      </c>
      <c r="D611" s="235">
        <f>SUM(D295:D301)</f>
        <v>4002</v>
      </c>
      <c r="E611" s="367">
        <f t="shared" si="31"/>
        <v>0.51825951825951821</v>
      </c>
      <c r="F611" s="49">
        <f t="shared" ref="F611:AK611" si="155">SUM(F295:F301)</f>
        <v>0</v>
      </c>
      <c r="G611" s="49">
        <f t="shared" si="155"/>
        <v>0</v>
      </c>
      <c r="H611" s="49">
        <f t="shared" si="155"/>
        <v>0</v>
      </c>
      <c r="I611" s="49">
        <f t="shared" si="155"/>
        <v>0</v>
      </c>
      <c r="J611" s="50">
        <f t="shared" si="155"/>
        <v>0</v>
      </c>
      <c r="K611" s="49">
        <f t="shared" si="155"/>
        <v>0</v>
      </c>
      <c r="L611" s="231">
        <f t="shared" si="155"/>
        <v>0</v>
      </c>
      <c r="M611" s="543">
        <f t="shared" si="155"/>
        <v>0</v>
      </c>
      <c r="N611" s="49">
        <f t="shared" si="155"/>
        <v>0</v>
      </c>
      <c r="O611" s="235">
        <f t="shared" si="155"/>
        <v>0</v>
      </c>
      <c r="P611" s="291">
        <f t="shared" si="155"/>
        <v>0</v>
      </c>
      <c r="Q611" s="63">
        <f t="shared" si="155"/>
        <v>0</v>
      </c>
      <c r="R611" s="63">
        <f t="shared" si="155"/>
        <v>0</v>
      </c>
      <c r="S611" s="62">
        <f t="shared" si="155"/>
        <v>0</v>
      </c>
      <c r="T611" s="49">
        <f t="shared" si="155"/>
        <v>0</v>
      </c>
      <c r="U611" s="49">
        <f t="shared" si="155"/>
        <v>0</v>
      </c>
      <c r="V611" s="82">
        <f t="shared" si="155"/>
        <v>0</v>
      </c>
      <c r="W611" s="62">
        <f t="shared" si="155"/>
        <v>0</v>
      </c>
      <c r="X611" s="235">
        <f t="shared" si="155"/>
        <v>0</v>
      </c>
      <c r="Y611" s="291">
        <f t="shared" si="155"/>
        <v>0</v>
      </c>
      <c r="Z611" s="50">
        <f t="shared" si="155"/>
        <v>0</v>
      </c>
      <c r="AA611" s="49">
        <f t="shared" si="155"/>
        <v>0</v>
      </c>
      <c r="AB611" s="63">
        <f t="shared" si="155"/>
        <v>0</v>
      </c>
      <c r="AC611" s="62">
        <f t="shared" si="155"/>
        <v>0</v>
      </c>
      <c r="AD611" s="49">
        <f t="shared" si="155"/>
        <v>0</v>
      </c>
      <c r="AE611" s="235">
        <f t="shared" si="155"/>
        <v>0</v>
      </c>
      <c r="AF611" s="82">
        <f t="shared" si="155"/>
        <v>0</v>
      </c>
      <c r="AG611" s="82">
        <f t="shared" si="155"/>
        <v>0</v>
      </c>
      <c r="AH611" s="49">
        <f t="shared" si="155"/>
        <v>0</v>
      </c>
      <c r="AI611" s="82">
        <f t="shared" si="155"/>
        <v>0</v>
      </c>
      <c r="AJ611" s="49">
        <f t="shared" si="155"/>
        <v>0</v>
      </c>
      <c r="AK611" s="235">
        <f t="shared" si="155"/>
        <v>0</v>
      </c>
      <c r="AL611" s="82">
        <f t="shared" ref="AL611:BQ611" si="156">SUM(AL295:AL301)</f>
        <v>0</v>
      </c>
      <c r="AM611" s="49">
        <f t="shared" si="156"/>
        <v>1598</v>
      </c>
      <c r="AN611" s="235">
        <f t="shared" si="156"/>
        <v>1147</v>
      </c>
      <c r="AO611" s="235">
        <f t="shared" si="156"/>
        <v>1272</v>
      </c>
      <c r="AP611" s="82">
        <f t="shared" si="156"/>
        <v>1887</v>
      </c>
      <c r="AQ611" s="49">
        <f t="shared" si="156"/>
        <v>0</v>
      </c>
      <c r="AR611" s="82">
        <f t="shared" si="156"/>
        <v>0</v>
      </c>
      <c r="AS611" s="49">
        <f t="shared" si="156"/>
        <v>0</v>
      </c>
      <c r="AT611" s="235">
        <f t="shared" si="156"/>
        <v>0</v>
      </c>
      <c r="AU611" s="82">
        <f t="shared" si="156"/>
        <v>0</v>
      </c>
      <c r="AV611" s="49">
        <f t="shared" si="156"/>
        <v>0</v>
      </c>
      <c r="AW611" s="235">
        <f t="shared" si="156"/>
        <v>0</v>
      </c>
      <c r="AX611" s="49">
        <f t="shared" si="156"/>
        <v>0</v>
      </c>
      <c r="AY611" s="235">
        <f t="shared" si="156"/>
        <v>0</v>
      </c>
      <c r="AZ611" s="82">
        <f t="shared" si="156"/>
        <v>0</v>
      </c>
      <c r="BA611" s="49">
        <f t="shared" si="156"/>
        <v>0</v>
      </c>
      <c r="BB611" s="49">
        <f t="shared" si="156"/>
        <v>0</v>
      </c>
      <c r="BC611" s="82">
        <f t="shared" si="156"/>
        <v>0</v>
      </c>
      <c r="BD611" s="49">
        <f t="shared" si="156"/>
        <v>0</v>
      </c>
      <c r="BE611" s="49">
        <f t="shared" si="156"/>
        <v>0</v>
      </c>
      <c r="BF611" s="235">
        <f t="shared" si="156"/>
        <v>0</v>
      </c>
      <c r="BG611" s="231">
        <f t="shared" si="156"/>
        <v>0</v>
      </c>
      <c r="BH611" s="543">
        <f t="shared" si="156"/>
        <v>0</v>
      </c>
      <c r="BI611" s="49">
        <f t="shared" si="156"/>
        <v>0</v>
      </c>
      <c r="BJ611" s="50">
        <f t="shared" si="156"/>
        <v>0</v>
      </c>
      <c r="BK611" s="49">
        <f t="shared" si="156"/>
        <v>0</v>
      </c>
      <c r="BL611" s="291">
        <f t="shared" si="156"/>
        <v>0</v>
      </c>
      <c r="BM611" s="50">
        <f t="shared" si="156"/>
        <v>0</v>
      </c>
      <c r="BN611" s="49">
        <f t="shared" si="156"/>
        <v>0</v>
      </c>
      <c r="BO611" s="235">
        <f t="shared" si="156"/>
        <v>0</v>
      </c>
      <c r="BP611" s="291">
        <f t="shared" si="156"/>
        <v>0</v>
      </c>
      <c r="BQ611" s="235">
        <f t="shared" si="156"/>
        <v>0</v>
      </c>
      <c r="BR611" s="82">
        <f t="shared" ref="BR611:CI611" si="157">SUM(BR295:BR301)</f>
        <v>0</v>
      </c>
      <c r="BS611" s="49">
        <f t="shared" si="157"/>
        <v>0</v>
      </c>
      <c r="BT611" s="50">
        <f t="shared" si="157"/>
        <v>0</v>
      </c>
      <c r="BU611" s="49">
        <f t="shared" si="157"/>
        <v>0</v>
      </c>
      <c r="BV611" s="291">
        <f t="shared" si="157"/>
        <v>0</v>
      </c>
      <c r="BW611" s="63">
        <f t="shared" si="157"/>
        <v>0</v>
      </c>
      <c r="BX611" s="235">
        <f t="shared" si="157"/>
        <v>0</v>
      </c>
      <c r="BY611" s="82">
        <f t="shared" si="157"/>
        <v>0</v>
      </c>
      <c r="BZ611" s="49">
        <f t="shared" si="157"/>
        <v>0</v>
      </c>
      <c r="CA611" s="235">
        <f t="shared" si="157"/>
        <v>0</v>
      </c>
      <c r="CB611" s="291">
        <f t="shared" si="157"/>
        <v>0</v>
      </c>
      <c r="CC611" s="50">
        <f t="shared" si="157"/>
        <v>0</v>
      </c>
      <c r="CD611" s="49">
        <f t="shared" si="157"/>
        <v>0</v>
      </c>
      <c r="CE611" s="235">
        <f t="shared" si="157"/>
        <v>0</v>
      </c>
      <c r="CF611" s="235">
        <f t="shared" si="157"/>
        <v>0</v>
      </c>
      <c r="CG611" s="82">
        <f t="shared" si="157"/>
        <v>0</v>
      </c>
      <c r="CH611" s="49">
        <f t="shared" si="157"/>
        <v>0</v>
      </c>
      <c r="CI611" s="82">
        <f t="shared" si="157"/>
        <v>0</v>
      </c>
    </row>
    <row r="612" spans="2:87" x14ac:dyDescent="0.3">
      <c r="B612" s="17" t="s">
        <v>733</v>
      </c>
      <c r="C612" s="322">
        <f>SUM(C302:C309)</f>
        <v>6843</v>
      </c>
      <c r="D612" s="235">
        <f>SUM(D302:D309)</f>
        <v>3294</v>
      </c>
      <c r="E612" s="367">
        <f t="shared" si="31"/>
        <v>0.48136782113108284</v>
      </c>
      <c r="F612" s="49">
        <f t="shared" ref="F612:AK612" si="158">SUM(F302:F309)</f>
        <v>0</v>
      </c>
      <c r="G612" s="49">
        <f t="shared" si="158"/>
        <v>0</v>
      </c>
      <c r="H612" s="49">
        <f t="shared" si="158"/>
        <v>0</v>
      </c>
      <c r="I612" s="49">
        <f t="shared" si="158"/>
        <v>0</v>
      </c>
      <c r="J612" s="50">
        <f t="shared" si="158"/>
        <v>0</v>
      </c>
      <c r="K612" s="49">
        <f t="shared" si="158"/>
        <v>0</v>
      </c>
      <c r="L612" s="231">
        <f t="shared" si="158"/>
        <v>0</v>
      </c>
      <c r="M612" s="543">
        <f t="shared" si="158"/>
        <v>0</v>
      </c>
      <c r="N612" s="49">
        <f t="shared" si="158"/>
        <v>0</v>
      </c>
      <c r="O612" s="235">
        <f t="shared" si="158"/>
        <v>0</v>
      </c>
      <c r="P612" s="291">
        <f t="shared" si="158"/>
        <v>0</v>
      </c>
      <c r="Q612" s="63">
        <f t="shared" si="158"/>
        <v>0</v>
      </c>
      <c r="R612" s="63">
        <f t="shared" si="158"/>
        <v>0</v>
      </c>
      <c r="S612" s="62">
        <f t="shared" si="158"/>
        <v>0</v>
      </c>
      <c r="T612" s="49">
        <f t="shared" si="158"/>
        <v>0</v>
      </c>
      <c r="U612" s="49">
        <f t="shared" si="158"/>
        <v>0</v>
      </c>
      <c r="V612" s="82">
        <f t="shared" si="158"/>
        <v>0</v>
      </c>
      <c r="W612" s="62">
        <f t="shared" si="158"/>
        <v>0</v>
      </c>
      <c r="X612" s="235">
        <f t="shared" si="158"/>
        <v>0</v>
      </c>
      <c r="Y612" s="291">
        <f t="shared" si="158"/>
        <v>0</v>
      </c>
      <c r="Z612" s="50">
        <f t="shared" si="158"/>
        <v>0</v>
      </c>
      <c r="AA612" s="49">
        <f t="shared" si="158"/>
        <v>0</v>
      </c>
      <c r="AB612" s="63">
        <f t="shared" si="158"/>
        <v>0</v>
      </c>
      <c r="AC612" s="62">
        <f t="shared" si="158"/>
        <v>0</v>
      </c>
      <c r="AD612" s="49">
        <f t="shared" si="158"/>
        <v>0</v>
      </c>
      <c r="AE612" s="235">
        <f t="shared" si="158"/>
        <v>0</v>
      </c>
      <c r="AF612" s="82">
        <f t="shared" si="158"/>
        <v>0</v>
      </c>
      <c r="AG612" s="82">
        <f t="shared" si="158"/>
        <v>0</v>
      </c>
      <c r="AH612" s="49">
        <f t="shared" si="158"/>
        <v>0</v>
      </c>
      <c r="AI612" s="82">
        <f t="shared" si="158"/>
        <v>0</v>
      </c>
      <c r="AJ612" s="49">
        <f t="shared" si="158"/>
        <v>0</v>
      </c>
      <c r="AK612" s="235">
        <f t="shared" si="158"/>
        <v>0</v>
      </c>
      <c r="AL612" s="82">
        <f t="shared" ref="AL612:BQ612" si="159">SUM(AL302:AL309)</f>
        <v>0</v>
      </c>
      <c r="AM612" s="49">
        <f t="shared" si="159"/>
        <v>1658</v>
      </c>
      <c r="AN612" s="235">
        <f t="shared" si="159"/>
        <v>1085</v>
      </c>
      <c r="AO612" s="235">
        <f t="shared" si="159"/>
        <v>1168</v>
      </c>
      <c r="AP612" s="82">
        <f t="shared" si="159"/>
        <v>1404</v>
      </c>
      <c r="AQ612" s="49">
        <f t="shared" si="159"/>
        <v>0</v>
      </c>
      <c r="AR612" s="82">
        <f t="shared" si="159"/>
        <v>0</v>
      </c>
      <c r="AS612" s="49">
        <f t="shared" si="159"/>
        <v>0</v>
      </c>
      <c r="AT612" s="235">
        <f t="shared" si="159"/>
        <v>0</v>
      </c>
      <c r="AU612" s="82">
        <f t="shared" si="159"/>
        <v>0</v>
      </c>
      <c r="AV612" s="49">
        <f t="shared" si="159"/>
        <v>0</v>
      </c>
      <c r="AW612" s="235">
        <f t="shared" si="159"/>
        <v>0</v>
      </c>
      <c r="AX612" s="49">
        <f t="shared" si="159"/>
        <v>0</v>
      </c>
      <c r="AY612" s="235">
        <f t="shared" si="159"/>
        <v>0</v>
      </c>
      <c r="AZ612" s="82">
        <f t="shared" si="159"/>
        <v>0</v>
      </c>
      <c r="BA612" s="49">
        <f t="shared" si="159"/>
        <v>0</v>
      </c>
      <c r="BB612" s="49">
        <f t="shared" si="159"/>
        <v>0</v>
      </c>
      <c r="BC612" s="82">
        <f t="shared" si="159"/>
        <v>0</v>
      </c>
      <c r="BD612" s="49">
        <f t="shared" si="159"/>
        <v>0</v>
      </c>
      <c r="BE612" s="49">
        <f t="shared" si="159"/>
        <v>0</v>
      </c>
      <c r="BF612" s="235">
        <f t="shared" si="159"/>
        <v>0</v>
      </c>
      <c r="BG612" s="231">
        <f t="shared" si="159"/>
        <v>0</v>
      </c>
      <c r="BH612" s="543">
        <f t="shared" si="159"/>
        <v>0</v>
      </c>
      <c r="BI612" s="49">
        <f t="shared" si="159"/>
        <v>0</v>
      </c>
      <c r="BJ612" s="50">
        <f t="shared" si="159"/>
        <v>0</v>
      </c>
      <c r="BK612" s="49">
        <f t="shared" si="159"/>
        <v>0</v>
      </c>
      <c r="BL612" s="291">
        <f t="shared" si="159"/>
        <v>0</v>
      </c>
      <c r="BM612" s="50">
        <f t="shared" si="159"/>
        <v>0</v>
      </c>
      <c r="BN612" s="49">
        <f t="shared" si="159"/>
        <v>0</v>
      </c>
      <c r="BO612" s="235">
        <f t="shared" si="159"/>
        <v>0</v>
      </c>
      <c r="BP612" s="291">
        <f t="shared" si="159"/>
        <v>0</v>
      </c>
      <c r="BQ612" s="235">
        <f t="shared" si="159"/>
        <v>0</v>
      </c>
      <c r="BR612" s="82">
        <f t="shared" ref="BR612:CI612" si="160">SUM(BR302:BR309)</f>
        <v>0</v>
      </c>
      <c r="BS612" s="49">
        <f t="shared" si="160"/>
        <v>0</v>
      </c>
      <c r="BT612" s="50">
        <f t="shared" si="160"/>
        <v>0</v>
      </c>
      <c r="BU612" s="49">
        <f t="shared" si="160"/>
        <v>0</v>
      </c>
      <c r="BV612" s="291">
        <f t="shared" si="160"/>
        <v>0</v>
      </c>
      <c r="BW612" s="63">
        <f t="shared" si="160"/>
        <v>0</v>
      </c>
      <c r="BX612" s="235">
        <f t="shared" si="160"/>
        <v>0</v>
      </c>
      <c r="BY612" s="82">
        <f t="shared" si="160"/>
        <v>0</v>
      </c>
      <c r="BZ612" s="49">
        <f t="shared" si="160"/>
        <v>0</v>
      </c>
      <c r="CA612" s="235">
        <f t="shared" si="160"/>
        <v>0</v>
      </c>
      <c r="CB612" s="291">
        <f t="shared" si="160"/>
        <v>0</v>
      </c>
      <c r="CC612" s="50">
        <f t="shared" si="160"/>
        <v>0</v>
      </c>
      <c r="CD612" s="49">
        <f t="shared" si="160"/>
        <v>0</v>
      </c>
      <c r="CE612" s="235">
        <f t="shared" si="160"/>
        <v>0</v>
      </c>
      <c r="CF612" s="235">
        <f t="shared" si="160"/>
        <v>0</v>
      </c>
      <c r="CG612" s="82">
        <f t="shared" si="160"/>
        <v>0</v>
      </c>
      <c r="CH612" s="49">
        <f t="shared" si="160"/>
        <v>0</v>
      </c>
      <c r="CI612" s="82">
        <f t="shared" si="160"/>
        <v>0</v>
      </c>
    </row>
    <row r="613" spans="2:87" x14ac:dyDescent="0.3">
      <c r="B613" s="17" t="s">
        <v>20</v>
      </c>
      <c r="C613" s="322">
        <f>SUM(C310:C314)</f>
        <v>7066</v>
      </c>
      <c r="D613" s="235">
        <f>SUM(D310:D314)</f>
        <v>4631</v>
      </c>
      <c r="E613" s="367">
        <f t="shared" si="31"/>
        <v>0.65539201811491654</v>
      </c>
      <c r="F613" s="49">
        <f t="shared" ref="F613:AK613" si="161">SUM(F310:F314)</f>
        <v>0</v>
      </c>
      <c r="G613" s="49">
        <f t="shared" si="161"/>
        <v>0</v>
      </c>
      <c r="H613" s="49">
        <f t="shared" si="161"/>
        <v>0</v>
      </c>
      <c r="I613" s="49">
        <f t="shared" si="161"/>
        <v>0</v>
      </c>
      <c r="J613" s="50">
        <f t="shared" si="161"/>
        <v>0</v>
      </c>
      <c r="K613" s="49">
        <f t="shared" si="161"/>
        <v>0</v>
      </c>
      <c r="L613" s="231">
        <f t="shared" si="161"/>
        <v>0</v>
      </c>
      <c r="M613" s="543">
        <f t="shared" si="161"/>
        <v>0</v>
      </c>
      <c r="N613" s="49">
        <f t="shared" si="161"/>
        <v>0</v>
      </c>
      <c r="O613" s="235">
        <f t="shared" si="161"/>
        <v>0</v>
      </c>
      <c r="P613" s="291">
        <f t="shared" si="161"/>
        <v>0</v>
      </c>
      <c r="Q613" s="63">
        <f t="shared" si="161"/>
        <v>0</v>
      </c>
      <c r="R613" s="63">
        <f t="shared" si="161"/>
        <v>0</v>
      </c>
      <c r="S613" s="62">
        <f t="shared" si="161"/>
        <v>0</v>
      </c>
      <c r="T613" s="49">
        <f t="shared" si="161"/>
        <v>0</v>
      </c>
      <c r="U613" s="49">
        <f t="shared" si="161"/>
        <v>0</v>
      </c>
      <c r="V613" s="82">
        <f t="shared" si="161"/>
        <v>0</v>
      </c>
      <c r="W613" s="62">
        <f t="shared" si="161"/>
        <v>0</v>
      </c>
      <c r="X613" s="235">
        <f t="shared" si="161"/>
        <v>0</v>
      </c>
      <c r="Y613" s="291">
        <f t="shared" si="161"/>
        <v>0</v>
      </c>
      <c r="Z613" s="50">
        <f t="shared" si="161"/>
        <v>0</v>
      </c>
      <c r="AA613" s="49">
        <f t="shared" si="161"/>
        <v>0</v>
      </c>
      <c r="AB613" s="63">
        <f t="shared" si="161"/>
        <v>0</v>
      </c>
      <c r="AC613" s="62">
        <f t="shared" si="161"/>
        <v>0</v>
      </c>
      <c r="AD613" s="49">
        <f t="shared" si="161"/>
        <v>0</v>
      </c>
      <c r="AE613" s="235">
        <f t="shared" si="161"/>
        <v>0</v>
      </c>
      <c r="AF613" s="82">
        <f t="shared" si="161"/>
        <v>0</v>
      </c>
      <c r="AG613" s="82">
        <f t="shared" si="161"/>
        <v>0</v>
      </c>
      <c r="AH613" s="49">
        <f t="shared" si="161"/>
        <v>0</v>
      </c>
      <c r="AI613" s="82">
        <f t="shared" si="161"/>
        <v>0</v>
      </c>
      <c r="AJ613" s="49">
        <f t="shared" si="161"/>
        <v>0</v>
      </c>
      <c r="AK613" s="235">
        <f t="shared" si="161"/>
        <v>0</v>
      </c>
      <c r="AL613" s="82">
        <f t="shared" ref="AL613:BQ613" si="162">SUM(AL310:AL314)</f>
        <v>0</v>
      </c>
      <c r="AM613" s="49">
        <f t="shared" si="162"/>
        <v>0</v>
      </c>
      <c r="AN613" s="235">
        <f t="shared" si="162"/>
        <v>0</v>
      </c>
      <c r="AO613" s="235">
        <f t="shared" si="162"/>
        <v>0</v>
      </c>
      <c r="AP613" s="82">
        <f t="shared" si="162"/>
        <v>0</v>
      </c>
      <c r="AQ613" s="49">
        <f t="shared" si="162"/>
        <v>0</v>
      </c>
      <c r="AR613" s="82">
        <f t="shared" si="162"/>
        <v>0</v>
      </c>
      <c r="AS613" s="49">
        <f t="shared" si="162"/>
        <v>0</v>
      </c>
      <c r="AT613" s="235">
        <f t="shared" si="162"/>
        <v>0</v>
      </c>
      <c r="AU613" s="82">
        <f t="shared" si="162"/>
        <v>0</v>
      </c>
      <c r="AV613" s="49">
        <f t="shared" si="162"/>
        <v>0</v>
      </c>
      <c r="AW613" s="235">
        <f t="shared" si="162"/>
        <v>0</v>
      </c>
      <c r="AX613" s="49">
        <f t="shared" si="162"/>
        <v>0</v>
      </c>
      <c r="AY613" s="235">
        <f t="shared" si="162"/>
        <v>0</v>
      </c>
      <c r="AZ613" s="82">
        <f t="shared" si="162"/>
        <v>0</v>
      </c>
      <c r="BA613" s="49">
        <f t="shared" si="162"/>
        <v>25</v>
      </c>
      <c r="BB613" s="49">
        <f t="shared" si="162"/>
        <v>30</v>
      </c>
      <c r="BC613" s="82">
        <f t="shared" si="162"/>
        <v>23</v>
      </c>
      <c r="BD613" s="49">
        <f t="shared" si="162"/>
        <v>926</v>
      </c>
      <c r="BE613" s="49">
        <f t="shared" si="162"/>
        <v>1491</v>
      </c>
      <c r="BF613" s="235">
        <f t="shared" si="162"/>
        <v>2314</v>
      </c>
      <c r="BG613" s="231">
        <f t="shared" si="162"/>
        <v>2226</v>
      </c>
      <c r="BH613" s="543">
        <f t="shared" si="162"/>
        <v>2902</v>
      </c>
      <c r="BI613" s="49">
        <f t="shared" si="162"/>
        <v>0</v>
      </c>
      <c r="BJ613" s="50">
        <f t="shared" si="162"/>
        <v>0</v>
      </c>
      <c r="BK613" s="49">
        <f t="shared" si="162"/>
        <v>0</v>
      </c>
      <c r="BL613" s="291">
        <f t="shared" si="162"/>
        <v>0</v>
      </c>
      <c r="BM613" s="50">
        <f t="shared" si="162"/>
        <v>0</v>
      </c>
      <c r="BN613" s="49">
        <f t="shared" si="162"/>
        <v>0</v>
      </c>
      <c r="BO613" s="235">
        <f t="shared" si="162"/>
        <v>0</v>
      </c>
      <c r="BP613" s="291">
        <f t="shared" si="162"/>
        <v>0</v>
      </c>
      <c r="BQ613" s="235">
        <f t="shared" si="162"/>
        <v>0</v>
      </c>
      <c r="BR613" s="82">
        <f t="shared" ref="BR613:CI613" si="163">SUM(BR310:BR314)</f>
        <v>0</v>
      </c>
      <c r="BS613" s="49">
        <f t="shared" si="163"/>
        <v>0</v>
      </c>
      <c r="BT613" s="50">
        <f t="shared" si="163"/>
        <v>0</v>
      </c>
      <c r="BU613" s="49">
        <f t="shared" si="163"/>
        <v>0</v>
      </c>
      <c r="BV613" s="291">
        <f t="shared" si="163"/>
        <v>0</v>
      </c>
      <c r="BW613" s="63">
        <f t="shared" si="163"/>
        <v>0</v>
      </c>
      <c r="BX613" s="235">
        <f t="shared" si="163"/>
        <v>0</v>
      </c>
      <c r="BY613" s="82">
        <f t="shared" si="163"/>
        <v>0</v>
      </c>
      <c r="BZ613" s="49">
        <f t="shared" si="163"/>
        <v>0</v>
      </c>
      <c r="CA613" s="235">
        <f t="shared" si="163"/>
        <v>0</v>
      </c>
      <c r="CB613" s="291">
        <f t="shared" si="163"/>
        <v>0</v>
      </c>
      <c r="CC613" s="50">
        <f t="shared" si="163"/>
        <v>0</v>
      </c>
      <c r="CD613" s="49">
        <f t="shared" si="163"/>
        <v>0</v>
      </c>
      <c r="CE613" s="235">
        <f t="shared" si="163"/>
        <v>0</v>
      </c>
      <c r="CF613" s="235">
        <f t="shared" si="163"/>
        <v>0</v>
      </c>
      <c r="CG613" s="82">
        <f t="shared" si="163"/>
        <v>0</v>
      </c>
      <c r="CH613" s="49">
        <f t="shared" si="163"/>
        <v>0</v>
      </c>
      <c r="CI613" s="82">
        <f t="shared" si="163"/>
        <v>0</v>
      </c>
    </row>
    <row r="614" spans="2:87" x14ac:dyDescent="0.3">
      <c r="B614" s="17" t="s">
        <v>710</v>
      </c>
      <c r="C614" s="322">
        <f>SUM(C319:C350)</f>
        <v>34264</v>
      </c>
      <c r="D614" s="235">
        <f>SUM(D319:D350)</f>
        <v>22026</v>
      </c>
      <c r="E614" s="367">
        <f t="shared" si="31"/>
        <v>0.64283212701377535</v>
      </c>
      <c r="F614" s="49">
        <f t="shared" ref="F614:AK614" si="164">SUM(F319:F350)</f>
        <v>0</v>
      </c>
      <c r="G614" s="49">
        <f t="shared" si="164"/>
        <v>0</v>
      </c>
      <c r="H614" s="49">
        <f t="shared" si="164"/>
        <v>0</v>
      </c>
      <c r="I614" s="49">
        <f t="shared" si="164"/>
        <v>0</v>
      </c>
      <c r="J614" s="50">
        <f t="shared" si="164"/>
        <v>0</v>
      </c>
      <c r="K614" s="49">
        <f t="shared" si="164"/>
        <v>0</v>
      </c>
      <c r="L614" s="231">
        <f t="shared" si="164"/>
        <v>0</v>
      </c>
      <c r="M614" s="543">
        <f t="shared" si="164"/>
        <v>0</v>
      </c>
      <c r="N614" s="49">
        <f t="shared" si="164"/>
        <v>0</v>
      </c>
      <c r="O614" s="235">
        <f t="shared" si="164"/>
        <v>0</v>
      </c>
      <c r="P614" s="291">
        <f t="shared" si="164"/>
        <v>0</v>
      </c>
      <c r="Q614" s="63">
        <f t="shared" si="164"/>
        <v>0</v>
      </c>
      <c r="R614" s="63">
        <f t="shared" si="164"/>
        <v>0</v>
      </c>
      <c r="S614" s="62">
        <f t="shared" si="164"/>
        <v>0</v>
      </c>
      <c r="T614" s="49">
        <f t="shared" si="164"/>
        <v>0</v>
      </c>
      <c r="U614" s="49">
        <f t="shared" si="164"/>
        <v>0</v>
      </c>
      <c r="V614" s="82">
        <f t="shared" si="164"/>
        <v>0</v>
      </c>
      <c r="W614" s="62">
        <f t="shared" si="164"/>
        <v>0</v>
      </c>
      <c r="X614" s="235">
        <f t="shared" si="164"/>
        <v>0</v>
      </c>
      <c r="Y614" s="291">
        <f t="shared" si="164"/>
        <v>0</v>
      </c>
      <c r="Z614" s="50">
        <f t="shared" si="164"/>
        <v>0</v>
      </c>
      <c r="AA614" s="49">
        <f t="shared" si="164"/>
        <v>0</v>
      </c>
      <c r="AB614" s="63">
        <f t="shared" si="164"/>
        <v>0</v>
      </c>
      <c r="AC614" s="62">
        <f t="shared" si="164"/>
        <v>0</v>
      </c>
      <c r="AD614" s="49">
        <f t="shared" si="164"/>
        <v>0</v>
      </c>
      <c r="AE614" s="235">
        <f t="shared" si="164"/>
        <v>0</v>
      </c>
      <c r="AF614" s="82">
        <f t="shared" si="164"/>
        <v>0</v>
      </c>
      <c r="AG614" s="82">
        <f t="shared" si="164"/>
        <v>0</v>
      </c>
      <c r="AH614" s="49">
        <f t="shared" si="164"/>
        <v>0</v>
      </c>
      <c r="AI614" s="82">
        <f t="shared" si="164"/>
        <v>0</v>
      </c>
      <c r="AJ614" s="49">
        <f t="shared" si="164"/>
        <v>0</v>
      </c>
      <c r="AK614" s="235">
        <f t="shared" si="164"/>
        <v>0</v>
      </c>
      <c r="AL614" s="82">
        <f t="shared" ref="AL614:BQ614" si="165">SUM(AL319:AL350)</f>
        <v>0</v>
      </c>
      <c r="AM614" s="49">
        <f t="shared" si="165"/>
        <v>0</v>
      </c>
      <c r="AN614" s="235">
        <f t="shared" si="165"/>
        <v>0</v>
      </c>
      <c r="AO614" s="235">
        <f t="shared" si="165"/>
        <v>0</v>
      </c>
      <c r="AP614" s="82">
        <f t="shared" si="165"/>
        <v>0</v>
      </c>
      <c r="AQ614" s="49">
        <f t="shared" si="165"/>
        <v>0</v>
      </c>
      <c r="AR614" s="82">
        <f t="shared" si="165"/>
        <v>0</v>
      </c>
      <c r="AS614" s="49">
        <f t="shared" si="165"/>
        <v>0</v>
      </c>
      <c r="AT614" s="235">
        <f t="shared" si="165"/>
        <v>0</v>
      </c>
      <c r="AU614" s="82">
        <f t="shared" si="165"/>
        <v>0</v>
      </c>
      <c r="AV614" s="49">
        <f t="shared" si="165"/>
        <v>0</v>
      </c>
      <c r="AW614" s="235">
        <f t="shared" si="165"/>
        <v>0</v>
      </c>
      <c r="AX614" s="49">
        <f t="shared" si="165"/>
        <v>0</v>
      </c>
      <c r="AY614" s="235">
        <f t="shared" si="165"/>
        <v>0</v>
      </c>
      <c r="AZ614" s="82">
        <f t="shared" si="165"/>
        <v>0</v>
      </c>
      <c r="BA614" s="49">
        <f t="shared" si="165"/>
        <v>0</v>
      </c>
      <c r="BB614" s="49">
        <f t="shared" si="165"/>
        <v>0</v>
      </c>
      <c r="BC614" s="82">
        <f t="shared" si="165"/>
        <v>0</v>
      </c>
      <c r="BD614" s="49">
        <f t="shared" si="165"/>
        <v>0</v>
      </c>
      <c r="BE614" s="49">
        <f t="shared" si="165"/>
        <v>0</v>
      </c>
      <c r="BF614" s="235">
        <f t="shared" si="165"/>
        <v>0</v>
      </c>
      <c r="BG614" s="231">
        <f t="shared" si="165"/>
        <v>0</v>
      </c>
      <c r="BH614" s="543">
        <f t="shared" si="165"/>
        <v>0</v>
      </c>
      <c r="BI614" s="49">
        <f t="shared" si="165"/>
        <v>8781</v>
      </c>
      <c r="BJ614" s="50">
        <f t="shared" si="165"/>
        <v>8937</v>
      </c>
      <c r="BK614" s="49">
        <f t="shared" si="165"/>
        <v>0</v>
      </c>
      <c r="BL614" s="291">
        <f t="shared" si="165"/>
        <v>0</v>
      </c>
      <c r="BM614" s="50">
        <f t="shared" si="165"/>
        <v>0</v>
      </c>
      <c r="BN614" s="49">
        <f t="shared" si="165"/>
        <v>8354</v>
      </c>
      <c r="BO614" s="235">
        <f t="shared" si="165"/>
        <v>8637</v>
      </c>
      <c r="BP614" s="291">
        <f t="shared" si="165"/>
        <v>9834</v>
      </c>
      <c r="BQ614" s="235">
        <f t="shared" si="165"/>
        <v>11338</v>
      </c>
      <c r="BR614" s="82">
        <f t="shared" ref="BR614:CI614" si="166">SUM(BR319:BR350)</f>
        <v>899</v>
      </c>
      <c r="BS614" s="49">
        <f t="shared" si="166"/>
        <v>0</v>
      </c>
      <c r="BT614" s="50">
        <f t="shared" si="166"/>
        <v>0</v>
      </c>
      <c r="BU614" s="49">
        <f t="shared" si="166"/>
        <v>0</v>
      </c>
      <c r="BV614" s="291">
        <f t="shared" si="166"/>
        <v>0</v>
      </c>
      <c r="BW614" s="63">
        <f t="shared" si="166"/>
        <v>0</v>
      </c>
      <c r="BX614" s="235">
        <f t="shared" si="166"/>
        <v>0</v>
      </c>
      <c r="BY614" s="82">
        <f t="shared" si="166"/>
        <v>0</v>
      </c>
      <c r="BZ614" s="49">
        <f t="shared" si="166"/>
        <v>0</v>
      </c>
      <c r="CA614" s="235">
        <f t="shared" si="166"/>
        <v>0</v>
      </c>
      <c r="CB614" s="291">
        <f t="shared" si="166"/>
        <v>0</v>
      </c>
      <c r="CC614" s="50">
        <f t="shared" si="166"/>
        <v>0</v>
      </c>
      <c r="CD614" s="49">
        <f t="shared" si="166"/>
        <v>0</v>
      </c>
      <c r="CE614" s="235">
        <f t="shared" si="166"/>
        <v>0</v>
      </c>
      <c r="CF614" s="235">
        <f t="shared" si="166"/>
        <v>0</v>
      </c>
      <c r="CG614" s="82">
        <f t="shared" si="166"/>
        <v>0</v>
      </c>
      <c r="CH614" s="49">
        <f t="shared" si="166"/>
        <v>0</v>
      </c>
      <c r="CI614" s="82">
        <f t="shared" si="166"/>
        <v>0</v>
      </c>
    </row>
    <row r="615" spans="2:87" x14ac:dyDescent="0.3">
      <c r="B615" s="17" t="s">
        <v>711</v>
      </c>
      <c r="C615" s="322">
        <f>SUM(C352:C389)</f>
        <v>40867</v>
      </c>
      <c r="D615" s="235">
        <f>SUM(D352:D389)</f>
        <v>19538</v>
      </c>
      <c r="E615" s="367">
        <f t="shared" si="31"/>
        <v>0.47808745442533096</v>
      </c>
      <c r="F615" s="49">
        <f t="shared" ref="F615:AK615" si="167">SUM(F352:F389)</f>
        <v>0</v>
      </c>
      <c r="G615" s="49">
        <f t="shared" si="167"/>
        <v>0</v>
      </c>
      <c r="H615" s="49">
        <f t="shared" si="167"/>
        <v>0</v>
      </c>
      <c r="I615" s="49">
        <f t="shared" si="167"/>
        <v>0</v>
      </c>
      <c r="J615" s="50">
        <f t="shared" si="167"/>
        <v>0</v>
      </c>
      <c r="K615" s="49">
        <f t="shared" si="167"/>
        <v>0</v>
      </c>
      <c r="L615" s="231">
        <f t="shared" si="167"/>
        <v>0</v>
      </c>
      <c r="M615" s="543">
        <f t="shared" si="167"/>
        <v>0</v>
      </c>
      <c r="N615" s="49">
        <f t="shared" si="167"/>
        <v>0</v>
      </c>
      <c r="O615" s="235">
        <f t="shared" si="167"/>
        <v>0</v>
      </c>
      <c r="P615" s="291">
        <f t="shared" si="167"/>
        <v>0</v>
      </c>
      <c r="Q615" s="63">
        <f t="shared" si="167"/>
        <v>0</v>
      </c>
      <c r="R615" s="63">
        <f t="shared" si="167"/>
        <v>0</v>
      </c>
      <c r="S615" s="62">
        <f t="shared" si="167"/>
        <v>0</v>
      </c>
      <c r="T615" s="49">
        <f t="shared" si="167"/>
        <v>0</v>
      </c>
      <c r="U615" s="49">
        <f t="shared" si="167"/>
        <v>0</v>
      </c>
      <c r="V615" s="82">
        <f t="shared" si="167"/>
        <v>0</v>
      </c>
      <c r="W615" s="62">
        <f t="shared" si="167"/>
        <v>0</v>
      </c>
      <c r="X615" s="235">
        <f t="shared" si="167"/>
        <v>0</v>
      </c>
      <c r="Y615" s="291">
        <f t="shared" si="167"/>
        <v>0</v>
      </c>
      <c r="Z615" s="50">
        <f t="shared" si="167"/>
        <v>0</v>
      </c>
      <c r="AA615" s="49">
        <f t="shared" si="167"/>
        <v>0</v>
      </c>
      <c r="AB615" s="63">
        <f t="shared" si="167"/>
        <v>0</v>
      </c>
      <c r="AC615" s="62">
        <f t="shared" si="167"/>
        <v>0</v>
      </c>
      <c r="AD615" s="49">
        <f t="shared" si="167"/>
        <v>0</v>
      </c>
      <c r="AE615" s="235">
        <f t="shared" si="167"/>
        <v>0</v>
      </c>
      <c r="AF615" s="82">
        <f t="shared" si="167"/>
        <v>0</v>
      </c>
      <c r="AG615" s="82">
        <f t="shared" si="167"/>
        <v>1132</v>
      </c>
      <c r="AH615" s="49">
        <f t="shared" si="167"/>
        <v>0</v>
      </c>
      <c r="AI615" s="82">
        <f t="shared" si="167"/>
        <v>0</v>
      </c>
      <c r="AJ615" s="49">
        <f t="shared" si="167"/>
        <v>0</v>
      </c>
      <c r="AK615" s="235">
        <f t="shared" si="167"/>
        <v>0</v>
      </c>
      <c r="AL615" s="82">
        <f t="shared" ref="AL615:BQ615" si="168">SUM(AL352:AL389)</f>
        <v>0</v>
      </c>
      <c r="AM615" s="49">
        <f t="shared" si="168"/>
        <v>0</v>
      </c>
      <c r="AN615" s="235">
        <f t="shared" si="168"/>
        <v>0</v>
      </c>
      <c r="AO615" s="235">
        <f t="shared" si="168"/>
        <v>0</v>
      </c>
      <c r="AP615" s="82">
        <f t="shared" si="168"/>
        <v>0</v>
      </c>
      <c r="AQ615" s="49">
        <f t="shared" si="168"/>
        <v>0</v>
      </c>
      <c r="AR615" s="82">
        <f t="shared" si="168"/>
        <v>0</v>
      </c>
      <c r="AS615" s="49">
        <f t="shared" si="168"/>
        <v>0</v>
      </c>
      <c r="AT615" s="235">
        <f t="shared" si="168"/>
        <v>0</v>
      </c>
      <c r="AU615" s="82">
        <f t="shared" si="168"/>
        <v>0</v>
      </c>
      <c r="AV615" s="49">
        <f t="shared" si="168"/>
        <v>0</v>
      </c>
      <c r="AW615" s="235">
        <f t="shared" si="168"/>
        <v>0</v>
      </c>
      <c r="AX615" s="49">
        <f t="shared" si="168"/>
        <v>0</v>
      </c>
      <c r="AY615" s="235">
        <f t="shared" si="168"/>
        <v>0</v>
      </c>
      <c r="AZ615" s="82">
        <f t="shared" si="168"/>
        <v>0</v>
      </c>
      <c r="BA615" s="49">
        <f t="shared" si="168"/>
        <v>0</v>
      </c>
      <c r="BB615" s="49">
        <f t="shared" si="168"/>
        <v>0</v>
      </c>
      <c r="BC615" s="82">
        <f t="shared" si="168"/>
        <v>0</v>
      </c>
      <c r="BD615" s="49">
        <f t="shared" si="168"/>
        <v>0</v>
      </c>
      <c r="BE615" s="49">
        <f t="shared" si="168"/>
        <v>0</v>
      </c>
      <c r="BF615" s="235">
        <f t="shared" si="168"/>
        <v>0</v>
      </c>
      <c r="BG615" s="231">
        <f t="shared" si="168"/>
        <v>0</v>
      </c>
      <c r="BH615" s="543">
        <f t="shared" si="168"/>
        <v>0</v>
      </c>
      <c r="BI615" s="49">
        <f t="shared" si="168"/>
        <v>7202</v>
      </c>
      <c r="BJ615" s="50">
        <f t="shared" si="168"/>
        <v>7678</v>
      </c>
      <c r="BK615" s="49">
        <f t="shared" si="168"/>
        <v>0</v>
      </c>
      <c r="BL615" s="291">
        <f t="shared" si="168"/>
        <v>0</v>
      </c>
      <c r="BM615" s="50">
        <f t="shared" si="168"/>
        <v>0</v>
      </c>
      <c r="BN615" s="49">
        <f t="shared" si="168"/>
        <v>0</v>
      </c>
      <c r="BO615" s="235">
        <f t="shared" si="168"/>
        <v>0</v>
      </c>
      <c r="BP615" s="291">
        <f t="shared" si="168"/>
        <v>0</v>
      </c>
      <c r="BQ615" s="235">
        <f t="shared" si="168"/>
        <v>0</v>
      </c>
      <c r="BR615" s="82">
        <f t="shared" ref="BR615:CI615" si="169">SUM(BR352:BR389)</f>
        <v>0</v>
      </c>
      <c r="BS615" s="49">
        <f t="shared" si="169"/>
        <v>0</v>
      </c>
      <c r="BT615" s="50">
        <f t="shared" si="169"/>
        <v>0</v>
      </c>
      <c r="BU615" s="49">
        <f t="shared" si="169"/>
        <v>5576</v>
      </c>
      <c r="BV615" s="291">
        <f t="shared" si="169"/>
        <v>5199</v>
      </c>
      <c r="BW615" s="63">
        <f t="shared" si="169"/>
        <v>4303</v>
      </c>
      <c r="BX615" s="235">
        <f t="shared" si="169"/>
        <v>6064</v>
      </c>
      <c r="BY615" s="82">
        <f t="shared" si="169"/>
        <v>3442</v>
      </c>
      <c r="BZ615" s="49">
        <f t="shared" si="169"/>
        <v>0</v>
      </c>
      <c r="CA615" s="235">
        <f t="shared" si="169"/>
        <v>0</v>
      </c>
      <c r="CB615" s="291">
        <f t="shared" si="169"/>
        <v>0</v>
      </c>
      <c r="CC615" s="50">
        <f t="shared" si="169"/>
        <v>0</v>
      </c>
      <c r="CD615" s="49">
        <f t="shared" si="169"/>
        <v>0</v>
      </c>
      <c r="CE615" s="235">
        <f t="shared" si="169"/>
        <v>0</v>
      </c>
      <c r="CF615" s="235">
        <f t="shared" si="169"/>
        <v>0</v>
      </c>
      <c r="CG615" s="82">
        <f t="shared" si="169"/>
        <v>0</v>
      </c>
      <c r="CH615" s="49">
        <f t="shared" si="169"/>
        <v>0</v>
      </c>
      <c r="CI615" s="82">
        <f t="shared" si="169"/>
        <v>0</v>
      </c>
    </row>
    <row r="616" spans="2:87" x14ac:dyDescent="0.3">
      <c r="B616" s="17" t="s">
        <v>712</v>
      </c>
      <c r="C616" s="322">
        <f>SUM(C390:C398)</f>
        <v>3430</v>
      </c>
      <c r="D616" s="235">
        <f>SUM(D390:D398)</f>
        <v>1827</v>
      </c>
      <c r="E616" s="367">
        <f t="shared" si="31"/>
        <v>0.53265306122448974</v>
      </c>
      <c r="F616" s="49">
        <f t="shared" ref="F616:AK616" si="170">SUM(F390:F398)</f>
        <v>759</v>
      </c>
      <c r="G616" s="49">
        <f t="shared" si="170"/>
        <v>311</v>
      </c>
      <c r="H616" s="49">
        <f t="shared" si="170"/>
        <v>568</v>
      </c>
      <c r="I616" s="49">
        <f t="shared" si="170"/>
        <v>657</v>
      </c>
      <c r="J616" s="50">
        <f t="shared" si="170"/>
        <v>208</v>
      </c>
      <c r="K616" s="49">
        <f t="shared" si="170"/>
        <v>0</v>
      </c>
      <c r="L616" s="231">
        <f t="shared" si="170"/>
        <v>0</v>
      </c>
      <c r="M616" s="543">
        <f t="shared" si="170"/>
        <v>0</v>
      </c>
      <c r="N616" s="49">
        <f t="shared" si="170"/>
        <v>0</v>
      </c>
      <c r="O616" s="235">
        <f t="shared" si="170"/>
        <v>1</v>
      </c>
      <c r="P616" s="291">
        <f t="shared" si="170"/>
        <v>1</v>
      </c>
      <c r="Q616" s="63">
        <f t="shared" si="170"/>
        <v>0</v>
      </c>
      <c r="R616" s="63">
        <f t="shared" si="170"/>
        <v>0</v>
      </c>
      <c r="S616" s="62">
        <f t="shared" si="170"/>
        <v>0</v>
      </c>
      <c r="T616" s="49">
        <f t="shared" si="170"/>
        <v>0</v>
      </c>
      <c r="U616" s="49">
        <f t="shared" si="170"/>
        <v>0</v>
      </c>
      <c r="V616" s="82">
        <f t="shared" si="170"/>
        <v>0</v>
      </c>
      <c r="W616" s="62">
        <f t="shared" si="170"/>
        <v>0</v>
      </c>
      <c r="X616" s="235">
        <f t="shared" si="170"/>
        <v>0</v>
      </c>
      <c r="Y616" s="291">
        <f t="shared" si="170"/>
        <v>0</v>
      </c>
      <c r="Z616" s="50">
        <f t="shared" si="170"/>
        <v>0</v>
      </c>
      <c r="AA616" s="49">
        <f t="shared" si="170"/>
        <v>232</v>
      </c>
      <c r="AB616" s="63">
        <f t="shared" si="170"/>
        <v>234</v>
      </c>
      <c r="AC616" s="62">
        <f t="shared" si="170"/>
        <v>0</v>
      </c>
      <c r="AD616" s="49">
        <f t="shared" si="170"/>
        <v>0</v>
      </c>
      <c r="AE616" s="235">
        <f t="shared" si="170"/>
        <v>0</v>
      </c>
      <c r="AF616" s="82">
        <f t="shared" si="170"/>
        <v>0</v>
      </c>
      <c r="AG616" s="82">
        <f t="shared" si="170"/>
        <v>0</v>
      </c>
      <c r="AH616" s="49">
        <f t="shared" si="170"/>
        <v>0</v>
      </c>
      <c r="AI616" s="82">
        <f t="shared" si="170"/>
        <v>0</v>
      </c>
      <c r="AJ616" s="49">
        <f t="shared" si="170"/>
        <v>0</v>
      </c>
      <c r="AK616" s="235">
        <f t="shared" si="170"/>
        <v>0</v>
      </c>
      <c r="AL616" s="82">
        <f t="shared" ref="AL616:BQ616" si="171">SUM(AL390:AL398)</f>
        <v>0</v>
      </c>
      <c r="AM616" s="49">
        <f t="shared" si="171"/>
        <v>0</v>
      </c>
      <c r="AN616" s="235">
        <f t="shared" si="171"/>
        <v>0</v>
      </c>
      <c r="AO616" s="235">
        <f t="shared" si="171"/>
        <v>0</v>
      </c>
      <c r="AP616" s="82">
        <f t="shared" si="171"/>
        <v>0</v>
      </c>
      <c r="AQ616" s="49">
        <f t="shared" si="171"/>
        <v>0</v>
      </c>
      <c r="AR616" s="82">
        <f t="shared" si="171"/>
        <v>0</v>
      </c>
      <c r="AS616" s="49">
        <f t="shared" si="171"/>
        <v>0</v>
      </c>
      <c r="AT616" s="235">
        <f t="shared" si="171"/>
        <v>0</v>
      </c>
      <c r="AU616" s="82">
        <f t="shared" si="171"/>
        <v>0</v>
      </c>
      <c r="AV616" s="49">
        <f t="shared" si="171"/>
        <v>0</v>
      </c>
      <c r="AW616" s="235">
        <f t="shared" si="171"/>
        <v>0</v>
      </c>
      <c r="AX616" s="49">
        <f t="shared" si="171"/>
        <v>0</v>
      </c>
      <c r="AY616" s="235">
        <f t="shared" si="171"/>
        <v>0</v>
      </c>
      <c r="AZ616" s="82">
        <f t="shared" si="171"/>
        <v>0</v>
      </c>
      <c r="BA616" s="49">
        <f t="shared" si="171"/>
        <v>0</v>
      </c>
      <c r="BB616" s="49">
        <f t="shared" si="171"/>
        <v>0</v>
      </c>
      <c r="BC616" s="82">
        <f t="shared" si="171"/>
        <v>0</v>
      </c>
      <c r="BD616" s="49">
        <f t="shared" si="171"/>
        <v>0</v>
      </c>
      <c r="BE616" s="49">
        <f t="shared" si="171"/>
        <v>0</v>
      </c>
      <c r="BF616" s="235">
        <f t="shared" si="171"/>
        <v>0</v>
      </c>
      <c r="BG616" s="231">
        <f t="shared" si="171"/>
        <v>0</v>
      </c>
      <c r="BH616" s="543">
        <f t="shared" si="171"/>
        <v>0</v>
      </c>
      <c r="BI616" s="49">
        <f t="shared" si="171"/>
        <v>0</v>
      </c>
      <c r="BJ616" s="50">
        <f t="shared" si="171"/>
        <v>0</v>
      </c>
      <c r="BK616" s="49">
        <f t="shared" si="171"/>
        <v>0</v>
      </c>
      <c r="BL616" s="291">
        <f t="shared" si="171"/>
        <v>0</v>
      </c>
      <c r="BM616" s="50">
        <f t="shared" si="171"/>
        <v>0</v>
      </c>
      <c r="BN616" s="49">
        <f t="shared" si="171"/>
        <v>0</v>
      </c>
      <c r="BO616" s="235">
        <f t="shared" si="171"/>
        <v>0</v>
      </c>
      <c r="BP616" s="291">
        <f t="shared" si="171"/>
        <v>0</v>
      </c>
      <c r="BQ616" s="235">
        <f t="shared" si="171"/>
        <v>0</v>
      </c>
      <c r="BR616" s="82">
        <f t="shared" ref="BR616:CI616" si="172">SUM(BR390:BR398)</f>
        <v>0</v>
      </c>
      <c r="BS616" s="49">
        <f t="shared" si="172"/>
        <v>0</v>
      </c>
      <c r="BT616" s="50">
        <f t="shared" si="172"/>
        <v>0</v>
      </c>
      <c r="BU616" s="49">
        <f t="shared" si="172"/>
        <v>0</v>
      </c>
      <c r="BV616" s="291">
        <f t="shared" si="172"/>
        <v>0</v>
      </c>
      <c r="BW616" s="63">
        <f t="shared" si="172"/>
        <v>0</v>
      </c>
      <c r="BX616" s="235">
        <f t="shared" si="172"/>
        <v>0</v>
      </c>
      <c r="BY616" s="82">
        <f t="shared" si="172"/>
        <v>0</v>
      </c>
      <c r="BZ616" s="49">
        <f t="shared" si="172"/>
        <v>0</v>
      </c>
      <c r="CA616" s="235">
        <f t="shared" si="172"/>
        <v>0</v>
      </c>
      <c r="CB616" s="291">
        <f t="shared" si="172"/>
        <v>0</v>
      </c>
      <c r="CC616" s="50">
        <f t="shared" si="172"/>
        <v>0</v>
      </c>
      <c r="CD616" s="49">
        <f t="shared" si="172"/>
        <v>0</v>
      </c>
      <c r="CE616" s="235">
        <f t="shared" si="172"/>
        <v>0</v>
      </c>
      <c r="CF616" s="235">
        <f t="shared" si="172"/>
        <v>0</v>
      </c>
      <c r="CG616" s="82">
        <f t="shared" si="172"/>
        <v>0</v>
      </c>
      <c r="CH616" s="49">
        <f t="shared" si="172"/>
        <v>0</v>
      </c>
      <c r="CI616" s="82">
        <f t="shared" si="172"/>
        <v>0</v>
      </c>
    </row>
    <row r="617" spans="2:87" x14ac:dyDescent="0.3">
      <c r="B617" s="17" t="s">
        <v>735</v>
      </c>
      <c r="C617" s="475">
        <f>SUM(C399:C400)+C231</f>
        <v>4253</v>
      </c>
      <c r="D617" s="382">
        <f>SUM(D399:D400)+D231</f>
        <v>2235</v>
      </c>
      <c r="E617" s="367">
        <f t="shared" si="31"/>
        <v>0.52551140371502469</v>
      </c>
      <c r="F617" s="66">
        <f t="shared" ref="F617:AK617" si="173">SUM(F399:F400)+F231</f>
        <v>0</v>
      </c>
      <c r="G617" s="66">
        <f t="shared" si="173"/>
        <v>0</v>
      </c>
      <c r="H617" s="66">
        <f t="shared" si="173"/>
        <v>0</v>
      </c>
      <c r="I617" s="66">
        <f t="shared" si="173"/>
        <v>0</v>
      </c>
      <c r="J617" s="65">
        <f t="shared" si="173"/>
        <v>0</v>
      </c>
      <c r="K617" s="66">
        <f t="shared" si="173"/>
        <v>0</v>
      </c>
      <c r="L617" s="259">
        <f t="shared" si="173"/>
        <v>0</v>
      </c>
      <c r="M617" s="544">
        <f t="shared" si="173"/>
        <v>0</v>
      </c>
      <c r="N617" s="66">
        <f t="shared" si="173"/>
        <v>0</v>
      </c>
      <c r="O617" s="257">
        <f t="shared" si="173"/>
        <v>0</v>
      </c>
      <c r="P617" s="306">
        <f t="shared" si="173"/>
        <v>0</v>
      </c>
      <c r="Q617" s="67">
        <f t="shared" si="173"/>
        <v>0</v>
      </c>
      <c r="R617" s="67">
        <f t="shared" si="173"/>
        <v>0</v>
      </c>
      <c r="S617" s="64">
        <f t="shared" si="173"/>
        <v>0</v>
      </c>
      <c r="T617" s="66">
        <f t="shared" si="173"/>
        <v>0</v>
      </c>
      <c r="U617" s="66">
        <f t="shared" si="173"/>
        <v>0</v>
      </c>
      <c r="V617" s="84">
        <f t="shared" si="173"/>
        <v>0</v>
      </c>
      <c r="W617" s="64">
        <f t="shared" si="173"/>
        <v>0</v>
      </c>
      <c r="X617" s="257">
        <f t="shared" si="173"/>
        <v>0</v>
      </c>
      <c r="Y617" s="306">
        <f t="shared" si="173"/>
        <v>0</v>
      </c>
      <c r="Z617" s="65">
        <f t="shared" si="173"/>
        <v>0</v>
      </c>
      <c r="AA617" s="66">
        <f t="shared" si="173"/>
        <v>0</v>
      </c>
      <c r="AB617" s="67">
        <f t="shared" si="173"/>
        <v>0</v>
      </c>
      <c r="AC617" s="64">
        <f t="shared" si="173"/>
        <v>0</v>
      </c>
      <c r="AD617" s="66">
        <f t="shared" si="173"/>
        <v>0</v>
      </c>
      <c r="AE617" s="257">
        <f t="shared" si="173"/>
        <v>0</v>
      </c>
      <c r="AF617" s="84">
        <f t="shared" si="173"/>
        <v>0</v>
      </c>
      <c r="AG617" s="84">
        <f t="shared" si="173"/>
        <v>0</v>
      </c>
      <c r="AH617" s="66">
        <f t="shared" si="173"/>
        <v>0</v>
      </c>
      <c r="AI617" s="84">
        <f t="shared" si="173"/>
        <v>0</v>
      </c>
      <c r="AJ617" s="66">
        <f t="shared" si="173"/>
        <v>0</v>
      </c>
      <c r="AK617" s="257">
        <f t="shared" si="173"/>
        <v>0</v>
      </c>
      <c r="AL617" s="84">
        <f t="shared" ref="AL617:BQ617" si="174">SUM(AL399:AL400)+AL231</f>
        <v>0</v>
      </c>
      <c r="AM617" s="66">
        <f t="shared" si="174"/>
        <v>0</v>
      </c>
      <c r="AN617" s="257">
        <f t="shared" si="174"/>
        <v>0</v>
      </c>
      <c r="AO617" s="257">
        <f t="shared" si="174"/>
        <v>0</v>
      </c>
      <c r="AP617" s="84">
        <f t="shared" si="174"/>
        <v>0</v>
      </c>
      <c r="AQ617" s="66">
        <f t="shared" si="174"/>
        <v>0</v>
      </c>
      <c r="AR617" s="84">
        <f t="shared" si="174"/>
        <v>0</v>
      </c>
      <c r="AS617" s="66">
        <f t="shared" si="174"/>
        <v>0</v>
      </c>
      <c r="AT617" s="257">
        <f t="shared" si="174"/>
        <v>0</v>
      </c>
      <c r="AU617" s="84">
        <f t="shared" si="174"/>
        <v>0</v>
      </c>
      <c r="AV617" s="66">
        <f t="shared" si="174"/>
        <v>0</v>
      </c>
      <c r="AW617" s="257">
        <f t="shared" si="174"/>
        <v>0</v>
      </c>
      <c r="AX617" s="66">
        <f t="shared" si="174"/>
        <v>0</v>
      </c>
      <c r="AY617" s="257">
        <f t="shared" si="174"/>
        <v>0</v>
      </c>
      <c r="AZ617" s="84">
        <f t="shared" si="174"/>
        <v>0</v>
      </c>
      <c r="BA617" s="66">
        <f t="shared" si="174"/>
        <v>0</v>
      </c>
      <c r="BB617" s="66">
        <f t="shared" si="174"/>
        <v>0</v>
      </c>
      <c r="BC617" s="84">
        <f t="shared" si="174"/>
        <v>0</v>
      </c>
      <c r="BD617" s="66">
        <f t="shared" si="174"/>
        <v>0</v>
      </c>
      <c r="BE617" s="66">
        <f t="shared" si="174"/>
        <v>0</v>
      </c>
      <c r="BF617" s="257">
        <f t="shared" si="174"/>
        <v>0</v>
      </c>
      <c r="BG617" s="259">
        <f t="shared" si="174"/>
        <v>0</v>
      </c>
      <c r="BH617" s="544">
        <f t="shared" si="174"/>
        <v>0</v>
      </c>
      <c r="BI617" s="66">
        <f t="shared" si="174"/>
        <v>1122</v>
      </c>
      <c r="BJ617" s="65">
        <f t="shared" si="174"/>
        <v>1095</v>
      </c>
      <c r="BK617" s="66">
        <f t="shared" si="174"/>
        <v>0</v>
      </c>
      <c r="BL617" s="306">
        <f t="shared" si="174"/>
        <v>0</v>
      </c>
      <c r="BM617" s="65">
        <f t="shared" si="174"/>
        <v>0</v>
      </c>
      <c r="BN617" s="66">
        <f t="shared" si="174"/>
        <v>0</v>
      </c>
      <c r="BO617" s="257">
        <f t="shared" si="174"/>
        <v>0</v>
      </c>
      <c r="BP617" s="306">
        <f t="shared" si="174"/>
        <v>0</v>
      </c>
      <c r="BQ617" s="257">
        <f t="shared" si="174"/>
        <v>0</v>
      </c>
      <c r="BR617" s="84">
        <f t="shared" ref="BR617:CI617" si="175">SUM(BR399:BR400)+BR231</f>
        <v>0</v>
      </c>
      <c r="BS617" s="66">
        <f t="shared" si="175"/>
        <v>0</v>
      </c>
      <c r="BT617" s="65">
        <f t="shared" si="175"/>
        <v>0</v>
      </c>
      <c r="BU617" s="66">
        <f t="shared" si="175"/>
        <v>0</v>
      </c>
      <c r="BV617" s="306">
        <f t="shared" si="175"/>
        <v>0</v>
      </c>
      <c r="BW617" s="67">
        <f t="shared" si="175"/>
        <v>0</v>
      </c>
      <c r="BX617" s="257">
        <f t="shared" si="175"/>
        <v>0</v>
      </c>
      <c r="BY617" s="84">
        <f t="shared" si="175"/>
        <v>0</v>
      </c>
      <c r="BZ617" s="66">
        <f t="shared" si="175"/>
        <v>0</v>
      </c>
      <c r="CA617" s="257">
        <f t="shared" si="175"/>
        <v>0</v>
      </c>
      <c r="CB617" s="306">
        <f t="shared" si="175"/>
        <v>0</v>
      </c>
      <c r="CC617" s="65">
        <f t="shared" si="175"/>
        <v>0</v>
      </c>
      <c r="CD617" s="66">
        <f t="shared" si="175"/>
        <v>1117</v>
      </c>
      <c r="CE617" s="257">
        <f t="shared" si="175"/>
        <v>968</v>
      </c>
      <c r="CF617" s="257">
        <f t="shared" si="175"/>
        <v>1061</v>
      </c>
      <c r="CG617" s="84">
        <f t="shared" si="175"/>
        <v>643</v>
      </c>
      <c r="CH617" s="66">
        <f t="shared" si="175"/>
        <v>0</v>
      </c>
      <c r="CI617" s="84">
        <f t="shared" si="175"/>
        <v>0</v>
      </c>
    </row>
    <row r="618" spans="2:87" x14ac:dyDescent="0.3">
      <c r="B618" s="17" t="s">
        <v>21</v>
      </c>
      <c r="C618" s="322">
        <f>SUM(C401:C419)</f>
        <v>20186</v>
      </c>
      <c r="D618" s="235">
        <f>SUM(D401:D419)</f>
        <v>10861</v>
      </c>
      <c r="E618" s="367">
        <f t="shared" si="31"/>
        <v>0.53804617061329629</v>
      </c>
      <c r="F618" s="66">
        <f t="shared" ref="F618:AK618" si="176">SUM(F401:F419)</f>
        <v>39</v>
      </c>
      <c r="G618" s="66">
        <f t="shared" si="176"/>
        <v>29</v>
      </c>
      <c r="H618" s="66">
        <f t="shared" si="176"/>
        <v>39</v>
      </c>
      <c r="I618" s="66">
        <f t="shared" si="176"/>
        <v>27</v>
      </c>
      <c r="J618" s="65">
        <f t="shared" si="176"/>
        <v>33</v>
      </c>
      <c r="K618" s="66">
        <f t="shared" si="176"/>
        <v>0</v>
      </c>
      <c r="L618" s="259">
        <f t="shared" si="176"/>
        <v>0</v>
      </c>
      <c r="M618" s="544">
        <f t="shared" si="176"/>
        <v>0</v>
      </c>
      <c r="N618" s="66">
        <f t="shared" si="176"/>
        <v>0</v>
      </c>
      <c r="O618" s="257">
        <f t="shared" si="176"/>
        <v>0</v>
      </c>
      <c r="P618" s="306">
        <f t="shared" si="176"/>
        <v>0</v>
      </c>
      <c r="Q618" s="67">
        <f t="shared" si="176"/>
        <v>0</v>
      </c>
      <c r="R618" s="67">
        <f t="shared" si="176"/>
        <v>0</v>
      </c>
      <c r="S618" s="64">
        <f t="shared" si="176"/>
        <v>0</v>
      </c>
      <c r="T618" s="66">
        <f t="shared" si="176"/>
        <v>0</v>
      </c>
      <c r="U618" s="66">
        <f t="shared" si="176"/>
        <v>0</v>
      </c>
      <c r="V618" s="84">
        <f t="shared" si="176"/>
        <v>0</v>
      </c>
      <c r="W618" s="64">
        <f t="shared" si="176"/>
        <v>0</v>
      </c>
      <c r="X618" s="257">
        <f t="shared" si="176"/>
        <v>0</v>
      </c>
      <c r="Y618" s="306">
        <f t="shared" si="176"/>
        <v>0</v>
      </c>
      <c r="Z618" s="65">
        <f t="shared" si="176"/>
        <v>0</v>
      </c>
      <c r="AA618" s="66">
        <f t="shared" si="176"/>
        <v>0</v>
      </c>
      <c r="AB618" s="67">
        <f t="shared" si="176"/>
        <v>0</v>
      </c>
      <c r="AC618" s="64">
        <f t="shared" si="176"/>
        <v>0</v>
      </c>
      <c r="AD618" s="66">
        <f t="shared" si="176"/>
        <v>0</v>
      </c>
      <c r="AE618" s="257">
        <f t="shared" si="176"/>
        <v>0</v>
      </c>
      <c r="AF618" s="84">
        <f t="shared" si="176"/>
        <v>0</v>
      </c>
      <c r="AG618" s="84">
        <f t="shared" si="176"/>
        <v>0</v>
      </c>
      <c r="AH618" s="66">
        <f t="shared" si="176"/>
        <v>0</v>
      </c>
      <c r="AI618" s="84">
        <f t="shared" si="176"/>
        <v>0</v>
      </c>
      <c r="AJ618" s="66">
        <f t="shared" si="176"/>
        <v>0</v>
      </c>
      <c r="AK618" s="257">
        <f t="shared" si="176"/>
        <v>0</v>
      </c>
      <c r="AL618" s="84">
        <f t="shared" ref="AL618:BQ618" si="177">SUM(AL401:AL419)</f>
        <v>0</v>
      </c>
      <c r="AM618" s="66">
        <f t="shared" si="177"/>
        <v>0</v>
      </c>
      <c r="AN618" s="257">
        <f t="shared" si="177"/>
        <v>0</v>
      </c>
      <c r="AO618" s="257">
        <f t="shared" si="177"/>
        <v>0</v>
      </c>
      <c r="AP618" s="84">
        <f t="shared" si="177"/>
        <v>0</v>
      </c>
      <c r="AQ618" s="66">
        <f t="shared" si="177"/>
        <v>0</v>
      </c>
      <c r="AR618" s="84">
        <f t="shared" si="177"/>
        <v>0</v>
      </c>
      <c r="AS618" s="66">
        <f t="shared" si="177"/>
        <v>0</v>
      </c>
      <c r="AT618" s="257">
        <f t="shared" si="177"/>
        <v>0</v>
      </c>
      <c r="AU618" s="84">
        <f t="shared" si="177"/>
        <v>0</v>
      </c>
      <c r="AV618" s="66">
        <f t="shared" si="177"/>
        <v>0</v>
      </c>
      <c r="AW618" s="257">
        <f t="shared" si="177"/>
        <v>0</v>
      </c>
      <c r="AX618" s="66">
        <f t="shared" si="177"/>
        <v>0</v>
      </c>
      <c r="AY618" s="257">
        <f t="shared" si="177"/>
        <v>0</v>
      </c>
      <c r="AZ618" s="84">
        <f t="shared" si="177"/>
        <v>0</v>
      </c>
      <c r="BA618" s="66">
        <f t="shared" si="177"/>
        <v>0</v>
      </c>
      <c r="BB618" s="66">
        <f t="shared" si="177"/>
        <v>0</v>
      </c>
      <c r="BC618" s="84">
        <f t="shared" si="177"/>
        <v>0</v>
      </c>
      <c r="BD618" s="66">
        <f t="shared" si="177"/>
        <v>0</v>
      </c>
      <c r="BE618" s="66">
        <f t="shared" si="177"/>
        <v>0</v>
      </c>
      <c r="BF618" s="257">
        <f t="shared" si="177"/>
        <v>0</v>
      </c>
      <c r="BG618" s="259">
        <f t="shared" si="177"/>
        <v>0</v>
      </c>
      <c r="BH618" s="544">
        <f t="shared" si="177"/>
        <v>0</v>
      </c>
      <c r="BI618" s="66">
        <f t="shared" si="177"/>
        <v>4550</v>
      </c>
      <c r="BJ618" s="65">
        <f t="shared" si="177"/>
        <v>4488</v>
      </c>
      <c r="BK618" s="66">
        <f t="shared" si="177"/>
        <v>0</v>
      </c>
      <c r="BL618" s="306">
        <f t="shared" si="177"/>
        <v>0</v>
      </c>
      <c r="BM618" s="65">
        <f t="shared" si="177"/>
        <v>0</v>
      </c>
      <c r="BN618" s="66">
        <f t="shared" si="177"/>
        <v>0</v>
      </c>
      <c r="BO618" s="257">
        <f t="shared" si="177"/>
        <v>0</v>
      </c>
      <c r="BP618" s="306">
        <f t="shared" si="177"/>
        <v>0</v>
      </c>
      <c r="BQ618" s="257">
        <f t="shared" si="177"/>
        <v>0</v>
      </c>
      <c r="BR618" s="84">
        <f t="shared" ref="BR618:CI618" si="178">SUM(BR401:BR419)</f>
        <v>0</v>
      </c>
      <c r="BS618" s="66">
        <f t="shared" si="178"/>
        <v>0</v>
      </c>
      <c r="BT618" s="65">
        <f t="shared" si="178"/>
        <v>0</v>
      </c>
      <c r="BU618" s="66">
        <f t="shared" si="178"/>
        <v>0</v>
      </c>
      <c r="BV618" s="306">
        <f t="shared" si="178"/>
        <v>0</v>
      </c>
      <c r="BW618" s="67">
        <f t="shared" si="178"/>
        <v>0</v>
      </c>
      <c r="BX618" s="257">
        <f t="shared" si="178"/>
        <v>0</v>
      </c>
      <c r="BY618" s="84">
        <f t="shared" si="178"/>
        <v>0</v>
      </c>
      <c r="BZ618" s="66">
        <f t="shared" si="178"/>
        <v>3033</v>
      </c>
      <c r="CA618" s="257">
        <f t="shared" si="178"/>
        <v>5831</v>
      </c>
      <c r="CB618" s="306">
        <f t="shared" si="178"/>
        <v>1982</v>
      </c>
      <c r="CC618" s="65">
        <f t="shared" si="178"/>
        <v>4384</v>
      </c>
      <c r="CD618" s="66">
        <f t="shared" si="178"/>
        <v>0</v>
      </c>
      <c r="CE618" s="257">
        <f t="shared" si="178"/>
        <v>0</v>
      </c>
      <c r="CF618" s="257">
        <f t="shared" si="178"/>
        <v>0</v>
      </c>
      <c r="CG618" s="84">
        <f t="shared" si="178"/>
        <v>0</v>
      </c>
      <c r="CH618" s="66">
        <f t="shared" si="178"/>
        <v>0</v>
      </c>
      <c r="CI618" s="84">
        <f t="shared" si="178"/>
        <v>0</v>
      </c>
    </row>
    <row r="619" spans="2:87" x14ac:dyDescent="0.3">
      <c r="B619" s="17" t="s">
        <v>22</v>
      </c>
      <c r="C619" s="322">
        <f>SUM(C429:C471)</f>
        <v>44958</v>
      </c>
      <c r="D619" s="235">
        <f>SUM(D429:D471)</f>
        <v>25250</v>
      </c>
      <c r="E619" s="367">
        <f t="shared" si="31"/>
        <v>0.56163530406156859</v>
      </c>
      <c r="F619" s="66">
        <f t="shared" ref="F619:AK619" si="179">SUM(F429:F471)</f>
        <v>1186</v>
      </c>
      <c r="G619" s="66">
        <f t="shared" si="179"/>
        <v>573</v>
      </c>
      <c r="H619" s="66">
        <f t="shared" si="179"/>
        <v>981</v>
      </c>
      <c r="I619" s="66">
        <f t="shared" si="179"/>
        <v>900</v>
      </c>
      <c r="J619" s="65">
        <f t="shared" si="179"/>
        <v>1158</v>
      </c>
      <c r="K619" s="66">
        <f t="shared" si="179"/>
        <v>0</v>
      </c>
      <c r="L619" s="259">
        <f t="shared" si="179"/>
        <v>0</v>
      </c>
      <c r="M619" s="544">
        <f t="shared" si="179"/>
        <v>0</v>
      </c>
      <c r="N619" s="66">
        <f t="shared" si="179"/>
        <v>0</v>
      </c>
      <c r="O619" s="257">
        <f t="shared" si="179"/>
        <v>0</v>
      </c>
      <c r="P619" s="306">
        <f t="shared" si="179"/>
        <v>0</v>
      </c>
      <c r="Q619" s="67">
        <f t="shared" si="179"/>
        <v>0</v>
      </c>
      <c r="R619" s="67">
        <f t="shared" si="179"/>
        <v>0</v>
      </c>
      <c r="S619" s="64">
        <f t="shared" si="179"/>
        <v>0</v>
      </c>
      <c r="T619" s="66">
        <f t="shared" si="179"/>
        <v>0</v>
      </c>
      <c r="U619" s="66">
        <f t="shared" si="179"/>
        <v>0</v>
      </c>
      <c r="V619" s="84">
        <f t="shared" si="179"/>
        <v>0</v>
      </c>
      <c r="W619" s="64">
        <f t="shared" si="179"/>
        <v>0</v>
      </c>
      <c r="X619" s="257">
        <f t="shared" si="179"/>
        <v>0</v>
      </c>
      <c r="Y619" s="306">
        <f t="shared" si="179"/>
        <v>0</v>
      </c>
      <c r="Z619" s="65">
        <f t="shared" si="179"/>
        <v>0</v>
      </c>
      <c r="AA619" s="66">
        <f t="shared" si="179"/>
        <v>0</v>
      </c>
      <c r="AB619" s="67">
        <f t="shared" si="179"/>
        <v>0</v>
      </c>
      <c r="AC619" s="64">
        <f t="shared" si="179"/>
        <v>0</v>
      </c>
      <c r="AD619" s="66">
        <f t="shared" si="179"/>
        <v>0</v>
      </c>
      <c r="AE619" s="257">
        <f t="shared" si="179"/>
        <v>0</v>
      </c>
      <c r="AF619" s="84">
        <f t="shared" si="179"/>
        <v>0</v>
      </c>
      <c r="AG619" s="84">
        <f t="shared" si="179"/>
        <v>0</v>
      </c>
      <c r="AH619" s="66">
        <f t="shared" si="179"/>
        <v>0</v>
      </c>
      <c r="AI619" s="84">
        <f t="shared" si="179"/>
        <v>0</v>
      </c>
      <c r="AJ619" s="66">
        <f t="shared" si="179"/>
        <v>0</v>
      </c>
      <c r="AK619" s="257">
        <f t="shared" si="179"/>
        <v>0</v>
      </c>
      <c r="AL619" s="84">
        <f t="shared" ref="AL619:BQ619" si="180">SUM(AL429:AL471)</f>
        <v>0</v>
      </c>
      <c r="AM619" s="66">
        <f t="shared" si="180"/>
        <v>0</v>
      </c>
      <c r="AN619" s="257">
        <f t="shared" si="180"/>
        <v>0</v>
      </c>
      <c r="AO619" s="257">
        <f t="shared" si="180"/>
        <v>0</v>
      </c>
      <c r="AP619" s="84">
        <f t="shared" si="180"/>
        <v>0</v>
      </c>
      <c r="AQ619" s="66">
        <f t="shared" si="180"/>
        <v>0</v>
      </c>
      <c r="AR619" s="84">
        <f t="shared" si="180"/>
        <v>0</v>
      </c>
      <c r="AS619" s="66">
        <f t="shared" si="180"/>
        <v>0</v>
      </c>
      <c r="AT619" s="257">
        <f t="shared" si="180"/>
        <v>0</v>
      </c>
      <c r="AU619" s="84">
        <f t="shared" si="180"/>
        <v>0</v>
      </c>
      <c r="AV619" s="66">
        <f t="shared" si="180"/>
        <v>0</v>
      </c>
      <c r="AW619" s="257">
        <f t="shared" si="180"/>
        <v>0</v>
      </c>
      <c r="AX619" s="66">
        <f t="shared" si="180"/>
        <v>0</v>
      </c>
      <c r="AY619" s="257">
        <f t="shared" si="180"/>
        <v>0</v>
      </c>
      <c r="AZ619" s="84">
        <f t="shared" si="180"/>
        <v>0</v>
      </c>
      <c r="BA619" s="66">
        <f t="shared" si="180"/>
        <v>0</v>
      </c>
      <c r="BB619" s="66">
        <f t="shared" si="180"/>
        <v>0</v>
      </c>
      <c r="BC619" s="84">
        <f t="shared" si="180"/>
        <v>0</v>
      </c>
      <c r="BD619" s="66">
        <f t="shared" si="180"/>
        <v>0</v>
      </c>
      <c r="BE619" s="66">
        <f t="shared" si="180"/>
        <v>0</v>
      </c>
      <c r="BF619" s="257">
        <f t="shared" si="180"/>
        <v>0</v>
      </c>
      <c r="BG619" s="259">
        <f t="shared" si="180"/>
        <v>0</v>
      </c>
      <c r="BH619" s="544">
        <f t="shared" si="180"/>
        <v>0</v>
      </c>
      <c r="BI619" s="66">
        <f t="shared" si="180"/>
        <v>10017</v>
      </c>
      <c r="BJ619" s="65">
        <f t="shared" si="180"/>
        <v>9936</v>
      </c>
      <c r="BK619" s="66">
        <f t="shared" si="180"/>
        <v>0</v>
      </c>
      <c r="BL619" s="306">
        <f t="shared" si="180"/>
        <v>0</v>
      </c>
      <c r="BM619" s="65">
        <f t="shared" si="180"/>
        <v>0</v>
      </c>
      <c r="BN619" s="66">
        <f t="shared" si="180"/>
        <v>0</v>
      </c>
      <c r="BO619" s="257">
        <f t="shared" si="180"/>
        <v>0</v>
      </c>
      <c r="BP619" s="306">
        <f t="shared" si="180"/>
        <v>0</v>
      </c>
      <c r="BQ619" s="257">
        <f t="shared" si="180"/>
        <v>0</v>
      </c>
      <c r="BR619" s="84">
        <f t="shared" ref="BR619:CI619" si="181">SUM(BR429:BR471)</f>
        <v>0</v>
      </c>
      <c r="BS619" s="66">
        <f t="shared" si="181"/>
        <v>0</v>
      </c>
      <c r="BT619" s="65">
        <f t="shared" si="181"/>
        <v>0</v>
      </c>
      <c r="BU619" s="66">
        <f t="shared" si="181"/>
        <v>1704</v>
      </c>
      <c r="BV619" s="306">
        <f t="shared" si="181"/>
        <v>2334</v>
      </c>
      <c r="BW619" s="67">
        <f t="shared" si="181"/>
        <v>1627</v>
      </c>
      <c r="BX619" s="257">
        <f t="shared" si="181"/>
        <v>2519</v>
      </c>
      <c r="BY619" s="84">
        <f t="shared" si="181"/>
        <v>1197</v>
      </c>
      <c r="BZ619" s="66">
        <f t="shared" si="181"/>
        <v>4067</v>
      </c>
      <c r="CA619" s="257">
        <f t="shared" si="181"/>
        <v>9327</v>
      </c>
      <c r="CB619" s="306">
        <f t="shared" si="181"/>
        <v>2711</v>
      </c>
      <c r="CC619" s="65">
        <f t="shared" si="181"/>
        <v>6726</v>
      </c>
      <c r="CD619" s="66">
        <f t="shared" si="181"/>
        <v>0</v>
      </c>
      <c r="CE619" s="257">
        <f t="shared" si="181"/>
        <v>0</v>
      </c>
      <c r="CF619" s="257">
        <f t="shared" si="181"/>
        <v>0</v>
      </c>
      <c r="CG619" s="84">
        <f t="shared" si="181"/>
        <v>0</v>
      </c>
      <c r="CH619" s="66">
        <f t="shared" si="181"/>
        <v>0</v>
      </c>
      <c r="CI619" s="84">
        <f t="shared" si="181"/>
        <v>0</v>
      </c>
    </row>
    <row r="620" spans="2:87" x14ac:dyDescent="0.3">
      <c r="B620" s="17" t="s">
        <v>23</v>
      </c>
      <c r="C620" s="475">
        <f>SUM(C226:C230)+SUM(C475:C477)</f>
        <v>10312</v>
      </c>
      <c r="D620" s="382">
        <f>SUM(D226:D230)+SUM(D475:D477)</f>
        <v>4756</v>
      </c>
      <c r="E620" s="367">
        <f t="shared" si="31"/>
        <v>0.46121024049650894</v>
      </c>
      <c r="F620" s="66">
        <f t="shared" ref="F620:AK620" si="182">SUM(F226:F230)+SUM(F475:F477)</f>
        <v>0</v>
      </c>
      <c r="G620" s="66">
        <f t="shared" si="182"/>
        <v>0</v>
      </c>
      <c r="H620" s="66">
        <f t="shared" si="182"/>
        <v>0</v>
      </c>
      <c r="I620" s="66">
        <f t="shared" si="182"/>
        <v>0</v>
      </c>
      <c r="J620" s="65">
        <f t="shared" si="182"/>
        <v>0</v>
      </c>
      <c r="K620" s="66">
        <f t="shared" si="182"/>
        <v>0</v>
      </c>
      <c r="L620" s="259">
        <f t="shared" si="182"/>
        <v>0</v>
      </c>
      <c r="M620" s="544">
        <f t="shared" si="182"/>
        <v>0</v>
      </c>
      <c r="N620" s="66">
        <f t="shared" si="182"/>
        <v>0</v>
      </c>
      <c r="O620" s="257">
        <f t="shared" si="182"/>
        <v>0</v>
      </c>
      <c r="P620" s="306">
        <f t="shared" si="182"/>
        <v>0</v>
      </c>
      <c r="Q620" s="67">
        <f t="shared" si="182"/>
        <v>0</v>
      </c>
      <c r="R620" s="67">
        <f t="shared" si="182"/>
        <v>0</v>
      </c>
      <c r="S620" s="64">
        <f t="shared" si="182"/>
        <v>0</v>
      </c>
      <c r="T620" s="66">
        <f t="shared" si="182"/>
        <v>0</v>
      </c>
      <c r="U620" s="66">
        <f t="shared" si="182"/>
        <v>0</v>
      </c>
      <c r="V620" s="84">
        <f t="shared" si="182"/>
        <v>0</v>
      </c>
      <c r="W620" s="64">
        <f t="shared" si="182"/>
        <v>0</v>
      </c>
      <c r="X620" s="257">
        <f t="shared" si="182"/>
        <v>0</v>
      </c>
      <c r="Y620" s="306">
        <f t="shared" si="182"/>
        <v>0</v>
      </c>
      <c r="Z620" s="65">
        <f t="shared" si="182"/>
        <v>0</v>
      </c>
      <c r="AA620" s="66">
        <f t="shared" si="182"/>
        <v>0</v>
      </c>
      <c r="AB620" s="67">
        <f t="shared" si="182"/>
        <v>0</v>
      </c>
      <c r="AC620" s="64">
        <f t="shared" si="182"/>
        <v>0</v>
      </c>
      <c r="AD620" s="66">
        <f t="shared" si="182"/>
        <v>0</v>
      </c>
      <c r="AE620" s="257">
        <f t="shared" si="182"/>
        <v>0</v>
      </c>
      <c r="AF620" s="84">
        <f t="shared" si="182"/>
        <v>0</v>
      </c>
      <c r="AG620" s="84">
        <f t="shared" si="182"/>
        <v>0</v>
      </c>
      <c r="AH620" s="66">
        <f t="shared" si="182"/>
        <v>0</v>
      </c>
      <c r="AI620" s="84">
        <f t="shared" si="182"/>
        <v>0</v>
      </c>
      <c r="AJ620" s="66">
        <f t="shared" si="182"/>
        <v>0</v>
      </c>
      <c r="AK620" s="257">
        <f t="shared" si="182"/>
        <v>0</v>
      </c>
      <c r="AL620" s="84">
        <f t="shared" ref="AL620:BQ620" si="183">SUM(AL226:AL230)+SUM(AL475:AL477)</f>
        <v>0</v>
      </c>
      <c r="AM620" s="66">
        <f t="shared" si="183"/>
        <v>0</v>
      </c>
      <c r="AN620" s="257">
        <f t="shared" si="183"/>
        <v>0</v>
      </c>
      <c r="AO620" s="257">
        <f t="shared" si="183"/>
        <v>0</v>
      </c>
      <c r="AP620" s="84">
        <f t="shared" si="183"/>
        <v>0</v>
      </c>
      <c r="AQ620" s="66">
        <f t="shared" si="183"/>
        <v>0</v>
      </c>
      <c r="AR620" s="84">
        <f t="shared" si="183"/>
        <v>0</v>
      </c>
      <c r="AS620" s="66">
        <f t="shared" si="183"/>
        <v>0</v>
      </c>
      <c r="AT620" s="257">
        <f t="shared" si="183"/>
        <v>0</v>
      </c>
      <c r="AU620" s="84">
        <f t="shared" si="183"/>
        <v>0</v>
      </c>
      <c r="AV620" s="66">
        <f t="shared" si="183"/>
        <v>0</v>
      </c>
      <c r="AW620" s="257">
        <f t="shared" si="183"/>
        <v>0</v>
      </c>
      <c r="AX620" s="66">
        <f t="shared" si="183"/>
        <v>0</v>
      </c>
      <c r="AY620" s="257">
        <f t="shared" si="183"/>
        <v>0</v>
      </c>
      <c r="AZ620" s="84">
        <f t="shared" si="183"/>
        <v>0</v>
      </c>
      <c r="BA620" s="66">
        <f t="shared" si="183"/>
        <v>0</v>
      </c>
      <c r="BB620" s="66">
        <f t="shared" si="183"/>
        <v>0</v>
      </c>
      <c r="BC620" s="84">
        <f t="shared" si="183"/>
        <v>0</v>
      </c>
      <c r="BD620" s="66">
        <f t="shared" si="183"/>
        <v>0</v>
      </c>
      <c r="BE620" s="66">
        <f t="shared" si="183"/>
        <v>0</v>
      </c>
      <c r="BF620" s="257">
        <f t="shared" si="183"/>
        <v>0</v>
      </c>
      <c r="BG620" s="259">
        <f t="shared" si="183"/>
        <v>0</v>
      </c>
      <c r="BH620" s="544">
        <f t="shared" si="183"/>
        <v>0</v>
      </c>
      <c r="BI620" s="66">
        <f t="shared" si="183"/>
        <v>2161</v>
      </c>
      <c r="BJ620" s="65">
        <f t="shared" si="183"/>
        <v>2062</v>
      </c>
      <c r="BK620" s="66">
        <f t="shared" si="183"/>
        <v>0</v>
      </c>
      <c r="BL620" s="306">
        <f t="shared" si="183"/>
        <v>0</v>
      </c>
      <c r="BM620" s="65">
        <f t="shared" si="183"/>
        <v>0</v>
      </c>
      <c r="BN620" s="66">
        <f t="shared" si="183"/>
        <v>0</v>
      </c>
      <c r="BO620" s="257">
        <f t="shared" si="183"/>
        <v>0</v>
      </c>
      <c r="BP620" s="306">
        <f t="shared" si="183"/>
        <v>0</v>
      </c>
      <c r="BQ620" s="257">
        <f t="shared" si="183"/>
        <v>0</v>
      </c>
      <c r="BR620" s="84">
        <f t="shared" ref="BR620:CI620" si="184">SUM(BR226:BR230)+SUM(BR475:BR477)</f>
        <v>0</v>
      </c>
      <c r="BS620" s="66">
        <f t="shared" si="184"/>
        <v>0</v>
      </c>
      <c r="BT620" s="65">
        <f t="shared" si="184"/>
        <v>0</v>
      </c>
      <c r="BU620" s="66">
        <f t="shared" si="184"/>
        <v>0</v>
      </c>
      <c r="BV620" s="306">
        <f t="shared" si="184"/>
        <v>0</v>
      </c>
      <c r="BW620" s="67">
        <f t="shared" si="184"/>
        <v>0</v>
      </c>
      <c r="BX620" s="257">
        <f t="shared" si="184"/>
        <v>0</v>
      </c>
      <c r="BY620" s="84">
        <f t="shared" si="184"/>
        <v>0</v>
      </c>
      <c r="BZ620" s="66">
        <f t="shared" si="184"/>
        <v>0</v>
      </c>
      <c r="CA620" s="257">
        <f t="shared" si="184"/>
        <v>0</v>
      </c>
      <c r="CB620" s="306">
        <f t="shared" si="184"/>
        <v>0</v>
      </c>
      <c r="CC620" s="65">
        <f t="shared" si="184"/>
        <v>0</v>
      </c>
      <c r="CD620" s="66">
        <f t="shared" si="184"/>
        <v>2570</v>
      </c>
      <c r="CE620" s="257">
        <f t="shared" si="184"/>
        <v>1645</v>
      </c>
      <c r="CF620" s="257">
        <f t="shared" si="184"/>
        <v>1995</v>
      </c>
      <c r="CG620" s="84">
        <f t="shared" si="184"/>
        <v>1309</v>
      </c>
      <c r="CH620" s="66">
        <f t="shared" si="184"/>
        <v>0</v>
      </c>
      <c r="CI620" s="84">
        <f t="shared" si="184"/>
        <v>0</v>
      </c>
    </row>
    <row r="621" spans="2:87" x14ac:dyDescent="0.3">
      <c r="B621" s="17" t="s">
        <v>24</v>
      </c>
      <c r="C621" s="322">
        <f>SUM(C484:C495)</f>
        <v>12299</v>
      </c>
      <c r="D621" s="235">
        <f>SUM(D484:D495)</f>
        <v>6988</v>
      </c>
      <c r="E621" s="367">
        <f t="shared" si="31"/>
        <v>0.56817627449386132</v>
      </c>
      <c r="F621" s="66">
        <f t="shared" ref="F621:AK621" si="185">SUM(F484:F495)</f>
        <v>0</v>
      </c>
      <c r="G621" s="66">
        <f t="shared" si="185"/>
        <v>0</v>
      </c>
      <c r="H621" s="66">
        <f t="shared" si="185"/>
        <v>0</v>
      </c>
      <c r="I621" s="66">
        <f t="shared" si="185"/>
        <v>0</v>
      </c>
      <c r="J621" s="65">
        <f t="shared" si="185"/>
        <v>0</v>
      </c>
      <c r="K621" s="66">
        <f t="shared" si="185"/>
        <v>0</v>
      </c>
      <c r="L621" s="259">
        <f t="shared" si="185"/>
        <v>0</v>
      </c>
      <c r="M621" s="544">
        <f t="shared" si="185"/>
        <v>0</v>
      </c>
      <c r="N621" s="66">
        <f t="shared" si="185"/>
        <v>0</v>
      </c>
      <c r="O621" s="257">
        <f t="shared" si="185"/>
        <v>0</v>
      </c>
      <c r="P621" s="306">
        <f t="shared" si="185"/>
        <v>0</v>
      </c>
      <c r="Q621" s="67">
        <f t="shared" si="185"/>
        <v>0</v>
      </c>
      <c r="R621" s="67">
        <f t="shared" si="185"/>
        <v>0</v>
      </c>
      <c r="S621" s="64">
        <f t="shared" si="185"/>
        <v>0</v>
      </c>
      <c r="T621" s="66">
        <f t="shared" si="185"/>
        <v>0</v>
      </c>
      <c r="U621" s="66">
        <f t="shared" si="185"/>
        <v>0</v>
      </c>
      <c r="V621" s="84">
        <f t="shared" si="185"/>
        <v>0</v>
      </c>
      <c r="W621" s="64">
        <f t="shared" si="185"/>
        <v>0</v>
      </c>
      <c r="X621" s="257">
        <f t="shared" si="185"/>
        <v>0</v>
      </c>
      <c r="Y621" s="306">
        <f t="shared" si="185"/>
        <v>0</v>
      </c>
      <c r="Z621" s="65">
        <f t="shared" si="185"/>
        <v>0</v>
      </c>
      <c r="AA621" s="66">
        <f t="shared" si="185"/>
        <v>0</v>
      </c>
      <c r="AB621" s="67">
        <f t="shared" si="185"/>
        <v>0</v>
      </c>
      <c r="AC621" s="64">
        <f t="shared" si="185"/>
        <v>0</v>
      </c>
      <c r="AD621" s="66">
        <f t="shared" si="185"/>
        <v>0</v>
      </c>
      <c r="AE621" s="257">
        <f t="shared" si="185"/>
        <v>0</v>
      </c>
      <c r="AF621" s="84">
        <f t="shared" si="185"/>
        <v>0</v>
      </c>
      <c r="AG621" s="84">
        <f t="shared" si="185"/>
        <v>0</v>
      </c>
      <c r="AH621" s="66">
        <f t="shared" si="185"/>
        <v>0</v>
      </c>
      <c r="AI621" s="84">
        <f t="shared" si="185"/>
        <v>0</v>
      </c>
      <c r="AJ621" s="66">
        <f t="shared" si="185"/>
        <v>0</v>
      </c>
      <c r="AK621" s="257">
        <f t="shared" si="185"/>
        <v>0</v>
      </c>
      <c r="AL621" s="84">
        <f t="shared" ref="AL621:BQ621" si="186">SUM(AL484:AL495)</f>
        <v>0</v>
      </c>
      <c r="AM621" s="66">
        <f t="shared" si="186"/>
        <v>0</v>
      </c>
      <c r="AN621" s="257">
        <f t="shared" si="186"/>
        <v>0</v>
      </c>
      <c r="AO621" s="257">
        <f t="shared" si="186"/>
        <v>0</v>
      </c>
      <c r="AP621" s="84">
        <f t="shared" si="186"/>
        <v>0</v>
      </c>
      <c r="AQ621" s="66">
        <f t="shared" si="186"/>
        <v>0</v>
      </c>
      <c r="AR621" s="84">
        <f t="shared" si="186"/>
        <v>0</v>
      </c>
      <c r="AS621" s="66">
        <f t="shared" si="186"/>
        <v>0</v>
      </c>
      <c r="AT621" s="257">
        <f t="shared" si="186"/>
        <v>0</v>
      </c>
      <c r="AU621" s="84">
        <f t="shared" si="186"/>
        <v>0</v>
      </c>
      <c r="AV621" s="66">
        <f t="shared" si="186"/>
        <v>0</v>
      </c>
      <c r="AW621" s="257">
        <f t="shared" si="186"/>
        <v>0</v>
      </c>
      <c r="AX621" s="66">
        <f t="shared" si="186"/>
        <v>0</v>
      </c>
      <c r="AY621" s="257">
        <f t="shared" si="186"/>
        <v>0</v>
      </c>
      <c r="AZ621" s="84">
        <f t="shared" si="186"/>
        <v>0</v>
      </c>
      <c r="BA621" s="66">
        <f t="shared" si="186"/>
        <v>0</v>
      </c>
      <c r="BB621" s="66">
        <f t="shared" si="186"/>
        <v>0</v>
      </c>
      <c r="BC621" s="84">
        <f t="shared" si="186"/>
        <v>0</v>
      </c>
      <c r="BD621" s="66">
        <f t="shared" si="186"/>
        <v>0</v>
      </c>
      <c r="BE621" s="66">
        <f t="shared" si="186"/>
        <v>0</v>
      </c>
      <c r="BF621" s="257">
        <f t="shared" si="186"/>
        <v>0</v>
      </c>
      <c r="BG621" s="259">
        <f t="shared" si="186"/>
        <v>0</v>
      </c>
      <c r="BH621" s="544">
        <f t="shared" si="186"/>
        <v>0</v>
      </c>
      <c r="BI621" s="66">
        <f t="shared" si="186"/>
        <v>2988</v>
      </c>
      <c r="BJ621" s="65">
        <f t="shared" si="186"/>
        <v>2786</v>
      </c>
      <c r="BK621" s="66">
        <f t="shared" si="186"/>
        <v>0</v>
      </c>
      <c r="BL621" s="306">
        <f t="shared" si="186"/>
        <v>0</v>
      </c>
      <c r="BM621" s="65">
        <f t="shared" si="186"/>
        <v>0</v>
      </c>
      <c r="BN621" s="66">
        <f t="shared" si="186"/>
        <v>0</v>
      </c>
      <c r="BO621" s="257">
        <f t="shared" si="186"/>
        <v>0</v>
      </c>
      <c r="BP621" s="306">
        <f t="shared" si="186"/>
        <v>0</v>
      </c>
      <c r="BQ621" s="257">
        <f t="shared" si="186"/>
        <v>0</v>
      </c>
      <c r="BR621" s="84">
        <f t="shared" ref="BR621:CI621" si="187">SUM(BR484:BR495)</f>
        <v>0</v>
      </c>
      <c r="BS621" s="66">
        <f t="shared" si="187"/>
        <v>0</v>
      </c>
      <c r="BT621" s="65">
        <f t="shared" si="187"/>
        <v>0</v>
      </c>
      <c r="BU621" s="66">
        <f t="shared" si="187"/>
        <v>0</v>
      </c>
      <c r="BV621" s="306">
        <f t="shared" si="187"/>
        <v>0</v>
      </c>
      <c r="BW621" s="67">
        <f t="shared" si="187"/>
        <v>0</v>
      </c>
      <c r="BX621" s="257">
        <f t="shared" si="187"/>
        <v>0</v>
      </c>
      <c r="BY621" s="84">
        <f t="shared" si="187"/>
        <v>0</v>
      </c>
      <c r="BZ621" s="66">
        <f t="shared" si="187"/>
        <v>0</v>
      </c>
      <c r="CA621" s="257">
        <f t="shared" si="187"/>
        <v>0</v>
      </c>
      <c r="CB621" s="306">
        <f t="shared" si="187"/>
        <v>0</v>
      </c>
      <c r="CC621" s="65">
        <f t="shared" si="187"/>
        <v>0</v>
      </c>
      <c r="CD621" s="66">
        <f t="shared" si="187"/>
        <v>0</v>
      </c>
      <c r="CE621" s="257">
        <f t="shared" si="187"/>
        <v>0</v>
      </c>
      <c r="CF621" s="257">
        <f t="shared" si="187"/>
        <v>0</v>
      </c>
      <c r="CG621" s="84">
        <f t="shared" si="187"/>
        <v>0</v>
      </c>
      <c r="CH621" s="66">
        <f t="shared" si="187"/>
        <v>4236</v>
      </c>
      <c r="CI621" s="84">
        <f t="shared" si="187"/>
        <v>201</v>
      </c>
    </row>
    <row r="622" spans="2:87" x14ac:dyDescent="0.3">
      <c r="B622" s="17" t="s">
        <v>25</v>
      </c>
      <c r="C622" s="322">
        <f>SUM(C505:C532)</f>
        <v>26644</v>
      </c>
      <c r="D622" s="235">
        <f>SUM(D505:D532)</f>
        <v>13281</v>
      </c>
      <c r="E622" s="367">
        <f t="shared" si="31"/>
        <v>0.49846119201321121</v>
      </c>
      <c r="F622" s="66">
        <f t="shared" ref="F622:AK622" si="188">SUM(F505:F532)</f>
        <v>329</v>
      </c>
      <c r="G622" s="66">
        <f t="shared" si="188"/>
        <v>150</v>
      </c>
      <c r="H622" s="66">
        <f t="shared" si="188"/>
        <v>219</v>
      </c>
      <c r="I622" s="66">
        <f t="shared" si="188"/>
        <v>304</v>
      </c>
      <c r="J622" s="65">
        <f t="shared" si="188"/>
        <v>85</v>
      </c>
      <c r="K622" s="66">
        <f t="shared" si="188"/>
        <v>0</v>
      </c>
      <c r="L622" s="259">
        <f t="shared" si="188"/>
        <v>0</v>
      </c>
      <c r="M622" s="544">
        <f t="shared" si="188"/>
        <v>0</v>
      </c>
      <c r="N622" s="66">
        <f t="shared" si="188"/>
        <v>0</v>
      </c>
      <c r="O622" s="257">
        <f t="shared" si="188"/>
        <v>0</v>
      </c>
      <c r="P622" s="306">
        <f t="shared" si="188"/>
        <v>0</v>
      </c>
      <c r="Q622" s="67">
        <f t="shared" si="188"/>
        <v>0</v>
      </c>
      <c r="R622" s="67">
        <f t="shared" si="188"/>
        <v>0</v>
      </c>
      <c r="S622" s="64">
        <f t="shared" si="188"/>
        <v>0</v>
      </c>
      <c r="T622" s="66">
        <f t="shared" si="188"/>
        <v>0</v>
      </c>
      <c r="U622" s="66">
        <f t="shared" si="188"/>
        <v>0</v>
      </c>
      <c r="V622" s="84">
        <f t="shared" si="188"/>
        <v>0</v>
      </c>
      <c r="W622" s="64">
        <f t="shared" si="188"/>
        <v>0</v>
      </c>
      <c r="X622" s="257">
        <f t="shared" si="188"/>
        <v>0</v>
      </c>
      <c r="Y622" s="306">
        <f t="shared" si="188"/>
        <v>0</v>
      </c>
      <c r="Z622" s="65">
        <f t="shared" si="188"/>
        <v>0</v>
      </c>
      <c r="AA622" s="66">
        <f t="shared" si="188"/>
        <v>0</v>
      </c>
      <c r="AB622" s="67">
        <f t="shared" si="188"/>
        <v>0</v>
      </c>
      <c r="AC622" s="64">
        <f t="shared" si="188"/>
        <v>0</v>
      </c>
      <c r="AD622" s="66">
        <f t="shared" si="188"/>
        <v>0</v>
      </c>
      <c r="AE622" s="257">
        <f t="shared" si="188"/>
        <v>0</v>
      </c>
      <c r="AF622" s="84">
        <f t="shared" si="188"/>
        <v>0</v>
      </c>
      <c r="AG622" s="84">
        <f t="shared" si="188"/>
        <v>2363</v>
      </c>
      <c r="AH622" s="66">
        <f t="shared" si="188"/>
        <v>227</v>
      </c>
      <c r="AI622" s="84">
        <f t="shared" si="188"/>
        <v>112</v>
      </c>
      <c r="AJ622" s="66">
        <f t="shared" si="188"/>
        <v>0</v>
      </c>
      <c r="AK622" s="257">
        <f t="shared" si="188"/>
        <v>0</v>
      </c>
      <c r="AL622" s="84">
        <f t="shared" ref="AL622:BQ622" si="189">SUM(AL505:AL532)</f>
        <v>0</v>
      </c>
      <c r="AM622" s="66">
        <f t="shared" si="189"/>
        <v>126</v>
      </c>
      <c r="AN622" s="257">
        <f t="shared" si="189"/>
        <v>36</v>
      </c>
      <c r="AO622" s="257">
        <f t="shared" si="189"/>
        <v>61</v>
      </c>
      <c r="AP622" s="84">
        <f t="shared" si="189"/>
        <v>36</v>
      </c>
      <c r="AQ622" s="66">
        <f t="shared" si="189"/>
        <v>0</v>
      </c>
      <c r="AR622" s="84">
        <f t="shared" si="189"/>
        <v>0</v>
      </c>
      <c r="AS622" s="66">
        <f t="shared" si="189"/>
        <v>0</v>
      </c>
      <c r="AT622" s="257">
        <f t="shared" si="189"/>
        <v>0</v>
      </c>
      <c r="AU622" s="84">
        <f t="shared" si="189"/>
        <v>0</v>
      </c>
      <c r="AV622" s="66">
        <f t="shared" si="189"/>
        <v>0</v>
      </c>
      <c r="AW622" s="257">
        <f t="shared" si="189"/>
        <v>0</v>
      </c>
      <c r="AX622" s="66">
        <f t="shared" si="189"/>
        <v>0</v>
      </c>
      <c r="AY622" s="257">
        <f t="shared" si="189"/>
        <v>0</v>
      </c>
      <c r="AZ622" s="84">
        <f t="shared" si="189"/>
        <v>0</v>
      </c>
      <c r="BA622" s="66">
        <f t="shared" si="189"/>
        <v>896</v>
      </c>
      <c r="BB622" s="66">
        <f t="shared" si="189"/>
        <v>975</v>
      </c>
      <c r="BC622" s="84">
        <f t="shared" si="189"/>
        <v>1105</v>
      </c>
      <c r="BD622" s="66">
        <f t="shared" si="189"/>
        <v>0</v>
      </c>
      <c r="BE622" s="66">
        <f t="shared" si="189"/>
        <v>0</v>
      </c>
      <c r="BF622" s="257">
        <f t="shared" si="189"/>
        <v>0</v>
      </c>
      <c r="BG622" s="259">
        <f t="shared" si="189"/>
        <v>0</v>
      </c>
      <c r="BH622" s="544">
        <f t="shared" si="189"/>
        <v>0</v>
      </c>
      <c r="BI622" s="66">
        <f t="shared" si="189"/>
        <v>2542</v>
      </c>
      <c r="BJ622" s="65">
        <f t="shared" si="189"/>
        <v>2913</v>
      </c>
      <c r="BK622" s="66">
        <f t="shared" si="189"/>
        <v>1657</v>
      </c>
      <c r="BL622" s="306">
        <f t="shared" si="189"/>
        <v>1988</v>
      </c>
      <c r="BM622" s="65">
        <f t="shared" si="189"/>
        <v>2198</v>
      </c>
      <c r="BN622" s="66">
        <f t="shared" si="189"/>
        <v>0</v>
      </c>
      <c r="BO622" s="257">
        <f t="shared" si="189"/>
        <v>0</v>
      </c>
      <c r="BP622" s="306">
        <f t="shared" si="189"/>
        <v>0</v>
      </c>
      <c r="BQ622" s="257">
        <f t="shared" si="189"/>
        <v>0</v>
      </c>
      <c r="BR622" s="84">
        <f t="shared" ref="BR622:CI622" si="190">SUM(BR505:BR532)</f>
        <v>0</v>
      </c>
      <c r="BS622" s="66">
        <f t="shared" si="190"/>
        <v>0</v>
      </c>
      <c r="BT622" s="65">
        <f t="shared" si="190"/>
        <v>0</v>
      </c>
      <c r="BU622" s="66">
        <f t="shared" si="190"/>
        <v>438</v>
      </c>
      <c r="BV622" s="306">
        <f t="shared" si="190"/>
        <v>484</v>
      </c>
      <c r="BW622" s="67">
        <f t="shared" si="190"/>
        <v>532</v>
      </c>
      <c r="BX622" s="257">
        <f t="shared" si="190"/>
        <v>360</v>
      </c>
      <c r="BY622" s="84">
        <f t="shared" si="190"/>
        <v>299</v>
      </c>
      <c r="BZ622" s="66">
        <f t="shared" si="190"/>
        <v>0</v>
      </c>
      <c r="CA622" s="257">
        <f t="shared" si="190"/>
        <v>0</v>
      </c>
      <c r="CB622" s="306">
        <f t="shared" si="190"/>
        <v>0</v>
      </c>
      <c r="CC622" s="65">
        <f t="shared" si="190"/>
        <v>0</v>
      </c>
      <c r="CD622" s="66">
        <f t="shared" si="190"/>
        <v>0</v>
      </c>
      <c r="CE622" s="257">
        <f t="shared" si="190"/>
        <v>0</v>
      </c>
      <c r="CF622" s="257">
        <f t="shared" si="190"/>
        <v>0</v>
      </c>
      <c r="CG622" s="84">
        <f t="shared" si="190"/>
        <v>0</v>
      </c>
      <c r="CH622" s="66">
        <f t="shared" si="190"/>
        <v>0</v>
      </c>
      <c r="CI622" s="84">
        <f t="shared" si="190"/>
        <v>0</v>
      </c>
    </row>
    <row r="623" spans="2:87" x14ac:dyDescent="0.3">
      <c r="B623" s="17" t="s">
        <v>713</v>
      </c>
      <c r="C623" s="322">
        <f>SUM(C533:C546)</f>
        <v>14300</v>
      </c>
      <c r="D623" s="235">
        <f>SUM(D533:D546)</f>
        <v>7914</v>
      </c>
      <c r="E623" s="367">
        <f t="shared" si="31"/>
        <v>0.55342657342657342</v>
      </c>
      <c r="F623" s="66">
        <f t="shared" ref="F623:AK623" si="191">SUM(F533:F546)</f>
        <v>117</v>
      </c>
      <c r="G623" s="66">
        <f t="shared" si="191"/>
        <v>59</v>
      </c>
      <c r="H623" s="66">
        <f t="shared" si="191"/>
        <v>96</v>
      </c>
      <c r="I623" s="66">
        <f t="shared" si="191"/>
        <v>103</v>
      </c>
      <c r="J623" s="65">
        <f t="shared" si="191"/>
        <v>36</v>
      </c>
      <c r="K623" s="66">
        <f t="shared" si="191"/>
        <v>1113</v>
      </c>
      <c r="L623" s="259">
        <f t="shared" si="191"/>
        <v>1264</v>
      </c>
      <c r="M623" s="544">
        <f t="shared" si="191"/>
        <v>1542</v>
      </c>
      <c r="N623" s="66">
        <f t="shared" si="191"/>
        <v>325</v>
      </c>
      <c r="O623" s="257">
        <f t="shared" si="191"/>
        <v>749</v>
      </c>
      <c r="P623" s="306">
        <f t="shared" si="191"/>
        <v>385</v>
      </c>
      <c r="Q623" s="67">
        <f t="shared" si="191"/>
        <v>1495</v>
      </c>
      <c r="R623" s="67">
        <f t="shared" si="191"/>
        <v>1149</v>
      </c>
      <c r="S623" s="64">
        <f t="shared" si="191"/>
        <v>0</v>
      </c>
      <c r="T623" s="66">
        <f t="shared" si="191"/>
        <v>0</v>
      </c>
      <c r="U623" s="66">
        <f t="shared" si="191"/>
        <v>0</v>
      </c>
      <c r="V623" s="84">
        <f t="shared" si="191"/>
        <v>0</v>
      </c>
      <c r="W623" s="64">
        <f t="shared" si="191"/>
        <v>0</v>
      </c>
      <c r="X623" s="257">
        <f t="shared" si="191"/>
        <v>0</v>
      </c>
      <c r="Y623" s="306">
        <f t="shared" si="191"/>
        <v>0</v>
      </c>
      <c r="Z623" s="65">
        <f t="shared" si="191"/>
        <v>0</v>
      </c>
      <c r="AA623" s="66">
        <f t="shared" si="191"/>
        <v>0</v>
      </c>
      <c r="AB623" s="67">
        <f t="shared" si="191"/>
        <v>0</v>
      </c>
      <c r="AC623" s="64">
        <f t="shared" si="191"/>
        <v>0</v>
      </c>
      <c r="AD623" s="66">
        <f t="shared" si="191"/>
        <v>0</v>
      </c>
      <c r="AE623" s="257">
        <f t="shared" si="191"/>
        <v>0</v>
      </c>
      <c r="AF623" s="84">
        <f t="shared" si="191"/>
        <v>0</v>
      </c>
      <c r="AG623" s="84">
        <f t="shared" si="191"/>
        <v>0</v>
      </c>
      <c r="AH623" s="66">
        <f t="shared" si="191"/>
        <v>0</v>
      </c>
      <c r="AI623" s="84">
        <f t="shared" si="191"/>
        <v>0</v>
      </c>
      <c r="AJ623" s="66">
        <f t="shared" si="191"/>
        <v>0</v>
      </c>
      <c r="AK623" s="257">
        <f t="shared" si="191"/>
        <v>0</v>
      </c>
      <c r="AL623" s="84">
        <f t="shared" ref="AL623:BQ623" si="192">SUM(AL533:AL546)</f>
        <v>0</v>
      </c>
      <c r="AM623" s="66">
        <f t="shared" si="192"/>
        <v>633</v>
      </c>
      <c r="AN623" s="257">
        <f t="shared" si="192"/>
        <v>453</v>
      </c>
      <c r="AO623" s="257">
        <f t="shared" si="192"/>
        <v>543</v>
      </c>
      <c r="AP623" s="84">
        <f t="shared" si="192"/>
        <v>653</v>
      </c>
      <c r="AQ623" s="66">
        <f t="shared" si="192"/>
        <v>31</v>
      </c>
      <c r="AR623" s="84">
        <f t="shared" si="192"/>
        <v>27</v>
      </c>
      <c r="AS623" s="66">
        <f t="shared" si="192"/>
        <v>0</v>
      </c>
      <c r="AT623" s="257">
        <f t="shared" si="192"/>
        <v>0</v>
      </c>
      <c r="AU623" s="84">
        <f t="shared" si="192"/>
        <v>0</v>
      </c>
      <c r="AV623" s="66">
        <f t="shared" si="192"/>
        <v>282</v>
      </c>
      <c r="AW623" s="257">
        <f t="shared" si="192"/>
        <v>265</v>
      </c>
      <c r="AX623" s="66">
        <f t="shared" si="192"/>
        <v>350</v>
      </c>
      <c r="AY623" s="257">
        <f t="shared" si="192"/>
        <v>173</v>
      </c>
      <c r="AZ623" s="84">
        <f t="shared" si="192"/>
        <v>119</v>
      </c>
      <c r="BA623" s="66">
        <f t="shared" si="192"/>
        <v>0</v>
      </c>
      <c r="BB623" s="66">
        <f t="shared" si="192"/>
        <v>0</v>
      </c>
      <c r="BC623" s="84">
        <f t="shared" si="192"/>
        <v>0</v>
      </c>
      <c r="BD623" s="66">
        <f t="shared" si="192"/>
        <v>0</v>
      </c>
      <c r="BE623" s="66">
        <f t="shared" si="192"/>
        <v>0</v>
      </c>
      <c r="BF623" s="257">
        <f t="shared" si="192"/>
        <v>0</v>
      </c>
      <c r="BG623" s="259">
        <f t="shared" si="192"/>
        <v>0</v>
      </c>
      <c r="BH623" s="544">
        <f t="shared" si="192"/>
        <v>0</v>
      </c>
      <c r="BI623" s="66">
        <f t="shared" si="192"/>
        <v>0</v>
      </c>
      <c r="BJ623" s="65">
        <f t="shared" si="192"/>
        <v>0</v>
      </c>
      <c r="BK623" s="66">
        <f t="shared" si="192"/>
        <v>0</v>
      </c>
      <c r="BL623" s="306">
        <f t="shared" si="192"/>
        <v>0</v>
      </c>
      <c r="BM623" s="65">
        <f t="shared" si="192"/>
        <v>0</v>
      </c>
      <c r="BN623" s="66">
        <f t="shared" si="192"/>
        <v>0</v>
      </c>
      <c r="BO623" s="257">
        <f t="shared" si="192"/>
        <v>0</v>
      </c>
      <c r="BP623" s="306">
        <f t="shared" si="192"/>
        <v>0</v>
      </c>
      <c r="BQ623" s="257">
        <f t="shared" si="192"/>
        <v>0</v>
      </c>
      <c r="BR623" s="84">
        <f t="shared" ref="BR623:CI623" si="193">SUM(BR533:BR546)</f>
        <v>0</v>
      </c>
      <c r="BS623" s="66">
        <f t="shared" si="193"/>
        <v>0</v>
      </c>
      <c r="BT623" s="65">
        <f t="shared" si="193"/>
        <v>0</v>
      </c>
      <c r="BU623" s="66">
        <f t="shared" si="193"/>
        <v>0</v>
      </c>
      <c r="BV623" s="306">
        <f t="shared" si="193"/>
        <v>0</v>
      </c>
      <c r="BW623" s="67">
        <f t="shared" si="193"/>
        <v>0</v>
      </c>
      <c r="BX623" s="257">
        <f t="shared" si="193"/>
        <v>0</v>
      </c>
      <c r="BY623" s="84">
        <f t="shared" si="193"/>
        <v>0</v>
      </c>
      <c r="BZ623" s="66">
        <f t="shared" si="193"/>
        <v>0</v>
      </c>
      <c r="CA623" s="257">
        <f t="shared" si="193"/>
        <v>0</v>
      </c>
      <c r="CB623" s="306">
        <f t="shared" si="193"/>
        <v>0</v>
      </c>
      <c r="CC623" s="65">
        <f t="shared" si="193"/>
        <v>0</v>
      </c>
      <c r="CD623" s="66">
        <f t="shared" si="193"/>
        <v>0</v>
      </c>
      <c r="CE623" s="257">
        <f t="shared" si="193"/>
        <v>0</v>
      </c>
      <c r="CF623" s="257">
        <f t="shared" si="193"/>
        <v>0</v>
      </c>
      <c r="CG623" s="84">
        <f t="shared" si="193"/>
        <v>0</v>
      </c>
      <c r="CH623" s="66">
        <f t="shared" si="193"/>
        <v>0</v>
      </c>
      <c r="CI623" s="84">
        <f t="shared" si="193"/>
        <v>0</v>
      </c>
    </row>
    <row r="624" spans="2:87" x14ac:dyDescent="0.3">
      <c r="B624" s="17" t="s">
        <v>714</v>
      </c>
      <c r="C624" s="322">
        <f>SUM(C547:C558)</f>
        <v>11251</v>
      </c>
      <c r="D624" s="235">
        <f>SUM(D547:D558)</f>
        <v>6598</v>
      </c>
      <c r="E624" s="367">
        <f t="shared" si="31"/>
        <v>0.58643676117678434</v>
      </c>
      <c r="F624" s="66">
        <f t="shared" ref="F624:AK624" si="194">SUM(F547:F558)</f>
        <v>0</v>
      </c>
      <c r="G624" s="66">
        <f t="shared" si="194"/>
        <v>0</v>
      </c>
      <c r="H624" s="66">
        <f t="shared" si="194"/>
        <v>0</v>
      </c>
      <c r="I624" s="66">
        <f t="shared" si="194"/>
        <v>0</v>
      </c>
      <c r="J624" s="65">
        <f t="shared" si="194"/>
        <v>0</v>
      </c>
      <c r="K624" s="66">
        <f t="shared" si="194"/>
        <v>0</v>
      </c>
      <c r="L624" s="259">
        <f t="shared" si="194"/>
        <v>0</v>
      </c>
      <c r="M624" s="544">
        <f t="shared" si="194"/>
        <v>0</v>
      </c>
      <c r="N624" s="66">
        <f t="shared" si="194"/>
        <v>105</v>
      </c>
      <c r="O624" s="257">
        <f t="shared" si="194"/>
        <v>144</v>
      </c>
      <c r="P624" s="306">
        <f t="shared" si="194"/>
        <v>61</v>
      </c>
      <c r="Q624" s="67">
        <f t="shared" si="194"/>
        <v>325</v>
      </c>
      <c r="R624" s="67">
        <f t="shared" si="194"/>
        <v>237</v>
      </c>
      <c r="S624" s="64">
        <f t="shared" si="194"/>
        <v>903</v>
      </c>
      <c r="T624" s="66">
        <f t="shared" si="194"/>
        <v>1367</v>
      </c>
      <c r="U624" s="66">
        <f t="shared" si="194"/>
        <v>1541</v>
      </c>
      <c r="V624" s="84">
        <f t="shared" si="194"/>
        <v>533</v>
      </c>
      <c r="W624" s="64">
        <f t="shared" si="194"/>
        <v>0</v>
      </c>
      <c r="X624" s="257">
        <f t="shared" si="194"/>
        <v>0</v>
      </c>
      <c r="Y624" s="306">
        <f t="shared" si="194"/>
        <v>0</v>
      </c>
      <c r="Z624" s="65">
        <f t="shared" si="194"/>
        <v>0</v>
      </c>
      <c r="AA624" s="66">
        <f t="shared" si="194"/>
        <v>0</v>
      </c>
      <c r="AB624" s="67">
        <f t="shared" si="194"/>
        <v>0</v>
      </c>
      <c r="AC624" s="64">
        <f t="shared" si="194"/>
        <v>0</v>
      </c>
      <c r="AD624" s="66">
        <f t="shared" si="194"/>
        <v>0</v>
      </c>
      <c r="AE624" s="257">
        <f t="shared" si="194"/>
        <v>0</v>
      </c>
      <c r="AF624" s="84">
        <f t="shared" si="194"/>
        <v>0</v>
      </c>
      <c r="AG624" s="84">
        <f t="shared" si="194"/>
        <v>0</v>
      </c>
      <c r="AH624" s="66">
        <f t="shared" si="194"/>
        <v>0</v>
      </c>
      <c r="AI624" s="84">
        <f t="shared" si="194"/>
        <v>0</v>
      </c>
      <c r="AJ624" s="66">
        <f t="shared" si="194"/>
        <v>0</v>
      </c>
      <c r="AK624" s="257">
        <f t="shared" si="194"/>
        <v>0</v>
      </c>
      <c r="AL624" s="84">
        <f t="shared" ref="AL624:BQ624" si="195">SUM(AL547:AL558)</f>
        <v>0</v>
      </c>
      <c r="AM624" s="66">
        <f t="shared" si="195"/>
        <v>0</v>
      </c>
      <c r="AN624" s="257">
        <f t="shared" si="195"/>
        <v>0</v>
      </c>
      <c r="AO624" s="257">
        <f t="shared" si="195"/>
        <v>0</v>
      </c>
      <c r="AP624" s="84">
        <f t="shared" si="195"/>
        <v>0</v>
      </c>
      <c r="AQ624" s="66">
        <f t="shared" si="195"/>
        <v>0</v>
      </c>
      <c r="AR624" s="84">
        <f t="shared" si="195"/>
        <v>0</v>
      </c>
      <c r="AS624" s="66">
        <f t="shared" si="195"/>
        <v>0</v>
      </c>
      <c r="AT624" s="257">
        <f t="shared" si="195"/>
        <v>0</v>
      </c>
      <c r="AU624" s="84">
        <f t="shared" si="195"/>
        <v>0</v>
      </c>
      <c r="AV624" s="66">
        <f t="shared" si="195"/>
        <v>1259</v>
      </c>
      <c r="AW624" s="257">
        <f t="shared" si="195"/>
        <v>1313</v>
      </c>
      <c r="AX624" s="66">
        <f t="shared" si="195"/>
        <v>1361</v>
      </c>
      <c r="AY624" s="257">
        <f t="shared" si="195"/>
        <v>547</v>
      </c>
      <c r="AZ624" s="84">
        <f t="shared" si="195"/>
        <v>407</v>
      </c>
      <c r="BA624" s="66">
        <f t="shared" si="195"/>
        <v>0</v>
      </c>
      <c r="BB624" s="66">
        <f t="shared" si="195"/>
        <v>0</v>
      </c>
      <c r="BC624" s="84">
        <f t="shared" si="195"/>
        <v>0</v>
      </c>
      <c r="BD624" s="66">
        <f t="shared" si="195"/>
        <v>0</v>
      </c>
      <c r="BE624" s="66">
        <f t="shared" si="195"/>
        <v>0</v>
      </c>
      <c r="BF624" s="257">
        <f t="shared" si="195"/>
        <v>0</v>
      </c>
      <c r="BG624" s="259">
        <f t="shared" si="195"/>
        <v>0</v>
      </c>
      <c r="BH624" s="544">
        <f t="shared" si="195"/>
        <v>0</v>
      </c>
      <c r="BI624" s="66">
        <f t="shared" si="195"/>
        <v>0</v>
      </c>
      <c r="BJ624" s="65">
        <f t="shared" si="195"/>
        <v>0</v>
      </c>
      <c r="BK624" s="66">
        <f t="shared" si="195"/>
        <v>0</v>
      </c>
      <c r="BL624" s="306">
        <f t="shared" si="195"/>
        <v>0</v>
      </c>
      <c r="BM624" s="65">
        <f t="shared" si="195"/>
        <v>0</v>
      </c>
      <c r="BN624" s="66">
        <f t="shared" si="195"/>
        <v>0</v>
      </c>
      <c r="BO624" s="257">
        <f t="shared" si="195"/>
        <v>0</v>
      </c>
      <c r="BP624" s="306">
        <f t="shared" si="195"/>
        <v>0</v>
      </c>
      <c r="BQ624" s="257">
        <f t="shared" si="195"/>
        <v>0</v>
      </c>
      <c r="BR624" s="84">
        <f t="shared" ref="BR624:CI624" si="196">SUM(BR547:BR558)</f>
        <v>0</v>
      </c>
      <c r="BS624" s="66">
        <f t="shared" si="196"/>
        <v>0</v>
      </c>
      <c r="BT624" s="65">
        <f t="shared" si="196"/>
        <v>0</v>
      </c>
      <c r="BU624" s="66">
        <f t="shared" si="196"/>
        <v>0</v>
      </c>
      <c r="BV624" s="306">
        <f t="shared" si="196"/>
        <v>0</v>
      </c>
      <c r="BW624" s="67">
        <f t="shared" si="196"/>
        <v>0</v>
      </c>
      <c r="BX624" s="257">
        <f t="shared" si="196"/>
        <v>0</v>
      </c>
      <c r="BY624" s="84">
        <f t="shared" si="196"/>
        <v>0</v>
      </c>
      <c r="BZ624" s="66">
        <f t="shared" si="196"/>
        <v>0</v>
      </c>
      <c r="CA624" s="257">
        <f t="shared" si="196"/>
        <v>0</v>
      </c>
      <c r="CB624" s="306">
        <f t="shared" si="196"/>
        <v>0</v>
      </c>
      <c r="CC624" s="65">
        <f t="shared" si="196"/>
        <v>0</v>
      </c>
      <c r="CD624" s="66">
        <f t="shared" si="196"/>
        <v>0</v>
      </c>
      <c r="CE624" s="257">
        <f t="shared" si="196"/>
        <v>0</v>
      </c>
      <c r="CF624" s="257">
        <f t="shared" si="196"/>
        <v>0</v>
      </c>
      <c r="CG624" s="84">
        <f t="shared" si="196"/>
        <v>0</v>
      </c>
      <c r="CH624" s="66">
        <f t="shared" si="196"/>
        <v>0</v>
      </c>
      <c r="CI624" s="84">
        <f t="shared" si="196"/>
        <v>0</v>
      </c>
    </row>
    <row r="625" spans="2:87" x14ac:dyDescent="0.3">
      <c r="B625" s="17" t="s">
        <v>715</v>
      </c>
      <c r="C625" s="322">
        <f>SUM(C561:C563)</f>
        <v>4051</v>
      </c>
      <c r="D625" s="235">
        <f>SUM(D561:D563)</f>
        <v>1506</v>
      </c>
      <c r="E625" s="367">
        <f t="shared" si="31"/>
        <v>0.37176005924463096</v>
      </c>
      <c r="F625" s="66">
        <f t="shared" ref="F625:AK625" si="197">SUM(F561:F563)</f>
        <v>0</v>
      </c>
      <c r="G625" s="66">
        <f t="shared" si="197"/>
        <v>0</v>
      </c>
      <c r="H625" s="66">
        <f t="shared" si="197"/>
        <v>0</v>
      </c>
      <c r="I625" s="66">
        <f t="shared" si="197"/>
        <v>0</v>
      </c>
      <c r="J625" s="65">
        <f t="shared" si="197"/>
        <v>0</v>
      </c>
      <c r="K625" s="66">
        <f t="shared" si="197"/>
        <v>0</v>
      </c>
      <c r="L625" s="259">
        <f t="shared" si="197"/>
        <v>0</v>
      </c>
      <c r="M625" s="544">
        <f t="shared" si="197"/>
        <v>0</v>
      </c>
      <c r="N625" s="66">
        <f t="shared" si="197"/>
        <v>0</v>
      </c>
      <c r="O625" s="257">
        <f t="shared" si="197"/>
        <v>0</v>
      </c>
      <c r="P625" s="306">
        <f t="shared" si="197"/>
        <v>0</v>
      </c>
      <c r="Q625" s="67">
        <f t="shared" si="197"/>
        <v>0</v>
      </c>
      <c r="R625" s="67">
        <f t="shared" si="197"/>
        <v>0</v>
      </c>
      <c r="S625" s="64">
        <f t="shared" si="197"/>
        <v>0</v>
      </c>
      <c r="T625" s="66">
        <f t="shared" si="197"/>
        <v>0</v>
      </c>
      <c r="U625" s="66">
        <f t="shared" si="197"/>
        <v>0</v>
      </c>
      <c r="V625" s="84">
        <f t="shared" si="197"/>
        <v>0</v>
      </c>
      <c r="W625" s="64">
        <f t="shared" si="197"/>
        <v>0</v>
      </c>
      <c r="X625" s="257">
        <f t="shared" si="197"/>
        <v>0</v>
      </c>
      <c r="Y625" s="306">
        <f t="shared" si="197"/>
        <v>0</v>
      </c>
      <c r="Z625" s="65">
        <f t="shared" si="197"/>
        <v>0</v>
      </c>
      <c r="AA625" s="66">
        <f t="shared" si="197"/>
        <v>0</v>
      </c>
      <c r="AB625" s="67">
        <f t="shared" si="197"/>
        <v>0</v>
      </c>
      <c r="AC625" s="64">
        <f t="shared" si="197"/>
        <v>0</v>
      </c>
      <c r="AD625" s="66">
        <f t="shared" si="197"/>
        <v>0</v>
      </c>
      <c r="AE625" s="257">
        <f t="shared" si="197"/>
        <v>0</v>
      </c>
      <c r="AF625" s="84">
        <f t="shared" si="197"/>
        <v>0</v>
      </c>
      <c r="AG625" s="84">
        <f t="shared" si="197"/>
        <v>0</v>
      </c>
      <c r="AH625" s="66">
        <f t="shared" si="197"/>
        <v>0</v>
      </c>
      <c r="AI625" s="84">
        <f t="shared" si="197"/>
        <v>0</v>
      </c>
      <c r="AJ625" s="66">
        <f t="shared" si="197"/>
        <v>0</v>
      </c>
      <c r="AK625" s="257">
        <f t="shared" si="197"/>
        <v>0</v>
      </c>
      <c r="AL625" s="84">
        <f t="shared" ref="AL625:BQ625" si="198">SUM(AL561:AL563)</f>
        <v>0</v>
      </c>
      <c r="AM625" s="66">
        <f t="shared" si="198"/>
        <v>0</v>
      </c>
      <c r="AN625" s="257">
        <f t="shared" si="198"/>
        <v>0</v>
      </c>
      <c r="AO625" s="257">
        <f t="shared" si="198"/>
        <v>0</v>
      </c>
      <c r="AP625" s="84">
        <f t="shared" si="198"/>
        <v>0</v>
      </c>
      <c r="AQ625" s="66">
        <f t="shared" si="198"/>
        <v>0</v>
      </c>
      <c r="AR625" s="84">
        <f t="shared" si="198"/>
        <v>0</v>
      </c>
      <c r="AS625" s="66">
        <f t="shared" si="198"/>
        <v>0</v>
      </c>
      <c r="AT625" s="257">
        <f t="shared" si="198"/>
        <v>0</v>
      </c>
      <c r="AU625" s="84">
        <f t="shared" si="198"/>
        <v>0</v>
      </c>
      <c r="AV625" s="66">
        <f t="shared" si="198"/>
        <v>0</v>
      </c>
      <c r="AW625" s="257">
        <f t="shared" si="198"/>
        <v>0</v>
      </c>
      <c r="AX625" s="66">
        <f t="shared" si="198"/>
        <v>0</v>
      </c>
      <c r="AY625" s="257">
        <f t="shared" si="198"/>
        <v>0</v>
      </c>
      <c r="AZ625" s="84">
        <f t="shared" si="198"/>
        <v>0</v>
      </c>
      <c r="BA625" s="66">
        <f t="shared" si="198"/>
        <v>0</v>
      </c>
      <c r="BB625" s="66">
        <f t="shared" si="198"/>
        <v>0</v>
      </c>
      <c r="BC625" s="84">
        <f t="shared" si="198"/>
        <v>0</v>
      </c>
      <c r="BD625" s="66">
        <f t="shared" si="198"/>
        <v>0</v>
      </c>
      <c r="BE625" s="66">
        <f t="shared" si="198"/>
        <v>0</v>
      </c>
      <c r="BF625" s="257">
        <f t="shared" si="198"/>
        <v>0</v>
      </c>
      <c r="BG625" s="259">
        <f t="shared" si="198"/>
        <v>0</v>
      </c>
      <c r="BH625" s="544">
        <f t="shared" si="198"/>
        <v>0</v>
      </c>
      <c r="BI625" s="66">
        <f t="shared" si="198"/>
        <v>692</v>
      </c>
      <c r="BJ625" s="65">
        <f t="shared" si="198"/>
        <v>683</v>
      </c>
      <c r="BK625" s="66">
        <f t="shared" si="198"/>
        <v>0</v>
      </c>
      <c r="BL625" s="306">
        <f t="shared" si="198"/>
        <v>0</v>
      </c>
      <c r="BM625" s="65">
        <f t="shared" si="198"/>
        <v>0</v>
      </c>
      <c r="BN625" s="66">
        <f t="shared" si="198"/>
        <v>0</v>
      </c>
      <c r="BO625" s="257">
        <f t="shared" si="198"/>
        <v>0</v>
      </c>
      <c r="BP625" s="306">
        <f t="shared" si="198"/>
        <v>0</v>
      </c>
      <c r="BQ625" s="257">
        <f t="shared" si="198"/>
        <v>0</v>
      </c>
      <c r="BR625" s="84">
        <f t="shared" ref="BR625:CI625" si="199">SUM(BR561:BR563)</f>
        <v>0</v>
      </c>
      <c r="BS625" s="66">
        <f t="shared" si="199"/>
        <v>0</v>
      </c>
      <c r="BT625" s="65">
        <f t="shared" si="199"/>
        <v>0</v>
      </c>
      <c r="BU625" s="66">
        <f t="shared" si="199"/>
        <v>0</v>
      </c>
      <c r="BV625" s="306">
        <f t="shared" si="199"/>
        <v>0</v>
      </c>
      <c r="BW625" s="67">
        <f t="shared" si="199"/>
        <v>0</v>
      </c>
      <c r="BX625" s="257">
        <f t="shared" si="199"/>
        <v>0</v>
      </c>
      <c r="BY625" s="84">
        <f t="shared" si="199"/>
        <v>0</v>
      </c>
      <c r="BZ625" s="66">
        <f t="shared" si="199"/>
        <v>0</v>
      </c>
      <c r="CA625" s="257">
        <f t="shared" si="199"/>
        <v>0</v>
      </c>
      <c r="CB625" s="306">
        <f t="shared" si="199"/>
        <v>0</v>
      </c>
      <c r="CC625" s="65">
        <f t="shared" si="199"/>
        <v>0</v>
      </c>
      <c r="CD625" s="66">
        <f t="shared" si="199"/>
        <v>684</v>
      </c>
      <c r="CE625" s="257">
        <f t="shared" si="199"/>
        <v>524</v>
      </c>
      <c r="CF625" s="257">
        <f t="shared" si="199"/>
        <v>600</v>
      </c>
      <c r="CG625" s="84">
        <f t="shared" si="199"/>
        <v>443</v>
      </c>
      <c r="CH625" s="66">
        <f t="shared" si="199"/>
        <v>0</v>
      </c>
      <c r="CI625" s="84">
        <f t="shared" si="199"/>
        <v>0</v>
      </c>
    </row>
    <row r="626" spans="2:87" x14ac:dyDescent="0.3">
      <c r="B626" s="17" t="s">
        <v>10</v>
      </c>
      <c r="C626" s="322">
        <f>SUM(C484)</f>
        <v>581</v>
      </c>
      <c r="D626" s="235">
        <f>SUM(D484)</f>
        <v>179</v>
      </c>
      <c r="E626" s="367">
        <f t="shared" si="31"/>
        <v>0.30808950086058517</v>
      </c>
      <c r="F626" s="66">
        <f t="shared" ref="F626:AK626" si="200">SUM(F484)</f>
        <v>0</v>
      </c>
      <c r="G626" s="66">
        <f t="shared" si="200"/>
        <v>0</v>
      </c>
      <c r="H626" s="66">
        <f t="shared" si="200"/>
        <v>0</v>
      </c>
      <c r="I626" s="66">
        <f t="shared" si="200"/>
        <v>0</v>
      </c>
      <c r="J626" s="65">
        <f t="shared" si="200"/>
        <v>0</v>
      </c>
      <c r="K626" s="66">
        <f t="shared" si="200"/>
        <v>0</v>
      </c>
      <c r="L626" s="259">
        <f t="shared" si="200"/>
        <v>0</v>
      </c>
      <c r="M626" s="544">
        <f t="shared" si="200"/>
        <v>0</v>
      </c>
      <c r="N626" s="66">
        <f t="shared" si="200"/>
        <v>0</v>
      </c>
      <c r="O626" s="257">
        <f t="shared" si="200"/>
        <v>0</v>
      </c>
      <c r="P626" s="306">
        <f t="shared" si="200"/>
        <v>0</v>
      </c>
      <c r="Q626" s="67">
        <f t="shared" si="200"/>
        <v>0</v>
      </c>
      <c r="R626" s="67">
        <f t="shared" si="200"/>
        <v>0</v>
      </c>
      <c r="S626" s="64">
        <f t="shared" si="200"/>
        <v>0</v>
      </c>
      <c r="T626" s="66">
        <f t="shared" si="200"/>
        <v>0</v>
      </c>
      <c r="U626" s="66">
        <f t="shared" si="200"/>
        <v>0</v>
      </c>
      <c r="V626" s="84">
        <f t="shared" si="200"/>
        <v>0</v>
      </c>
      <c r="W626" s="64">
        <f t="shared" si="200"/>
        <v>0</v>
      </c>
      <c r="X626" s="257">
        <f t="shared" si="200"/>
        <v>0</v>
      </c>
      <c r="Y626" s="306">
        <f t="shared" si="200"/>
        <v>0</v>
      </c>
      <c r="Z626" s="65">
        <f t="shared" si="200"/>
        <v>0</v>
      </c>
      <c r="AA626" s="66">
        <f t="shared" si="200"/>
        <v>0</v>
      </c>
      <c r="AB626" s="67">
        <f t="shared" si="200"/>
        <v>0</v>
      </c>
      <c r="AC626" s="64">
        <f t="shared" si="200"/>
        <v>0</v>
      </c>
      <c r="AD626" s="66">
        <f t="shared" si="200"/>
        <v>0</v>
      </c>
      <c r="AE626" s="257">
        <f t="shared" si="200"/>
        <v>0</v>
      </c>
      <c r="AF626" s="84">
        <f t="shared" si="200"/>
        <v>0</v>
      </c>
      <c r="AG626" s="84">
        <f t="shared" si="200"/>
        <v>0</v>
      </c>
      <c r="AH626" s="66">
        <f t="shared" si="200"/>
        <v>0</v>
      </c>
      <c r="AI626" s="84">
        <f t="shared" si="200"/>
        <v>0</v>
      </c>
      <c r="AJ626" s="66">
        <f t="shared" si="200"/>
        <v>0</v>
      </c>
      <c r="AK626" s="257">
        <f t="shared" si="200"/>
        <v>0</v>
      </c>
      <c r="AL626" s="84">
        <f t="shared" ref="AL626:BQ626" si="201">SUM(AL484)</f>
        <v>0</v>
      </c>
      <c r="AM626" s="66">
        <f t="shared" si="201"/>
        <v>0</v>
      </c>
      <c r="AN626" s="257">
        <f t="shared" si="201"/>
        <v>0</v>
      </c>
      <c r="AO626" s="257">
        <f t="shared" si="201"/>
        <v>0</v>
      </c>
      <c r="AP626" s="84">
        <f t="shared" si="201"/>
        <v>0</v>
      </c>
      <c r="AQ626" s="66">
        <f t="shared" si="201"/>
        <v>0</v>
      </c>
      <c r="AR626" s="84">
        <f t="shared" si="201"/>
        <v>0</v>
      </c>
      <c r="AS626" s="66">
        <f t="shared" si="201"/>
        <v>0</v>
      </c>
      <c r="AT626" s="257">
        <f t="shared" si="201"/>
        <v>0</v>
      </c>
      <c r="AU626" s="84">
        <f t="shared" si="201"/>
        <v>0</v>
      </c>
      <c r="AV626" s="66">
        <f t="shared" si="201"/>
        <v>0</v>
      </c>
      <c r="AW626" s="257">
        <f t="shared" si="201"/>
        <v>0</v>
      </c>
      <c r="AX626" s="66">
        <f t="shared" si="201"/>
        <v>0</v>
      </c>
      <c r="AY626" s="257">
        <f t="shared" si="201"/>
        <v>0</v>
      </c>
      <c r="AZ626" s="84">
        <f t="shared" si="201"/>
        <v>0</v>
      </c>
      <c r="BA626" s="66">
        <f t="shared" si="201"/>
        <v>0</v>
      </c>
      <c r="BB626" s="66">
        <f t="shared" si="201"/>
        <v>0</v>
      </c>
      <c r="BC626" s="84">
        <f t="shared" si="201"/>
        <v>0</v>
      </c>
      <c r="BD626" s="66">
        <f t="shared" si="201"/>
        <v>0</v>
      </c>
      <c r="BE626" s="66">
        <f t="shared" si="201"/>
        <v>0</v>
      </c>
      <c r="BF626" s="257">
        <f t="shared" si="201"/>
        <v>0</v>
      </c>
      <c r="BG626" s="259">
        <f t="shared" si="201"/>
        <v>0</v>
      </c>
      <c r="BH626" s="544">
        <f t="shared" si="201"/>
        <v>0</v>
      </c>
      <c r="BI626" s="66">
        <f t="shared" si="201"/>
        <v>68</v>
      </c>
      <c r="BJ626" s="65">
        <f t="shared" si="201"/>
        <v>68</v>
      </c>
      <c r="BK626" s="66">
        <f t="shared" si="201"/>
        <v>0</v>
      </c>
      <c r="BL626" s="306">
        <f t="shared" si="201"/>
        <v>0</v>
      </c>
      <c r="BM626" s="65">
        <f t="shared" si="201"/>
        <v>0</v>
      </c>
      <c r="BN626" s="66">
        <f t="shared" si="201"/>
        <v>0</v>
      </c>
      <c r="BO626" s="257">
        <f t="shared" si="201"/>
        <v>0</v>
      </c>
      <c r="BP626" s="306">
        <f t="shared" si="201"/>
        <v>0</v>
      </c>
      <c r="BQ626" s="257">
        <f t="shared" si="201"/>
        <v>0</v>
      </c>
      <c r="BR626" s="84">
        <f t="shared" ref="BR626:CI626" si="202">SUM(BR484)</f>
        <v>0</v>
      </c>
      <c r="BS626" s="66">
        <f t="shared" si="202"/>
        <v>0</v>
      </c>
      <c r="BT626" s="65">
        <f t="shared" si="202"/>
        <v>0</v>
      </c>
      <c r="BU626" s="66">
        <f t="shared" si="202"/>
        <v>0</v>
      </c>
      <c r="BV626" s="306">
        <f t="shared" si="202"/>
        <v>0</v>
      </c>
      <c r="BW626" s="67">
        <f t="shared" si="202"/>
        <v>0</v>
      </c>
      <c r="BX626" s="257">
        <f t="shared" si="202"/>
        <v>0</v>
      </c>
      <c r="BY626" s="84">
        <f t="shared" si="202"/>
        <v>0</v>
      </c>
      <c r="BZ626" s="66">
        <f t="shared" si="202"/>
        <v>0</v>
      </c>
      <c r="CA626" s="257">
        <f t="shared" si="202"/>
        <v>0</v>
      </c>
      <c r="CB626" s="306">
        <f t="shared" si="202"/>
        <v>0</v>
      </c>
      <c r="CC626" s="65">
        <f t="shared" si="202"/>
        <v>0</v>
      </c>
      <c r="CD626" s="66">
        <f t="shared" si="202"/>
        <v>0</v>
      </c>
      <c r="CE626" s="257">
        <f t="shared" si="202"/>
        <v>0</v>
      </c>
      <c r="CF626" s="257">
        <f t="shared" si="202"/>
        <v>0</v>
      </c>
      <c r="CG626" s="84">
        <f t="shared" si="202"/>
        <v>0</v>
      </c>
      <c r="CH626" s="66">
        <f t="shared" si="202"/>
        <v>114</v>
      </c>
      <c r="CI626" s="84">
        <f t="shared" si="202"/>
        <v>6</v>
      </c>
    </row>
    <row r="627" spans="2:87" x14ac:dyDescent="0.3">
      <c r="B627" s="17" t="s">
        <v>11</v>
      </c>
      <c r="C627" s="322">
        <f>SUM(C315:C318)</f>
        <v>3145</v>
      </c>
      <c r="D627" s="235">
        <f>SUM(D315:D318)</f>
        <v>2078</v>
      </c>
      <c r="E627" s="367">
        <f t="shared" si="31"/>
        <v>0.66073131955484898</v>
      </c>
      <c r="F627" s="66">
        <f t="shared" ref="F627:AK627" si="203">SUM(F315:F318)</f>
        <v>1136</v>
      </c>
      <c r="G627" s="66">
        <f t="shared" si="203"/>
        <v>417</v>
      </c>
      <c r="H627" s="66">
        <f t="shared" si="203"/>
        <v>1058</v>
      </c>
      <c r="I627" s="66">
        <f t="shared" si="203"/>
        <v>863</v>
      </c>
      <c r="J627" s="65">
        <f t="shared" si="203"/>
        <v>368</v>
      </c>
      <c r="K627" s="66">
        <f t="shared" si="203"/>
        <v>0</v>
      </c>
      <c r="L627" s="259">
        <f t="shared" si="203"/>
        <v>0</v>
      </c>
      <c r="M627" s="544">
        <f t="shared" si="203"/>
        <v>0</v>
      </c>
      <c r="N627" s="66">
        <f t="shared" si="203"/>
        <v>0</v>
      </c>
      <c r="O627" s="257">
        <f t="shared" si="203"/>
        <v>0</v>
      </c>
      <c r="P627" s="306">
        <f t="shared" si="203"/>
        <v>0</v>
      </c>
      <c r="Q627" s="67">
        <f t="shared" si="203"/>
        <v>0</v>
      </c>
      <c r="R627" s="67">
        <f t="shared" si="203"/>
        <v>0</v>
      </c>
      <c r="S627" s="64">
        <f t="shared" si="203"/>
        <v>0</v>
      </c>
      <c r="T627" s="66">
        <f t="shared" si="203"/>
        <v>0</v>
      </c>
      <c r="U627" s="66">
        <f t="shared" si="203"/>
        <v>0</v>
      </c>
      <c r="V627" s="84">
        <f t="shared" si="203"/>
        <v>0</v>
      </c>
      <c r="W627" s="64">
        <f t="shared" si="203"/>
        <v>0</v>
      </c>
      <c r="X627" s="257">
        <f t="shared" si="203"/>
        <v>0</v>
      </c>
      <c r="Y627" s="306">
        <f t="shared" si="203"/>
        <v>0</v>
      </c>
      <c r="Z627" s="65">
        <f t="shared" si="203"/>
        <v>0</v>
      </c>
      <c r="AA627" s="66">
        <f t="shared" si="203"/>
        <v>0</v>
      </c>
      <c r="AB627" s="67">
        <f t="shared" si="203"/>
        <v>0</v>
      </c>
      <c r="AC627" s="64">
        <f t="shared" si="203"/>
        <v>0</v>
      </c>
      <c r="AD627" s="66">
        <f t="shared" si="203"/>
        <v>0</v>
      </c>
      <c r="AE627" s="257">
        <f t="shared" si="203"/>
        <v>0</v>
      </c>
      <c r="AF627" s="84">
        <f t="shared" si="203"/>
        <v>0</v>
      </c>
      <c r="AG627" s="84">
        <f t="shared" si="203"/>
        <v>0</v>
      </c>
      <c r="AH627" s="66">
        <f t="shared" si="203"/>
        <v>0</v>
      </c>
      <c r="AI627" s="84">
        <f t="shared" si="203"/>
        <v>0</v>
      </c>
      <c r="AJ627" s="66">
        <f t="shared" si="203"/>
        <v>0</v>
      </c>
      <c r="AK627" s="257">
        <f t="shared" si="203"/>
        <v>0</v>
      </c>
      <c r="AL627" s="84">
        <f t="shared" ref="AL627:BQ627" si="204">SUM(AL315:AL318)</f>
        <v>0</v>
      </c>
      <c r="AM627" s="66">
        <f t="shared" si="204"/>
        <v>0</v>
      </c>
      <c r="AN627" s="257">
        <f t="shared" si="204"/>
        <v>0</v>
      </c>
      <c r="AO627" s="257">
        <f t="shared" si="204"/>
        <v>0</v>
      </c>
      <c r="AP627" s="84">
        <f t="shared" si="204"/>
        <v>0</v>
      </c>
      <c r="AQ627" s="66">
        <f t="shared" si="204"/>
        <v>0</v>
      </c>
      <c r="AR627" s="84">
        <f t="shared" si="204"/>
        <v>0</v>
      </c>
      <c r="AS627" s="66">
        <f t="shared" si="204"/>
        <v>0</v>
      </c>
      <c r="AT627" s="257">
        <f t="shared" si="204"/>
        <v>0</v>
      </c>
      <c r="AU627" s="84">
        <f t="shared" si="204"/>
        <v>0</v>
      </c>
      <c r="AV627" s="66">
        <f t="shared" si="204"/>
        <v>0</v>
      </c>
      <c r="AW627" s="257">
        <f t="shared" si="204"/>
        <v>0</v>
      </c>
      <c r="AX627" s="66">
        <f t="shared" si="204"/>
        <v>0</v>
      </c>
      <c r="AY627" s="257">
        <f t="shared" si="204"/>
        <v>0</v>
      </c>
      <c r="AZ627" s="84">
        <f t="shared" si="204"/>
        <v>0</v>
      </c>
      <c r="BA627" s="66">
        <f t="shared" si="204"/>
        <v>0</v>
      </c>
      <c r="BB627" s="66">
        <f t="shared" si="204"/>
        <v>0</v>
      </c>
      <c r="BC627" s="84">
        <f t="shared" si="204"/>
        <v>0</v>
      </c>
      <c r="BD627" s="66">
        <f t="shared" si="204"/>
        <v>0</v>
      </c>
      <c r="BE627" s="66">
        <f t="shared" si="204"/>
        <v>0</v>
      </c>
      <c r="BF627" s="257">
        <f t="shared" si="204"/>
        <v>0</v>
      </c>
      <c r="BG627" s="259">
        <f t="shared" si="204"/>
        <v>0</v>
      </c>
      <c r="BH627" s="544">
        <f t="shared" si="204"/>
        <v>0</v>
      </c>
      <c r="BI627" s="66">
        <f t="shared" si="204"/>
        <v>0</v>
      </c>
      <c r="BJ627" s="65">
        <f t="shared" si="204"/>
        <v>0</v>
      </c>
      <c r="BK627" s="66">
        <f t="shared" si="204"/>
        <v>0</v>
      </c>
      <c r="BL627" s="306">
        <f t="shared" si="204"/>
        <v>0</v>
      </c>
      <c r="BM627" s="65">
        <f t="shared" si="204"/>
        <v>0</v>
      </c>
      <c r="BN627" s="66">
        <f t="shared" si="204"/>
        <v>0</v>
      </c>
      <c r="BO627" s="257">
        <f t="shared" si="204"/>
        <v>0</v>
      </c>
      <c r="BP627" s="306">
        <f t="shared" si="204"/>
        <v>0</v>
      </c>
      <c r="BQ627" s="257">
        <f t="shared" si="204"/>
        <v>0</v>
      </c>
      <c r="BR627" s="84">
        <f t="shared" ref="BR627:CI627" si="205">SUM(BR315:BR318)</f>
        <v>0</v>
      </c>
      <c r="BS627" s="66">
        <f t="shared" si="205"/>
        <v>0</v>
      </c>
      <c r="BT627" s="65">
        <f t="shared" si="205"/>
        <v>0</v>
      </c>
      <c r="BU627" s="66">
        <f t="shared" si="205"/>
        <v>0</v>
      </c>
      <c r="BV627" s="306">
        <f t="shared" si="205"/>
        <v>0</v>
      </c>
      <c r="BW627" s="67">
        <f t="shared" si="205"/>
        <v>0</v>
      </c>
      <c r="BX627" s="257">
        <f t="shared" si="205"/>
        <v>0</v>
      </c>
      <c r="BY627" s="84">
        <f t="shared" si="205"/>
        <v>0</v>
      </c>
      <c r="BZ627" s="66">
        <f t="shared" si="205"/>
        <v>0</v>
      </c>
      <c r="CA627" s="257">
        <f t="shared" si="205"/>
        <v>0</v>
      </c>
      <c r="CB627" s="306">
        <f t="shared" si="205"/>
        <v>0</v>
      </c>
      <c r="CC627" s="65">
        <f t="shared" si="205"/>
        <v>0</v>
      </c>
      <c r="CD627" s="66">
        <f t="shared" si="205"/>
        <v>0</v>
      </c>
      <c r="CE627" s="257">
        <f t="shared" si="205"/>
        <v>0</v>
      </c>
      <c r="CF627" s="257">
        <f t="shared" si="205"/>
        <v>0</v>
      </c>
      <c r="CG627" s="84">
        <f t="shared" si="205"/>
        <v>0</v>
      </c>
      <c r="CH627" s="66">
        <f t="shared" si="205"/>
        <v>0</v>
      </c>
      <c r="CI627" s="84">
        <f t="shared" si="205"/>
        <v>0</v>
      </c>
    </row>
    <row r="628" spans="2:87" x14ac:dyDescent="0.3">
      <c r="B628" s="17" t="s">
        <v>12</v>
      </c>
      <c r="C628" s="322">
        <f>SUM(C351)</f>
        <v>525</v>
      </c>
      <c r="D628" s="235">
        <f>SUM(D351)</f>
        <v>211</v>
      </c>
      <c r="E628" s="367">
        <f t="shared" si="31"/>
        <v>0.40190476190476193</v>
      </c>
      <c r="F628" s="66">
        <f t="shared" ref="F628:AK628" si="206">SUM(F351)</f>
        <v>0</v>
      </c>
      <c r="G628" s="66">
        <f t="shared" si="206"/>
        <v>0</v>
      </c>
      <c r="H628" s="66">
        <f t="shared" si="206"/>
        <v>0</v>
      </c>
      <c r="I628" s="66">
        <f t="shared" si="206"/>
        <v>0</v>
      </c>
      <c r="J628" s="65">
        <f t="shared" si="206"/>
        <v>0</v>
      </c>
      <c r="K628" s="66">
        <f t="shared" si="206"/>
        <v>0</v>
      </c>
      <c r="L628" s="259">
        <f t="shared" si="206"/>
        <v>0</v>
      </c>
      <c r="M628" s="544">
        <f t="shared" si="206"/>
        <v>0</v>
      </c>
      <c r="N628" s="66">
        <f t="shared" si="206"/>
        <v>0</v>
      </c>
      <c r="O628" s="257">
        <f t="shared" si="206"/>
        <v>0</v>
      </c>
      <c r="P628" s="306">
        <f t="shared" si="206"/>
        <v>0</v>
      </c>
      <c r="Q628" s="67">
        <f t="shared" si="206"/>
        <v>0</v>
      </c>
      <c r="R628" s="67">
        <f t="shared" si="206"/>
        <v>0</v>
      </c>
      <c r="S628" s="64">
        <f t="shared" si="206"/>
        <v>0</v>
      </c>
      <c r="T628" s="66">
        <f t="shared" si="206"/>
        <v>0</v>
      </c>
      <c r="U628" s="66">
        <f t="shared" si="206"/>
        <v>0</v>
      </c>
      <c r="V628" s="84">
        <f t="shared" si="206"/>
        <v>0</v>
      </c>
      <c r="W628" s="64">
        <f t="shared" si="206"/>
        <v>0</v>
      </c>
      <c r="X628" s="257">
        <f t="shared" si="206"/>
        <v>0</v>
      </c>
      <c r="Y628" s="306">
        <f t="shared" si="206"/>
        <v>0</v>
      </c>
      <c r="Z628" s="65">
        <f t="shared" si="206"/>
        <v>0</v>
      </c>
      <c r="AA628" s="66">
        <f t="shared" si="206"/>
        <v>0</v>
      </c>
      <c r="AB628" s="67">
        <f t="shared" si="206"/>
        <v>0</v>
      </c>
      <c r="AC628" s="64">
        <f t="shared" si="206"/>
        <v>0</v>
      </c>
      <c r="AD628" s="66">
        <f t="shared" si="206"/>
        <v>0</v>
      </c>
      <c r="AE628" s="257">
        <f t="shared" si="206"/>
        <v>0</v>
      </c>
      <c r="AF628" s="84">
        <f t="shared" si="206"/>
        <v>0</v>
      </c>
      <c r="AG628" s="84">
        <f t="shared" si="206"/>
        <v>0</v>
      </c>
      <c r="AH628" s="66">
        <f t="shared" si="206"/>
        <v>0</v>
      </c>
      <c r="AI628" s="84">
        <f t="shared" si="206"/>
        <v>0</v>
      </c>
      <c r="AJ628" s="66">
        <f t="shared" si="206"/>
        <v>0</v>
      </c>
      <c r="AK628" s="257">
        <f t="shared" si="206"/>
        <v>0</v>
      </c>
      <c r="AL628" s="84">
        <f t="shared" ref="AL628:BQ628" si="207">SUM(AL351)</f>
        <v>0</v>
      </c>
      <c r="AM628" s="66">
        <f t="shared" si="207"/>
        <v>0</v>
      </c>
      <c r="AN628" s="257">
        <f t="shared" si="207"/>
        <v>0</v>
      </c>
      <c r="AO628" s="257">
        <f t="shared" si="207"/>
        <v>0</v>
      </c>
      <c r="AP628" s="84">
        <f t="shared" si="207"/>
        <v>0</v>
      </c>
      <c r="AQ628" s="66">
        <f t="shared" si="207"/>
        <v>0</v>
      </c>
      <c r="AR628" s="84">
        <f t="shared" si="207"/>
        <v>0</v>
      </c>
      <c r="AS628" s="66">
        <f t="shared" si="207"/>
        <v>0</v>
      </c>
      <c r="AT628" s="257">
        <f t="shared" si="207"/>
        <v>0</v>
      </c>
      <c r="AU628" s="84">
        <f t="shared" si="207"/>
        <v>0</v>
      </c>
      <c r="AV628" s="66">
        <f t="shared" si="207"/>
        <v>0</v>
      </c>
      <c r="AW628" s="257">
        <f t="shared" si="207"/>
        <v>0</v>
      </c>
      <c r="AX628" s="66">
        <f t="shared" si="207"/>
        <v>0</v>
      </c>
      <c r="AY628" s="257">
        <f t="shared" si="207"/>
        <v>0</v>
      </c>
      <c r="AZ628" s="84">
        <f t="shared" si="207"/>
        <v>0</v>
      </c>
      <c r="BA628" s="66">
        <f t="shared" si="207"/>
        <v>0</v>
      </c>
      <c r="BB628" s="66">
        <f t="shared" si="207"/>
        <v>0</v>
      </c>
      <c r="BC628" s="84">
        <f t="shared" si="207"/>
        <v>0</v>
      </c>
      <c r="BD628" s="66">
        <f t="shared" si="207"/>
        <v>0</v>
      </c>
      <c r="BE628" s="66">
        <f t="shared" si="207"/>
        <v>0</v>
      </c>
      <c r="BF628" s="257">
        <f t="shared" si="207"/>
        <v>0</v>
      </c>
      <c r="BG628" s="259">
        <f t="shared" si="207"/>
        <v>0</v>
      </c>
      <c r="BH628" s="544">
        <f t="shared" si="207"/>
        <v>0</v>
      </c>
      <c r="BI628" s="66">
        <f t="shared" si="207"/>
        <v>79</v>
      </c>
      <c r="BJ628" s="65">
        <f t="shared" si="207"/>
        <v>107</v>
      </c>
      <c r="BK628" s="66">
        <f t="shared" si="207"/>
        <v>0</v>
      </c>
      <c r="BL628" s="306">
        <f t="shared" si="207"/>
        <v>0</v>
      </c>
      <c r="BM628" s="65">
        <f t="shared" si="207"/>
        <v>0</v>
      </c>
      <c r="BN628" s="66">
        <f t="shared" si="207"/>
        <v>0</v>
      </c>
      <c r="BO628" s="257">
        <f t="shared" si="207"/>
        <v>0</v>
      </c>
      <c r="BP628" s="306">
        <f t="shared" si="207"/>
        <v>0</v>
      </c>
      <c r="BQ628" s="257">
        <f t="shared" si="207"/>
        <v>0</v>
      </c>
      <c r="BR628" s="84">
        <f t="shared" ref="BR628:CI628" si="208">SUM(BR351)</f>
        <v>0</v>
      </c>
      <c r="BS628" s="66">
        <f t="shared" si="208"/>
        <v>113</v>
      </c>
      <c r="BT628" s="65">
        <f t="shared" si="208"/>
        <v>100</v>
      </c>
      <c r="BU628" s="66">
        <f t="shared" si="208"/>
        <v>0</v>
      </c>
      <c r="BV628" s="306">
        <f t="shared" si="208"/>
        <v>0</v>
      </c>
      <c r="BW628" s="67">
        <f t="shared" si="208"/>
        <v>0</v>
      </c>
      <c r="BX628" s="257">
        <f t="shared" si="208"/>
        <v>0</v>
      </c>
      <c r="BY628" s="84">
        <f t="shared" si="208"/>
        <v>0</v>
      </c>
      <c r="BZ628" s="66">
        <f t="shared" si="208"/>
        <v>0</v>
      </c>
      <c r="CA628" s="257">
        <f t="shared" si="208"/>
        <v>0</v>
      </c>
      <c r="CB628" s="306">
        <f t="shared" si="208"/>
        <v>0</v>
      </c>
      <c r="CC628" s="65">
        <f t="shared" si="208"/>
        <v>0</v>
      </c>
      <c r="CD628" s="66">
        <f t="shared" si="208"/>
        <v>0</v>
      </c>
      <c r="CE628" s="257">
        <f t="shared" si="208"/>
        <v>0</v>
      </c>
      <c r="CF628" s="257">
        <f t="shared" si="208"/>
        <v>0</v>
      </c>
      <c r="CG628" s="84">
        <f t="shared" si="208"/>
        <v>0</v>
      </c>
      <c r="CH628" s="66">
        <f t="shared" si="208"/>
        <v>0</v>
      </c>
      <c r="CI628" s="84">
        <f t="shared" si="208"/>
        <v>0</v>
      </c>
    </row>
    <row r="629" spans="2:87" x14ac:dyDescent="0.3">
      <c r="B629" s="17" t="s">
        <v>13</v>
      </c>
      <c r="C629" s="322">
        <f>SUM(C485:C486)</f>
        <v>2317</v>
      </c>
      <c r="D629" s="235">
        <f>SUM(D485:D486)</f>
        <v>1166</v>
      </c>
      <c r="E629" s="367">
        <f t="shared" si="31"/>
        <v>0.50323694432455757</v>
      </c>
      <c r="F629" s="66">
        <f t="shared" ref="F629:AK629" si="209">SUM(F485:F486)</f>
        <v>0</v>
      </c>
      <c r="G629" s="66">
        <f t="shared" si="209"/>
        <v>0</v>
      </c>
      <c r="H629" s="66">
        <f t="shared" si="209"/>
        <v>0</v>
      </c>
      <c r="I629" s="66">
        <f t="shared" si="209"/>
        <v>0</v>
      </c>
      <c r="J629" s="65">
        <f t="shared" si="209"/>
        <v>0</v>
      </c>
      <c r="K629" s="66">
        <f t="shared" si="209"/>
        <v>0</v>
      </c>
      <c r="L629" s="259">
        <f t="shared" si="209"/>
        <v>0</v>
      </c>
      <c r="M629" s="544">
        <f t="shared" si="209"/>
        <v>0</v>
      </c>
      <c r="N629" s="66">
        <f t="shared" si="209"/>
        <v>0</v>
      </c>
      <c r="O629" s="257">
        <f t="shared" si="209"/>
        <v>0</v>
      </c>
      <c r="P629" s="306">
        <f t="shared" si="209"/>
        <v>0</v>
      </c>
      <c r="Q629" s="67">
        <f t="shared" si="209"/>
        <v>0</v>
      </c>
      <c r="R629" s="67">
        <f t="shared" si="209"/>
        <v>0</v>
      </c>
      <c r="S629" s="64">
        <f t="shared" si="209"/>
        <v>0</v>
      </c>
      <c r="T629" s="66">
        <f t="shared" si="209"/>
        <v>0</v>
      </c>
      <c r="U629" s="66">
        <f t="shared" si="209"/>
        <v>0</v>
      </c>
      <c r="V629" s="84">
        <f t="shared" si="209"/>
        <v>0</v>
      </c>
      <c r="W629" s="64">
        <f t="shared" si="209"/>
        <v>0</v>
      </c>
      <c r="X629" s="257">
        <f t="shared" si="209"/>
        <v>0</v>
      </c>
      <c r="Y629" s="306">
        <f t="shared" si="209"/>
        <v>0</v>
      </c>
      <c r="Z629" s="65">
        <f t="shared" si="209"/>
        <v>0</v>
      </c>
      <c r="AA629" s="66">
        <f t="shared" si="209"/>
        <v>0</v>
      </c>
      <c r="AB629" s="67">
        <f t="shared" si="209"/>
        <v>0</v>
      </c>
      <c r="AC629" s="64">
        <f t="shared" si="209"/>
        <v>0</v>
      </c>
      <c r="AD629" s="66">
        <f t="shared" si="209"/>
        <v>0</v>
      </c>
      <c r="AE629" s="257">
        <f t="shared" si="209"/>
        <v>0</v>
      </c>
      <c r="AF629" s="84">
        <f t="shared" si="209"/>
        <v>0</v>
      </c>
      <c r="AG629" s="84">
        <f t="shared" si="209"/>
        <v>0</v>
      </c>
      <c r="AH629" s="66">
        <f t="shared" si="209"/>
        <v>0</v>
      </c>
      <c r="AI629" s="84">
        <f t="shared" si="209"/>
        <v>0</v>
      </c>
      <c r="AJ629" s="66">
        <f t="shared" si="209"/>
        <v>0</v>
      </c>
      <c r="AK629" s="257">
        <f t="shared" si="209"/>
        <v>0</v>
      </c>
      <c r="AL629" s="84">
        <f t="shared" ref="AL629:BQ629" si="210">SUM(AL485:AL486)</f>
        <v>0</v>
      </c>
      <c r="AM629" s="66">
        <f t="shared" si="210"/>
        <v>0</v>
      </c>
      <c r="AN629" s="257">
        <f t="shared" si="210"/>
        <v>0</v>
      </c>
      <c r="AO629" s="257">
        <f t="shared" si="210"/>
        <v>0</v>
      </c>
      <c r="AP629" s="84">
        <f t="shared" si="210"/>
        <v>0</v>
      </c>
      <c r="AQ629" s="66">
        <f t="shared" si="210"/>
        <v>0</v>
      </c>
      <c r="AR629" s="84">
        <f t="shared" si="210"/>
        <v>0</v>
      </c>
      <c r="AS629" s="66">
        <f t="shared" si="210"/>
        <v>0</v>
      </c>
      <c r="AT629" s="257">
        <f t="shared" si="210"/>
        <v>0</v>
      </c>
      <c r="AU629" s="84">
        <f t="shared" si="210"/>
        <v>0</v>
      </c>
      <c r="AV629" s="66">
        <f t="shared" si="210"/>
        <v>0</v>
      </c>
      <c r="AW629" s="257">
        <f t="shared" si="210"/>
        <v>0</v>
      </c>
      <c r="AX629" s="66">
        <f t="shared" si="210"/>
        <v>0</v>
      </c>
      <c r="AY629" s="257">
        <f t="shared" si="210"/>
        <v>0</v>
      </c>
      <c r="AZ629" s="84">
        <f t="shared" si="210"/>
        <v>0</v>
      </c>
      <c r="BA629" s="66">
        <f t="shared" si="210"/>
        <v>0</v>
      </c>
      <c r="BB629" s="66">
        <f t="shared" si="210"/>
        <v>0</v>
      </c>
      <c r="BC629" s="84">
        <f t="shared" si="210"/>
        <v>0</v>
      </c>
      <c r="BD629" s="66">
        <f t="shared" si="210"/>
        <v>0</v>
      </c>
      <c r="BE629" s="66">
        <f t="shared" si="210"/>
        <v>0</v>
      </c>
      <c r="BF629" s="257">
        <f t="shared" si="210"/>
        <v>0</v>
      </c>
      <c r="BG629" s="259">
        <f t="shared" si="210"/>
        <v>0</v>
      </c>
      <c r="BH629" s="544">
        <f t="shared" si="210"/>
        <v>0</v>
      </c>
      <c r="BI629" s="66">
        <f t="shared" si="210"/>
        <v>530</v>
      </c>
      <c r="BJ629" s="65">
        <f t="shared" si="210"/>
        <v>470</v>
      </c>
      <c r="BK629" s="66">
        <f t="shared" si="210"/>
        <v>0</v>
      </c>
      <c r="BL629" s="306">
        <f t="shared" si="210"/>
        <v>0</v>
      </c>
      <c r="BM629" s="65">
        <f t="shared" si="210"/>
        <v>0</v>
      </c>
      <c r="BN629" s="66">
        <f t="shared" si="210"/>
        <v>0</v>
      </c>
      <c r="BO629" s="257">
        <f t="shared" si="210"/>
        <v>0</v>
      </c>
      <c r="BP629" s="306">
        <f t="shared" si="210"/>
        <v>0</v>
      </c>
      <c r="BQ629" s="257">
        <f t="shared" si="210"/>
        <v>0</v>
      </c>
      <c r="BR629" s="84">
        <f t="shared" ref="BR629:CI629" si="211">SUM(BR485:BR486)</f>
        <v>0</v>
      </c>
      <c r="BS629" s="66">
        <f t="shared" si="211"/>
        <v>0</v>
      </c>
      <c r="BT629" s="65">
        <f t="shared" si="211"/>
        <v>0</v>
      </c>
      <c r="BU629" s="66">
        <f t="shared" si="211"/>
        <v>0</v>
      </c>
      <c r="BV629" s="306">
        <f t="shared" si="211"/>
        <v>0</v>
      </c>
      <c r="BW629" s="67">
        <f t="shared" si="211"/>
        <v>0</v>
      </c>
      <c r="BX629" s="257">
        <f t="shared" si="211"/>
        <v>0</v>
      </c>
      <c r="BY629" s="84">
        <f t="shared" si="211"/>
        <v>0</v>
      </c>
      <c r="BZ629" s="66">
        <f t="shared" si="211"/>
        <v>0</v>
      </c>
      <c r="CA629" s="257">
        <f t="shared" si="211"/>
        <v>0</v>
      </c>
      <c r="CB629" s="306">
        <f t="shared" si="211"/>
        <v>0</v>
      </c>
      <c r="CC629" s="65">
        <f t="shared" si="211"/>
        <v>0</v>
      </c>
      <c r="CD629" s="66">
        <f t="shared" si="211"/>
        <v>0</v>
      </c>
      <c r="CE629" s="257">
        <f t="shared" si="211"/>
        <v>0</v>
      </c>
      <c r="CF629" s="257">
        <f t="shared" si="211"/>
        <v>0</v>
      </c>
      <c r="CG629" s="84">
        <f t="shared" si="211"/>
        <v>0</v>
      </c>
      <c r="CH629" s="66">
        <f t="shared" si="211"/>
        <v>731</v>
      </c>
      <c r="CI629" s="84">
        <f t="shared" si="211"/>
        <v>25</v>
      </c>
    </row>
    <row r="630" spans="2:87" x14ac:dyDescent="0.3">
      <c r="B630" s="17" t="s">
        <v>716</v>
      </c>
      <c r="C630" s="474">
        <f>SUM(C420)</f>
        <v>1122</v>
      </c>
      <c r="D630" s="296">
        <f>SUM(D420)</f>
        <v>275</v>
      </c>
      <c r="E630" s="367">
        <f t="shared" si="31"/>
        <v>0.24509803921568626</v>
      </c>
      <c r="F630" s="66">
        <f t="shared" ref="F630:AK630" si="212">SUM(F420)</f>
        <v>0</v>
      </c>
      <c r="G630" s="66">
        <f t="shared" si="212"/>
        <v>0</v>
      </c>
      <c r="H630" s="66">
        <f t="shared" si="212"/>
        <v>0</v>
      </c>
      <c r="I630" s="66">
        <f t="shared" si="212"/>
        <v>0</v>
      </c>
      <c r="J630" s="65">
        <f t="shared" si="212"/>
        <v>0</v>
      </c>
      <c r="K630" s="66">
        <f t="shared" si="212"/>
        <v>0</v>
      </c>
      <c r="L630" s="259">
        <f t="shared" si="212"/>
        <v>0</v>
      </c>
      <c r="M630" s="544">
        <f t="shared" si="212"/>
        <v>0</v>
      </c>
      <c r="N630" s="66">
        <f t="shared" si="212"/>
        <v>0</v>
      </c>
      <c r="O630" s="257">
        <f t="shared" si="212"/>
        <v>0</v>
      </c>
      <c r="P630" s="306">
        <f t="shared" si="212"/>
        <v>0</v>
      </c>
      <c r="Q630" s="67">
        <f t="shared" si="212"/>
        <v>0</v>
      </c>
      <c r="R630" s="67">
        <f t="shared" si="212"/>
        <v>0</v>
      </c>
      <c r="S630" s="64">
        <f t="shared" si="212"/>
        <v>0</v>
      </c>
      <c r="T630" s="66">
        <f t="shared" si="212"/>
        <v>0</v>
      </c>
      <c r="U630" s="66">
        <f t="shared" si="212"/>
        <v>0</v>
      </c>
      <c r="V630" s="84">
        <f t="shared" si="212"/>
        <v>0</v>
      </c>
      <c r="W630" s="64">
        <f t="shared" si="212"/>
        <v>0</v>
      </c>
      <c r="X630" s="257">
        <f t="shared" si="212"/>
        <v>0</v>
      </c>
      <c r="Y630" s="306">
        <f t="shared" si="212"/>
        <v>0</v>
      </c>
      <c r="Z630" s="65">
        <f t="shared" si="212"/>
        <v>0</v>
      </c>
      <c r="AA630" s="66">
        <f t="shared" si="212"/>
        <v>0</v>
      </c>
      <c r="AB630" s="67">
        <f t="shared" si="212"/>
        <v>0</v>
      </c>
      <c r="AC630" s="64">
        <f t="shared" si="212"/>
        <v>0</v>
      </c>
      <c r="AD630" s="66">
        <f t="shared" si="212"/>
        <v>0</v>
      </c>
      <c r="AE630" s="257">
        <f t="shared" si="212"/>
        <v>0</v>
      </c>
      <c r="AF630" s="84">
        <f t="shared" si="212"/>
        <v>0</v>
      </c>
      <c r="AG630" s="84">
        <f t="shared" si="212"/>
        <v>0</v>
      </c>
      <c r="AH630" s="66">
        <f t="shared" si="212"/>
        <v>0</v>
      </c>
      <c r="AI630" s="84">
        <f t="shared" si="212"/>
        <v>0</v>
      </c>
      <c r="AJ630" s="66">
        <f t="shared" si="212"/>
        <v>0</v>
      </c>
      <c r="AK630" s="257">
        <f t="shared" si="212"/>
        <v>0</v>
      </c>
      <c r="AL630" s="84">
        <f t="shared" ref="AL630:BQ630" si="213">SUM(AL420)</f>
        <v>0</v>
      </c>
      <c r="AM630" s="66">
        <f t="shared" si="213"/>
        <v>0</v>
      </c>
      <c r="AN630" s="257">
        <f t="shared" si="213"/>
        <v>0</v>
      </c>
      <c r="AO630" s="257">
        <f t="shared" si="213"/>
        <v>0</v>
      </c>
      <c r="AP630" s="84">
        <f t="shared" si="213"/>
        <v>0</v>
      </c>
      <c r="AQ630" s="66">
        <f t="shared" si="213"/>
        <v>0</v>
      </c>
      <c r="AR630" s="84">
        <f t="shared" si="213"/>
        <v>0</v>
      </c>
      <c r="AS630" s="66">
        <f t="shared" si="213"/>
        <v>107</v>
      </c>
      <c r="AT630" s="257">
        <f t="shared" si="213"/>
        <v>124</v>
      </c>
      <c r="AU630" s="84">
        <f t="shared" si="213"/>
        <v>111</v>
      </c>
      <c r="AV630" s="66">
        <f t="shared" si="213"/>
        <v>0</v>
      </c>
      <c r="AW630" s="257">
        <f t="shared" si="213"/>
        <v>0</v>
      </c>
      <c r="AX630" s="66">
        <f t="shared" si="213"/>
        <v>0</v>
      </c>
      <c r="AY630" s="257">
        <f t="shared" si="213"/>
        <v>0</v>
      </c>
      <c r="AZ630" s="84">
        <f t="shared" si="213"/>
        <v>0</v>
      </c>
      <c r="BA630" s="66">
        <f t="shared" si="213"/>
        <v>0</v>
      </c>
      <c r="BB630" s="66">
        <f t="shared" si="213"/>
        <v>0</v>
      </c>
      <c r="BC630" s="84">
        <f t="shared" si="213"/>
        <v>0</v>
      </c>
      <c r="BD630" s="66">
        <f t="shared" si="213"/>
        <v>0</v>
      </c>
      <c r="BE630" s="66">
        <f t="shared" si="213"/>
        <v>0</v>
      </c>
      <c r="BF630" s="257">
        <f t="shared" si="213"/>
        <v>0</v>
      </c>
      <c r="BG630" s="259">
        <f t="shared" si="213"/>
        <v>0</v>
      </c>
      <c r="BH630" s="544">
        <f t="shared" si="213"/>
        <v>0</v>
      </c>
      <c r="BI630" s="66">
        <f t="shared" si="213"/>
        <v>0</v>
      </c>
      <c r="BJ630" s="65">
        <f t="shared" si="213"/>
        <v>0</v>
      </c>
      <c r="BK630" s="66">
        <f t="shared" si="213"/>
        <v>0</v>
      </c>
      <c r="BL630" s="306">
        <f t="shared" si="213"/>
        <v>0</v>
      </c>
      <c r="BM630" s="65">
        <f t="shared" si="213"/>
        <v>0</v>
      </c>
      <c r="BN630" s="66">
        <f t="shared" si="213"/>
        <v>0</v>
      </c>
      <c r="BO630" s="257">
        <f t="shared" si="213"/>
        <v>0</v>
      </c>
      <c r="BP630" s="306">
        <f t="shared" si="213"/>
        <v>0</v>
      </c>
      <c r="BQ630" s="257">
        <f t="shared" si="213"/>
        <v>0</v>
      </c>
      <c r="BR630" s="84">
        <f t="shared" ref="BR630:CI630" si="214">SUM(BR420)</f>
        <v>0</v>
      </c>
      <c r="BS630" s="66">
        <f t="shared" si="214"/>
        <v>0</v>
      </c>
      <c r="BT630" s="65">
        <f t="shared" si="214"/>
        <v>0</v>
      </c>
      <c r="BU630" s="66">
        <f t="shared" si="214"/>
        <v>0</v>
      </c>
      <c r="BV630" s="306">
        <f t="shared" si="214"/>
        <v>0</v>
      </c>
      <c r="BW630" s="67">
        <f t="shared" si="214"/>
        <v>0</v>
      </c>
      <c r="BX630" s="257">
        <f t="shared" si="214"/>
        <v>0</v>
      </c>
      <c r="BY630" s="84">
        <f t="shared" si="214"/>
        <v>0</v>
      </c>
      <c r="BZ630" s="66">
        <f t="shared" si="214"/>
        <v>0</v>
      </c>
      <c r="CA630" s="257">
        <f t="shared" si="214"/>
        <v>0</v>
      </c>
      <c r="CB630" s="306">
        <f t="shared" si="214"/>
        <v>0</v>
      </c>
      <c r="CC630" s="65">
        <f t="shared" si="214"/>
        <v>0</v>
      </c>
      <c r="CD630" s="66">
        <f t="shared" si="214"/>
        <v>0</v>
      </c>
      <c r="CE630" s="257">
        <f t="shared" si="214"/>
        <v>0</v>
      </c>
      <c r="CF630" s="257">
        <f t="shared" si="214"/>
        <v>0</v>
      </c>
      <c r="CG630" s="84">
        <f t="shared" si="214"/>
        <v>0</v>
      </c>
      <c r="CH630" s="66">
        <f t="shared" si="214"/>
        <v>0</v>
      </c>
      <c r="CI630" s="84">
        <f t="shared" si="214"/>
        <v>0</v>
      </c>
    </row>
    <row r="631" spans="2:87" x14ac:dyDescent="0.3">
      <c r="B631" s="17" t="s">
        <v>26</v>
      </c>
      <c r="C631" s="476">
        <f>SUM(C421:C423)</f>
        <v>2289</v>
      </c>
      <c r="D631" s="257">
        <f>SUM(D421:D423)</f>
        <v>1565</v>
      </c>
      <c r="E631" s="367">
        <f t="shared" si="31"/>
        <v>0.68370467453036265</v>
      </c>
      <c r="F631" s="49">
        <f t="shared" ref="F631:AK631" si="215">SUM(F421:F423)</f>
        <v>0</v>
      </c>
      <c r="G631" s="49">
        <f t="shared" si="215"/>
        <v>0</v>
      </c>
      <c r="H631" s="49">
        <f t="shared" si="215"/>
        <v>0</v>
      </c>
      <c r="I631" s="49">
        <f t="shared" si="215"/>
        <v>0</v>
      </c>
      <c r="J631" s="50">
        <f t="shared" si="215"/>
        <v>0</v>
      </c>
      <c r="K631" s="49">
        <f t="shared" si="215"/>
        <v>0</v>
      </c>
      <c r="L631" s="231">
        <f t="shared" si="215"/>
        <v>0</v>
      </c>
      <c r="M631" s="543">
        <f t="shared" si="215"/>
        <v>0</v>
      </c>
      <c r="N631" s="49">
        <f t="shared" si="215"/>
        <v>0</v>
      </c>
      <c r="O631" s="235">
        <f t="shared" si="215"/>
        <v>0</v>
      </c>
      <c r="P631" s="291">
        <f t="shared" si="215"/>
        <v>0</v>
      </c>
      <c r="Q631" s="63">
        <f t="shared" si="215"/>
        <v>0</v>
      </c>
      <c r="R631" s="63">
        <f t="shared" si="215"/>
        <v>0</v>
      </c>
      <c r="S631" s="62">
        <f t="shared" si="215"/>
        <v>0</v>
      </c>
      <c r="T631" s="49">
        <f t="shared" si="215"/>
        <v>0</v>
      </c>
      <c r="U631" s="49">
        <f t="shared" si="215"/>
        <v>0</v>
      </c>
      <c r="V631" s="82">
        <f t="shared" si="215"/>
        <v>0</v>
      </c>
      <c r="W631" s="62">
        <f t="shared" si="215"/>
        <v>0</v>
      </c>
      <c r="X631" s="235">
        <f t="shared" si="215"/>
        <v>0</v>
      </c>
      <c r="Y631" s="291">
        <f t="shared" si="215"/>
        <v>0</v>
      </c>
      <c r="Z631" s="50">
        <f t="shared" si="215"/>
        <v>0</v>
      </c>
      <c r="AA631" s="49">
        <f t="shared" si="215"/>
        <v>0</v>
      </c>
      <c r="AB631" s="63">
        <f t="shared" si="215"/>
        <v>0</v>
      </c>
      <c r="AC631" s="62">
        <f t="shared" si="215"/>
        <v>0</v>
      </c>
      <c r="AD631" s="49">
        <f t="shared" si="215"/>
        <v>0</v>
      </c>
      <c r="AE631" s="235">
        <f t="shared" si="215"/>
        <v>0</v>
      </c>
      <c r="AF631" s="82">
        <f t="shared" si="215"/>
        <v>0</v>
      </c>
      <c r="AG631" s="82">
        <f t="shared" si="215"/>
        <v>0</v>
      </c>
      <c r="AH631" s="49">
        <f t="shared" si="215"/>
        <v>0</v>
      </c>
      <c r="AI631" s="82">
        <f t="shared" si="215"/>
        <v>0</v>
      </c>
      <c r="AJ631" s="49">
        <f t="shared" si="215"/>
        <v>0</v>
      </c>
      <c r="AK631" s="235">
        <f t="shared" si="215"/>
        <v>0</v>
      </c>
      <c r="AL631" s="82">
        <f t="shared" ref="AL631:BQ631" si="216">SUM(AL421:AL423)</f>
        <v>0</v>
      </c>
      <c r="AM631" s="49">
        <f t="shared" si="216"/>
        <v>621</v>
      </c>
      <c r="AN631" s="235">
        <f t="shared" si="216"/>
        <v>318</v>
      </c>
      <c r="AO631" s="235">
        <f t="shared" si="216"/>
        <v>566</v>
      </c>
      <c r="AP631" s="82">
        <f t="shared" si="216"/>
        <v>633</v>
      </c>
      <c r="AQ631" s="49">
        <f t="shared" si="216"/>
        <v>0</v>
      </c>
      <c r="AR631" s="82">
        <f t="shared" si="216"/>
        <v>0</v>
      </c>
      <c r="AS631" s="49">
        <f t="shared" si="216"/>
        <v>0</v>
      </c>
      <c r="AT631" s="235">
        <f t="shared" si="216"/>
        <v>0</v>
      </c>
      <c r="AU631" s="82">
        <f t="shared" si="216"/>
        <v>0</v>
      </c>
      <c r="AV631" s="49">
        <f t="shared" si="216"/>
        <v>74</v>
      </c>
      <c r="AW631" s="235">
        <f t="shared" si="216"/>
        <v>58</v>
      </c>
      <c r="AX631" s="49">
        <f t="shared" si="216"/>
        <v>79</v>
      </c>
      <c r="AY631" s="235">
        <f t="shared" si="216"/>
        <v>23</v>
      </c>
      <c r="AZ631" s="82">
        <f t="shared" si="216"/>
        <v>8</v>
      </c>
      <c r="BA631" s="49">
        <f t="shared" si="216"/>
        <v>0</v>
      </c>
      <c r="BB631" s="49">
        <f t="shared" si="216"/>
        <v>0</v>
      </c>
      <c r="BC631" s="82">
        <f t="shared" si="216"/>
        <v>0</v>
      </c>
      <c r="BD631" s="49">
        <f t="shared" si="216"/>
        <v>0</v>
      </c>
      <c r="BE631" s="49">
        <f t="shared" si="216"/>
        <v>0</v>
      </c>
      <c r="BF631" s="235">
        <f t="shared" si="216"/>
        <v>0</v>
      </c>
      <c r="BG631" s="231">
        <f t="shared" si="216"/>
        <v>0</v>
      </c>
      <c r="BH631" s="543">
        <f t="shared" si="216"/>
        <v>0</v>
      </c>
      <c r="BI631" s="49">
        <f t="shared" si="216"/>
        <v>0</v>
      </c>
      <c r="BJ631" s="50">
        <f t="shared" si="216"/>
        <v>0</v>
      </c>
      <c r="BK631" s="49">
        <f t="shared" si="216"/>
        <v>0</v>
      </c>
      <c r="BL631" s="291">
        <f t="shared" si="216"/>
        <v>0</v>
      </c>
      <c r="BM631" s="50">
        <f t="shared" si="216"/>
        <v>0</v>
      </c>
      <c r="BN631" s="49">
        <f t="shared" si="216"/>
        <v>0</v>
      </c>
      <c r="BO631" s="235">
        <f t="shared" si="216"/>
        <v>0</v>
      </c>
      <c r="BP631" s="291">
        <f t="shared" si="216"/>
        <v>0</v>
      </c>
      <c r="BQ631" s="235">
        <f t="shared" si="216"/>
        <v>0</v>
      </c>
      <c r="BR631" s="82">
        <f t="shared" ref="BR631:CI631" si="217">SUM(BR421:BR423)</f>
        <v>0</v>
      </c>
      <c r="BS631" s="49">
        <f t="shared" si="217"/>
        <v>0</v>
      </c>
      <c r="BT631" s="50">
        <f t="shared" si="217"/>
        <v>0</v>
      </c>
      <c r="BU631" s="49">
        <f t="shared" si="217"/>
        <v>0</v>
      </c>
      <c r="BV631" s="291">
        <f t="shared" si="217"/>
        <v>0</v>
      </c>
      <c r="BW631" s="63">
        <f t="shared" si="217"/>
        <v>0</v>
      </c>
      <c r="BX631" s="235">
        <f t="shared" si="217"/>
        <v>0</v>
      </c>
      <c r="BY631" s="82">
        <f t="shared" si="217"/>
        <v>0</v>
      </c>
      <c r="BZ631" s="49">
        <f t="shared" si="217"/>
        <v>0</v>
      </c>
      <c r="CA631" s="235">
        <f t="shared" si="217"/>
        <v>0</v>
      </c>
      <c r="CB631" s="291">
        <f t="shared" si="217"/>
        <v>0</v>
      </c>
      <c r="CC631" s="50">
        <f t="shared" si="217"/>
        <v>0</v>
      </c>
      <c r="CD631" s="49">
        <f t="shared" si="217"/>
        <v>0</v>
      </c>
      <c r="CE631" s="235">
        <f t="shared" si="217"/>
        <v>0</v>
      </c>
      <c r="CF631" s="235">
        <f t="shared" si="217"/>
        <v>0</v>
      </c>
      <c r="CG631" s="82">
        <f t="shared" si="217"/>
        <v>0</v>
      </c>
      <c r="CH631" s="49">
        <f t="shared" si="217"/>
        <v>0</v>
      </c>
      <c r="CI631" s="82">
        <f t="shared" si="217"/>
        <v>0</v>
      </c>
    </row>
    <row r="632" spans="2:87" x14ac:dyDescent="0.3">
      <c r="B632" s="17" t="s">
        <v>27</v>
      </c>
      <c r="C632" s="476">
        <f>SUM(C424)</f>
        <v>1310</v>
      </c>
      <c r="D632" s="257">
        <f>SUM(D424)</f>
        <v>742</v>
      </c>
      <c r="E632" s="367">
        <f t="shared" si="31"/>
        <v>0.56641221374045803</v>
      </c>
      <c r="F632" s="49">
        <f t="shared" ref="F632:AK632" si="218">SUM(F424)</f>
        <v>0</v>
      </c>
      <c r="G632" s="49">
        <f t="shared" si="218"/>
        <v>0</v>
      </c>
      <c r="H632" s="49">
        <f t="shared" si="218"/>
        <v>0</v>
      </c>
      <c r="I632" s="49">
        <f t="shared" si="218"/>
        <v>0</v>
      </c>
      <c r="J632" s="50">
        <f t="shared" si="218"/>
        <v>0</v>
      </c>
      <c r="K632" s="49">
        <f t="shared" si="218"/>
        <v>0</v>
      </c>
      <c r="L632" s="231">
        <f t="shared" si="218"/>
        <v>0</v>
      </c>
      <c r="M632" s="543">
        <f t="shared" si="218"/>
        <v>0</v>
      </c>
      <c r="N632" s="49">
        <f t="shared" si="218"/>
        <v>0</v>
      </c>
      <c r="O632" s="235">
        <f t="shared" si="218"/>
        <v>0</v>
      </c>
      <c r="P632" s="291">
        <f t="shared" si="218"/>
        <v>0</v>
      </c>
      <c r="Q632" s="63">
        <f t="shared" si="218"/>
        <v>0</v>
      </c>
      <c r="R632" s="63">
        <f t="shared" si="218"/>
        <v>0</v>
      </c>
      <c r="S632" s="62">
        <f t="shared" si="218"/>
        <v>0</v>
      </c>
      <c r="T632" s="49">
        <f t="shared" si="218"/>
        <v>0</v>
      </c>
      <c r="U632" s="49">
        <f t="shared" si="218"/>
        <v>0</v>
      </c>
      <c r="V632" s="82">
        <f t="shared" si="218"/>
        <v>0</v>
      </c>
      <c r="W632" s="62">
        <f t="shared" si="218"/>
        <v>0</v>
      </c>
      <c r="X632" s="235">
        <f t="shared" si="218"/>
        <v>0</v>
      </c>
      <c r="Y632" s="291">
        <f t="shared" si="218"/>
        <v>0</v>
      </c>
      <c r="Z632" s="50">
        <f t="shared" si="218"/>
        <v>0</v>
      </c>
      <c r="AA632" s="49">
        <f t="shared" si="218"/>
        <v>367</v>
      </c>
      <c r="AB632" s="63">
        <f t="shared" si="218"/>
        <v>372</v>
      </c>
      <c r="AC632" s="62">
        <f t="shared" si="218"/>
        <v>0</v>
      </c>
      <c r="AD632" s="49">
        <f t="shared" si="218"/>
        <v>0</v>
      </c>
      <c r="AE632" s="235">
        <f t="shared" si="218"/>
        <v>0</v>
      </c>
      <c r="AF632" s="82">
        <f t="shared" si="218"/>
        <v>0</v>
      </c>
      <c r="AG632" s="82">
        <f t="shared" si="218"/>
        <v>0</v>
      </c>
      <c r="AH632" s="49">
        <f t="shared" si="218"/>
        <v>0</v>
      </c>
      <c r="AI632" s="82">
        <f t="shared" si="218"/>
        <v>0</v>
      </c>
      <c r="AJ632" s="49">
        <f t="shared" si="218"/>
        <v>0</v>
      </c>
      <c r="AK632" s="235">
        <f t="shared" si="218"/>
        <v>0</v>
      </c>
      <c r="AL632" s="82">
        <f t="shared" ref="AL632:BQ632" si="219">SUM(AL424)</f>
        <v>0</v>
      </c>
      <c r="AM632" s="49">
        <f t="shared" si="219"/>
        <v>0</v>
      </c>
      <c r="AN632" s="235">
        <f t="shared" si="219"/>
        <v>0</v>
      </c>
      <c r="AO632" s="235">
        <f t="shared" si="219"/>
        <v>0</v>
      </c>
      <c r="AP632" s="82">
        <f t="shared" si="219"/>
        <v>0</v>
      </c>
      <c r="AQ632" s="49">
        <f t="shared" si="219"/>
        <v>0</v>
      </c>
      <c r="AR632" s="82">
        <f t="shared" si="219"/>
        <v>0</v>
      </c>
      <c r="AS632" s="49">
        <f t="shared" si="219"/>
        <v>0</v>
      </c>
      <c r="AT632" s="235">
        <f t="shared" si="219"/>
        <v>0</v>
      </c>
      <c r="AU632" s="82">
        <f t="shared" si="219"/>
        <v>0</v>
      </c>
      <c r="AV632" s="49">
        <f t="shared" si="219"/>
        <v>0</v>
      </c>
      <c r="AW632" s="235">
        <f t="shared" si="219"/>
        <v>0</v>
      </c>
      <c r="AX632" s="49">
        <f t="shared" si="219"/>
        <v>0</v>
      </c>
      <c r="AY632" s="235">
        <f t="shared" si="219"/>
        <v>0</v>
      </c>
      <c r="AZ632" s="82">
        <f t="shared" si="219"/>
        <v>0</v>
      </c>
      <c r="BA632" s="49">
        <f t="shared" si="219"/>
        <v>0</v>
      </c>
      <c r="BB632" s="49">
        <f t="shared" si="219"/>
        <v>0</v>
      </c>
      <c r="BC632" s="82">
        <f t="shared" si="219"/>
        <v>0</v>
      </c>
      <c r="BD632" s="49">
        <f t="shared" si="219"/>
        <v>0</v>
      </c>
      <c r="BE632" s="49">
        <f t="shared" si="219"/>
        <v>0</v>
      </c>
      <c r="BF632" s="235">
        <f t="shared" si="219"/>
        <v>0</v>
      </c>
      <c r="BG632" s="231">
        <f t="shared" si="219"/>
        <v>0</v>
      </c>
      <c r="BH632" s="543">
        <f t="shared" si="219"/>
        <v>0</v>
      </c>
      <c r="BI632" s="49">
        <f t="shared" si="219"/>
        <v>0</v>
      </c>
      <c r="BJ632" s="50">
        <f t="shared" si="219"/>
        <v>0</v>
      </c>
      <c r="BK632" s="49">
        <f t="shared" si="219"/>
        <v>0</v>
      </c>
      <c r="BL632" s="291">
        <f t="shared" si="219"/>
        <v>0</v>
      </c>
      <c r="BM632" s="50">
        <f t="shared" si="219"/>
        <v>0</v>
      </c>
      <c r="BN632" s="49">
        <f t="shared" si="219"/>
        <v>0</v>
      </c>
      <c r="BO632" s="235">
        <f t="shared" si="219"/>
        <v>0</v>
      </c>
      <c r="BP632" s="291">
        <f t="shared" si="219"/>
        <v>0</v>
      </c>
      <c r="BQ632" s="235">
        <f t="shared" si="219"/>
        <v>0</v>
      </c>
      <c r="BR632" s="82">
        <f t="shared" ref="BR632:CI632" si="220">SUM(BR424)</f>
        <v>0</v>
      </c>
      <c r="BS632" s="49">
        <f t="shared" si="220"/>
        <v>0</v>
      </c>
      <c r="BT632" s="50">
        <f t="shared" si="220"/>
        <v>0</v>
      </c>
      <c r="BU632" s="49">
        <f t="shared" si="220"/>
        <v>0</v>
      </c>
      <c r="BV632" s="291">
        <f t="shared" si="220"/>
        <v>0</v>
      </c>
      <c r="BW632" s="63">
        <f t="shared" si="220"/>
        <v>0</v>
      </c>
      <c r="BX632" s="235">
        <f t="shared" si="220"/>
        <v>0</v>
      </c>
      <c r="BY632" s="82">
        <f t="shared" si="220"/>
        <v>0</v>
      </c>
      <c r="BZ632" s="49">
        <f t="shared" si="220"/>
        <v>0</v>
      </c>
      <c r="CA632" s="235">
        <f t="shared" si="220"/>
        <v>0</v>
      </c>
      <c r="CB632" s="291">
        <f t="shared" si="220"/>
        <v>0</v>
      </c>
      <c r="CC632" s="50">
        <f t="shared" si="220"/>
        <v>0</v>
      </c>
      <c r="CD632" s="49">
        <f t="shared" si="220"/>
        <v>0</v>
      </c>
      <c r="CE632" s="235">
        <f t="shared" si="220"/>
        <v>0</v>
      </c>
      <c r="CF632" s="235">
        <f t="shared" si="220"/>
        <v>0</v>
      </c>
      <c r="CG632" s="82">
        <f t="shared" si="220"/>
        <v>0</v>
      </c>
      <c r="CH632" s="49">
        <f t="shared" si="220"/>
        <v>0</v>
      </c>
      <c r="CI632" s="82">
        <f t="shared" si="220"/>
        <v>0</v>
      </c>
    </row>
    <row r="633" spans="2:87" x14ac:dyDescent="0.3">
      <c r="B633" s="17" t="s">
        <v>14</v>
      </c>
      <c r="C633" s="476">
        <f>SUM(C425:C426)</f>
        <v>2081</v>
      </c>
      <c r="D633" s="257">
        <f>SUM(D425:D426)</f>
        <v>1366</v>
      </c>
      <c r="E633" s="367">
        <f t="shared" si="31"/>
        <v>0.65641518500720808</v>
      </c>
      <c r="F633" s="49">
        <f t="shared" ref="F633:AK633" si="221">SUM(F425:F426)</f>
        <v>0</v>
      </c>
      <c r="G633" s="49">
        <f t="shared" si="221"/>
        <v>0</v>
      </c>
      <c r="H633" s="49">
        <f t="shared" si="221"/>
        <v>0</v>
      </c>
      <c r="I633" s="49">
        <f t="shared" si="221"/>
        <v>0</v>
      </c>
      <c r="J633" s="50">
        <f t="shared" si="221"/>
        <v>0</v>
      </c>
      <c r="K633" s="49">
        <f t="shared" si="221"/>
        <v>0</v>
      </c>
      <c r="L633" s="231">
        <f t="shared" si="221"/>
        <v>0</v>
      </c>
      <c r="M633" s="543">
        <f t="shared" si="221"/>
        <v>0</v>
      </c>
      <c r="N633" s="49">
        <f t="shared" si="221"/>
        <v>0</v>
      </c>
      <c r="O633" s="235">
        <f t="shared" si="221"/>
        <v>0</v>
      </c>
      <c r="P633" s="291">
        <f t="shared" si="221"/>
        <v>0</v>
      </c>
      <c r="Q633" s="63">
        <f t="shared" si="221"/>
        <v>0</v>
      </c>
      <c r="R633" s="63">
        <f t="shared" si="221"/>
        <v>0</v>
      </c>
      <c r="S633" s="62">
        <f t="shared" si="221"/>
        <v>0</v>
      </c>
      <c r="T633" s="49">
        <f t="shared" si="221"/>
        <v>0</v>
      </c>
      <c r="U633" s="49">
        <f t="shared" si="221"/>
        <v>0</v>
      </c>
      <c r="V633" s="82">
        <f t="shared" si="221"/>
        <v>0</v>
      </c>
      <c r="W633" s="62">
        <f t="shared" si="221"/>
        <v>0</v>
      </c>
      <c r="X633" s="235">
        <f t="shared" si="221"/>
        <v>0</v>
      </c>
      <c r="Y633" s="291">
        <f t="shared" si="221"/>
        <v>0</v>
      </c>
      <c r="Z633" s="50">
        <f t="shared" si="221"/>
        <v>0</v>
      </c>
      <c r="AA633" s="49">
        <f t="shared" si="221"/>
        <v>0</v>
      </c>
      <c r="AB633" s="63">
        <f t="shared" si="221"/>
        <v>0</v>
      </c>
      <c r="AC633" s="62">
        <f t="shared" si="221"/>
        <v>0</v>
      </c>
      <c r="AD633" s="49">
        <f t="shared" si="221"/>
        <v>0</v>
      </c>
      <c r="AE633" s="235">
        <f t="shared" si="221"/>
        <v>0</v>
      </c>
      <c r="AF633" s="82">
        <f t="shared" si="221"/>
        <v>0</v>
      </c>
      <c r="AG633" s="82">
        <f t="shared" si="221"/>
        <v>0</v>
      </c>
      <c r="AH633" s="49">
        <f t="shared" si="221"/>
        <v>0</v>
      </c>
      <c r="AI633" s="82">
        <f t="shared" si="221"/>
        <v>0</v>
      </c>
      <c r="AJ633" s="49">
        <f t="shared" si="221"/>
        <v>0</v>
      </c>
      <c r="AK633" s="235">
        <f t="shared" si="221"/>
        <v>0</v>
      </c>
      <c r="AL633" s="82">
        <f t="shared" ref="AL633:BQ633" si="222">SUM(AL425:AL426)</f>
        <v>0</v>
      </c>
      <c r="AM633" s="49">
        <f t="shared" si="222"/>
        <v>560</v>
      </c>
      <c r="AN633" s="235">
        <f t="shared" si="222"/>
        <v>342</v>
      </c>
      <c r="AO633" s="235">
        <f t="shared" si="222"/>
        <v>603</v>
      </c>
      <c r="AP633" s="82">
        <f t="shared" si="222"/>
        <v>585</v>
      </c>
      <c r="AQ633" s="49">
        <f t="shared" si="222"/>
        <v>0</v>
      </c>
      <c r="AR633" s="82">
        <f t="shared" si="222"/>
        <v>0</v>
      </c>
      <c r="AS633" s="49">
        <f t="shared" si="222"/>
        <v>0</v>
      </c>
      <c r="AT633" s="235">
        <f t="shared" si="222"/>
        <v>0</v>
      </c>
      <c r="AU633" s="82">
        <f t="shared" si="222"/>
        <v>0</v>
      </c>
      <c r="AV633" s="49">
        <f t="shared" si="222"/>
        <v>0</v>
      </c>
      <c r="AW633" s="235">
        <f t="shared" si="222"/>
        <v>0</v>
      </c>
      <c r="AX633" s="49">
        <f t="shared" si="222"/>
        <v>0</v>
      </c>
      <c r="AY633" s="235">
        <f t="shared" si="222"/>
        <v>0</v>
      </c>
      <c r="AZ633" s="82">
        <f t="shared" si="222"/>
        <v>0</v>
      </c>
      <c r="BA633" s="49">
        <f t="shared" si="222"/>
        <v>0</v>
      </c>
      <c r="BB633" s="49">
        <f t="shared" si="222"/>
        <v>0</v>
      </c>
      <c r="BC633" s="82">
        <f t="shared" si="222"/>
        <v>0</v>
      </c>
      <c r="BD633" s="49">
        <f t="shared" si="222"/>
        <v>0</v>
      </c>
      <c r="BE633" s="49">
        <f t="shared" si="222"/>
        <v>0</v>
      </c>
      <c r="BF633" s="235">
        <f t="shared" si="222"/>
        <v>0</v>
      </c>
      <c r="BG633" s="231">
        <f t="shared" si="222"/>
        <v>0</v>
      </c>
      <c r="BH633" s="543">
        <f t="shared" si="222"/>
        <v>0</v>
      </c>
      <c r="BI633" s="49">
        <f t="shared" si="222"/>
        <v>0</v>
      </c>
      <c r="BJ633" s="50">
        <f t="shared" si="222"/>
        <v>0</v>
      </c>
      <c r="BK633" s="49">
        <f t="shared" si="222"/>
        <v>0</v>
      </c>
      <c r="BL633" s="291">
        <f t="shared" si="222"/>
        <v>0</v>
      </c>
      <c r="BM633" s="50">
        <f t="shared" si="222"/>
        <v>0</v>
      </c>
      <c r="BN633" s="49">
        <f t="shared" si="222"/>
        <v>0</v>
      </c>
      <c r="BO633" s="235">
        <f t="shared" si="222"/>
        <v>0</v>
      </c>
      <c r="BP633" s="291">
        <f t="shared" si="222"/>
        <v>0</v>
      </c>
      <c r="BQ633" s="235">
        <f t="shared" si="222"/>
        <v>0</v>
      </c>
      <c r="BR633" s="82">
        <f t="shared" ref="BR633:CI633" si="223">SUM(BR425:BR426)</f>
        <v>0</v>
      </c>
      <c r="BS633" s="49">
        <f t="shared" si="223"/>
        <v>0</v>
      </c>
      <c r="BT633" s="50">
        <f t="shared" si="223"/>
        <v>0</v>
      </c>
      <c r="BU633" s="49">
        <f t="shared" si="223"/>
        <v>0</v>
      </c>
      <c r="BV633" s="291">
        <f t="shared" si="223"/>
        <v>0</v>
      </c>
      <c r="BW633" s="63">
        <f t="shared" si="223"/>
        <v>0</v>
      </c>
      <c r="BX633" s="235">
        <f t="shared" si="223"/>
        <v>0</v>
      </c>
      <c r="BY633" s="82">
        <f t="shared" si="223"/>
        <v>0</v>
      </c>
      <c r="BZ633" s="49">
        <f t="shared" si="223"/>
        <v>0</v>
      </c>
      <c r="CA633" s="235">
        <f t="shared" si="223"/>
        <v>0</v>
      </c>
      <c r="CB633" s="291">
        <f t="shared" si="223"/>
        <v>0</v>
      </c>
      <c r="CC633" s="50">
        <f t="shared" si="223"/>
        <v>0</v>
      </c>
      <c r="CD633" s="49">
        <f t="shared" si="223"/>
        <v>0</v>
      </c>
      <c r="CE633" s="235">
        <f t="shared" si="223"/>
        <v>0</v>
      </c>
      <c r="CF633" s="235">
        <f t="shared" si="223"/>
        <v>0</v>
      </c>
      <c r="CG633" s="82">
        <f t="shared" si="223"/>
        <v>0</v>
      </c>
      <c r="CH633" s="49">
        <f t="shared" si="223"/>
        <v>0</v>
      </c>
      <c r="CI633" s="82">
        <f t="shared" si="223"/>
        <v>0</v>
      </c>
    </row>
    <row r="634" spans="2:87" x14ac:dyDescent="0.3">
      <c r="B634" s="17" t="s">
        <v>28</v>
      </c>
      <c r="C634" s="476">
        <f>SUM(C427:C428)</f>
        <v>2677</v>
      </c>
      <c r="D634" s="257">
        <f>SUM(D427:D428)</f>
        <v>1159</v>
      </c>
      <c r="E634" s="367">
        <f t="shared" ref="E634:E688" si="224">SUM(D634/C634)</f>
        <v>0.43294732909973849</v>
      </c>
      <c r="F634" s="70">
        <f t="shared" ref="F634:AK634" si="225">SUM(F427:F428)</f>
        <v>624</v>
      </c>
      <c r="G634" s="70">
        <f t="shared" si="225"/>
        <v>282</v>
      </c>
      <c r="H634" s="70">
        <f t="shared" si="225"/>
        <v>326</v>
      </c>
      <c r="I634" s="70">
        <f t="shared" si="225"/>
        <v>659</v>
      </c>
      <c r="J634" s="71">
        <f t="shared" si="225"/>
        <v>167</v>
      </c>
      <c r="K634" s="70">
        <f t="shared" si="225"/>
        <v>0</v>
      </c>
      <c r="L634" s="274">
        <f t="shared" si="225"/>
        <v>0</v>
      </c>
      <c r="M634" s="588">
        <f t="shared" si="225"/>
        <v>0</v>
      </c>
      <c r="N634" s="70">
        <f t="shared" si="225"/>
        <v>0</v>
      </c>
      <c r="O634" s="236">
        <f t="shared" si="225"/>
        <v>0</v>
      </c>
      <c r="P634" s="275">
        <f t="shared" si="225"/>
        <v>0</v>
      </c>
      <c r="Q634" s="72">
        <f t="shared" si="225"/>
        <v>0</v>
      </c>
      <c r="R634" s="72">
        <f t="shared" si="225"/>
        <v>0</v>
      </c>
      <c r="S634" s="86">
        <f t="shared" si="225"/>
        <v>0</v>
      </c>
      <c r="T634" s="70">
        <f t="shared" si="225"/>
        <v>0</v>
      </c>
      <c r="U634" s="70">
        <f t="shared" si="225"/>
        <v>0</v>
      </c>
      <c r="V634" s="87">
        <f t="shared" si="225"/>
        <v>0</v>
      </c>
      <c r="W634" s="86">
        <f t="shared" si="225"/>
        <v>0</v>
      </c>
      <c r="X634" s="236">
        <f t="shared" si="225"/>
        <v>0</v>
      </c>
      <c r="Y634" s="275">
        <f t="shared" si="225"/>
        <v>0</v>
      </c>
      <c r="Z634" s="71">
        <f t="shared" si="225"/>
        <v>0</v>
      </c>
      <c r="AA634" s="70">
        <f t="shared" si="225"/>
        <v>0</v>
      </c>
      <c r="AB634" s="72">
        <f t="shared" si="225"/>
        <v>0</v>
      </c>
      <c r="AC634" s="86">
        <f t="shared" si="225"/>
        <v>0</v>
      </c>
      <c r="AD634" s="70">
        <f t="shared" si="225"/>
        <v>0</v>
      </c>
      <c r="AE634" s="236">
        <f t="shared" si="225"/>
        <v>0</v>
      </c>
      <c r="AF634" s="87">
        <f t="shared" si="225"/>
        <v>0</v>
      </c>
      <c r="AG634" s="87">
        <f t="shared" si="225"/>
        <v>0</v>
      </c>
      <c r="AH634" s="70">
        <f t="shared" si="225"/>
        <v>0</v>
      </c>
      <c r="AI634" s="87">
        <f t="shared" si="225"/>
        <v>0</v>
      </c>
      <c r="AJ634" s="70">
        <f t="shared" si="225"/>
        <v>0</v>
      </c>
      <c r="AK634" s="236">
        <f t="shared" si="225"/>
        <v>0</v>
      </c>
      <c r="AL634" s="87">
        <f t="shared" ref="AL634:BQ634" si="226">SUM(AL427:AL428)</f>
        <v>0</v>
      </c>
      <c r="AM634" s="70">
        <f t="shared" si="226"/>
        <v>0</v>
      </c>
      <c r="AN634" s="236">
        <f t="shared" si="226"/>
        <v>0</v>
      </c>
      <c r="AO634" s="236">
        <f t="shared" si="226"/>
        <v>0</v>
      </c>
      <c r="AP634" s="87">
        <f t="shared" si="226"/>
        <v>0</v>
      </c>
      <c r="AQ634" s="70">
        <f t="shared" si="226"/>
        <v>0</v>
      </c>
      <c r="AR634" s="87">
        <f t="shared" si="226"/>
        <v>0</v>
      </c>
      <c r="AS634" s="70">
        <f t="shared" si="226"/>
        <v>0</v>
      </c>
      <c r="AT634" s="236">
        <f t="shared" si="226"/>
        <v>0</v>
      </c>
      <c r="AU634" s="87">
        <f t="shared" si="226"/>
        <v>0</v>
      </c>
      <c r="AV634" s="70">
        <f t="shared" si="226"/>
        <v>0</v>
      </c>
      <c r="AW634" s="236">
        <f t="shared" si="226"/>
        <v>0</v>
      </c>
      <c r="AX634" s="70">
        <f t="shared" si="226"/>
        <v>0</v>
      </c>
      <c r="AY634" s="236">
        <f t="shared" si="226"/>
        <v>0</v>
      </c>
      <c r="AZ634" s="87">
        <f t="shared" si="226"/>
        <v>0</v>
      </c>
      <c r="BA634" s="70">
        <f t="shared" si="226"/>
        <v>0</v>
      </c>
      <c r="BB634" s="70">
        <f t="shared" si="226"/>
        <v>0</v>
      </c>
      <c r="BC634" s="87">
        <f t="shared" si="226"/>
        <v>0</v>
      </c>
      <c r="BD634" s="70">
        <f t="shared" si="226"/>
        <v>0</v>
      </c>
      <c r="BE634" s="70">
        <f t="shared" si="226"/>
        <v>0</v>
      </c>
      <c r="BF634" s="236">
        <f t="shared" si="226"/>
        <v>0</v>
      </c>
      <c r="BG634" s="274">
        <f t="shared" si="226"/>
        <v>0</v>
      </c>
      <c r="BH634" s="588">
        <f t="shared" si="226"/>
        <v>0</v>
      </c>
      <c r="BI634" s="70">
        <f t="shared" si="226"/>
        <v>0</v>
      </c>
      <c r="BJ634" s="71">
        <f t="shared" si="226"/>
        <v>0</v>
      </c>
      <c r="BK634" s="70">
        <f t="shared" si="226"/>
        <v>0</v>
      </c>
      <c r="BL634" s="275">
        <f t="shared" si="226"/>
        <v>0</v>
      </c>
      <c r="BM634" s="71">
        <f t="shared" si="226"/>
        <v>0</v>
      </c>
      <c r="BN634" s="70">
        <f t="shared" si="226"/>
        <v>0</v>
      </c>
      <c r="BO634" s="236">
        <f t="shared" si="226"/>
        <v>0</v>
      </c>
      <c r="BP634" s="275">
        <f t="shared" si="226"/>
        <v>0</v>
      </c>
      <c r="BQ634" s="236">
        <f t="shared" si="226"/>
        <v>0</v>
      </c>
      <c r="BR634" s="87">
        <f t="shared" ref="BR634:CI634" si="227">SUM(BR427:BR428)</f>
        <v>0</v>
      </c>
      <c r="BS634" s="70">
        <f t="shared" si="227"/>
        <v>0</v>
      </c>
      <c r="BT634" s="71">
        <f t="shared" si="227"/>
        <v>0</v>
      </c>
      <c r="BU634" s="70">
        <f t="shared" si="227"/>
        <v>0</v>
      </c>
      <c r="BV634" s="275">
        <f t="shared" si="227"/>
        <v>0</v>
      </c>
      <c r="BW634" s="72">
        <f t="shared" si="227"/>
        <v>0</v>
      </c>
      <c r="BX634" s="236">
        <f t="shared" si="227"/>
        <v>0</v>
      </c>
      <c r="BY634" s="87">
        <f t="shared" si="227"/>
        <v>0</v>
      </c>
      <c r="BZ634" s="70">
        <f t="shared" si="227"/>
        <v>0</v>
      </c>
      <c r="CA634" s="236">
        <f t="shared" si="227"/>
        <v>0</v>
      </c>
      <c r="CB634" s="275">
        <f t="shared" si="227"/>
        <v>0</v>
      </c>
      <c r="CC634" s="71">
        <f t="shared" si="227"/>
        <v>0</v>
      </c>
      <c r="CD634" s="70">
        <f t="shared" si="227"/>
        <v>0</v>
      </c>
      <c r="CE634" s="236">
        <f t="shared" si="227"/>
        <v>0</v>
      </c>
      <c r="CF634" s="236">
        <f t="shared" si="227"/>
        <v>0</v>
      </c>
      <c r="CG634" s="87">
        <f t="shared" si="227"/>
        <v>0</v>
      </c>
      <c r="CH634" s="70">
        <f t="shared" si="227"/>
        <v>0</v>
      </c>
      <c r="CI634" s="87">
        <f t="shared" si="227"/>
        <v>0</v>
      </c>
    </row>
    <row r="635" spans="2:87" x14ac:dyDescent="0.3">
      <c r="B635" s="17" t="s">
        <v>29</v>
      </c>
      <c r="C635" s="476">
        <f>SUM(C472:C474)</f>
        <v>2600</v>
      </c>
      <c r="D635" s="257">
        <f>SUM(D472:D474)</f>
        <v>1423</v>
      </c>
      <c r="E635" s="367">
        <f t="shared" si="224"/>
        <v>0.54730769230769227</v>
      </c>
      <c r="F635" s="49">
        <f t="shared" ref="F635:AK635" si="228">SUM(F472:F474)</f>
        <v>0</v>
      </c>
      <c r="G635" s="49">
        <f t="shared" si="228"/>
        <v>0</v>
      </c>
      <c r="H635" s="49">
        <f t="shared" si="228"/>
        <v>0</v>
      </c>
      <c r="I635" s="49">
        <f t="shared" si="228"/>
        <v>0</v>
      </c>
      <c r="J635" s="50">
        <f t="shared" si="228"/>
        <v>0</v>
      </c>
      <c r="K635" s="49">
        <f t="shared" si="228"/>
        <v>0</v>
      </c>
      <c r="L635" s="231">
        <f t="shared" si="228"/>
        <v>0</v>
      </c>
      <c r="M635" s="543">
        <f t="shared" si="228"/>
        <v>0</v>
      </c>
      <c r="N635" s="49">
        <f t="shared" si="228"/>
        <v>0</v>
      </c>
      <c r="O635" s="235">
        <f t="shared" si="228"/>
        <v>0</v>
      </c>
      <c r="P635" s="291">
        <f t="shared" si="228"/>
        <v>0</v>
      </c>
      <c r="Q635" s="63">
        <f t="shared" si="228"/>
        <v>0</v>
      </c>
      <c r="R635" s="63">
        <f t="shared" si="228"/>
        <v>0</v>
      </c>
      <c r="S635" s="62">
        <f t="shared" si="228"/>
        <v>0</v>
      </c>
      <c r="T635" s="49">
        <f t="shared" si="228"/>
        <v>0</v>
      </c>
      <c r="U635" s="49">
        <f t="shared" si="228"/>
        <v>0</v>
      </c>
      <c r="V635" s="82">
        <f t="shared" si="228"/>
        <v>0</v>
      </c>
      <c r="W635" s="62">
        <f t="shared" si="228"/>
        <v>0</v>
      </c>
      <c r="X635" s="235">
        <f t="shared" si="228"/>
        <v>0</v>
      </c>
      <c r="Y635" s="291">
        <f t="shared" si="228"/>
        <v>0</v>
      </c>
      <c r="Z635" s="50">
        <f t="shared" si="228"/>
        <v>0</v>
      </c>
      <c r="AA635" s="49">
        <f t="shared" si="228"/>
        <v>0</v>
      </c>
      <c r="AB635" s="63">
        <f t="shared" si="228"/>
        <v>0</v>
      </c>
      <c r="AC635" s="62">
        <f t="shared" si="228"/>
        <v>0</v>
      </c>
      <c r="AD635" s="49">
        <f t="shared" si="228"/>
        <v>0</v>
      </c>
      <c r="AE635" s="235">
        <f t="shared" si="228"/>
        <v>0</v>
      </c>
      <c r="AF635" s="82">
        <f t="shared" si="228"/>
        <v>0</v>
      </c>
      <c r="AG635" s="82">
        <f t="shared" si="228"/>
        <v>0</v>
      </c>
      <c r="AH635" s="49">
        <f t="shared" si="228"/>
        <v>0</v>
      </c>
      <c r="AI635" s="82">
        <f t="shared" si="228"/>
        <v>0</v>
      </c>
      <c r="AJ635" s="49">
        <f t="shared" si="228"/>
        <v>0</v>
      </c>
      <c r="AK635" s="235">
        <f t="shared" si="228"/>
        <v>0</v>
      </c>
      <c r="AL635" s="82">
        <f t="shared" ref="AL635:BQ635" si="229">SUM(AL472:AL474)</f>
        <v>0</v>
      </c>
      <c r="AM635" s="49">
        <f t="shared" si="229"/>
        <v>0</v>
      </c>
      <c r="AN635" s="235">
        <f t="shared" si="229"/>
        <v>0</v>
      </c>
      <c r="AO635" s="235">
        <f t="shared" si="229"/>
        <v>0</v>
      </c>
      <c r="AP635" s="82">
        <f t="shared" si="229"/>
        <v>0</v>
      </c>
      <c r="AQ635" s="49">
        <f t="shared" si="229"/>
        <v>0</v>
      </c>
      <c r="AR635" s="82">
        <f t="shared" si="229"/>
        <v>0</v>
      </c>
      <c r="AS635" s="49">
        <f t="shared" si="229"/>
        <v>0</v>
      </c>
      <c r="AT635" s="235">
        <f t="shared" si="229"/>
        <v>0</v>
      </c>
      <c r="AU635" s="82">
        <f t="shared" si="229"/>
        <v>0</v>
      </c>
      <c r="AV635" s="49">
        <f t="shared" si="229"/>
        <v>0</v>
      </c>
      <c r="AW635" s="235">
        <f t="shared" si="229"/>
        <v>0</v>
      </c>
      <c r="AX635" s="49">
        <f t="shared" si="229"/>
        <v>0</v>
      </c>
      <c r="AY635" s="235">
        <f t="shared" si="229"/>
        <v>0</v>
      </c>
      <c r="AZ635" s="82">
        <f t="shared" si="229"/>
        <v>0</v>
      </c>
      <c r="BA635" s="49">
        <f t="shared" si="229"/>
        <v>428</v>
      </c>
      <c r="BB635" s="49">
        <f t="shared" si="229"/>
        <v>569</v>
      </c>
      <c r="BC635" s="82">
        <f t="shared" si="229"/>
        <v>704</v>
      </c>
      <c r="BD635" s="49">
        <f t="shared" si="229"/>
        <v>0</v>
      </c>
      <c r="BE635" s="49">
        <f t="shared" si="229"/>
        <v>0</v>
      </c>
      <c r="BF635" s="235">
        <f t="shared" si="229"/>
        <v>0</v>
      </c>
      <c r="BG635" s="231">
        <f t="shared" si="229"/>
        <v>0</v>
      </c>
      <c r="BH635" s="543">
        <f t="shared" si="229"/>
        <v>0</v>
      </c>
      <c r="BI635" s="49">
        <f t="shared" si="229"/>
        <v>0</v>
      </c>
      <c r="BJ635" s="50">
        <f t="shared" si="229"/>
        <v>0</v>
      </c>
      <c r="BK635" s="49">
        <f t="shared" si="229"/>
        <v>0</v>
      </c>
      <c r="BL635" s="291">
        <f t="shared" si="229"/>
        <v>0</v>
      </c>
      <c r="BM635" s="50">
        <f t="shared" si="229"/>
        <v>0</v>
      </c>
      <c r="BN635" s="49">
        <f t="shared" si="229"/>
        <v>0</v>
      </c>
      <c r="BO635" s="235">
        <f t="shared" si="229"/>
        <v>0</v>
      </c>
      <c r="BP635" s="291">
        <f t="shared" si="229"/>
        <v>0</v>
      </c>
      <c r="BQ635" s="235">
        <f t="shared" si="229"/>
        <v>0</v>
      </c>
      <c r="BR635" s="82">
        <f t="shared" ref="BR635:CI635" si="230">SUM(BR472:BR474)</f>
        <v>0</v>
      </c>
      <c r="BS635" s="49">
        <f t="shared" si="230"/>
        <v>0</v>
      </c>
      <c r="BT635" s="50">
        <f t="shared" si="230"/>
        <v>0</v>
      </c>
      <c r="BU635" s="49">
        <f t="shared" si="230"/>
        <v>0</v>
      </c>
      <c r="BV635" s="291">
        <f t="shared" si="230"/>
        <v>0</v>
      </c>
      <c r="BW635" s="63">
        <f t="shared" si="230"/>
        <v>0</v>
      </c>
      <c r="BX635" s="235">
        <f t="shared" si="230"/>
        <v>0</v>
      </c>
      <c r="BY635" s="82">
        <f t="shared" si="230"/>
        <v>0</v>
      </c>
      <c r="BZ635" s="49">
        <f t="shared" si="230"/>
        <v>0</v>
      </c>
      <c r="CA635" s="235">
        <f t="shared" si="230"/>
        <v>0</v>
      </c>
      <c r="CB635" s="291">
        <f t="shared" si="230"/>
        <v>0</v>
      </c>
      <c r="CC635" s="50">
        <f t="shared" si="230"/>
        <v>0</v>
      </c>
      <c r="CD635" s="49">
        <f t="shared" si="230"/>
        <v>0</v>
      </c>
      <c r="CE635" s="235">
        <f t="shared" si="230"/>
        <v>0</v>
      </c>
      <c r="CF635" s="235">
        <f t="shared" si="230"/>
        <v>0</v>
      </c>
      <c r="CG635" s="82">
        <f t="shared" si="230"/>
        <v>0</v>
      </c>
      <c r="CH635" s="49">
        <f t="shared" si="230"/>
        <v>0</v>
      </c>
      <c r="CI635" s="82">
        <f t="shared" si="230"/>
        <v>0</v>
      </c>
    </row>
    <row r="636" spans="2:87" x14ac:dyDescent="0.3">
      <c r="B636" s="17" t="s">
        <v>717</v>
      </c>
      <c r="C636" s="476">
        <f>SUM(C478:C479)</f>
        <v>2043</v>
      </c>
      <c r="D636" s="257">
        <f>SUM(D478:D479)</f>
        <v>648</v>
      </c>
      <c r="E636" s="367">
        <f t="shared" si="224"/>
        <v>0.31718061674008813</v>
      </c>
      <c r="F636" s="49">
        <f t="shared" ref="F636:AK636" si="231">SUM(F478:F479)</f>
        <v>0</v>
      </c>
      <c r="G636" s="49">
        <f t="shared" si="231"/>
        <v>0</v>
      </c>
      <c r="H636" s="49">
        <f t="shared" si="231"/>
        <v>0</v>
      </c>
      <c r="I636" s="49">
        <f t="shared" si="231"/>
        <v>0</v>
      </c>
      <c r="J636" s="50">
        <f t="shared" si="231"/>
        <v>0</v>
      </c>
      <c r="K636" s="49">
        <f t="shared" si="231"/>
        <v>0</v>
      </c>
      <c r="L636" s="231">
        <f t="shared" si="231"/>
        <v>0</v>
      </c>
      <c r="M636" s="543">
        <f t="shared" si="231"/>
        <v>0</v>
      </c>
      <c r="N636" s="49">
        <f t="shared" si="231"/>
        <v>0</v>
      </c>
      <c r="O636" s="235">
        <f t="shared" si="231"/>
        <v>0</v>
      </c>
      <c r="P636" s="291">
        <f t="shared" si="231"/>
        <v>0</v>
      </c>
      <c r="Q636" s="63">
        <f t="shared" si="231"/>
        <v>0</v>
      </c>
      <c r="R636" s="63">
        <f t="shared" si="231"/>
        <v>0</v>
      </c>
      <c r="S636" s="62">
        <f t="shared" si="231"/>
        <v>0</v>
      </c>
      <c r="T636" s="49">
        <f t="shared" si="231"/>
        <v>0</v>
      </c>
      <c r="U636" s="49">
        <f t="shared" si="231"/>
        <v>0</v>
      </c>
      <c r="V636" s="82">
        <f t="shared" si="231"/>
        <v>0</v>
      </c>
      <c r="W636" s="62">
        <f t="shared" si="231"/>
        <v>0</v>
      </c>
      <c r="X636" s="235">
        <f t="shared" si="231"/>
        <v>0</v>
      </c>
      <c r="Y636" s="291">
        <f t="shared" si="231"/>
        <v>0</v>
      </c>
      <c r="Z636" s="50">
        <f t="shared" si="231"/>
        <v>0</v>
      </c>
      <c r="AA636" s="49">
        <f t="shared" si="231"/>
        <v>0</v>
      </c>
      <c r="AB636" s="63">
        <f t="shared" si="231"/>
        <v>0</v>
      </c>
      <c r="AC636" s="62">
        <f t="shared" si="231"/>
        <v>0</v>
      </c>
      <c r="AD636" s="49">
        <f t="shared" si="231"/>
        <v>0</v>
      </c>
      <c r="AE636" s="235">
        <f t="shared" si="231"/>
        <v>0</v>
      </c>
      <c r="AF636" s="82">
        <f t="shared" si="231"/>
        <v>0</v>
      </c>
      <c r="AG636" s="82">
        <f t="shared" si="231"/>
        <v>0</v>
      </c>
      <c r="AH636" s="49">
        <f t="shared" si="231"/>
        <v>0</v>
      </c>
      <c r="AI636" s="82">
        <f t="shared" si="231"/>
        <v>0</v>
      </c>
      <c r="AJ636" s="49">
        <f t="shared" si="231"/>
        <v>0</v>
      </c>
      <c r="AK636" s="235">
        <f t="shared" si="231"/>
        <v>0</v>
      </c>
      <c r="AL636" s="82">
        <f t="shared" ref="AL636:BQ636" si="232">SUM(AL478:AL479)</f>
        <v>0</v>
      </c>
      <c r="AM636" s="49">
        <f t="shared" si="232"/>
        <v>388</v>
      </c>
      <c r="AN636" s="235">
        <f t="shared" si="232"/>
        <v>172</v>
      </c>
      <c r="AO636" s="235">
        <f t="shared" si="232"/>
        <v>338</v>
      </c>
      <c r="AP636" s="82">
        <f t="shared" si="232"/>
        <v>162</v>
      </c>
      <c r="AQ636" s="49">
        <f t="shared" si="232"/>
        <v>0</v>
      </c>
      <c r="AR636" s="82">
        <f t="shared" si="232"/>
        <v>0</v>
      </c>
      <c r="AS636" s="49">
        <f t="shared" si="232"/>
        <v>0</v>
      </c>
      <c r="AT636" s="235">
        <f t="shared" si="232"/>
        <v>0</v>
      </c>
      <c r="AU636" s="82">
        <f t="shared" si="232"/>
        <v>0</v>
      </c>
      <c r="AV636" s="49">
        <f t="shared" si="232"/>
        <v>0</v>
      </c>
      <c r="AW636" s="235">
        <f t="shared" si="232"/>
        <v>0</v>
      </c>
      <c r="AX636" s="49">
        <f t="shared" si="232"/>
        <v>0</v>
      </c>
      <c r="AY636" s="235">
        <f t="shared" si="232"/>
        <v>0</v>
      </c>
      <c r="AZ636" s="82">
        <f t="shared" si="232"/>
        <v>0</v>
      </c>
      <c r="BA636" s="49">
        <f t="shared" si="232"/>
        <v>0</v>
      </c>
      <c r="BB636" s="49">
        <f t="shared" si="232"/>
        <v>0</v>
      </c>
      <c r="BC636" s="82">
        <f t="shared" si="232"/>
        <v>0</v>
      </c>
      <c r="BD636" s="49">
        <f t="shared" si="232"/>
        <v>0</v>
      </c>
      <c r="BE636" s="49">
        <f t="shared" si="232"/>
        <v>0</v>
      </c>
      <c r="BF636" s="235">
        <f t="shared" si="232"/>
        <v>0</v>
      </c>
      <c r="BG636" s="231">
        <f t="shared" si="232"/>
        <v>0</v>
      </c>
      <c r="BH636" s="543">
        <f t="shared" si="232"/>
        <v>0</v>
      </c>
      <c r="BI636" s="49">
        <f t="shared" si="232"/>
        <v>0</v>
      </c>
      <c r="BJ636" s="50">
        <f t="shared" si="232"/>
        <v>0</v>
      </c>
      <c r="BK636" s="49">
        <f t="shared" si="232"/>
        <v>0</v>
      </c>
      <c r="BL636" s="291">
        <f t="shared" si="232"/>
        <v>0</v>
      </c>
      <c r="BM636" s="50">
        <f t="shared" si="232"/>
        <v>0</v>
      </c>
      <c r="BN636" s="49">
        <f t="shared" si="232"/>
        <v>0</v>
      </c>
      <c r="BO636" s="235">
        <f t="shared" si="232"/>
        <v>0</v>
      </c>
      <c r="BP636" s="291">
        <f t="shared" si="232"/>
        <v>0</v>
      </c>
      <c r="BQ636" s="235">
        <f t="shared" si="232"/>
        <v>0</v>
      </c>
      <c r="BR636" s="82">
        <f t="shared" ref="BR636:CI636" si="233">SUM(BR478:BR479)</f>
        <v>0</v>
      </c>
      <c r="BS636" s="49">
        <f t="shared" si="233"/>
        <v>0</v>
      </c>
      <c r="BT636" s="50">
        <f t="shared" si="233"/>
        <v>0</v>
      </c>
      <c r="BU636" s="49">
        <f t="shared" si="233"/>
        <v>0</v>
      </c>
      <c r="BV636" s="291">
        <f t="shared" si="233"/>
        <v>0</v>
      </c>
      <c r="BW636" s="63">
        <f t="shared" si="233"/>
        <v>0</v>
      </c>
      <c r="BX636" s="235">
        <f t="shared" si="233"/>
        <v>0</v>
      </c>
      <c r="BY636" s="82">
        <f t="shared" si="233"/>
        <v>0</v>
      </c>
      <c r="BZ636" s="49">
        <f t="shared" si="233"/>
        <v>0</v>
      </c>
      <c r="CA636" s="235">
        <f t="shared" si="233"/>
        <v>0</v>
      </c>
      <c r="CB636" s="291">
        <f t="shared" si="233"/>
        <v>0</v>
      </c>
      <c r="CC636" s="50">
        <f t="shared" si="233"/>
        <v>0</v>
      </c>
      <c r="CD636" s="49">
        <f t="shared" si="233"/>
        <v>0</v>
      </c>
      <c r="CE636" s="235">
        <f t="shared" si="233"/>
        <v>0</v>
      </c>
      <c r="CF636" s="235">
        <f t="shared" si="233"/>
        <v>0</v>
      </c>
      <c r="CG636" s="82">
        <f t="shared" si="233"/>
        <v>0</v>
      </c>
      <c r="CH636" s="49">
        <f t="shared" si="233"/>
        <v>0</v>
      </c>
      <c r="CI636" s="82">
        <f t="shared" si="233"/>
        <v>0</v>
      </c>
    </row>
    <row r="637" spans="2:87" x14ac:dyDescent="0.3">
      <c r="B637" s="17" t="s">
        <v>718</v>
      </c>
      <c r="C637" s="476">
        <f>SUM(C480:C481)</f>
        <v>2157</v>
      </c>
      <c r="D637" s="257">
        <f>SUM(D480:D481)</f>
        <v>668</v>
      </c>
      <c r="E637" s="367">
        <f t="shared" si="224"/>
        <v>0.30968938340287439</v>
      </c>
      <c r="F637" s="49">
        <f t="shared" ref="F637:AK637" si="234">SUM(F480:F481)</f>
        <v>0</v>
      </c>
      <c r="G637" s="49">
        <f t="shared" si="234"/>
        <v>0</v>
      </c>
      <c r="H637" s="49">
        <f t="shared" si="234"/>
        <v>0</v>
      </c>
      <c r="I637" s="49">
        <f t="shared" si="234"/>
        <v>0</v>
      </c>
      <c r="J637" s="50">
        <f t="shared" si="234"/>
        <v>0</v>
      </c>
      <c r="K637" s="49">
        <f t="shared" si="234"/>
        <v>0</v>
      </c>
      <c r="L637" s="231">
        <f t="shared" si="234"/>
        <v>0</v>
      </c>
      <c r="M637" s="543">
        <f t="shared" si="234"/>
        <v>0</v>
      </c>
      <c r="N637" s="49">
        <f t="shared" si="234"/>
        <v>0</v>
      </c>
      <c r="O637" s="235">
        <f t="shared" si="234"/>
        <v>0</v>
      </c>
      <c r="P637" s="291">
        <f t="shared" si="234"/>
        <v>0</v>
      </c>
      <c r="Q637" s="63">
        <f t="shared" si="234"/>
        <v>0</v>
      </c>
      <c r="R637" s="63">
        <f t="shared" si="234"/>
        <v>0</v>
      </c>
      <c r="S637" s="62">
        <f t="shared" si="234"/>
        <v>0</v>
      </c>
      <c r="T637" s="49">
        <f t="shared" si="234"/>
        <v>0</v>
      </c>
      <c r="U637" s="49">
        <f t="shared" si="234"/>
        <v>0</v>
      </c>
      <c r="V637" s="82">
        <f t="shared" si="234"/>
        <v>0</v>
      </c>
      <c r="W637" s="62">
        <f t="shared" si="234"/>
        <v>0</v>
      </c>
      <c r="X637" s="235">
        <f t="shared" si="234"/>
        <v>0</v>
      </c>
      <c r="Y637" s="291">
        <f t="shared" si="234"/>
        <v>0</v>
      </c>
      <c r="Z637" s="50">
        <f t="shared" si="234"/>
        <v>0</v>
      </c>
      <c r="AA637" s="49">
        <f t="shared" si="234"/>
        <v>0</v>
      </c>
      <c r="AB637" s="63">
        <f t="shared" si="234"/>
        <v>0</v>
      </c>
      <c r="AC637" s="62">
        <f t="shared" si="234"/>
        <v>0</v>
      </c>
      <c r="AD637" s="49">
        <f t="shared" si="234"/>
        <v>0</v>
      </c>
      <c r="AE637" s="235">
        <f t="shared" si="234"/>
        <v>0</v>
      </c>
      <c r="AF637" s="82">
        <f t="shared" si="234"/>
        <v>0</v>
      </c>
      <c r="AG637" s="82">
        <f t="shared" si="234"/>
        <v>0</v>
      </c>
      <c r="AH637" s="49">
        <f t="shared" si="234"/>
        <v>0</v>
      </c>
      <c r="AI637" s="82">
        <f t="shared" si="234"/>
        <v>0</v>
      </c>
      <c r="AJ637" s="49">
        <f t="shared" si="234"/>
        <v>0</v>
      </c>
      <c r="AK637" s="235">
        <f t="shared" si="234"/>
        <v>0</v>
      </c>
      <c r="AL637" s="82">
        <f t="shared" ref="AL637:BQ637" si="235">SUM(AL480:AL481)</f>
        <v>0</v>
      </c>
      <c r="AM637" s="49">
        <f t="shared" si="235"/>
        <v>0</v>
      </c>
      <c r="AN637" s="235">
        <f t="shared" si="235"/>
        <v>0</v>
      </c>
      <c r="AO637" s="235">
        <f t="shared" si="235"/>
        <v>0</v>
      </c>
      <c r="AP637" s="82">
        <f t="shared" si="235"/>
        <v>0</v>
      </c>
      <c r="AQ637" s="49">
        <f t="shared" si="235"/>
        <v>0</v>
      </c>
      <c r="AR637" s="82">
        <f t="shared" si="235"/>
        <v>0</v>
      </c>
      <c r="AS637" s="49">
        <f t="shared" si="235"/>
        <v>0</v>
      </c>
      <c r="AT637" s="235">
        <f t="shared" si="235"/>
        <v>0</v>
      </c>
      <c r="AU637" s="82">
        <f t="shared" si="235"/>
        <v>0</v>
      </c>
      <c r="AV637" s="49">
        <f t="shared" si="235"/>
        <v>0</v>
      </c>
      <c r="AW637" s="235">
        <f t="shared" si="235"/>
        <v>0</v>
      </c>
      <c r="AX637" s="49">
        <f t="shared" si="235"/>
        <v>0</v>
      </c>
      <c r="AY637" s="235">
        <f t="shared" si="235"/>
        <v>0</v>
      </c>
      <c r="AZ637" s="82">
        <f t="shared" si="235"/>
        <v>0</v>
      </c>
      <c r="BA637" s="49">
        <f t="shared" si="235"/>
        <v>0</v>
      </c>
      <c r="BB637" s="49">
        <f t="shared" si="235"/>
        <v>0</v>
      </c>
      <c r="BC637" s="82">
        <f t="shared" si="235"/>
        <v>0</v>
      </c>
      <c r="BD637" s="49">
        <f t="shared" si="235"/>
        <v>0</v>
      </c>
      <c r="BE637" s="49">
        <f t="shared" si="235"/>
        <v>0</v>
      </c>
      <c r="BF637" s="235">
        <f t="shared" si="235"/>
        <v>0</v>
      </c>
      <c r="BG637" s="231">
        <f t="shared" si="235"/>
        <v>0</v>
      </c>
      <c r="BH637" s="543">
        <f t="shared" si="235"/>
        <v>0</v>
      </c>
      <c r="BI637" s="49">
        <f t="shared" si="235"/>
        <v>272</v>
      </c>
      <c r="BJ637" s="50">
        <f t="shared" si="235"/>
        <v>344</v>
      </c>
      <c r="BK637" s="49">
        <f t="shared" si="235"/>
        <v>0</v>
      </c>
      <c r="BL637" s="291">
        <f t="shared" si="235"/>
        <v>0</v>
      </c>
      <c r="BM637" s="50">
        <f t="shared" si="235"/>
        <v>0</v>
      </c>
      <c r="BN637" s="49">
        <f t="shared" si="235"/>
        <v>0</v>
      </c>
      <c r="BO637" s="235">
        <f t="shared" si="235"/>
        <v>0</v>
      </c>
      <c r="BP637" s="291">
        <f t="shared" si="235"/>
        <v>0</v>
      </c>
      <c r="BQ637" s="235">
        <f t="shared" si="235"/>
        <v>0</v>
      </c>
      <c r="BR637" s="82">
        <f t="shared" ref="BR637:CI637" si="236">SUM(BR480:BR481)</f>
        <v>0</v>
      </c>
      <c r="BS637" s="49">
        <f t="shared" si="236"/>
        <v>362</v>
      </c>
      <c r="BT637" s="50">
        <f t="shared" si="236"/>
        <v>329</v>
      </c>
      <c r="BU637" s="49">
        <f t="shared" si="236"/>
        <v>0</v>
      </c>
      <c r="BV637" s="291">
        <f t="shared" si="236"/>
        <v>0</v>
      </c>
      <c r="BW637" s="63">
        <f t="shared" si="236"/>
        <v>0</v>
      </c>
      <c r="BX637" s="235">
        <f t="shared" si="236"/>
        <v>0</v>
      </c>
      <c r="BY637" s="82">
        <f t="shared" si="236"/>
        <v>0</v>
      </c>
      <c r="BZ637" s="49">
        <f t="shared" si="236"/>
        <v>0</v>
      </c>
      <c r="CA637" s="235">
        <f t="shared" si="236"/>
        <v>0</v>
      </c>
      <c r="CB637" s="291">
        <f t="shared" si="236"/>
        <v>0</v>
      </c>
      <c r="CC637" s="50">
        <f t="shared" si="236"/>
        <v>0</v>
      </c>
      <c r="CD637" s="49">
        <f t="shared" si="236"/>
        <v>0</v>
      </c>
      <c r="CE637" s="235">
        <f t="shared" si="236"/>
        <v>0</v>
      </c>
      <c r="CF637" s="235">
        <f t="shared" si="236"/>
        <v>0</v>
      </c>
      <c r="CG637" s="82">
        <f t="shared" si="236"/>
        <v>0</v>
      </c>
      <c r="CH637" s="49">
        <f t="shared" si="236"/>
        <v>0</v>
      </c>
      <c r="CI637" s="82">
        <f t="shared" si="236"/>
        <v>0</v>
      </c>
    </row>
    <row r="638" spans="2:87" x14ac:dyDescent="0.3">
      <c r="B638" s="17" t="s">
        <v>30</v>
      </c>
      <c r="C638" s="476">
        <f>SUM(C482:C483)</f>
        <v>2774</v>
      </c>
      <c r="D638" s="257">
        <f>SUM(D482:D483)</f>
        <v>1743</v>
      </c>
      <c r="E638" s="367">
        <f t="shared" si="224"/>
        <v>0.62833453496755587</v>
      </c>
      <c r="F638" s="49">
        <f t="shared" ref="F638:AK638" si="237">SUM(F482:F483)</f>
        <v>0</v>
      </c>
      <c r="G638" s="49">
        <f t="shared" si="237"/>
        <v>0</v>
      </c>
      <c r="H638" s="49">
        <f t="shared" si="237"/>
        <v>0</v>
      </c>
      <c r="I638" s="49">
        <f t="shared" si="237"/>
        <v>0</v>
      </c>
      <c r="J638" s="50">
        <f t="shared" si="237"/>
        <v>0</v>
      </c>
      <c r="K638" s="49">
        <f t="shared" si="237"/>
        <v>0</v>
      </c>
      <c r="L638" s="231">
        <f t="shared" si="237"/>
        <v>0</v>
      </c>
      <c r="M638" s="543">
        <f t="shared" si="237"/>
        <v>0</v>
      </c>
      <c r="N638" s="49">
        <f t="shared" si="237"/>
        <v>0</v>
      </c>
      <c r="O638" s="235">
        <f t="shared" si="237"/>
        <v>0</v>
      </c>
      <c r="P638" s="291">
        <f t="shared" si="237"/>
        <v>0</v>
      </c>
      <c r="Q638" s="63">
        <f t="shared" si="237"/>
        <v>0</v>
      </c>
      <c r="R638" s="63">
        <f t="shared" si="237"/>
        <v>0</v>
      </c>
      <c r="S638" s="62">
        <f t="shared" si="237"/>
        <v>0</v>
      </c>
      <c r="T638" s="49">
        <f t="shared" si="237"/>
        <v>0</v>
      </c>
      <c r="U638" s="49">
        <f t="shared" si="237"/>
        <v>0</v>
      </c>
      <c r="V638" s="82">
        <f t="shared" si="237"/>
        <v>0</v>
      </c>
      <c r="W638" s="62">
        <f t="shared" si="237"/>
        <v>0</v>
      </c>
      <c r="X638" s="235">
        <f t="shared" si="237"/>
        <v>0</v>
      </c>
      <c r="Y638" s="291">
        <f t="shared" si="237"/>
        <v>0</v>
      </c>
      <c r="Z638" s="50">
        <f t="shared" si="237"/>
        <v>0</v>
      </c>
      <c r="AA638" s="49">
        <f t="shared" si="237"/>
        <v>951</v>
      </c>
      <c r="AB638" s="63">
        <f t="shared" si="237"/>
        <v>979</v>
      </c>
      <c r="AC638" s="62">
        <f t="shared" si="237"/>
        <v>0</v>
      </c>
      <c r="AD638" s="49">
        <f t="shared" si="237"/>
        <v>0</v>
      </c>
      <c r="AE638" s="235">
        <f t="shared" si="237"/>
        <v>0</v>
      </c>
      <c r="AF638" s="82">
        <f t="shared" si="237"/>
        <v>0</v>
      </c>
      <c r="AG638" s="82">
        <f t="shared" si="237"/>
        <v>0</v>
      </c>
      <c r="AH638" s="49">
        <f t="shared" si="237"/>
        <v>0</v>
      </c>
      <c r="AI638" s="82">
        <f t="shared" si="237"/>
        <v>0</v>
      </c>
      <c r="AJ638" s="49">
        <f t="shared" si="237"/>
        <v>0</v>
      </c>
      <c r="AK638" s="235">
        <f t="shared" si="237"/>
        <v>0</v>
      </c>
      <c r="AL638" s="82">
        <f t="shared" ref="AL638:BQ638" si="238">SUM(AL482:AL483)</f>
        <v>0</v>
      </c>
      <c r="AM638" s="49">
        <f t="shared" si="238"/>
        <v>0</v>
      </c>
      <c r="AN638" s="235">
        <f t="shared" si="238"/>
        <v>0</v>
      </c>
      <c r="AO638" s="235">
        <f t="shared" si="238"/>
        <v>0</v>
      </c>
      <c r="AP638" s="82">
        <f t="shared" si="238"/>
        <v>0</v>
      </c>
      <c r="AQ638" s="49">
        <f t="shared" si="238"/>
        <v>0</v>
      </c>
      <c r="AR638" s="82">
        <f t="shared" si="238"/>
        <v>0</v>
      </c>
      <c r="AS638" s="49">
        <f t="shared" si="238"/>
        <v>0</v>
      </c>
      <c r="AT638" s="235">
        <f t="shared" si="238"/>
        <v>0</v>
      </c>
      <c r="AU638" s="82">
        <f t="shared" si="238"/>
        <v>0</v>
      </c>
      <c r="AV638" s="49">
        <f t="shared" si="238"/>
        <v>0</v>
      </c>
      <c r="AW638" s="235">
        <f t="shared" si="238"/>
        <v>0</v>
      </c>
      <c r="AX638" s="49">
        <f t="shared" si="238"/>
        <v>0</v>
      </c>
      <c r="AY638" s="235">
        <f t="shared" si="238"/>
        <v>0</v>
      </c>
      <c r="AZ638" s="82">
        <f t="shared" si="238"/>
        <v>0</v>
      </c>
      <c r="BA638" s="49">
        <f t="shared" si="238"/>
        <v>0</v>
      </c>
      <c r="BB638" s="49">
        <f t="shared" si="238"/>
        <v>0</v>
      </c>
      <c r="BC638" s="82">
        <f t="shared" si="238"/>
        <v>0</v>
      </c>
      <c r="BD638" s="49">
        <f t="shared" si="238"/>
        <v>0</v>
      </c>
      <c r="BE638" s="49">
        <f t="shared" si="238"/>
        <v>0</v>
      </c>
      <c r="BF638" s="235">
        <f t="shared" si="238"/>
        <v>0</v>
      </c>
      <c r="BG638" s="231">
        <f t="shared" si="238"/>
        <v>0</v>
      </c>
      <c r="BH638" s="543">
        <f t="shared" si="238"/>
        <v>0</v>
      </c>
      <c r="BI638" s="49">
        <f t="shared" si="238"/>
        <v>0</v>
      </c>
      <c r="BJ638" s="50">
        <f t="shared" si="238"/>
        <v>0</v>
      </c>
      <c r="BK638" s="49">
        <f t="shared" si="238"/>
        <v>0</v>
      </c>
      <c r="BL638" s="291">
        <f t="shared" si="238"/>
        <v>0</v>
      </c>
      <c r="BM638" s="50">
        <f t="shared" si="238"/>
        <v>0</v>
      </c>
      <c r="BN638" s="49">
        <f t="shared" si="238"/>
        <v>0</v>
      </c>
      <c r="BO638" s="235">
        <f t="shared" si="238"/>
        <v>0</v>
      </c>
      <c r="BP638" s="291">
        <f t="shared" si="238"/>
        <v>0</v>
      </c>
      <c r="BQ638" s="235">
        <f t="shared" si="238"/>
        <v>0</v>
      </c>
      <c r="BR638" s="82">
        <f t="shared" ref="BR638:CI638" si="239">SUM(BR482:BR483)</f>
        <v>0</v>
      </c>
      <c r="BS638" s="49">
        <f t="shared" si="239"/>
        <v>0</v>
      </c>
      <c r="BT638" s="50">
        <f t="shared" si="239"/>
        <v>0</v>
      </c>
      <c r="BU638" s="49">
        <f t="shared" si="239"/>
        <v>0</v>
      </c>
      <c r="BV638" s="291">
        <f t="shared" si="239"/>
        <v>0</v>
      </c>
      <c r="BW638" s="63">
        <f t="shared" si="239"/>
        <v>0</v>
      </c>
      <c r="BX638" s="235">
        <f t="shared" si="239"/>
        <v>0</v>
      </c>
      <c r="BY638" s="82">
        <f t="shared" si="239"/>
        <v>0</v>
      </c>
      <c r="BZ638" s="49">
        <f t="shared" si="239"/>
        <v>0</v>
      </c>
      <c r="CA638" s="235">
        <f t="shared" si="239"/>
        <v>0</v>
      </c>
      <c r="CB638" s="291">
        <f t="shared" si="239"/>
        <v>0</v>
      </c>
      <c r="CC638" s="50">
        <f t="shared" si="239"/>
        <v>0</v>
      </c>
      <c r="CD638" s="49">
        <f t="shared" si="239"/>
        <v>0</v>
      </c>
      <c r="CE638" s="235">
        <f t="shared" si="239"/>
        <v>0</v>
      </c>
      <c r="CF638" s="235">
        <f t="shared" si="239"/>
        <v>0</v>
      </c>
      <c r="CG638" s="82">
        <f t="shared" si="239"/>
        <v>0</v>
      </c>
      <c r="CH638" s="49">
        <f t="shared" si="239"/>
        <v>0</v>
      </c>
      <c r="CI638" s="82">
        <f t="shared" si="239"/>
        <v>0</v>
      </c>
    </row>
    <row r="639" spans="2:87" x14ac:dyDescent="0.3">
      <c r="B639" s="17" t="s">
        <v>31</v>
      </c>
      <c r="C639" s="476">
        <f>SUM(C496:C497)</f>
        <v>2054</v>
      </c>
      <c r="D639" s="257">
        <f>SUM(D496:D497)</f>
        <v>1127</v>
      </c>
      <c r="E639" s="367">
        <f t="shared" si="224"/>
        <v>0.54868549172346637</v>
      </c>
      <c r="F639" s="49">
        <f t="shared" ref="F639:AK639" si="240">SUM(F496:F497)</f>
        <v>0</v>
      </c>
      <c r="G639" s="49">
        <f t="shared" si="240"/>
        <v>0</v>
      </c>
      <c r="H639" s="49">
        <f t="shared" si="240"/>
        <v>0</v>
      </c>
      <c r="I639" s="49">
        <f t="shared" si="240"/>
        <v>0</v>
      </c>
      <c r="J639" s="50">
        <f t="shared" si="240"/>
        <v>0</v>
      </c>
      <c r="K639" s="49">
        <f t="shared" si="240"/>
        <v>0</v>
      </c>
      <c r="L639" s="231">
        <f t="shared" si="240"/>
        <v>0</v>
      </c>
      <c r="M639" s="543">
        <f t="shared" si="240"/>
        <v>0</v>
      </c>
      <c r="N639" s="49">
        <f t="shared" si="240"/>
        <v>0</v>
      </c>
      <c r="O639" s="235">
        <f t="shared" si="240"/>
        <v>0</v>
      </c>
      <c r="P639" s="291">
        <f t="shared" si="240"/>
        <v>0</v>
      </c>
      <c r="Q639" s="63">
        <f t="shared" si="240"/>
        <v>0</v>
      </c>
      <c r="R639" s="63">
        <f t="shared" si="240"/>
        <v>0</v>
      </c>
      <c r="S639" s="62">
        <f t="shared" si="240"/>
        <v>0</v>
      </c>
      <c r="T639" s="49">
        <f t="shared" si="240"/>
        <v>0</v>
      </c>
      <c r="U639" s="49">
        <f t="shared" si="240"/>
        <v>0</v>
      </c>
      <c r="V639" s="82">
        <f t="shared" si="240"/>
        <v>0</v>
      </c>
      <c r="W639" s="62">
        <f t="shared" si="240"/>
        <v>0</v>
      </c>
      <c r="X639" s="235">
        <f t="shared" si="240"/>
        <v>0</v>
      </c>
      <c r="Y639" s="291">
        <f t="shared" si="240"/>
        <v>0</v>
      </c>
      <c r="Z639" s="50">
        <f t="shared" si="240"/>
        <v>0</v>
      </c>
      <c r="AA639" s="49">
        <f t="shared" si="240"/>
        <v>0</v>
      </c>
      <c r="AB639" s="63">
        <f t="shared" si="240"/>
        <v>0</v>
      </c>
      <c r="AC639" s="62">
        <f t="shared" si="240"/>
        <v>0</v>
      </c>
      <c r="AD639" s="49">
        <f t="shared" si="240"/>
        <v>0</v>
      </c>
      <c r="AE639" s="235">
        <f t="shared" si="240"/>
        <v>0</v>
      </c>
      <c r="AF639" s="82">
        <f t="shared" si="240"/>
        <v>0</v>
      </c>
      <c r="AG639" s="82">
        <f t="shared" si="240"/>
        <v>0</v>
      </c>
      <c r="AH639" s="49">
        <f t="shared" si="240"/>
        <v>0</v>
      </c>
      <c r="AI639" s="82">
        <f t="shared" si="240"/>
        <v>0</v>
      </c>
      <c r="AJ639" s="49">
        <f t="shared" si="240"/>
        <v>0</v>
      </c>
      <c r="AK639" s="235">
        <f t="shared" si="240"/>
        <v>0</v>
      </c>
      <c r="AL639" s="82">
        <f t="shared" ref="AL639:BQ639" si="241">SUM(AL496:AL497)</f>
        <v>0</v>
      </c>
      <c r="AM639" s="49">
        <f t="shared" si="241"/>
        <v>0</v>
      </c>
      <c r="AN639" s="235">
        <f t="shared" si="241"/>
        <v>0</v>
      </c>
      <c r="AO639" s="235">
        <f t="shared" si="241"/>
        <v>0</v>
      </c>
      <c r="AP639" s="82">
        <f t="shared" si="241"/>
        <v>0</v>
      </c>
      <c r="AQ639" s="49">
        <f t="shared" si="241"/>
        <v>0</v>
      </c>
      <c r="AR639" s="82">
        <f t="shared" si="241"/>
        <v>0</v>
      </c>
      <c r="AS639" s="49">
        <f t="shared" si="241"/>
        <v>0</v>
      </c>
      <c r="AT639" s="235">
        <f t="shared" si="241"/>
        <v>0</v>
      </c>
      <c r="AU639" s="82">
        <f t="shared" si="241"/>
        <v>0</v>
      </c>
      <c r="AV639" s="49">
        <f t="shared" si="241"/>
        <v>0</v>
      </c>
      <c r="AW639" s="235">
        <f t="shared" si="241"/>
        <v>0</v>
      </c>
      <c r="AX639" s="49">
        <f t="shared" si="241"/>
        <v>0</v>
      </c>
      <c r="AY639" s="235">
        <f t="shared" si="241"/>
        <v>0</v>
      </c>
      <c r="AZ639" s="82">
        <f t="shared" si="241"/>
        <v>0</v>
      </c>
      <c r="BA639" s="49">
        <f t="shared" si="241"/>
        <v>0</v>
      </c>
      <c r="BB639" s="49">
        <f t="shared" si="241"/>
        <v>0</v>
      </c>
      <c r="BC639" s="82">
        <f t="shared" si="241"/>
        <v>0</v>
      </c>
      <c r="BD639" s="49">
        <f t="shared" si="241"/>
        <v>0</v>
      </c>
      <c r="BE639" s="49">
        <f t="shared" si="241"/>
        <v>0</v>
      </c>
      <c r="BF639" s="235">
        <f t="shared" si="241"/>
        <v>0</v>
      </c>
      <c r="BG639" s="231">
        <f t="shared" si="241"/>
        <v>0</v>
      </c>
      <c r="BH639" s="543">
        <f t="shared" si="241"/>
        <v>0</v>
      </c>
      <c r="BI639" s="49">
        <f t="shared" si="241"/>
        <v>454</v>
      </c>
      <c r="BJ639" s="50">
        <f t="shared" si="241"/>
        <v>471</v>
      </c>
      <c r="BK639" s="49">
        <f t="shared" si="241"/>
        <v>0</v>
      </c>
      <c r="BL639" s="291">
        <f t="shared" si="241"/>
        <v>0</v>
      </c>
      <c r="BM639" s="50">
        <f t="shared" si="241"/>
        <v>0</v>
      </c>
      <c r="BN639" s="49">
        <f t="shared" si="241"/>
        <v>484</v>
      </c>
      <c r="BO639" s="235">
        <f t="shared" si="241"/>
        <v>507</v>
      </c>
      <c r="BP639" s="291">
        <f t="shared" si="241"/>
        <v>368</v>
      </c>
      <c r="BQ639" s="235">
        <f t="shared" si="241"/>
        <v>481</v>
      </c>
      <c r="BR639" s="82">
        <f t="shared" ref="BR639:CI639" si="242">SUM(BR496:BR497)</f>
        <v>67</v>
      </c>
      <c r="BS639" s="49">
        <f t="shared" si="242"/>
        <v>0</v>
      </c>
      <c r="BT639" s="50">
        <f t="shared" si="242"/>
        <v>0</v>
      </c>
      <c r="BU639" s="49">
        <f t="shared" si="242"/>
        <v>0</v>
      </c>
      <c r="BV639" s="291">
        <f t="shared" si="242"/>
        <v>0</v>
      </c>
      <c r="BW639" s="63">
        <f t="shared" si="242"/>
        <v>0</v>
      </c>
      <c r="BX639" s="235">
        <f t="shared" si="242"/>
        <v>0</v>
      </c>
      <c r="BY639" s="82">
        <f t="shared" si="242"/>
        <v>0</v>
      </c>
      <c r="BZ639" s="49">
        <f t="shared" si="242"/>
        <v>0</v>
      </c>
      <c r="CA639" s="235">
        <f t="shared" si="242"/>
        <v>0</v>
      </c>
      <c r="CB639" s="291">
        <f t="shared" si="242"/>
        <v>0</v>
      </c>
      <c r="CC639" s="50">
        <f t="shared" si="242"/>
        <v>0</v>
      </c>
      <c r="CD639" s="49">
        <f t="shared" si="242"/>
        <v>0</v>
      </c>
      <c r="CE639" s="235">
        <f t="shared" si="242"/>
        <v>0</v>
      </c>
      <c r="CF639" s="235">
        <f t="shared" si="242"/>
        <v>0</v>
      </c>
      <c r="CG639" s="82">
        <f t="shared" si="242"/>
        <v>0</v>
      </c>
      <c r="CH639" s="49">
        <f t="shared" si="242"/>
        <v>0</v>
      </c>
      <c r="CI639" s="82">
        <f t="shared" si="242"/>
        <v>0</v>
      </c>
    </row>
    <row r="640" spans="2:87" x14ac:dyDescent="0.3">
      <c r="B640" s="17" t="s">
        <v>15</v>
      </c>
      <c r="C640" s="476">
        <f>SUM(C487)</f>
        <v>768</v>
      </c>
      <c r="D640" s="257">
        <f>SUM(D487)</f>
        <v>483</v>
      </c>
      <c r="E640" s="367">
        <f t="shared" si="224"/>
        <v>0.62890625</v>
      </c>
      <c r="F640" s="49">
        <f t="shared" ref="F640:AK640" si="243">SUM(F487)</f>
        <v>0</v>
      </c>
      <c r="G640" s="49">
        <f t="shared" si="243"/>
        <v>0</v>
      </c>
      <c r="H640" s="49">
        <f t="shared" si="243"/>
        <v>0</v>
      </c>
      <c r="I640" s="49">
        <f t="shared" si="243"/>
        <v>0</v>
      </c>
      <c r="J640" s="50">
        <f t="shared" si="243"/>
        <v>0</v>
      </c>
      <c r="K640" s="49">
        <f t="shared" si="243"/>
        <v>0</v>
      </c>
      <c r="L640" s="231">
        <f t="shared" si="243"/>
        <v>0</v>
      </c>
      <c r="M640" s="543">
        <f t="shared" si="243"/>
        <v>0</v>
      </c>
      <c r="N640" s="49">
        <f t="shared" si="243"/>
        <v>0</v>
      </c>
      <c r="O640" s="235">
        <f t="shared" si="243"/>
        <v>0</v>
      </c>
      <c r="P640" s="291">
        <f t="shared" si="243"/>
        <v>0</v>
      </c>
      <c r="Q640" s="63">
        <f t="shared" si="243"/>
        <v>0</v>
      </c>
      <c r="R640" s="63">
        <f t="shared" si="243"/>
        <v>0</v>
      </c>
      <c r="S640" s="62">
        <f t="shared" si="243"/>
        <v>0</v>
      </c>
      <c r="T640" s="49">
        <f t="shared" si="243"/>
        <v>0</v>
      </c>
      <c r="U640" s="49">
        <f t="shared" si="243"/>
        <v>0</v>
      </c>
      <c r="V640" s="82">
        <f t="shared" si="243"/>
        <v>0</v>
      </c>
      <c r="W640" s="62">
        <f t="shared" si="243"/>
        <v>0</v>
      </c>
      <c r="X640" s="235">
        <f t="shared" si="243"/>
        <v>0</v>
      </c>
      <c r="Y640" s="291">
        <f t="shared" si="243"/>
        <v>0</v>
      </c>
      <c r="Z640" s="50">
        <f t="shared" si="243"/>
        <v>0</v>
      </c>
      <c r="AA640" s="49">
        <f t="shared" si="243"/>
        <v>0</v>
      </c>
      <c r="AB640" s="63">
        <f t="shared" si="243"/>
        <v>0</v>
      </c>
      <c r="AC640" s="62">
        <f t="shared" si="243"/>
        <v>0</v>
      </c>
      <c r="AD640" s="49">
        <f t="shared" si="243"/>
        <v>0</v>
      </c>
      <c r="AE640" s="235">
        <f t="shared" si="243"/>
        <v>0</v>
      </c>
      <c r="AF640" s="82">
        <f t="shared" si="243"/>
        <v>0</v>
      </c>
      <c r="AG640" s="82">
        <f t="shared" si="243"/>
        <v>0</v>
      </c>
      <c r="AH640" s="49">
        <f t="shared" si="243"/>
        <v>0</v>
      </c>
      <c r="AI640" s="82">
        <f t="shared" si="243"/>
        <v>0</v>
      </c>
      <c r="AJ640" s="49">
        <f t="shared" si="243"/>
        <v>0</v>
      </c>
      <c r="AK640" s="235">
        <f t="shared" si="243"/>
        <v>0</v>
      </c>
      <c r="AL640" s="82">
        <f t="shared" ref="AL640:BQ640" si="244">SUM(AL487)</f>
        <v>0</v>
      </c>
      <c r="AM640" s="49">
        <f t="shared" si="244"/>
        <v>0</v>
      </c>
      <c r="AN640" s="235">
        <f t="shared" si="244"/>
        <v>0</v>
      </c>
      <c r="AO640" s="235">
        <f t="shared" si="244"/>
        <v>0</v>
      </c>
      <c r="AP640" s="82">
        <f t="shared" si="244"/>
        <v>0</v>
      </c>
      <c r="AQ640" s="49">
        <f t="shared" si="244"/>
        <v>0</v>
      </c>
      <c r="AR640" s="82">
        <f t="shared" si="244"/>
        <v>0</v>
      </c>
      <c r="AS640" s="49">
        <f t="shared" si="244"/>
        <v>0</v>
      </c>
      <c r="AT640" s="235">
        <f t="shared" si="244"/>
        <v>0</v>
      </c>
      <c r="AU640" s="82">
        <f t="shared" si="244"/>
        <v>0</v>
      </c>
      <c r="AV640" s="49">
        <f t="shared" si="244"/>
        <v>0</v>
      </c>
      <c r="AW640" s="235">
        <f t="shared" si="244"/>
        <v>0</v>
      </c>
      <c r="AX640" s="49">
        <f t="shared" si="244"/>
        <v>0</v>
      </c>
      <c r="AY640" s="235">
        <f t="shared" si="244"/>
        <v>0</v>
      </c>
      <c r="AZ640" s="82">
        <f t="shared" si="244"/>
        <v>0</v>
      </c>
      <c r="BA640" s="49">
        <f t="shared" si="244"/>
        <v>0</v>
      </c>
      <c r="BB640" s="49">
        <f t="shared" si="244"/>
        <v>0</v>
      </c>
      <c r="BC640" s="82">
        <f t="shared" si="244"/>
        <v>0</v>
      </c>
      <c r="BD640" s="49">
        <f t="shared" si="244"/>
        <v>0</v>
      </c>
      <c r="BE640" s="49">
        <f t="shared" si="244"/>
        <v>0</v>
      </c>
      <c r="BF640" s="235">
        <f t="shared" si="244"/>
        <v>0</v>
      </c>
      <c r="BG640" s="231">
        <f t="shared" si="244"/>
        <v>0</v>
      </c>
      <c r="BH640" s="543">
        <f t="shared" si="244"/>
        <v>0</v>
      </c>
      <c r="BI640" s="49">
        <f t="shared" si="244"/>
        <v>251</v>
      </c>
      <c r="BJ640" s="50">
        <f t="shared" si="244"/>
        <v>250</v>
      </c>
      <c r="BK640" s="49">
        <f t="shared" si="244"/>
        <v>0</v>
      </c>
      <c r="BL640" s="291">
        <f t="shared" si="244"/>
        <v>0</v>
      </c>
      <c r="BM640" s="50">
        <f t="shared" si="244"/>
        <v>0</v>
      </c>
      <c r="BN640" s="49">
        <f t="shared" si="244"/>
        <v>0</v>
      </c>
      <c r="BO640" s="235">
        <f t="shared" si="244"/>
        <v>0</v>
      </c>
      <c r="BP640" s="291">
        <f t="shared" si="244"/>
        <v>0</v>
      </c>
      <c r="BQ640" s="235">
        <f t="shared" si="244"/>
        <v>0</v>
      </c>
      <c r="BR640" s="82">
        <f t="shared" ref="BR640:CI640" si="245">SUM(BR487)</f>
        <v>0</v>
      </c>
      <c r="BS640" s="49">
        <f t="shared" si="245"/>
        <v>0</v>
      </c>
      <c r="BT640" s="50">
        <f t="shared" si="245"/>
        <v>0</v>
      </c>
      <c r="BU640" s="49">
        <f t="shared" si="245"/>
        <v>0</v>
      </c>
      <c r="BV640" s="291">
        <f t="shared" si="245"/>
        <v>0</v>
      </c>
      <c r="BW640" s="63">
        <f t="shared" si="245"/>
        <v>0</v>
      </c>
      <c r="BX640" s="235">
        <f t="shared" si="245"/>
        <v>0</v>
      </c>
      <c r="BY640" s="82">
        <f t="shared" si="245"/>
        <v>0</v>
      </c>
      <c r="BZ640" s="49">
        <f t="shared" si="245"/>
        <v>0</v>
      </c>
      <c r="CA640" s="235">
        <f t="shared" si="245"/>
        <v>0</v>
      </c>
      <c r="CB640" s="291">
        <f t="shared" si="245"/>
        <v>0</v>
      </c>
      <c r="CC640" s="50">
        <f t="shared" si="245"/>
        <v>0</v>
      </c>
      <c r="CD640" s="49">
        <f t="shared" si="245"/>
        <v>0</v>
      </c>
      <c r="CE640" s="235">
        <f t="shared" si="245"/>
        <v>0</v>
      </c>
      <c r="CF640" s="235">
        <f t="shared" si="245"/>
        <v>0</v>
      </c>
      <c r="CG640" s="82">
        <f t="shared" si="245"/>
        <v>0</v>
      </c>
      <c r="CH640" s="49">
        <f t="shared" si="245"/>
        <v>316</v>
      </c>
      <c r="CI640" s="82">
        <f t="shared" si="245"/>
        <v>4</v>
      </c>
    </row>
    <row r="641" spans="2:87" x14ac:dyDescent="0.3">
      <c r="B641" s="17" t="s">
        <v>719</v>
      </c>
      <c r="C641" s="476">
        <f>SUM(C498:C501)</f>
        <v>3025</v>
      </c>
      <c r="D641" s="257">
        <f>SUM(D498:D501)</f>
        <v>1570</v>
      </c>
      <c r="E641" s="367">
        <f t="shared" si="224"/>
        <v>0.5190082644628099</v>
      </c>
      <c r="F641" s="49">
        <f t="shared" ref="F641:AK641" si="246">SUM(F498:F501)</f>
        <v>0</v>
      </c>
      <c r="G641" s="49">
        <f t="shared" si="246"/>
        <v>0</v>
      </c>
      <c r="H641" s="49">
        <f t="shared" si="246"/>
        <v>0</v>
      </c>
      <c r="I641" s="49">
        <f t="shared" si="246"/>
        <v>0</v>
      </c>
      <c r="J641" s="50">
        <f t="shared" si="246"/>
        <v>0</v>
      </c>
      <c r="K641" s="49">
        <f t="shared" si="246"/>
        <v>0</v>
      </c>
      <c r="L641" s="231">
        <f t="shared" si="246"/>
        <v>0</v>
      </c>
      <c r="M641" s="543">
        <f t="shared" si="246"/>
        <v>0</v>
      </c>
      <c r="N641" s="49">
        <f t="shared" si="246"/>
        <v>0</v>
      </c>
      <c r="O641" s="235">
        <f t="shared" si="246"/>
        <v>0</v>
      </c>
      <c r="P641" s="291">
        <f t="shared" si="246"/>
        <v>0</v>
      </c>
      <c r="Q641" s="63">
        <f t="shared" si="246"/>
        <v>0</v>
      </c>
      <c r="R641" s="63">
        <f t="shared" si="246"/>
        <v>0</v>
      </c>
      <c r="S641" s="62">
        <f t="shared" si="246"/>
        <v>0</v>
      </c>
      <c r="T641" s="49">
        <f t="shared" si="246"/>
        <v>0</v>
      </c>
      <c r="U641" s="49">
        <f t="shared" si="246"/>
        <v>0</v>
      </c>
      <c r="V641" s="82">
        <f t="shared" si="246"/>
        <v>0</v>
      </c>
      <c r="W641" s="62">
        <f t="shared" si="246"/>
        <v>0</v>
      </c>
      <c r="X641" s="235">
        <f t="shared" si="246"/>
        <v>0</v>
      </c>
      <c r="Y641" s="291">
        <f t="shared" si="246"/>
        <v>0</v>
      </c>
      <c r="Z641" s="50">
        <f t="shared" si="246"/>
        <v>0</v>
      </c>
      <c r="AA641" s="49">
        <f t="shared" si="246"/>
        <v>0</v>
      </c>
      <c r="AB641" s="63">
        <f t="shared" si="246"/>
        <v>0</v>
      </c>
      <c r="AC641" s="62">
        <f t="shared" si="246"/>
        <v>0</v>
      </c>
      <c r="AD641" s="49">
        <f t="shared" si="246"/>
        <v>0</v>
      </c>
      <c r="AE641" s="235">
        <f t="shared" si="246"/>
        <v>0</v>
      </c>
      <c r="AF641" s="82">
        <f t="shared" si="246"/>
        <v>0</v>
      </c>
      <c r="AG641" s="82">
        <f t="shared" si="246"/>
        <v>0</v>
      </c>
      <c r="AH641" s="49">
        <f t="shared" si="246"/>
        <v>0</v>
      </c>
      <c r="AI641" s="82">
        <f t="shared" si="246"/>
        <v>0</v>
      </c>
      <c r="AJ641" s="49">
        <f t="shared" si="246"/>
        <v>0</v>
      </c>
      <c r="AK641" s="235">
        <f t="shared" si="246"/>
        <v>0</v>
      </c>
      <c r="AL641" s="82">
        <f t="shared" ref="AL641:BQ641" si="247">SUM(AL498:AL501)</f>
        <v>0</v>
      </c>
      <c r="AM641" s="49">
        <f t="shared" si="247"/>
        <v>0</v>
      </c>
      <c r="AN641" s="235">
        <f t="shared" si="247"/>
        <v>0</v>
      </c>
      <c r="AO641" s="235">
        <f t="shared" si="247"/>
        <v>0</v>
      </c>
      <c r="AP641" s="82">
        <f t="shared" si="247"/>
        <v>0</v>
      </c>
      <c r="AQ641" s="49">
        <f t="shared" si="247"/>
        <v>0</v>
      </c>
      <c r="AR641" s="82">
        <f t="shared" si="247"/>
        <v>0</v>
      </c>
      <c r="AS641" s="49">
        <f t="shared" si="247"/>
        <v>630</v>
      </c>
      <c r="AT641" s="235">
        <f t="shared" si="247"/>
        <v>793</v>
      </c>
      <c r="AU641" s="82">
        <f t="shared" si="247"/>
        <v>386</v>
      </c>
      <c r="AV641" s="49">
        <f t="shared" si="247"/>
        <v>0</v>
      </c>
      <c r="AW641" s="235">
        <f t="shared" si="247"/>
        <v>0</v>
      </c>
      <c r="AX641" s="49">
        <f t="shared" si="247"/>
        <v>0</v>
      </c>
      <c r="AY641" s="235">
        <f t="shared" si="247"/>
        <v>0</v>
      </c>
      <c r="AZ641" s="82">
        <f t="shared" si="247"/>
        <v>0</v>
      </c>
      <c r="BA641" s="49">
        <f t="shared" si="247"/>
        <v>0</v>
      </c>
      <c r="BB641" s="49">
        <f t="shared" si="247"/>
        <v>0</v>
      </c>
      <c r="BC641" s="82">
        <f t="shared" si="247"/>
        <v>0</v>
      </c>
      <c r="BD641" s="49">
        <f t="shared" si="247"/>
        <v>0</v>
      </c>
      <c r="BE641" s="49">
        <f t="shared" si="247"/>
        <v>0</v>
      </c>
      <c r="BF641" s="235">
        <f t="shared" si="247"/>
        <v>0</v>
      </c>
      <c r="BG641" s="231">
        <f t="shared" si="247"/>
        <v>0</v>
      </c>
      <c r="BH641" s="543">
        <f t="shared" si="247"/>
        <v>0</v>
      </c>
      <c r="BI641" s="49">
        <f t="shared" si="247"/>
        <v>0</v>
      </c>
      <c r="BJ641" s="50">
        <f t="shared" si="247"/>
        <v>0</v>
      </c>
      <c r="BK641" s="49">
        <f t="shared" si="247"/>
        <v>0</v>
      </c>
      <c r="BL641" s="291">
        <f t="shared" si="247"/>
        <v>0</v>
      </c>
      <c r="BM641" s="50">
        <f t="shared" si="247"/>
        <v>0</v>
      </c>
      <c r="BN641" s="49">
        <f t="shared" si="247"/>
        <v>0</v>
      </c>
      <c r="BO641" s="235">
        <f t="shared" si="247"/>
        <v>0</v>
      </c>
      <c r="BP641" s="291">
        <f t="shared" si="247"/>
        <v>0</v>
      </c>
      <c r="BQ641" s="235">
        <f t="shared" si="247"/>
        <v>0</v>
      </c>
      <c r="BR641" s="82">
        <f t="shared" ref="BR641:CI641" si="248">SUM(BR498:BR501)</f>
        <v>0</v>
      </c>
      <c r="BS641" s="49">
        <f t="shared" si="248"/>
        <v>0</v>
      </c>
      <c r="BT641" s="50">
        <f t="shared" si="248"/>
        <v>0</v>
      </c>
      <c r="BU641" s="49">
        <f t="shared" si="248"/>
        <v>0</v>
      </c>
      <c r="BV641" s="291">
        <f t="shared" si="248"/>
        <v>0</v>
      </c>
      <c r="BW641" s="63">
        <f t="shared" si="248"/>
        <v>0</v>
      </c>
      <c r="BX641" s="235">
        <f t="shared" si="248"/>
        <v>0</v>
      </c>
      <c r="BY641" s="82">
        <f t="shared" si="248"/>
        <v>0</v>
      </c>
      <c r="BZ641" s="49">
        <f t="shared" si="248"/>
        <v>0</v>
      </c>
      <c r="CA641" s="235">
        <f t="shared" si="248"/>
        <v>0</v>
      </c>
      <c r="CB641" s="291">
        <f t="shared" si="248"/>
        <v>0</v>
      </c>
      <c r="CC641" s="50">
        <f t="shared" si="248"/>
        <v>0</v>
      </c>
      <c r="CD641" s="49">
        <f t="shared" si="248"/>
        <v>0</v>
      </c>
      <c r="CE641" s="235">
        <f t="shared" si="248"/>
        <v>0</v>
      </c>
      <c r="CF641" s="235">
        <f t="shared" si="248"/>
        <v>0</v>
      </c>
      <c r="CG641" s="82">
        <f t="shared" si="248"/>
        <v>0</v>
      </c>
      <c r="CH641" s="49">
        <f t="shared" si="248"/>
        <v>0</v>
      </c>
      <c r="CI641" s="82">
        <f t="shared" si="248"/>
        <v>0</v>
      </c>
    </row>
    <row r="642" spans="2:87" x14ac:dyDescent="0.3">
      <c r="B642" s="17" t="s">
        <v>720</v>
      </c>
      <c r="C642" s="476">
        <f>SUM(C502:C504)</f>
        <v>3781</v>
      </c>
      <c r="D642" s="257">
        <f>SUM(D502:D504)</f>
        <v>1875</v>
      </c>
      <c r="E642" s="367">
        <f t="shared" si="224"/>
        <v>0.49590055540862205</v>
      </c>
      <c r="F642" s="49">
        <f t="shared" ref="F642:AK642" si="249">SUM(F502:F504)</f>
        <v>912</v>
      </c>
      <c r="G642" s="49">
        <f t="shared" si="249"/>
        <v>485</v>
      </c>
      <c r="H642" s="49">
        <f t="shared" si="249"/>
        <v>574</v>
      </c>
      <c r="I642" s="49">
        <f t="shared" si="249"/>
        <v>910</v>
      </c>
      <c r="J642" s="50">
        <f t="shared" si="249"/>
        <v>215</v>
      </c>
      <c r="K642" s="49">
        <f t="shared" si="249"/>
        <v>64</v>
      </c>
      <c r="L642" s="231">
        <f t="shared" si="249"/>
        <v>56</v>
      </c>
      <c r="M642" s="543">
        <f t="shared" si="249"/>
        <v>79</v>
      </c>
      <c r="N642" s="49">
        <f t="shared" si="249"/>
        <v>0</v>
      </c>
      <c r="O642" s="235">
        <f t="shared" si="249"/>
        <v>0</v>
      </c>
      <c r="P642" s="291">
        <f t="shared" si="249"/>
        <v>0</v>
      </c>
      <c r="Q642" s="63">
        <f t="shared" si="249"/>
        <v>0</v>
      </c>
      <c r="R642" s="63">
        <f t="shared" si="249"/>
        <v>0</v>
      </c>
      <c r="S642" s="62">
        <f t="shared" si="249"/>
        <v>0</v>
      </c>
      <c r="T642" s="49">
        <f t="shared" si="249"/>
        <v>0</v>
      </c>
      <c r="U642" s="49">
        <f t="shared" si="249"/>
        <v>0</v>
      </c>
      <c r="V642" s="82">
        <f t="shared" si="249"/>
        <v>0</v>
      </c>
      <c r="W642" s="62">
        <f t="shared" si="249"/>
        <v>0</v>
      </c>
      <c r="X642" s="235">
        <f t="shared" si="249"/>
        <v>0</v>
      </c>
      <c r="Y642" s="291">
        <f t="shared" si="249"/>
        <v>0</v>
      </c>
      <c r="Z642" s="50">
        <f t="shared" si="249"/>
        <v>0</v>
      </c>
      <c r="AA642" s="49">
        <f t="shared" si="249"/>
        <v>0</v>
      </c>
      <c r="AB642" s="63">
        <f t="shared" si="249"/>
        <v>0</v>
      </c>
      <c r="AC642" s="62">
        <f t="shared" si="249"/>
        <v>0</v>
      </c>
      <c r="AD642" s="49">
        <f t="shared" si="249"/>
        <v>0</v>
      </c>
      <c r="AE642" s="235">
        <f t="shared" si="249"/>
        <v>0</v>
      </c>
      <c r="AF642" s="82">
        <f t="shared" si="249"/>
        <v>0</v>
      </c>
      <c r="AG642" s="82">
        <f t="shared" si="249"/>
        <v>0</v>
      </c>
      <c r="AH642" s="49">
        <f t="shared" si="249"/>
        <v>0</v>
      </c>
      <c r="AI642" s="82">
        <f t="shared" si="249"/>
        <v>0</v>
      </c>
      <c r="AJ642" s="49">
        <f t="shared" si="249"/>
        <v>0</v>
      </c>
      <c r="AK642" s="235">
        <f t="shared" si="249"/>
        <v>0</v>
      </c>
      <c r="AL642" s="82">
        <f t="shared" ref="AL642:BQ642" si="250">SUM(AL502:AL504)</f>
        <v>0</v>
      </c>
      <c r="AM642" s="49">
        <f t="shared" si="250"/>
        <v>0</v>
      </c>
      <c r="AN642" s="235">
        <f t="shared" si="250"/>
        <v>0</v>
      </c>
      <c r="AO642" s="235">
        <f t="shared" si="250"/>
        <v>0</v>
      </c>
      <c r="AP642" s="82">
        <f t="shared" si="250"/>
        <v>0</v>
      </c>
      <c r="AQ642" s="49">
        <f t="shared" si="250"/>
        <v>0</v>
      </c>
      <c r="AR642" s="82">
        <f t="shared" si="250"/>
        <v>0</v>
      </c>
      <c r="AS642" s="49">
        <f t="shared" si="250"/>
        <v>0</v>
      </c>
      <c r="AT642" s="235">
        <f t="shared" si="250"/>
        <v>0</v>
      </c>
      <c r="AU642" s="82">
        <f t="shared" si="250"/>
        <v>0</v>
      </c>
      <c r="AV642" s="49">
        <f t="shared" si="250"/>
        <v>0</v>
      </c>
      <c r="AW642" s="235">
        <f t="shared" si="250"/>
        <v>0</v>
      </c>
      <c r="AX642" s="49">
        <f t="shared" si="250"/>
        <v>0</v>
      </c>
      <c r="AY642" s="235">
        <f t="shared" si="250"/>
        <v>0</v>
      </c>
      <c r="AZ642" s="82">
        <f t="shared" si="250"/>
        <v>0</v>
      </c>
      <c r="BA642" s="49">
        <f t="shared" si="250"/>
        <v>0</v>
      </c>
      <c r="BB642" s="49">
        <f t="shared" si="250"/>
        <v>0</v>
      </c>
      <c r="BC642" s="82">
        <f t="shared" si="250"/>
        <v>0</v>
      </c>
      <c r="BD642" s="49">
        <f t="shared" si="250"/>
        <v>0</v>
      </c>
      <c r="BE642" s="49">
        <f t="shared" si="250"/>
        <v>0</v>
      </c>
      <c r="BF642" s="235">
        <f t="shared" si="250"/>
        <v>0</v>
      </c>
      <c r="BG642" s="231">
        <f t="shared" si="250"/>
        <v>0</v>
      </c>
      <c r="BH642" s="543">
        <f t="shared" si="250"/>
        <v>0</v>
      </c>
      <c r="BI642" s="49">
        <f t="shared" si="250"/>
        <v>0</v>
      </c>
      <c r="BJ642" s="50">
        <f t="shared" si="250"/>
        <v>0</v>
      </c>
      <c r="BK642" s="49">
        <f t="shared" si="250"/>
        <v>0</v>
      </c>
      <c r="BL642" s="291">
        <f t="shared" si="250"/>
        <v>0</v>
      </c>
      <c r="BM642" s="50">
        <f t="shared" si="250"/>
        <v>0</v>
      </c>
      <c r="BN642" s="49">
        <f t="shared" si="250"/>
        <v>0</v>
      </c>
      <c r="BO642" s="235">
        <f t="shared" si="250"/>
        <v>0</v>
      </c>
      <c r="BP642" s="291">
        <f t="shared" si="250"/>
        <v>0</v>
      </c>
      <c r="BQ642" s="235">
        <f t="shared" si="250"/>
        <v>0</v>
      </c>
      <c r="BR642" s="82">
        <f t="shared" ref="BR642:CI642" si="251">SUM(BR502:BR504)</f>
        <v>0</v>
      </c>
      <c r="BS642" s="49">
        <f t="shared" si="251"/>
        <v>0</v>
      </c>
      <c r="BT642" s="50">
        <f t="shared" si="251"/>
        <v>0</v>
      </c>
      <c r="BU642" s="49">
        <f t="shared" si="251"/>
        <v>0</v>
      </c>
      <c r="BV642" s="291">
        <f t="shared" si="251"/>
        <v>0</v>
      </c>
      <c r="BW642" s="63">
        <f t="shared" si="251"/>
        <v>0</v>
      </c>
      <c r="BX642" s="235">
        <f t="shared" si="251"/>
        <v>0</v>
      </c>
      <c r="BY642" s="82">
        <f t="shared" si="251"/>
        <v>0</v>
      </c>
      <c r="BZ642" s="49">
        <f t="shared" si="251"/>
        <v>0</v>
      </c>
      <c r="CA642" s="235">
        <f t="shared" si="251"/>
        <v>0</v>
      </c>
      <c r="CB642" s="291">
        <f t="shared" si="251"/>
        <v>0</v>
      </c>
      <c r="CC642" s="50">
        <f t="shared" si="251"/>
        <v>0</v>
      </c>
      <c r="CD642" s="49">
        <f t="shared" si="251"/>
        <v>0</v>
      </c>
      <c r="CE642" s="235">
        <f t="shared" si="251"/>
        <v>0</v>
      </c>
      <c r="CF642" s="235">
        <f t="shared" si="251"/>
        <v>0</v>
      </c>
      <c r="CG642" s="82">
        <f t="shared" si="251"/>
        <v>0</v>
      </c>
      <c r="CH642" s="49">
        <f t="shared" si="251"/>
        <v>0</v>
      </c>
      <c r="CI642" s="82">
        <f t="shared" si="251"/>
        <v>0</v>
      </c>
    </row>
    <row r="643" spans="2:87" x14ac:dyDescent="0.3">
      <c r="B643" s="17" t="s">
        <v>32</v>
      </c>
      <c r="C643" s="476">
        <f>SUM(C559:C560)</f>
        <v>1922</v>
      </c>
      <c r="D643" s="257">
        <f>SUM(D559:D560)</f>
        <v>1188</v>
      </c>
      <c r="E643" s="367">
        <f t="shared" si="224"/>
        <v>0.61810613943808534</v>
      </c>
      <c r="F643" s="49">
        <f t="shared" ref="F643:AK643" si="252">SUM(F559:F560)</f>
        <v>0</v>
      </c>
      <c r="G643" s="49">
        <f t="shared" si="252"/>
        <v>0</v>
      </c>
      <c r="H643" s="49">
        <f t="shared" si="252"/>
        <v>0</v>
      </c>
      <c r="I643" s="49">
        <f t="shared" si="252"/>
        <v>0</v>
      </c>
      <c r="J643" s="50">
        <f t="shared" si="252"/>
        <v>0</v>
      </c>
      <c r="K643" s="49">
        <f t="shared" si="252"/>
        <v>0</v>
      </c>
      <c r="L643" s="231">
        <f t="shared" si="252"/>
        <v>0</v>
      </c>
      <c r="M643" s="543">
        <f t="shared" si="252"/>
        <v>0</v>
      </c>
      <c r="N643" s="49">
        <f t="shared" si="252"/>
        <v>0</v>
      </c>
      <c r="O643" s="235">
        <f t="shared" si="252"/>
        <v>0</v>
      </c>
      <c r="P643" s="291">
        <f t="shared" si="252"/>
        <v>0</v>
      </c>
      <c r="Q643" s="63">
        <f t="shared" si="252"/>
        <v>0</v>
      </c>
      <c r="R643" s="63">
        <f t="shared" si="252"/>
        <v>0</v>
      </c>
      <c r="S643" s="62">
        <f t="shared" si="252"/>
        <v>0</v>
      </c>
      <c r="T643" s="49">
        <f t="shared" si="252"/>
        <v>0</v>
      </c>
      <c r="U643" s="49">
        <f t="shared" si="252"/>
        <v>0</v>
      </c>
      <c r="V643" s="82">
        <f t="shared" si="252"/>
        <v>0</v>
      </c>
      <c r="W643" s="62">
        <f t="shared" si="252"/>
        <v>0</v>
      </c>
      <c r="X643" s="235">
        <f t="shared" si="252"/>
        <v>0</v>
      </c>
      <c r="Y643" s="291">
        <f t="shared" si="252"/>
        <v>0</v>
      </c>
      <c r="Z643" s="50">
        <f t="shared" si="252"/>
        <v>0</v>
      </c>
      <c r="AA643" s="49">
        <f t="shared" si="252"/>
        <v>684</v>
      </c>
      <c r="AB643" s="63">
        <f t="shared" si="252"/>
        <v>845</v>
      </c>
      <c r="AC643" s="62">
        <f t="shared" si="252"/>
        <v>0</v>
      </c>
      <c r="AD643" s="49">
        <f t="shared" si="252"/>
        <v>0</v>
      </c>
      <c r="AE643" s="235">
        <f t="shared" si="252"/>
        <v>0</v>
      </c>
      <c r="AF643" s="82">
        <f t="shared" si="252"/>
        <v>0</v>
      </c>
      <c r="AG643" s="82">
        <f t="shared" si="252"/>
        <v>0</v>
      </c>
      <c r="AH643" s="49">
        <f t="shared" si="252"/>
        <v>0</v>
      </c>
      <c r="AI643" s="82">
        <f t="shared" si="252"/>
        <v>0</v>
      </c>
      <c r="AJ643" s="49">
        <f t="shared" si="252"/>
        <v>0</v>
      </c>
      <c r="AK643" s="235">
        <f t="shared" si="252"/>
        <v>0</v>
      </c>
      <c r="AL643" s="82">
        <f t="shared" ref="AL643:BQ643" si="253">SUM(AL559:AL560)</f>
        <v>0</v>
      </c>
      <c r="AM643" s="49">
        <f t="shared" si="253"/>
        <v>0</v>
      </c>
      <c r="AN643" s="235">
        <f t="shared" si="253"/>
        <v>0</v>
      </c>
      <c r="AO643" s="235">
        <f t="shared" si="253"/>
        <v>0</v>
      </c>
      <c r="AP643" s="82">
        <f t="shared" si="253"/>
        <v>0</v>
      </c>
      <c r="AQ643" s="49">
        <f t="shared" si="253"/>
        <v>0</v>
      </c>
      <c r="AR643" s="82">
        <f t="shared" si="253"/>
        <v>0</v>
      </c>
      <c r="AS643" s="49">
        <f t="shared" si="253"/>
        <v>0</v>
      </c>
      <c r="AT643" s="235">
        <f t="shared" si="253"/>
        <v>0</v>
      </c>
      <c r="AU643" s="82">
        <f t="shared" si="253"/>
        <v>0</v>
      </c>
      <c r="AV643" s="49">
        <f t="shared" si="253"/>
        <v>0</v>
      </c>
      <c r="AW643" s="235">
        <f t="shared" si="253"/>
        <v>0</v>
      </c>
      <c r="AX643" s="49">
        <f t="shared" si="253"/>
        <v>0</v>
      </c>
      <c r="AY643" s="235">
        <f t="shared" si="253"/>
        <v>0</v>
      </c>
      <c r="AZ643" s="82">
        <f t="shared" si="253"/>
        <v>0</v>
      </c>
      <c r="BA643" s="49">
        <f t="shared" si="253"/>
        <v>0</v>
      </c>
      <c r="BB643" s="49">
        <f t="shared" si="253"/>
        <v>0</v>
      </c>
      <c r="BC643" s="82">
        <f t="shared" si="253"/>
        <v>0</v>
      </c>
      <c r="BD643" s="49">
        <f t="shared" si="253"/>
        <v>0</v>
      </c>
      <c r="BE643" s="49">
        <f t="shared" si="253"/>
        <v>0</v>
      </c>
      <c r="BF643" s="235">
        <f t="shared" si="253"/>
        <v>0</v>
      </c>
      <c r="BG643" s="231">
        <f t="shared" si="253"/>
        <v>0</v>
      </c>
      <c r="BH643" s="543">
        <f t="shared" si="253"/>
        <v>0</v>
      </c>
      <c r="BI643" s="49">
        <f t="shared" si="253"/>
        <v>0</v>
      </c>
      <c r="BJ643" s="50">
        <f t="shared" si="253"/>
        <v>0</v>
      </c>
      <c r="BK643" s="49">
        <f t="shared" si="253"/>
        <v>0</v>
      </c>
      <c r="BL643" s="291">
        <f t="shared" si="253"/>
        <v>0</v>
      </c>
      <c r="BM643" s="50">
        <f t="shared" si="253"/>
        <v>0</v>
      </c>
      <c r="BN643" s="49">
        <f t="shared" si="253"/>
        <v>0</v>
      </c>
      <c r="BO643" s="235">
        <f t="shared" si="253"/>
        <v>0</v>
      </c>
      <c r="BP643" s="291">
        <f t="shared" si="253"/>
        <v>0</v>
      </c>
      <c r="BQ643" s="235">
        <f t="shared" si="253"/>
        <v>0</v>
      </c>
      <c r="BR643" s="82">
        <f t="shared" ref="BR643:CI643" si="254">SUM(BR559:BR560)</f>
        <v>0</v>
      </c>
      <c r="BS643" s="49">
        <f t="shared" si="254"/>
        <v>0</v>
      </c>
      <c r="BT643" s="50">
        <f t="shared" si="254"/>
        <v>0</v>
      </c>
      <c r="BU643" s="49">
        <f t="shared" si="254"/>
        <v>0</v>
      </c>
      <c r="BV643" s="291">
        <f t="shared" si="254"/>
        <v>0</v>
      </c>
      <c r="BW643" s="63">
        <f t="shared" si="254"/>
        <v>0</v>
      </c>
      <c r="BX643" s="235">
        <f t="shared" si="254"/>
        <v>0</v>
      </c>
      <c r="BY643" s="82">
        <f t="shared" si="254"/>
        <v>0</v>
      </c>
      <c r="BZ643" s="49">
        <f t="shared" si="254"/>
        <v>0</v>
      </c>
      <c r="CA643" s="235">
        <f t="shared" si="254"/>
        <v>0</v>
      </c>
      <c r="CB643" s="291">
        <f t="shared" si="254"/>
        <v>0</v>
      </c>
      <c r="CC643" s="50">
        <f t="shared" si="254"/>
        <v>0</v>
      </c>
      <c r="CD643" s="49">
        <f t="shared" si="254"/>
        <v>0</v>
      </c>
      <c r="CE643" s="235">
        <f t="shared" si="254"/>
        <v>0</v>
      </c>
      <c r="CF643" s="235">
        <f t="shared" si="254"/>
        <v>0</v>
      </c>
      <c r="CG643" s="82">
        <f t="shared" si="254"/>
        <v>0</v>
      </c>
      <c r="CH643" s="49">
        <f t="shared" si="254"/>
        <v>0</v>
      </c>
      <c r="CI643" s="82">
        <f t="shared" si="254"/>
        <v>0</v>
      </c>
    </row>
    <row r="644" spans="2:87" x14ac:dyDescent="0.3">
      <c r="B644" s="17" t="s">
        <v>721</v>
      </c>
      <c r="C644" s="476">
        <f>SUM(C564:C565)</f>
        <v>2662</v>
      </c>
      <c r="D644" s="257">
        <f>SUM(D564:D565)</f>
        <v>1086</v>
      </c>
      <c r="E644" s="367">
        <f t="shared" si="224"/>
        <v>0.40796393688955673</v>
      </c>
      <c r="F644" s="49">
        <f t="shared" ref="F644:AK644" si="255">SUM(F564:F565)</f>
        <v>0</v>
      </c>
      <c r="G644" s="49">
        <f t="shared" si="255"/>
        <v>0</v>
      </c>
      <c r="H644" s="49">
        <f t="shared" si="255"/>
        <v>0</v>
      </c>
      <c r="I644" s="49">
        <f t="shared" si="255"/>
        <v>0</v>
      </c>
      <c r="J644" s="50">
        <f t="shared" si="255"/>
        <v>0</v>
      </c>
      <c r="K644" s="49">
        <f t="shared" si="255"/>
        <v>0</v>
      </c>
      <c r="L644" s="231">
        <f t="shared" si="255"/>
        <v>0</v>
      </c>
      <c r="M644" s="543">
        <f t="shared" si="255"/>
        <v>0</v>
      </c>
      <c r="N644" s="49">
        <f t="shared" si="255"/>
        <v>0</v>
      </c>
      <c r="O644" s="235">
        <f t="shared" si="255"/>
        <v>0</v>
      </c>
      <c r="P644" s="291">
        <f t="shared" si="255"/>
        <v>0</v>
      </c>
      <c r="Q644" s="63">
        <f t="shared" si="255"/>
        <v>0</v>
      </c>
      <c r="R644" s="63">
        <f t="shared" si="255"/>
        <v>0</v>
      </c>
      <c r="S644" s="62">
        <f t="shared" si="255"/>
        <v>0</v>
      </c>
      <c r="T644" s="49">
        <f t="shared" si="255"/>
        <v>0</v>
      </c>
      <c r="U644" s="49">
        <f t="shared" si="255"/>
        <v>0</v>
      </c>
      <c r="V644" s="82">
        <f t="shared" si="255"/>
        <v>0</v>
      </c>
      <c r="W644" s="62">
        <f t="shared" si="255"/>
        <v>0</v>
      </c>
      <c r="X644" s="235">
        <f t="shared" si="255"/>
        <v>0</v>
      </c>
      <c r="Y644" s="291">
        <f t="shared" si="255"/>
        <v>0</v>
      </c>
      <c r="Z644" s="50">
        <f t="shared" si="255"/>
        <v>0</v>
      </c>
      <c r="AA644" s="49">
        <f t="shared" si="255"/>
        <v>0</v>
      </c>
      <c r="AB644" s="63">
        <f t="shared" si="255"/>
        <v>0</v>
      </c>
      <c r="AC644" s="62">
        <f t="shared" si="255"/>
        <v>0</v>
      </c>
      <c r="AD644" s="49">
        <f t="shared" si="255"/>
        <v>0</v>
      </c>
      <c r="AE644" s="235">
        <f t="shared" si="255"/>
        <v>0</v>
      </c>
      <c r="AF644" s="82">
        <f t="shared" si="255"/>
        <v>0</v>
      </c>
      <c r="AG644" s="82">
        <f t="shared" si="255"/>
        <v>0</v>
      </c>
      <c r="AH644" s="49">
        <f t="shared" si="255"/>
        <v>0</v>
      </c>
      <c r="AI644" s="82">
        <f t="shared" si="255"/>
        <v>0</v>
      </c>
      <c r="AJ644" s="49">
        <f t="shared" si="255"/>
        <v>0</v>
      </c>
      <c r="AK644" s="235">
        <f t="shared" si="255"/>
        <v>0</v>
      </c>
      <c r="AL644" s="82">
        <f t="shared" ref="AL644:BQ644" si="256">SUM(AL564:AL565)</f>
        <v>0</v>
      </c>
      <c r="AM644" s="49">
        <f t="shared" si="256"/>
        <v>757</v>
      </c>
      <c r="AN644" s="235">
        <f t="shared" si="256"/>
        <v>357</v>
      </c>
      <c r="AO644" s="235">
        <f t="shared" si="256"/>
        <v>392</v>
      </c>
      <c r="AP644" s="82">
        <f t="shared" si="256"/>
        <v>375</v>
      </c>
      <c r="AQ644" s="49">
        <f t="shared" si="256"/>
        <v>0</v>
      </c>
      <c r="AR644" s="82">
        <f t="shared" si="256"/>
        <v>0</v>
      </c>
      <c r="AS644" s="49">
        <f t="shared" si="256"/>
        <v>0</v>
      </c>
      <c r="AT644" s="235">
        <f t="shared" si="256"/>
        <v>0</v>
      </c>
      <c r="AU644" s="82">
        <f t="shared" si="256"/>
        <v>0</v>
      </c>
      <c r="AV644" s="49">
        <f t="shared" si="256"/>
        <v>0</v>
      </c>
      <c r="AW644" s="235">
        <f t="shared" si="256"/>
        <v>0</v>
      </c>
      <c r="AX644" s="49">
        <f t="shared" si="256"/>
        <v>0</v>
      </c>
      <c r="AY644" s="235">
        <f t="shared" si="256"/>
        <v>0</v>
      </c>
      <c r="AZ644" s="82">
        <f t="shared" si="256"/>
        <v>0</v>
      </c>
      <c r="BA644" s="49">
        <f t="shared" si="256"/>
        <v>0</v>
      </c>
      <c r="BB644" s="49">
        <f t="shared" si="256"/>
        <v>0</v>
      </c>
      <c r="BC644" s="82">
        <f t="shared" si="256"/>
        <v>0</v>
      </c>
      <c r="BD644" s="49">
        <f t="shared" si="256"/>
        <v>0</v>
      </c>
      <c r="BE644" s="49">
        <f t="shared" si="256"/>
        <v>0</v>
      </c>
      <c r="BF644" s="235">
        <f t="shared" si="256"/>
        <v>0</v>
      </c>
      <c r="BG644" s="231">
        <f t="shared" si="256"/>
        <v>0</v>
      </c>
      <c r="BH644" s="543">
        <f t="shared" si="256"/>
        <v>0</v>
      </c>
      <c r="BI644" s="49">
        <f t="shared" si="256"/>
        <v>0</v>
      </c>
      <c r="BJ644" s="50">
        <f t="shared" si="256"/>
        <v>0</v>
      </c>
      <c r="BK644" s="49">
        <f t="shared" si="256"/>
        <v>0</v>
      </c>
      <c r="BL644" s="291">
        <f t="shared" si="256"/>
        <v>0</v>
      </c>
      <c r="BM644" s="50">
        <f t="shared" si="256"/>
        <v>0</v>
      </c>
      <c r="BN644" s="49">
        <f t="shared" si="256"/>
        <v>0</v>
      </c>
      <c r="BO644" s="235">
        <f t="shared" si="256"/>
        <v>0</v>
      </c>
      <c r="BP644" s="291">
        <f t="shared" si="256"/>
        <v>0</v>
      </c>
      <c r="BQ644" s="235">
        <f t="shared" si="256"/>
        <v>0</v>
      </c>
      <c r="BR644" s="82">
        <f t="shared" ref="BR644:CI644" si="257">SUM(BR564:BR565)</f>
        <v>0</v>
      </c>
      <c r="BS644" s="49">
        <f t="shared" si="257"/>
        <v>0</v>
      </c>
      <c r="BT644" s="50">
        <f t="shared" si="257"/>
        <v>0</v>
      </c>
      <c r="BU644" s="49">
        <f t="shared" si="257"/>
        <v>0</v>
      </c>
      <c r="BV644" s="291">
        <f t="shared" si="257"/>
        <v>0</v>
      </c>
      <c r="BW644" s="63">
        <f t="shared" si="257"/>
        <v>0</v>
      </c>
      <c r="BX644" s="235">
        <f t="shared" si="257"/>
        <v>0</v>
      </c>
      <c r="BY644" s="82">
        <f t="shared" si="257"/>
        <v>0</v>
      </c>
      <c r="BZ644" s="49">
        <f t="shared" si="257"/>
        <v>0</v>
      </c>
      <c r="CA644" s="235">
        <f t="shared" si="257"/>
        <v>0</v>
      </c>
      <c r="CB644" s="291">
        <f t="shared" si="257"/>
        <v>0</v>
      </c>
      <c r="CC644" s="50">
        <f t="shared" si="257"/>
        <v>0</v>
      </c>
      <c r="CD644" s="49">
        <f t="shared" si="257"/>
        <v>0</v>
      </c>
      <c r="CE644" s="235">
        <f t="shared" si="257"/>
        <v>0</v>
      </c>
      <c r="CF644" s="235">
        <f t="shared" si="257"/>
        <v>0</v>
      </c>
      <c r="CG644" s="82">
        <f t="shared" si="257"/>
        <v>0</v>
      </c>
      <c r="CH644" s="49">
        <f t="shared" si="257"/>
        <v>0</v>
      </c>
      <c r="CI644" s="82">
        <f t="shared" si="257"/>
        <v>0</v>
      </c>
    </row>
    <row r="645" spans="2:87" x14ac:dyDescent="0.3">
      <c r="B645" s="17" t="s">
        <v>783</v>
      </c>
      <c r="C645" s="322">
        <f>SUM(C28)+SUM(C31:C32)+SUM(C50:C66)+SUM(C69:C70)+SUM(C72:C93)+SUM(C103:C155)+SUM(C157:C159)+SUM(C161:C193)+SUM(C205:C208)+SUM(C213:C238)+SUM(C255:C263)+SUM(C295:C301)+SUM(C302:C309)+SUM(C352:C389)+SUM(C399:C400)+SUM(C401:C423)+SUM(C425:C426)+SUM(C429:C471)+SUM(C475:C477)+SUM(C478:C479)+SUM(C484:C495)+SUM(C498:C501)+SUM(C508)+SUM(C524)+SUM(C531)+SUM(C516)+SUM(C534)+SUM(C536)+SUM(C541:C542)+SUM(C547:C558)+SUM(C561:C563)</f>
        <v>366424</v>
      </c>
      <c r="D645" s="235">
        <f>SUM(D28)+SUM(D31:D32)+SUM(D50:D66)+SUM(D69:D70)+SUM(D72:D93)+SUM(D103:D155)+SUM(D157:D159)+SUM(D161:D193)+SUM(D205:D208)+SUM(D213:D238)+SUM(D255:D263)+SUM(D295:D301)+SUM(D302:D309)+SUM(D352:D389)+SUM(D399:D400)+SUM(D401:D423)+SUM(D425:D426)+SUM(D429:D471)+SUM(D475:D477)+SUM(D478:D479)+SUM(D484:D495)+SUM(D498:D501)+SUM(D508)+SUM(D524)+SUM(D531)+SUM(D516)+SUM(D534)+SUM(D536)+SUM(D541:D542)+SUM(D547:D558)+SUM(D561:D563)</f>
        <v>162340</v>
      </c>
      <c r="E645" s="367">
        <f t="shared" si="224"/>
        <v>0.44303866558959021</v>
      </c>
      <c r="F645" s="49">
        <f t="shared" ref="F645:AK645" si="258">SUM(F28)+SUM(F31:F32)+SUM(F50:F66)+SUM(F69:F70)+SUM(F72:F93)+SUM(F103:F155)+SUM(F157:F159)+SUM(F161:F193)+SUM(F205:F208)+SUM(F213:F238)+SUM(F255:F263)+SUM(F295:F301)+SUM(F302:F309)+SUM(F352:F389)+SUM(F399:F400)+SUM(F401:F423)+SUM(F425:F426)+SUM(F429:F471)+SUM(F475:F477)+SUM(F478:F479)+SUM(F484:F495)+SUM(F498:F501)+SUM(F508)+SUM(F524)+SUM(F531)+SUM(F516)+SUM(F534)+SUM(F536)+SUM(F541:F542)+SUM(F547:F558)+SUM(F561:F563)</f>
        <v>32382</v>
      </c>
      <c r="G645" s="49">
        <f t="shared" si="258"/>
        <v>12031</v>
      </c>
      <c r="H645" s="49">
        <f t="shared" si="258"/>
        <v>24953</v>
      </c>
      <c r="I645" s="49">
        <f t="shared" si="258"/>
        <v>32408</v>
      </c>
      <c r="J645" s="50">
        <f t="shared" si="258"/>
        <v>7333</v>
      </c>
      <c r="K645" s="49">
        <f t="shared" si="258"/>
        <v>0</v>
      </c>
      <c r="L645" s="231">
        <f t="shared" si="258"/>
        <v>0</v>
      </c>
      <c r="M645" s="543">
        <f t="shared" si="258"/>
        <v>0</v>
      </c>
      <c r="N645" s="49">
        <f t="shared" si="258"/>
        <v>763</v>
      </c>
      <c r="O645" s="235">
        <f t="shared" si="258"/>
        <v>988</v>
      </c>
      <c r="P645" s="291">
        <f t="shared" si="258"/>
        <v>778</v>
      </c>
      <c r="Q645" s="63">
        <f t="shared" si="258"/>
        <v>1654</v>
      </c>
      <c r="R645" s="63">
        <f t="shared" si="258"/>
        <v>1154</v>
      </c>
      <c r="S645" s="62">
        <f t="shared" si="258"/>
        <v>903</v>
      </c>
      <c r="T645" s="49">
        <f t="shared" si="258"/>
        <v>1367</v>
      </c>
      <c r="U645" s="49">
        <f t="shared" si="258"/>
        <v>1541</v>
      </c>
      <c r="V645" s="82">
        <f t="shared" si="258"/>
        <v>533</v>
      </c>
      <c r="W645" s="62">
        <f t="shared" si="258"/>
        <v>12</v>
      </c>
      <c r="X645" s="235">
        <f t="shared" si="258"/>
        <v>7</v>
      </c>
      <c r="Y645" s="291">
        <f t="shared" si="258"/>
        <v>4</v>
      </c>
      <c r="Z645" s="50">
        <f t="shared" si="258"/>
        <v>13</v>
      </c>
      <c r="AA645" s="49">
        <f t="shared" si="258"/>
        <v>1</v>
      </c>
      <c r="AB645" s="63">
        <f t="shared" si="258"/>
        <v>1</v>
      </c>
      <c r="AC645" s="62">
        <f t="shared" si="258"/>
        <v>0</v>
      </c>
      <c r="AD645" s="49">
        <f t="shared" si="258"/>
        <v>0</v>
      </c>
      <c r="AE645" s="235">
        <f t="shared" si="258"/>
        <v>0</v>
      </c>
      <c r="AF645" s="82">
        <f t="shared" si="258"/>
        <v>0</v>
      </c>
      <c r="AG645" s="82">
        <f t="shared" si="258"/>
        <v>1132</v>
      </c>
      <c r="AH645" s="49">
        <f t="shared" si="258"/>
        <v>0</v>
      </c>
      <c r="AI645" s="82">
        <f t="shared" si="258"/>
        <v>0</v>
      </c>
      <c r="AJ645" s="49">
        <f t="shared" si="258"/>
        <v>0</v>
      </c>
      <c r="AK645" s="235">
        <f t="shared" si="258"/>
        <v>0</v>
      </c>
      <c r="AL645" s="82">
        <f t="shared" ref="AL645:BQ645" si="259">SUM(AL28)+SUM(AL31:AL32)+SUM(AL50:AL66)+SUM(AL69:AL70)+SUM(AL72:AL93)+SUM(AL103:AL155)+SUM(AL157:AL159)+SUM(AL161:AL193)+SUM(AL205:AL208)+SUM(AL213:AL238)+SUM(AL255:AL263)+SUM(AL295:AL301)+SUM(AL302:AL309)+SUM(AL352:AL389)+SUM(AL399:AL400)+SUM(AL401:AL423)+SUM(AL425:AL426)+SUM(AL429:AL471)+SUM(AL475:AL477)+SUM(AL478:AL479)+SUM(AL484:AL495)+SUM(AL498:AL501)+SUM(AL508)+SUM(AL524)+SUM(AL531)+SUM(AL516)+SUM(AL534)+SUM(AL536)+SUM(AL541:AL542)+SUM(AL547:AL558)+SUM(AL561:AL563)</f>
        <v>0</v>
      </c>
      <c r="AM645" s="49">
        <f t="shared" si="259"/>
        <v>5458</v>
      </c>
      <c r="AN645" s="235">
        <f t="shared" si="259"/>
        <v>3517</v>
      </c>
      <c r="AO645" s="235">
        <f t="shared" si="259"/>
        <v>4490</v>
      </c>
      <c r="AP645" s="82">
        <f t="shared" si="259"/>
        <v>5324</v>
      </c>
      <c r="AQ645" s="49">
        <f t="shared" si="259"/>
        <v>0</v>
      </c>
      <c r="AR645" s="82">
        <f t="shared" si="259"/>
        <v>0</v>
      </c>
      <c r="AS645" s="49">
        <f t="shared" si="259"/>
        <v>737</v>
      </c>
      <c r="AT645" s="235">
        <f t="shared" si="259"/>
        <v>917</v>
      </c>
      <c r="AU645" s="82">
        <f t="shared" si="259"/>
        <v>497</v>
      </c>
      <c r="AV645" s="49">
        <f t="shared" si="259"/>
        <v>3633</v>
      </c>
      <c r="AW645" s="235">
        <f t="shared" si="259"/>
        <v>4151</v>
      </c>
      <c r="AX645" s="49">
        <f t="shared" si="259"/>
        <v>4058</v>
      </c>
      <c r="AY645" s="235">
        <f t="shared" si="259"/>
        <v>1868</v>
      </c>
      <c r="AZ645" s="82">
        <f t="shared" si="259"/>
        <v>1184</v>
      </c>
      <c r="BA645" s="49">
        <f t="shared" si="259"/>
        <v>2663</v>
      </c>
      <c r="BB645" s="49">
        <f t="shared" si="259"/>
        <v>1596</v>
      </c>
      <c r="BC645" s="82">
        <f t="shared" si="259"/>
        <v>1348</v>
      </c>
      <c r="BD645" s="49">
        <f t="shared" si="259"/>
        <v>0</v>
      </c>
      <c r="BE645" s="49">
        <f t="shared" si="259"/>
        <v>0</v>
      </c>
      <c r="BF645" s="235">
        <f t="shared" si="259"/>
        <v>0</v>
      </c>
      <c r="BG645" s="231">
        <f t="shared" si="259"/>
        <v>0</v>
      </c>
      <c r="BH645" s="543">
        <f t="shared" si="259"/>
        <v>0</v>
      </c>
      <c r="BI645" s="49">
        <f t="shared" si="259"/>
        <v>29688</v>
      </c>
      <c r="BJ645" s="50">
        <f t="shared" si="259"/>
        <v>29761</v>
      </c>
      <c r="BK645" s="49">
        <f t="shared" si="259"/>
        <v>0</v>
      </c>
      <c r="BL645" s="291">
        <f t="shared" si="259"/>
        <v>0</v>
      </c>
      <c r="BM645" s="50">
        <f t="shared" si="259"/>
        <v>0</v>
      </c>
      <c r="BN645" s="49">
        <f t="shared" si="259"/>
        <v>0</v>
      </c>
      <c r="BO645" s="235">
        <f t="shared" si="259"/>
        <v>0</v>
      </c>
      <c r="BP645" s="291">
        <f t="shared" si="259"/>
        <v>0</v>
      </c>
      <c r="BQ645" s="235">
        <f t="shared" si="259"/>
        <v>0</v>
      </c>
      <c r="BR645" s="82">
        <f t="shared" ref="BR645:CI645" si="260">SUM(BR28)+SUM(BR31:BR32)+SUM(BR50:BR66)+SUM(BR69:BR70)+SUM(BR72:BR93)+SUM(BR103:BR155)+SUM(BR157:BR159)+SUM(BR161:BR193)+SUM(BR205:BR208)+SUM(BR213:BR238)+SUM(BR255:BR263)+SUM(BR295:BR301)+SUM(BR302:BR309)+SUM(BR352:BR389)+SUM(BR399:BR400)+SUM(BR401:BR423)+SUM(BR425:BR426)+SUM(BR429:BR471)+SUM(BR475:BR477)+SUM(BR478:BR479)+SUM(BR484:BR495)+SUM(BR498:BR501)+SUM(BR508)+SUM(BR524)+SUM(BR531)+SUM(BR516)+SUM(BR534)+SUM(BR536)+SUM(BR541:BR542)+SUM(BR547:BR558)+SUM(BR561:BR563)</f>
        <v>0</v>
      </c>
      <c r="BS645" s="49">
        <f t="shared" si="260"/>
        <v>0</v>
      </c>
      <c r="BT645" s="50">
        <f t="shared" si="260"/>
        <v>0</v>
      </c>
      <c r="BU645" s="49">
        <f t="shared" si="260"/>
        <v>7770</v>
      </c>
      <c r="BV645" s="291">
        <f t="shared" si="260"/>
        <v>8062</v>
      </c>
      <c r="BW645" s="63">
        <f t="shared" si="260"/>
        <v>6566</v>
      </c>
      <c r="BX645" s="235">
        <f t="shared" si="260"/>
        <v>8978</v>
      </c>
      <c r="BY645" s="82">
        <f t="shared" si="260"/>
        <v>4967</v>
      </c>
      <c r="BZ645" s="49">
        <f t="shared" si="260"/>
        <v>7104</v>
      </c>
      <c r="CA645" s="235">
        <f t="shared" si="260"/>
        <v>15164</v>
      </c>
      <c r="CB645" s="291">
        <f t="shared" si="260"/>
        <v>4695</v>
      </c>
      <c r="CC645" s="50">
        <f t="shared" si="260"/>
        <v>11115</v>
      </c>
      <c r="CD645" s="49">
        <f t="shared" si="260"/>
        <v>4519</v>
      </c>
      <c r="CE645" s="235">
        <f t="shared" si="260"/>
        <v>3264</v>
      </c>
      <c r="CF645" s="235">
        <f t="shared" si="260"/>
        <v>3815</v>
      </c>
      <c r="CG645" s="82">
        <f t="shared" si="260"/>
        <v>2482</v>
      </c>
      <c r="CH645" s="49">
        <f t="shared" si="260"/>
        <v>4236</v>
      </c>
      <c r="CI645" s="82">
        <f t="shared" si="260"/>
        <v>201</v>
      </c>
    </row>
    <row r="646" spans="2:87" x14ac:dyDescent="0.3">
      <c r="B646" s="17" t="s">
        <v>784</v>
      </c>
      <c r="C646" s="322">
        <f>SUM(C4:C27)+SUM(C29:C30)+SUM(C33:C49)+SUM(C94:C102)+SUM(C156)+SUM(C160)+SUM(C194:C204)+SUM(C209:C212)+SUM(C239:C245)+SUM(C246:C253)+SUM(C264:C294)+SUM(C310:C314)+SUM(C315:C351)+SUM(C390:C398)+SUM(C424)+SUM(C427:C428)+SUM(C472:C474)+SUM(C480:C483)+SUM(C496:C497)+SUM(C502:C504)+SUM(C505:C507)+SUM(C509:C515)+SUM(C517:C523)+SUM(C525:C530)+SUM(C532)+SUM(C533)+SUM(C535)+SUM(C537:C540)+SUM(C543:C546)+SUM(C559:C560)+SUM(C564:C565)</f>
        <v>226514</v>
      </c>
      <c r="D646" s="235">
        <f>SUM(D4:D27)+SUM(D29:D30)+SUM(D33:D49)+SUM(D94:D102)+SUM(D156)+SUM(D160)+SUM(D194:D204)+SUM(D209:D212)+SUM(D239:D245)+SUM(D246:D253)+SUM(D264:D294)+SUM(D310:D314)+SUM(D315:D351)+SUM(D390:D398)+SUM(D424)+SUM(D427:D428)+SUM(D472:D474)+SUM(D480:D483)+SUM(D496:D497)+SUM(D502:D504)+SUM(D505:D507)+SUM(D509:D515)+SUM(D517:D523)+SUM(D525:D530)+SUM(D532)+SUM(D533)+SUM(D535)+SUM(D537:D540)+SUM(D543:D546)+SUM(D559:D560)+SUM(D564:D565)</f>
        <v>124077</v>
      </c>
      <c r="E646" s="367">
        <f t="shared" si="224"/>
        <v>0.54776746691153744</v>
      </c>
      <c r="F646" s="49">
        <f t="shared" ref="F646:AK646" si="261">SUM(F4:F27)+SUM(F29:F30)+SUM(F33:F49)+SUM(F94:F102)+SUM(F156)+SUM(F160)+SUM(F194:F204)+SUM(F209:F212)+SUM(F239:F245)+SUM(F246:F253)+SUM(F264:F294)+SUM(F310:F314)+SUM(F315:F351)+SUM(F390:F398)+SUM(F424)+SUM(F427:F428)+SUM(F472:F474)+SUM(F480:F483)+SUM(F496:F497)+SUM(F502:F504)+SUM(F505:F507)+SUM(F509:F515)+SUM(F517:F523)+SUM(F525:F530)+SUM(F532)+SUM(F533)+SUM(F535)+SUM(F537:F540)+SUM(F543:F546)+SUM(F559:F560)+SUM(F564:F565)</f>
        <v>22447</v>
      </c>
      <c r="G646" s="49">
        <f t="shared" si="261"/>
        <v>7420</v>
      </c>
      <c r="H646" s="49">
        <f t="shared" si="261"/>
        <v>19291</v>
      </c>
      <c r="I646" s="49">
        <f t="shared" si="261"/>
        <v>20841</v>
      </c>
      <c r="J646" s="50">
        <f t="shared" si="261"/>
        <v>5349</v>
      </c>
      <c r="K646" s="49">
        <f t="shared" si="261"/>
        <v>2281</v>
      </c>
      <c r="L646" s="231">
        <f t="shared" si="261"/>
        <v>2537</v>
      </c>
      <c r="M646" s="543">
        <f t="shared" si="261"/>
        <v>3038</v>
      </c>
      <c r="N646" s="49">
        <f t="shared" si="261"/>
        <v>334</v>
      </c>
      <c r="O646" s="235">
        <f t="shared" si="261"/>
        <v>763</v>
      </c>
      <c r="P646" s="291">
        <f t="shared" si="261"/>
        <v>394</v>
      </c>
      <c r="Q646" s="63">
        <f t="shared" si="261"/>
        <v>1515</v>
      </c>
      <c r="R646" s="63">
        <f t="shared" si="261"/>
        <v>1161</v>
      </c>
      <c r="S646" s="62">
        <f t="shared" si="261"/>
        <v>1060</v>
      </c>
      <c r="T646" s="49">
        <f t="shared" si="261"/>
        <v>1747</v>
      </c>
      <c r="U646" s="49">
        <f t="shared" si="261"/>
        <v>1756</v>
      </c>
      <c r="V646" s="82">
        <f t="shared" si="261"/>
        <v>629</v>
      </c>
      <c r="W646" s="62">
        <f t="shared" si="261"/>
        <v>3435</v>
      </c>
      <c r="X646" s="235">
        <f t="shared" si="261"/>
        <v>1167</v>
      </c>
      <c r="Y646" s="291">
        <f t="shared" si="261"/>
        <v>1100</v>
      </c>
      <c r="Z646" s="50">
        <f t="shared" si="261"/>
        <v>3342</v>
      </c>
      <c r="AA646" s="49">
        <f t="shared" si="261"/>
        <v>2234</v>
      </c>
      <c r="AB646" s="63">
        <f t="shared" si="261"/>
        <v>2430</v>
      </c>
      <c r="AC646" s="62">
        <f t="shared" si="261"/>
        <v>0</v>
      </c>
      <c r="AD646" s="49">
        <f t="shared" si="261"/>
        <v>0</v>
      </c>
      <c r="AE646" s="235">
        <f t="shared" si="261"/>
        <v>0</v>
      </c>
      <c r="AF646" s="82">
        <f t="shared" si="261"/>
        <v>0</v>
      </c>
      <c r="AG646" s="82">
        <f t="shared" si="261"/>
        <v>3560</v>
      </c>
      <c r="AH646" s="49">
        <f t="shared" si="261"/>
        <v>1721</v>
      </c>
      <c r="AI646" s="82">
        <f t="shared" si="261"/>
        <v>1109</v>
      </c>
      <c r="AJ646" s="49">
        <f t="shared" si="261"/>
        <v>2351</v>
      </c>
      <c r="AK646" s="235">
        <f t="shared" si="261"/>
        <v>1893</v>
      </c>
      <c r="AL646" s="82">
        <f t="shared" ref="AL646:BQ646" si="262">SUM(AL4:AL27)+SUM(AL29:AL30)+SUM(AL33:AL49)+SUM(AL94:AL102)+SUM(AL156)+SUM(AL160)+SUM(AL194:AL204)+SUM(AL209:AL212)+SUM(AL239:AL245)+SUM(AL246:AL253)+SUM(AL264:AL294)+SUM(AL310:AL314)+SUM(AL315:AL351)+SUM(AL390:AL398)+SUM(AL424)+SUM(AL427:AL428)+SUM(AL472:AL474)+SUM(AL480:AL483)+SUM(AL496:AL497)+SUM(AL502:AL504)+SUM(AL505:AL507)+SUM(AL509:AL515)+SUM(AL517:AL523)+SUM(AL525:AL530)+SUM(AL532)+SUM(AL533)+SUM(AL535)+SUM(AL537:AL540)+SUM(AL543:AL546)+SUM(AL559:AL560)+SUM(AL564:AL565)</f>
        <v>2394</v>
      </c>
      <c r="AM646" s="49">
        <f t="shared" si="262"/>
        <v>890</v>
      </c>
      <c r="AN646" s="235">
        <f t="shared" si="262"/>
        <v>398</v>
      </c>
      <c r="AO646" s="235">
        <f t="shared" si="262"/>
        <v>461</v>
      </c>
      <c r="AP646" s="82">
        <f t="shared" si="262"/>
        <v>423</v>
      </c>
      <c r="AQ646" s="49">
        <f t="shared" si="262"/>
        <v>1543</v>
      </c>
      <c r="AR646" s="82">
        <f t="shared" si="262"/>
        <v>2152</v>
      </c>
      <c r="AS646" s="49">
        <f t="shared" si="262"/>
        <v>0</v>
      </c>
      <c r="AT646" s="235">
        <f t="shared" si="262"/>
        <v>0</v>
      </c>
      <c r="AU646" s="82">
        <f t="shared" si="262"/>
        <v>0</v>
      </c>
      <c r="AV646" s="49">
        <f t="shared" si="262"/>
        <v>1894</v>
      </c>
      <c r="AW646" s="235">
        <f t="shared" si="262"/>
        <v>2415</v>
      </c>
      <c r="AX646" s="49">
        <f t="shared" si="262"/>
        <v>3038</v>
      </c>
      <c r="AY646" s="235">
        <f t="shared" si="262"/>
        <v>1075</v>
      </c>
      <c r="AZ646" s="82">
        <f t="shared" si="262"/>
        <v>1048</v>
      </c>
      <c r="BA646" s="49">
        <f t="shared" si="262"/>
        <v>1349</v>
      </c>
      <c r="BB646" s="49">
        <f t="shared" si="262"/>
        <v>1574</v>
      </c>
      <c r="BC646" s="82">
        <f t="shared" si="262"/>
        <v>1832</v>
      </c>
      <c r="BD646" s="49">
        <f t="shared" si="262"/>
        <v>926</v>
      </c>
      <c r="BE646" s="49">
        <f t="shared" si="262"/>
        <v>1491</v>
      </c>
      <c r="BF646" s="235">
        <f t="shared" si="262"/>
        <v>2314</v>
      </c>
      <c r="BG646" s="231">
        <f t="shared" si="262"/>
        <v>2226</v>
      </c>
      <c r="BH646" s="543">
        <f t="shared" si="262"/>
        <v>2902</v>
      </c>
      <c r="BI646" s="49">
        <f t="shared" si="262"/>
        <v>11427</v>
      </c>
      <c r="BJ646" s="50">
        <f t="shared" si="262"/>
        <v>12033</v>
      </c>
      <c r="BK646" s="49">
        <f t="shared" si="262"/>
        <v>1657</v>
      </c>
      <c r="BL646" s="291">
        <f t="shared" si="262"/>
        <v>1988</v>
      </c>
      <c r="BM646" s="50">
        <f t="shared" si="262"/>
        <v>2198</v>
      </c>
      <c r="BN646" s="49">
        <f t="shared" si="262"/>
        <v>8838</v>
      </c>
      <c r="BO646" s="235">
        <f t="shared" si="262"/>
        <v>9144</v>
      </c>
      <c r="BP646" s="291">
        <f t="shared" si="262"/>
        <v>10202</v>
      </c>
      <c r="BQ646" s="235">
        <f t="shared" si="262"/>
        <v>11819</v>
      </c>
      <c r="BR646" s="82">
        <f t="shared" ref="BR646:CI646" si="263">SUM(BR4:BR27)+SUM(BR29:BR30)+SUM(BR33:BR49)+SUM(BR94:BR102)+SUM(BR156)+SUM(BR160)+SUM(BR194:BR204)+SUM(BR209:BR212)+SUM(BR239:BR245)+SUM(BR246:BR253)+SUM(BR264:BR294)+SUM(BR310:BR314)+SUM(BR315:BR351)+SUM(BR390:BR398)+SUM(BR424)+SUM(BR427:BR428)+SUM(BR472:BR474)+SUM(BR480:BR483)+SUM(BR496:BR497)+SUM(BR502:BR504)+SUM(BR505:BR507)+SUM(BR509:BR515)+SUM(BR517:BR523)+SUM(BR525:BR530)+SUM(BR532)+SUM(BR533)+SUM(BR535)+SUM(BR537:BR540)+SUM(BR543:BR546)+SUM(BR559:BR560)+SUM(BR564:BR565)</f>
        <v>966</v>
      </c>
      <c r="BS646" s="49">
        <f t="shared" si="263"/>
        <v>475</v>
      </c>
      <c r="BT646" s="50">
        <f t="shared" si="263"/>
        <v>429</v>
      </c>
      <c r="BU646" s="49">
        <f t="shared" si="263"/>
        <v>1</v>
      </c>
      <c r="BV646" s="291">
        <f t="shared" si="263"/>
        <v>0</v>
      </c>
      <c r="BW646" s="63">
        <f t="shared" si="263"/>
        <v>1</v>
      </c>
      <c r="BX646" s="235">
        <f t="shared" si="263"/>
        <v>2</v>
      </c>
      <c r="BY646" s="82">
        <f t="shared" si="263"/>
        <v>0</v>
      </c>
      <c r="BZ646" s="49">
        <f t="shared" si="263"/>
        <v>0</v>
      </c>
      <c r="CA646" s="235">
        <f t="shared" si="263"/>
        <v>0</v>
      </c>
      <c r="CB646" s="291">
        <f t="shared" si="263"/>
        <v>0</v>
      </c>
      <c r="CC646" s="50">
        <f t="shared" si="263"/>
        <v>0</v>
      </c>
      <c r="CD646" s="49">
        <f t="shared" si="263"/>
        <v>0</v>
      </c>
      <c r="CE646" s="235">
        <f t="shared" si="263"/>
        <v>0</v>
      </c>
      <c r="CF646" s="235">
        <f t="shared" si="263"/>
        <v>0</v>
      </c>
      <c r="CG646" s="82">
        <f t="shared" si="263"/>
        <v>0</v>
      </c>
      <c r="CH646" s="49">
        <f t="shared" si="263"/>
        <v>0</v>
      </c>
      <c r="CI646" s="82">
        <f t="shared" si="263"/>
        <v>0</v>
      </c>
    </row>
    <row r="647" spans="2:87" x14ac:dyDescent="0.3">
      <c r="B647" s="17" t="s">
        <v>722</v>
      </c>
      <c r="C647" s="322">
        <f>SUM(C16)+SUM(C28:C35)+SUM(C37:C39)+SUM(C42:C49)+SUM(C70:C73)+SUM(C86:C89)+SUM(C92)+SUM(C105)+SUM(C112)+SUM(C233:C245)+SUM(C254)+SUM(C319:C350)+SUM(C397)+SUM(C496:C497)+SUM(C547:C560)</f>
        <v>97747</v>
      </c>
      <c r="D647" s="235">
        <f>SUM(D16)+SUM(D28:D35)+SUM(D37:D39)+SUM(D42:D49)+SUM(D70:D73)+SUM(D86:D89)+SUM(D92)+SUM(D105)+SUM(D112)+SUM(D233:D245)+SUM(D254)+SUM(D319:D350)+SUM(D397)+SUM(D496:D497)+SUM(D547:D560)</f>
        <v>54172</v>
      </c>
      <c r="E647" s="367">
        <f t="shared" si="224"/>
        <v>0.55420626720001642</v>
      </c>
      <c r="F647" s="49">
        <f>SUM(F18)+SUM(F30:F37)+SUM(F39:F41)+SUM(F44:F51)+SUM(F72:F75)+SUM(F88:F91)+SUM(F94)+SUM(F107)+SUM(F114)+SUM(F235:F247)+SUM(F256)+SUM(F321:F352)+SUM(F399)+SUM(F498:F499)+SUM(F549:F562)</f>
        <v>10501</v>
      </c>
      <c r="G647" s="49">
        <f t="shared" ref="G647:AL647" si="264">SUM(G16)+SUM(G28:G35)+SUM(G37:G39)+SUM(G42:G49)+SUM(G70:G73)+SUM(G86:G89)+SUM(G92)+SUM(G105)+SUM(G112)+SUM(G233:G245)+SUM(G254)+SUM(G319:G350)+SUM(G397)+SUM(G496:G497)+SUM(G547:G560)</f>
        <v>2629</v>
      </c>
      <c r="H647" s="49">
        <f t="shared" si="264"/>
        <v>7927</v>
      </c>
      <c r="I647" s="49">
        <f t="shared" si="264"/>
        <v>8753</v>
      </c>
      <c r="J647" s="50">
        <f t="shared" si="264"/>
        <v>1916</v>
      </c>
      <c r="K647" s="49">
        <f t="shared" si="264"/>
        <v>0</v>
      </c>
      <c r="L647" s="231">
        <f t="shared" si="264"/>
        <v>0</v>
      </c>
      <c r="M647" s="543">
        <f t="shared" si="264"/>
        <v>0</v>
      </c>
      <c r="N647" s="49">
        <f t="shared" si="264"/>
        <v>764</v>
      </c>
      <c r="O647" s="235">
        <f t="shared" si="264"/>
        <v>991</v>
      </c>
      <c r="P647" s="291">
        <f t="shared" si="264"/>
        <v>781</v>
      </c>
      <c r="Q647" s="63">
        <f t="shared" si="264"/>
        <v>1659</v>
      </c>
      <c r="R647" s="63">
        <f t="shared" si="264"/>
        <v>1156</v>
      </c>
      <c r="S647" s="62">
        <f t="shared" si="264"/>
        <v>1963</v>
      </c>
      <c r="T647" s="49">
        <f t="shared" si="264"/>
        <v>3114</v>
      </c>
      <c r="U647" s="49">
        <f t="shared" si="264"/>
        <v>3297</v>
      </c>
      <c r="V647" s="82">
        <f t="shared" si="264"/>
        <v>1162</v>
      </c>
      <c r="W647" s="62">
        <f t="shared" si="264"/>
        <v>12</v>
      </c>
      <c r="X647" s="235">
        <f t="shared" si="264"/>
        <v>7</v>
      </c>
      <c r="Y647" s="291">
        <f t="shared" si="264"/>
        <v>4</v>
      </c>
      <c r="Z647" s="50">
        <f t="shared" si="264"/>
        <v>13</v>
      </c>
      <c r="AA647" s="49">
        <f t="shared" si="264"/>
        <v>686</v>
      </c>
      <c r="AB647" s="63">
        <f t="shared" si="264"/>
        <v>848</v>
      </c>
      <c r="AC647" s="62">
        <f t="shared" si="264"/>
        <v>0</v>
      </c>
      <c r="AD647" s="49">
        <f t="shared" si="264"/>
        <v>0</v>
      </c>
      <c r="AE647" s="235">
        <f t="shared" si="264"/>
        <v>0</v>
      </c>
      <c r="AF647" s="82">
        <f t="shared" si="264"/>
        <v>1</v>
      </c>
      <c r="AG647" s="82">
        <f t="shared" si="264"/>
        <v>0</v>
      </c>
      <c r="AH647" s="49">
        <f t="shared" si="264"/>
        <v>0</v>
      </c>
      <c r="AI647" s="82">
        <f t="shared" si="264"/>
        <v>0</v>
      </c>
      <c r="AJ647" s="49">
        <f t="shared" si="264"/>
        <v>0</v>
      </c>
      <c r="AK647" s="235">
        <f t="shared" si="264"/>
        <v>0</v>
      </c>
      <c r="AL647" s="82">
        <f t="shared" si="264"/>
        <v>0</v>
      </c>
      <c r="AM647" s="49">
        <f t="shared" ref="AM647:BR647" si="265">SUM(AM16)+SUM(AM28:AM35)+SUM(AM37:AM39)+SUM(AM42:AM49)+SUM(AM70:AM73)+SUM(AM86:AM89)+SUM(AM92)+SUM(AM105)+SUM(AM112)+SUM(AM233:AM245)+SUM(AM254)+SUM(AM319:AM350)+SUM(AM397)+SUM(AM496:AM497)+SUM(AM547:AM560)</f>
        <v>0</v>
      </c>
      <c r="AN647" s="235">
        <f t="shared" si="265"/>
        <v>0</v>
      </c>
      <c r="AO647" s="235">
        <f t="shared" si="265"/>
        <v>0</v>
      </c>
      <c r="AP647" s="82">
        <f t="shared" si="265"/>
        <v>0</v>
      </c>
      <c r="AQ647" s="49">
        <f t="shared" si="265"/>
        <v>0</v>
      </c>
      <c r="AR647" s="82">
        <f t="shared" si="265"/>
        <v>0</v>
      </c>
      <c r="AS647" s="49">
        <f t="shared" si="265"/>
        <v>0</v>
      </c>
      <c r="AT647" s="235">
        <f t="shared" si="265"/>
        <v>0</v>
      </c>
      <c r="AU647" s="82">
        <f t="shared" si="265"/>
        <v>0</v>
      </c>
      <c r="AV647" s="49">
        <f t="shared" si="265"/>
        <v>1322</v>
      </c>
      <c r="AW647" s="235">
        <f t="shared" si="265"/>
        <v>1369</v>
      </c>
      <c r="AX647" s="49">
        <f t="shared" si="265"/>
        <v>1444</v>
      </c>
      <c r="AY647" s="235">
        <f t="shared" si="265"/>
        <v>601</v>
      </c>
      <c r="AZ647" s="82">
        <f t="shared" si="265"/>
        <v>432</v>
      </c>
      <c r="BA647" s="49">
        <f t="shared" si="265"/>
        <v>0</v>
      </c>
      <c r="BB647" s="49">
        <f t="shared" si="265"/>
        <v>0</v>
      </c>
      <c r="BC647" s="82">
        <f t="shared" si="265"/>
        <v>0</v>
      </c>
      <c r="BD647" s="49">
        <f t="shared" si="265"/>
        <v>0</v>
      </c>
      <c r="BE647" s="49">
        <f t="shared" si="265"/>
        <v>0</v>
      </c>
      <c r="BF647" s="235">
        <f t="shared" si="265"/>
        <v>0</v>
      </c>
      <c r="BG647" s="231">
        <f t="shared" si="265"/>
        <v>0</v>
      </c>
      <c r="BH647" s="543">
        <f t="shared" si="265"/>
        <v>0</v>
      </c>
      <c r="BI647" s="49">
        <f t="shared" si="265"/>
        <v>9235</v>
      </c>
      <c r="BJ647" s="50">
        <f t="shared" si="265"/>
        <v>9408</v>
      </c>
      <c r="BK647" s="49">
        <f t="shared" si="265"/>
        <v>0</v>
      </c>
      <c r="BL647" s="291">
        <f t="shared" si="265"/>
        <v>0</v>
      </c>
      <c r="BM647" s="50">
        <f t="shared" si="265"/>
        <v>0</v>
      </c>
      <c r="BN647" s="49">
        <f t="shared" si="265"/>
        <v>8838</v>
      </c>
      <c r="BO647" s="235">
        <f t="shared" si="265"/>
        <v>9144</v>
      </c>
      <c r="BP647" s="291">
        <f t="shared" si="265"/>
        <v>10202</v>
      </c>
      <c r="BQ647" s="235">
        <f t="shared" si="265"/>
        <v>11819</v>
      </c>
      <c r="BR647" s="82">
        <f t="shared" si="265"/>
        <v>966</v>
      </c>
      <c r="BS647" s="49">
        <f t="shared" ref="BS647:CI647" si="266">SUM(BS16)+SUM(BS28:BS35)+SUM(BS37:BS39)+SUM(BS42:BS49)+SUM(BS70:BS73)+SUM(BS86:BS89)+SUM(BS92)+SUM(BS105)+SUM(BS112)+SUM(BS233:BS245)+SUM(BS254)+SUM(BS319:BS350)+SUM(BS397)+SUM(BS496:BS497)+SUM(BS547:BS560)</f>
        <v>0</v>
      </c>
      <c r="BT647" s="50">
        <f t="shared" si="266"/>
        <v>0</v>
      </c>
      <c r="BU647" s="49">
        <f t="shared" si="266"/>
        <v>0</v>
      </c>
      <c r="BV647" s="291">
        <f t="shared" si="266"/>
        <v>0</v>
      </c>
      <c r="BW647" s="63">
        <f t="shared" si="266"/>
        <v>0</v>
      </c>
      <c r="BX647" s="235">
        <f t="shared" si="266"/>
        <v>0</v>
      </c>
      <c r="BY647" s="82">
        <f t="shared" si="266"/>
        <v>0</v>
      </c>
      <c r="BZ647" s="49">
        <f t="shared" si="266"/>
        <v>0</v>
      </c>
      <c r="CA647" s="235">
        <f t="shared" si="266"/>
        <v>0</v>
      </c>
      <c r="CB647" s="291">
        <f t="shared" si="266"/>
        <v>0</v>
      </c>
      <c r="CC647" s="50">
        <f t="shared" si="266"/>
        <v>0</v>
      </c>
      <c r="CD647" s="49">
        <f t="shared" si="266"/>
        <v>0</v>
      </c>
      <c r="CE647" s="235">
        <f t="shared" si="266"/>
        <v>0</v>
      </c>
      <c r="CF647" s="235">
        <f t="shared" si="266"/>
        <v>0</v>
      </c>
      <c r="CG647" s="82">
        <f t="shared" si="266"/>
        <v>0</v>
      </c>
      <c r="CH647" s="49">
        <f t="shared" si="266"/>
        <v>0</v>
      </c>
      <c r="CI647" s="82">
        <f t="shared" si="266"/>
        <v>0</v>
      </c>
    </row>
    <row r="648" spans="2:87" x14ac:dyDescent="0.3">
      <c r="B648" s="17" t="s">
        <v>763</v>
      </c>
      <c r="C648" s="321">
        <f>SUM(C119:C127)+SUM(C165:C171)+SUM(C173)+SUM(C194:C204)+SUM(C205:C231)+SUM(C246:C263)+SUM(C287:C309)+SUM(C352:C389)+SUM(C399:C419)+SUM(C421:C423)+SUM(C425:C426)+SUM(C429:C477)+SUM(C484:C495)+SUM(C508)+SUM(C524)+SUM(C531)+SUM(C534:C546)+SUM(C561:C563)</f>
        <v>252216</v>
      </c>
      <c r="D648" s="236">
        <f>SUM(D119:D127)+SUM(D165:D171)+SUM(D173)+SUM(D194:D204)+SUM(D205:D231)+SUM(D246:D263)+SUM(D287:D309)+SUM(D352:D389)+SUM(D399:D419)+SUM(D421:D423)+SUM(D425:D426)+SUM(D429:D477)+SUM(D484:D495)+SUM(D508)+SUM(D524)+SUM(D531)+SUM(D534:D546)+SUM(D561:D563)</f>
        <v>129299</v>
      </c>
      <c r="E648" s="367">
        <f t="shared" si="224"/>
        <v>0.51265185396644142</v>
      </c>
      <c r="F648" s="49">
        <f>SUM(F121:F129)+SUM(F167:F173)+SUM(F175)+SUM(F196:F206)+SUM(F207:F233)+SUM(F248:F265)+SUM(F289:F311)+SUM(F354:F391)+SUM(F401:F421)+SUM(F423:F425)+SUM(F427:F428)+SUM(F431:F479)+SUM(F486:F497)+SUM(F510)+SUM(F526)+SUM(F533)+SUM(F536:F548)+SUM(F563:F565)</f>
        <v>5988</v>
      </c>
      <c r="G648" s="49">
        <f t="shared" ref="G648:AL648" si="267">SUM(G119:G127)+SUM(G165:G171)+SUM(G173)+SUM(G194:G204)+SUM(G205:G231)+SUM(G246:G263)+SUM(G287:G309)+SUM(G352:G389)+SUM(G399:G419)+SUM(G421:G423)+SUM(G425:G426)+SUM(G429:G477)+SUM(G484:G495)+SUM(G508)+SUM(G524)+SUM(G531)+SUM(G534:G546)+SUM(G561:G563)</f>
        <v>2565</v>
      </c>
      <c r="H648" s="49">
        <f t="shared" si="267"/>
        <v>4546</v>
      </c>
      <c r="I648" s="49">
        <f t="shared" si="267"/>
        <v>4941</v>
      </c>
      <c r="J648" s="50">
        <f t="shared" si="267"/>
        <v>3368</v>
      </c>
      <c r="K648" s="49">
        <f t="shared" si="267"/>
        <v>2217</v>
      </c>
      <c r="L648" s="231">
        <f t="shared" si="267"/>
        <v>2481</v>
      </c>
      <c r="M648" s="543">
        <f t="shared" si="267"/>
        <v>2959</v>
      </c>
      <c r="N648" s="49">
        <f t="shared" si="267"/>
        <v>335</v>
      </c>
      <c r="O648" s="235">
        <f t="shared" si="267"/>
        <v>764</v>
      </c>
      <c r="P648" s="291">
        <f t="shared" si="267"/>
        <v>395</v>
      </c>
      <c r="Q648" s="63">
        <f t="shared" si="267"/>
        <v>1520</v>
      </c>
      <c r="R648" s="63">
        <f t="shared" si="267"/>
        <v>1163</v>
      </c>
      <c r="S648" s="62">
        <f t="shared" si="267"/>
        <v>0</v>
      </c>
      <c r="T648" s="49">
        <f t="shared" si="267"/>
        <v>0</v>
      </c>
      <c r="U648" s="49">
        <f t="shared" si="267"/>
        <v>0</v>
      </c>
      <c r="V648" s="82">
        <f t="shared" si="267"/>
        <v>0</v>
      </c>
      <c r="W648" s="62">
        <f t="shared" si="267"/>
        <v>3435</v>
      </c>
      <c r="X648" s="235">
        <f t="shared" si="267"/>
        <v>1167</v>
      </c>
      <c r="Y648" s="291">
        <f t="shared" si="267"/>
        <v>1100</v>
      </c>
      <c r="Z648" s="50">
        <f t="shared" si="267"/>
        <v>3342</v>
      </c>
      <c r="AA648" s="49">
        <f t="shared" si="267"/>
        <v>1</v>
      </c>
      <c r="AB648" s="63">
        <f t="shared" si="267"/>
        <v>2</v>
      </c>
      <c r="AC648" s="62">
        <f t="shared" si="267"/>
        <v>0</v>
      </c>
      <c r="AD648" s="49">
        <f t="shared" si="267"/>
        <v>0</v>
      </c>
      <c r="AE648" s="235">
        <f t="shared" si="267"/>
        <v>0</v>
      </c>
      <c r="AF648" s="82">
        <f t="shared" si="267"/>
        <v>1</v>
      </c>
      <c r="AG648" s="82">
        <f t="shared" si="267"/>
        <v>1132</v>
      </c>
      <c r="AH648" s="49">
        <f t="shared" si="267"/>
        <v>0</v>
      </c>
      <c r="AI648" s="82">
        <f t="shared" si="267"/>
        <v>0</v>
      </c>
      <c r="AJ648" s="49">
        <f t="shared" si="267"/>
        <v>0</v>
      </c>
      <c r="AK648" s="235">
        <f t="shared" si="267"/>
        <v>0</v>
      </c>
      <c r="AL648" s="82">
        <f t="shared" si="267"/>
        <v>0</v>
      </c>
      <c r="AM648" s="49">
        <f t="shared" ref="AM648:BR648" si="268">SUM(AM119:AM127)+SUM(AM165:AM171)+SUM(AM173)+SUM(AM194:AM204)+SUM(AM205:AM231)+SUM(AM246:AM263)+SUM(AM287:AM309)+SUM(AM352:AM389)+SUM(AM399:AM419)+SUM(AM421:AM423)+SUM(AM425:AM426)+SUM(AM429:AM477)+SUM(AM484:AM495)+SUM(AM508)+SUM(AM524)+SUM(AM531)+SUM(AM534:AM546)+SUM(AM561:AM563)</f>
        <v>5077</v>
      </c>
      <c r="AN648" s="235">
        <f t="shared" si="268"/>
        <v>3350</v>
      </c>
      <c r="AO648" s="235">
        <f t="shared" si="268"/>
        <v>4160</v>
      </c>
      <c r="AP648" s="82">
        <f t="shared" si="268"/>
        <v>5174</v>
      </c>
      <c r="AQ648" s="49">
        <f t="shared" si="268"/>
        <v>1512</v>
      </c>
      <c r="AR648" s="82">
        <f t="shared" si="268"/>
        <v>2125</v>
      </c>
      <c r="AS648" s="49">
        <f t="shared" si="268"/>
        <v>0</v>
      </c>
      <c r="AT648" s="235">
        <f t="shared" si="268"/>
        <v>0</v>
      </c>
      <c r="AU648" s="82">
        <f t="shared" si="268"/>
        <v>0</v>
      </c>
      <c r="AV648" s="49">
        <f t="shared" si="268"/>
        <v>4205</v>
      </c>
      <c r="AW648" s="235">
        <f t="shared" si="268"/>
        <v>5197</v>
      </c>
      <c r="AX648" s="49">
        <f t="shared" si="268"/>
        <v>5652</v>
      </c>
      <c r="AY648" s="235">
        <f t="shared" si="268"/>
        <v>2342</v>
      </c>
      <c r="AZ648" s="82">
        <f t="shared" si="268"/>
        <v>1800</v>
      </c>
      <c r="BA648" s="49">
        <f t="shared" si="268"/>
        <v>3091</v>
      </c>
      <c r="BB648" s="49">
        <f t="shared" si="268"/>
        <v>2165</v>
      </c>
      <c r="BC648" s="82">
        <f t="shared" si="268"/>
        <v>2052</v>
      </c>
      <c r="BD648" s="49">
        <f t="shared" si="268"/>
        <v>0</v>
      </c>
      <c r="BE648" s="49">
        <f t="shared" si="268"/>
        <v>0</v>
      </c>
      <c r="BF648" s="235">
        <f t="shared" si="268"/>
        <v>0</v>
      </c>
      <c r="BG648" s="231">
        <f t="shared" si="268"/>
        <v>0</v>
      </c>
      <c r="BH648" s="543">
        <f t="shared" si="268"/>
        <v>0</v>
      </c>
      <c r="BI648" s="49">
        <f t="shared" si="268"/>
        <v>29532</v>
      </c>
      <c r="BJ648" s="50">
        <f t="shared" si="268"/>
        <v>29588</v>
      </c>
      <c r="BK648" s="49">
        <f t="shared" si="268"/>
        <v>0</v>
      </c>
      <c r="BL648" s="291">
        <f t="shared" si="268"/>
        <v>0</v>
      </c>
      <c r="BM648" s="50">
        <f t="shared" si="268"/>
        <v>0</v>
      </c>
      <c r="BN648" s="49">
        <f t="shared" si="268"/>
        <v>0</v>
      </c>
      <c r="BO648" s="235">
        <f t="shared" si="268"/>
        <v>0</v>
      </c>
      <c r="BP648" s="291">
        <f t="shared" si="268"/>
        <v>0</v>
      </c>
      <c r="BQ648" s="235">
        <f t="shared" si="268"/>
        <v>0</v>
      </c>
      <c r="BR648" s="82">
        <f t="shared" si="268"/>
        <v>0</v>
      </c>
      <c r="BS648" s="49">
        <f t="shared" ref="BS648:CI648" si="269">SUM(BS119:BS127)+SUM(BS165:BS171)+SUM(BS173)+SUM(BS194:BS204)+SUM(BS205:BS231)+SUM(BS246:BS263)+SUM(BS287:BS309)+SUM(BS352:BS389)+SUM(BS399:BS419)+SUM(BS421:BS423)+SUM(BS425:BS426)+SUM(BS429:BS477)+SUM(BS484:BS495)+SUM(BS508)+SUM(BS524)+SUM(BS531)+SUM(BS534:BS546)+SUM(BS561:BS563)</f>
        <v>0</v>
      </c>
      <c r="BT648" s="50">
        <f t="shared" si="269"/>
        <v>0</v>
      </c>
      <c r="BU648" s="49">
        <f t="shared" si="269"/>
        <v>7770</v>
      </c>
      <c r="BV648" s="291">
        <f t="shared" si="269"/>
        <v>8062</v>
      </c>
      <c r="BW648" s="63">
        <f t="shared" si="269"/>
        <v>6566</v>
      </c>
      <c r="BX648" s="235">
        <f t="shared" si="269"/>
        <v>8978</v>
      </c>
      <c r="BY648" s="82">
        <f t="shared" si="269"/>
        <v>4967</v>
      </c>
      <c r="BZ648" s="49">
        <f t="shared" si="269"/>
        <v>7104</v>
      </c>
      <c r="CA648" s="235">
        <f t="shared" si="269"/>
        <v>15164</v>
      </c>
      <c r="CB648" s="291">
        <f t="shared" si="269"/>
        <v>4695</v>
      </c>
      <c r="CC648" s="50">
        <f t="shared" si="269"/>
        <v>11115</v>
      </c>
      <c r="CD648" s="49">
        <f t="shared" si="269"/>
        <v>4371</v>
      </c>
      <c r="CE648" s="235">
        <f t="shared" si="269"/>
        <v>3137</v>
      </c>
      <c r="CF648" s="235">
        <f t="shared" si="269"/>
        <v>3656</v>
      </c>
      <c r="CG648" s="82">
        <f t="shared" si="269"/>
        <v>2395</v>
      </c>
      <c r="CH648" s="49">
        <f t="shared" si="269"/>
        <v>4236</v>
      </c>
      <c r="CI648" s="82">
        <f t="shared" si="269"/>
        <v>201</v>
      </c>
    </row>
    <row r="649" spans="2:87" x14ac:dyDescent="0.3">
      <c r="B649" s="17" t="s">
        <v>762</v>
      </c>
      <c r="C649" s="321">
        <f t="shared" ref="C649:D649" si="270">SUM(C4:C15)+SUM(C17:C27)+SUM(C36)+SUM(C40:C41)+SUM(C50:C69)+SUM(C74:C85)+SUM(C90:C91)+SUM(C93:C104)+SUM(C106:C111)+SUM(C113:C118)+SUM(C122:C193)+SUM(C275:C286)+SUM(C310:C318)+SUM(C351)+SUM(C391:C396)+SUM(C398)+SUM(C420)+SUM(C424)+SUM(C427:C428)+SUM(C478:C483)+SUM(C498:C507)+SUM(C509:C514)+SUM(C516:C523)+SUM(C525:C530)+SUM(C532:C533)+SUM(C564:C565)</f>
        <v>251255</v>
      </c>
      <c r="D649" s="236">
        <f t="shared" si="270"/>
        <v>105682</v>
      </c>
      <c r="E649" s="367">
        <f t="shared" si="224"/>
        <v>0.42061650514417626</v>
      </c>
      <c r="F649" s="49">
        <f t="shared" ref="F649" si="271">SUM(F6:F17)+SUM(F19:F29)+SUM(F38)+SUM(F42:F43)+SUM(F52:F71)+SUM(F76:F87)+SUM(F92:F93)+SUM(F95:F106)+SUM(F108:F113)+SUM(F115:F120)+SUM(F124:F195)+SUM(F277:F288)+SUM(F312:F320)+SUM(F353)+SUM(F393:F398)+SUM(F400)+SUM(F422)+SUM(F426)+SUM(F429:F430)+SUM(F480:F485)+SUM(F500:F509)+SUM(F511:F516)+SUM(F518:F525)+SUM(F527:F532)+SUM(F534:F535)+SUM(F566:F567)</f>
        <v>136042</v>
      </c>
      <c r="G649" s="49">
        <f t="shared" ref="G649:BR649" si="272">SUM(G4:G15)+SUM(G17:G27)+SUM(G36)+SUM(G40:G41)+SUM(G50:G69)+SUM(G74:G85)+SUM(G90:G91)+SUM(G93:G104)+SUM(G106:G111)+SUM(G113:G118)+SUM(G122:G193)+SUM(G275:G286)+SUM(G310:G318)+SUM(G351)+SUM(G391:G396)+SUM(G398)+SUM(G420)+SUM(G424)+SUM(G427:G428)+SUM(G478:G483)+SUM(G498:G507)+SUM(G509:G514)+SUM(G516:G523)+SUM(G525:G530)+SUM(G532:G533)+SUM(G564:G565)</f>
        <v>15702</v>
      </c>
      <c r="H649" s="49">
        <f t="shared" si="272"/>
        <v>34917</v>
      </c>
      <c r="I649" s="49">
        <f t="shared" si="272"/>
        <v>43162</v>
      </c>
      <c r="J649" s="50">
        <f t="shared" si="272"/>
        <v>8701</v>
      </c>
      <c r="K649" s="49">
        <f t="shared" si="272"/>
        <v>64</v>
      </c>
      <c r="L649" s="231">
        <f t="shared" si="272"/>
        <v>56</v>
      </c>
      <c r="M649" s="543">
        <f t="shared" si="272"/>
        <v>79</v>
      </c>
      <c r="N649" s="49">
        <f t="shared" si="272"/>
        <v>0</v>
      </c>
      <c r="O649" s="235">
        <f t="shared" si="272"/>
        <v>0</v>
      </c>
      <c r="P649" s="291">
        <f t="shared" si="272"/>
        <v>0</v>
      </c>
      <c r="Q649" s="63">
        <f t="shared" si="272"/>
        <v>0</v>
      </c>
      <c r="R649" s="63">
        <f t="shared" si="272"/>
        <v>0</v>
      </c>
      <c r="S649" s="62">
        <f t="shared" si="272"/>
        <v>0</v>
      </c>
      <c r="T649" s="49">
        <f t="shared" si="272"/>
        <v>0</v>
      </c>
      <c r="U649" s="49">
        <f t="shared" si="272"/>
        <v>0</v>
      </c>
      <c r="V649" s="82">
        <f t="shared" si="272"/>
        <v>0</v>
      </c>
      <c r="W649" s="62">
        <f t="shared" si="272"/>
        <v>0</v>
      </c>
      <c r="X649" s="235">
        <f t="shared" si="272"/>
        <v>0</v>
      </c>
      <c r="Y649" s="291">
        <f t="shared" si="272"/>
        <v>0</v>
      </c>
      <c r="Z649" s="50">
        <f t="shared" si="272"/>
        <v>0</v>
      </c>
      <c r="AA649" s="49">
        <f t="shared" si="272"/>
        <v>1550</v>
      </c>
      <c r="AB649" s="63">
        <f t="shared" si="272"/>
        <v>1585</v>
      </c>
      <c r="AC649" s="62">
        <f t="shared" si="272"/>
        <v>0</v>
      </c>
      <c r="AD649" s="49">
        <f t="shared" si="272"/>
        <v>0</v>
      </c>
      <c r="AE649" s="235">
        <f t="shared" si="272"/>
        <v>0</v>
      </c>
      <c r="AF649" s="82">
        <f t="shared" si="272"/>
        <v>0</v>
      </c>
      <c r="AG649" s="82">
        <f t="shared" si="272"/>
        <v>2363</v>
      </c>
      <c r="AH649" s="49">
        <f t="shared" si="272"/>
        <v>23</v>
      </c>
      <c r="AI649" s="82">
        <f t="shared" si="272"/>
        <v>16</v>
      </c>
      <c r="AJ649" s="49">
        <f t="shared" si="272"/>
        <v>2351</v>
      </c>
      <c r="AK649" s="235">
        <f t="shared" si="272"/>
        <v>1893</v>
      </c>
      <c r="AL649" s="82">
        <f t="shared" si="272"/>
        <v>2394</v>
      </c>
      <c r="AM649" s="49">
        <f t="shared" si="272"/>
        <v>1271</v>
      </c>
      <c r="AN649" s="235">
        <f t="shared" si="272"/>
        <v>565</v>
      </c>
      <c r="AO649" s="235">
        <f t="shared" si="272"/>
        <v>791</v>
      </c>
      <c r="AP649" s="82">
        <f t="shared" si="272"/>
        <v>573</v>
      </c>
      <c r="AQ649" s="49">
        <f t="shared" si="272"/>
        <v>31</v>
      </c>
      <c r="AR649" s="82">
        <f t="shared" si="272"/>
        <v>27</v>
      </c>
      <c r="AS649" s="49">
        <f t="shared" si="272"/>
        <v>737</v>
      </c>
      <c r="AT649" s="235">
        <f t="shared" si="272"/>
        <v>917</v>
      </c>
      <c r="AU649" s="82">
        <f t="shared" si="272"/>
        <v>497</v>
      </c>
      <c r="AV649" s="49">
        <f t="shared" si="272"/>
        <v>0</v>
      </c>
      <c r="AW649" s="235">
        <f t="shared" si="272"/>
        <v>0</v>
      </c>
      <c r="AX649" s="49">
        <f t="shared" si="272"/>
        <v>0</v>
      </c>
      <c r="AY649" s="235">
        <f t="shared" si="272"/>
        <v>0</v>
      </c>
      <c r="AZ649" s="82">
        <f t="shared" si="272"/>
        <v>0</v>
      </c>
      <c r="BA649" s="49">
        <f t="shared" si="272"/>
        <v>921</v>
      </c>
      <c r="BB649" s="49">
        <f t="shared" si="272"/>
        <v>1005</v>
      </c>
      <c r="BC649" s="82">
        <f t="shared" si="272"/>
        <v>1128</v>
      </c>
      <c r="BD649" s="49">
        <f t="shared" si="272"/>
        <v>926</v>
      </c>
      <c r="BE649" s="49">
        <f t="shared" si="272"/>
        <v>1491</v>
      </c>
      <c r="BF649" s="235">
        <f t="shared" si="272"/>
        <v>2314</v>
      </c>
      <c r="BG649" s="231">
        <f t="shared" si="272"/>
        <v>2226</v>
      </c>
      <c r="BH649" s="543">
        <f t="shared" si="272"/>
        <v>2902</v>
      </c>
      <c r="BI649" s="49">
        <f t="shared" si="272"/>
        <v>2191</v>
      </c>
      <c r="BJ649" s="50">
        <f t="shared" si="272"/>
        <v>2623</v>
      </c>
      <c r="BK649" s="49">
        <f t="shared" si="272"/>
        <v>1657</v>
      </c>
      <c r="BL649" s="291">
        <f t="shared" si="272"/>
        <v>1988</v>
      </c>
      <c r="BM649" s="50">
        <f t="shared" si="272"/>
        <v>2198</v>
      </c>
      <c r="BN649" s="49">
        <f t="shared" si="272"/>
        <v>0</v>
      </c>
      <c r="BO649" s="235">
        <f t="shared" si="272"/>
        <v>0</v>
      </c>
      <c r="BP649" s="291">
        <f t="shared" si="272"/>
        <v>0</v>
      </c>
      <c r="BQ649" s="235">
        <f t="shared" si="272"/>
        <v>0</v>
      </c>
      <c r="BR649" s="82">
        <f t="shared" si="272"/>
        <v>0</v>
      </c>
      <c r="BS649" s="49">
        <f t="shared" ref="BS649:CI649" si="273">SUM(BS4:BS15)+SUM(BS17:BS27)+SUM(BS36)+SUM(BS40:BS41)+SUM(BS50:BS69)+SUM(BS74:BS85)+SUM(BS90:BS91)+SUM(BS93:BS104)+SUM(BS106:BS111)+SUM(BS113:BS118)+SUM(BS122:BS193)+SUM(BS275:BS286)+SUM(BS310:BS318)+SUM(BS351)+SUM(BS391:BS396)+SUM(BS398)+SUM(BS420)+SUM(BS424)+SUM(BS427:BS428)+SUM(BS478:BS483)+SUM(BS498:BS507)+SUM(BS509:BS514)+SUM(BS516:BS523)+SUM(BS525:BS530)+SUM(BS532:BS533)+SUM(BS564:BS565)</f>
        <v>475</v>
      </c>
      <c r="BT649" s="50">
        <f t="shared" si="273"/>
        <v>429</v>
      </c>
      <c r="BU649" s="49">
        <f t="shared" si="273"/>
        <v>0</v>
      </c>
      <c r="BV649" s="291">
        <f t="shared" si="273"/>
        <v>0</v>
      </c>
      <c r="BW649" s="63">
        <f t="shared" si="273"/>
        <v>0</v>
      </c>
      <c r="BX649" s="235">
        <f t="shared" si="273"/>
        <v>0</v>
      </c>
      <c r="BY649" s="82">
        <f t="shared" si="273"/>
        <v>0</v>
      </c>
      <c r="BZ649" s="49">
        <f t="shared" si="273"/>
        <v>0</v>
      </c>
      <c r="CA649" s="235">
        <f t="shared" si="273"/>
        <v>0</v>
      </c>
      <c r="CB649" s="291">
        <f t="shared" si="273"/>
        <v>0</v>
      </c>
      <c r="CC649" s="50">
        <f t="shared" si="273"/>
        <v>0</v>
      </c>
      <c r="CD649" s="49">
        <f t="shared" si="273"/>
        <v>0</v>
      </c>
      <c r="CE649" s="235">
        <f t="shared" si="273"/>
        <v>0</v>
      </c>
      <c r="CF649" s="235">
        <f t="shared" si="273"/>
        <v>0</v>
      </c>
      <c r="CG649" s="82">
        <f t="shared" si="273"/>
        <v>0</v>
      </c>
      <c r="CH649" s="49">
        <f t="shared" si="273"/>
        <v>0</v>
      </c>
      <c r="CI649" s="82">
        <f t="shared" si="273"/>
        <v>0</v>
      </c>
    </row>
    <row r="650" spans="2:87" x14ac:dyDescent="0.3">
      <c r="B650" s="17" t="s">
        <v>837</v>
      </c>
      <c r="C650" s="322">
        <f t="shared" ref="C650:D650" si="274">SUM(C4:C15)+SUM(C41)+SUM(C50:C54)+SUM(C66:C69)+SUM(C74:C80)+SUM(C113:C118)+SUM(C122:C132)+SUM(C163:C177)+SUM(C179)+SUM(C181)+SUM(C183)+SUM(C185:C193)</f>
        <v>85654</v>
      </c>
      <c r="D650" s="235">
        <f t="shared" si="274"/>
        <v>30025</v>
      </c>
      <c r="E650" s="367">
        <f t="shared" si="224"/>
        <v>0.3505382118756859</v>
      </c>
      <c r="F650" s="49">
        <f t="shared" ref="F650" si="275">SUM(F6:F17)+SUM(F43)+SUM(F52:F56)+SUM(F68:F71)+SUM(F76:F82)+SUM(F115:F120)+SUM(F124:F134)+SUM(F165:F179)+SUM(F181)+SUM(F183)+SUM(F185)+SUM(F187:F195)</f>
        <v>15409</v>
      </c>
      <c r="G650" s="49">
        <f t="shared" ref="G650:BR650" si="276">SUM(G4:G15)+SUM(G41)+SUM(G50:G54)+SUM(G66:G69)+SUM(G74:G80)+SUM(G113:G118)+SUM(G122:G132)+SUM(G163:G177)+SUM(G179)+SUM(G181)+SUM(G183)+SUM(G185:G193)</f>
        <v>5841</v>
      </c>
      <c r="H650" s="49">
        <f t="shared" si="276"/>
        <v>12932</v>
      </c>
      <c r="I650" s="49">
        <f t="shared" si="276"/>
        <v>15286</v>
      </c>
      <c r="J650" s="50">
        <f t="shared" si="276"/>
        <v>4134</v>
      </c>
      <c r="K650" s="49">
        <f t="shared" si="276"/>
        <v>0</v>
      </c>
      <c r="L650" s="231">
        <f t="shared" si="276"/>
        <v>0</v>
      </c>
      <c r="M650" s="543">
        <f t="shared" si="276"/>
        <v>0</v>
      </c>
      <c r="N650" s="49">
        <f t="shared" si="276"/>
        <v>0</v>
      </c>
      <c r="O650" s="235">
        <f t="shared" si="276"/>
        <v>0</v>
      </c>
      <c r="P650" s="291">
        <f t="shared" si="276"/>
        <v>0</v>
      </c>
      <c r="Q650" s="63">
        <f t="shared" si="276"/>
        <v>0</v>
      </c>
      <c r="R650" s="63">
        <f t="shared" si="276"/>
        <v>0</v>
      </c>
      <c r="S650" s="62">
        <f t="shared" si="276"/>
        <v>0</v>
      </c>
      <c r="T650" s="49">
        <f t="shared" si="276"/>
        <v>0</v>
      </c>
      <c r="U650" s="49">
        <f t="shared" si="276"/>
        <v>0</v>
      </c>
      <c r="V650" s="82">
        <f t="shared" si="276"/>
        <v>0</v>
      </c>
      <c r="W650" s="62">
        <f t="shared" si="276"/>
        <v>0</v>
      </c>
      <c r="X650" s="235">
        <f t="shared" si="276"/>
        <v>0</v>
      </c>
      <c r="Y650" s="291">
        <f t="shared" si="276"/>
        <v>0</v>
      </c>
      <c r="Z650" s="50">
        <f t="shared" si="276"/>
        <v>0</v>
      </c>
      <c r="AA650" s="49">
        <f t="shared" si="276"/>
        <v>0</v>
      </c>
      <c r="AB650" s="63">
        <f t="shared" si="276"/>
        <v>0</v>
      </c>
      <c r="AC650" s="62">
        <f t="shared" si="276"/>
        <v>0</v>
      </c>
      <c r="AD650" s="49">
        <f t="shared" si="276"/>
        <v>0</v>
      </c>
      <c r="AE650" s="235">
        <f t="shared" si="276"/>
        <v>0</v>
      </c>
      <c r="AF650" s="82">
        <f t="shared" si="276"/>
        <v>0</v>
      </c>
      <c r="AG650" s="82">
        <f t="shared" si="276"/>
        <v>0</v>
      </c>
      <c r="AH650" s="49">
        <f t="shared" si="276"/>
        <v>0</v>
      </c>
      <c r="AI650" s="82">
        <f t="shared" si="276"/>
        <v>0</v>
      </c>
      <c r="AJ650" s="49">
        <f t="shared" si="276"/>
        <v>0</v>
      </c>
      <c r="AK650" s="235">
        <f t="shared" si="276"/>
        <v>0</v>
      </c>
      <c r="AL650" s="82">
        <f t="shared" si="276"/>
        <v>0</v>
      </c>
      <c r="AM650" s="49">
        <f t="shared" si="276"/>
        <v>0</v>
      </c>
      <c r="AN650" s="235">
        <f t="shared" si="276"/>
        <v>0</v>
      </c>
      <c r="AO650" s="235">
        <f t="shared" si="276"/>
        <v>0</v>
      </c>
      <c r="AP650" s="82">
        <f t="shared" si="276"/>
        <v>0</v>
      </c>
      <c r="AQ650" s="49">
        <f t="shared" si="276"/>
        <v>0</v>
      </c>
      <c r="AR650" s="82">
        <f t="shared" si="276"/>
        <v>0</v>
      </c>
      <c r="AS650" s="49">
        <f t="shared" si="276"/>
        <v>0</v>
      </c>
      <c r="AT650" s="235">
        <f t="shared" si="276"/>
        <v>0</v>
      </c>
      <c r="AU650" s="82">
        <f t="shared" si="276"/>
        <v>0</v>
      </c>
      <c r="AV650" s="49">
        <f t="shared" si="276"/>
        <v>0</v>
      </c>
      <c r="AW650" s="235">
        <f t="shared" si="276"/>
        <v>0</v>
      </c>
      <c r="AX650" s="49">
        <f t="shared" si="276"/>
        <v>0</v>
      </c>
      <c r="AY650" s="235">
        <f t="shared" si="276"/>
        <v>0</v>
      </c>
      <c r="AZ650" s="82">
        <f t="shared" si="276"/>
        <v>0</v>
      </c>
      <c r="BA650" s="49">
        <f t="shared" si="276"/>
        <v>0</v>
      </c>
      <c r="BB650" s="49">
        <f t="shared" si="276"/>
        <v>0</v>
      </c>
      <c r="BC650" s="82">
        <f t="shared" si="276"/>
        <v>0</v>
      </c>
      <c r="BD650" s="49">
        <f t="shared" si="276"/>
        <v>0</v>
      </c>
      <c r="BE650" s="49">
        <f t="shared" si="276"/>
        <v>0</v>
      </c>
      <c r="BF650" s="235">
        <f t="shared" si="276"/>
        <v>0</v>
      </c>
      <c r="BG650" s="231">
        <f t="shared" si="276"/>
        <v>0</v>
      </c>
      <c r="BH650" s="543">
        <f t="shared" si="276"/>
        <v>0</v>
      </c>
      <c r="BI650" s="49">
        <f t="shared" si="276"/>
        <v>0</v>
      </c>
      <c r="BJ650" s="50">
        <f t="shared" si="276"/>
        <v>0</v>
      </c>
      <c r="BK650" s="49">
        <f t="shared" si="276"/>
        <v>0</v>
      </c>
      <c r="BL650" s="291">
        <f t="shared" si="276"/>
        <v>0</v>
      </c>
      <c r="BM650" s="50">
        <f t="shared" si="276"/>
        <v>0</v>
      </c>
      <c r="BN650" s="49">
        <f t="shared" si="276"/>
        <v>0</v>
      </c>
      <c r="BO650" s="235">
        <f t="shared" si="276"/>
        <v>0</v>
      </c>
      <c r="BP650" s="291">
        <f t="shared" si="276"/>
        <v>0</v>
      </c>
      <c r="BQ650" s="235">
        <f t="shared" si="276"/>
        <v>0</v>
      </c>
      <c r="BR650" s="82">
        <f t="shared" si="276"/>
        <v>0</v>
      </c>
      <c r="BS650" s="49">
        <f t="shared" ref="BS650:CI650" si="277">SUM(BS4:BS15)+SUM(BS41)+SUM(BS50:BS54)+SUM(BS66:BS69)+SUM(BS74:BS80)+SUM(BS113:BS118)+SUM(BS122:BS132)+SUM(BS163:BS177)+SUM(BS179)+SUM(BS181)+SUM(BS183)+SUM(BS185:BS193)</f>
        <v>0</v>
      </c>
      <c r="BT650" s="50">
        <f t="shared" si="277"/>
        <v>0</v>
      </c>
      <c r="BU650" s="49">
        <f t="shared" si="277"/>
        <v>0</v>
      </c>
      <c r="BV650" s="291">
        <f t="shared" si="277"/>
        <v>0</v>
      </c>
      <c r="BW650" s="63">
        <f t="shared" si="277"/>
        <v>0</v>
      </c>
      <c r="BX650" s="235">
        <f t="shared" si="277"/>
        <v>0</v>
      </c>
      <c r="BY650" s="82">
        <f t="shared" si="277"/>
        <v>0</v>
      </c>
      <c r="BZ650" s="49">
        <f t="shared" si="277"/>
        <v>0</v>
      </c>
      <c r="CA650" s="235">
        <f t="shared" si="277"/>
        <v>0</v>
      </c>
      <c r="CB650" s="291">
        <f t="shared" si="277"/>
        <v>0</v>
      </c>
      <c r="CC650" s="50">
        <f t="shared" si="277"/>
        <v>0</v>
      </c>
      <c r="CD650" s="49">
        <f t="shared" si="277"/>
        <v>0</v>
      </c>
      <c r="CE650" s="235">
        <f t="shared" si="277"/>
        <v>0</v>
      </c>
      <c r="CF650" s="235">
        <f t="shared" si="277"/>
        <v>0</v>
      </c>
      <c r="CG650" s="82">
        <f t="shared" si="277"/>
        <v>0</v>
      </c>
      <c r="CH650" s="49">
        <f t="shared" si="277"/>
        <v>0</v>
      </c>
      <c r="CI650" s="82">
        <f t="shared" si="277"/>
        <v>0</v>
      </c>
    </row>
    <row r="651" spans="2:87" x14ac:dyDescent="0.3">
      <c r="B651" s="17" t="s">
        <v>838</v>
      </c>
      <c r="C651" s="322">
        <f t="shared" ref="C651:D651" si="278">SUM(C81:C85)+SUM(C90:C91)+SUM(C93)+SUM(C103:C104)+SUM(C106:C111)+SUM(C133:C135)+SUM(C136:C153)+SUM(C154:C162)+SUM(C178)+SUM(C180)+SUM(C182)+SUM(C184)+SUM(C275:C286)+SUM(C420)+SUM(C498:C501)+SUM(C513)+SUM(C516)</f>
        <v>73541</v>
      </c>
      <c r="D651" s="235">
        <f t="shared" si="278"/>
        <v>29302</v>
      </c>
      <c r="E651" s="367">
        <f t="shared" si="224"/>
        <v>0.39844440516174651</v>
      </c>
      <c r="F651" s="70">
        <f t="shared" ref="F651" si="279">SUM(F83:F87)+SUM(F92:F93)+SUM(F95)+SUM(F105:F106)+SUM(F108:F113)+SUM(F135:F137)+SUM(F138:F155)+SUM(F156:F164)+SUM(F180)+SUM(F182)+SUM(F184)+SUM(F186)+SUM(F277:F288)+SUM(F422)+SUM(F500:F503)+SUM(F515)+SUM(F518)</f>
        <v>12537</v>
      </c>
      <c r="G651" s="70">
        <f t="shared" ref="G651:BR651" si="280">SUM(G81:G85)+SUM(G90:G91)+SUM(G93)+SUM(G103:G104)+SUM(G106:G111)+SUM(G133:G135)+SUM(G136:G153)+SUM(G154:G162)+SUM(G178)+SUM(G180)+SUM(G182)+SUM(G184)+SUM(G275:G286)+SUM(G420)+SUM(G498:G501)+SUM(G513)+SUM(G516)</f>
        <v>4604</v>
      </c>
      <c r="H651" s="70">
        <f t="shared" si="280"/>
        <v>10382</v>
      </c>
      <c r="I651" s="70">
        <f t="shared" si="280"/>
        <v>13395</v>
      </c>
      <c r="J651" s="71">
        <f t="shared" si="280"/>
        <v>1898</v>
      </c>
      <c r="K651" s="70">
        <f t="shared" si="280"/>
        <v>0</v>
      </c>
      <c r="L651" s="274">
        <f t="shared" si="280"/>
        <v>0</v>
      </c>
      <c r="M651" s="588">
        <f t="shared" si="280"/>
        <v>0</v>
      </c>
      <c r="N651" s="70">
        <f t="shared" si="280"/>
        <v>0</v>
      </c>
      <c r="O651" s="236">
        <f t="shared" si="280"/>
        <v>0</v>
      </c>
      <c r="P651" s="275">
        <f t="shared" si="280"/>
        <v>0</v>
      </c>
      <c r="Q651" s="72">
        <f t="shared" si="280"/>
        <v>0</v>
      </c>
      <c r="R651" s="72">
        <f t="shared" si="280"/>
        <v>0</v>
      </c>
      <c r="S651" s="86">
        <f t="shared" si="280"/>
        <v>0</v>
      </c>
      <c r="T651" s="70">
        <f t="shared" si="280"/>
        <v>0</v>
      </c>
      <c r="U651" s="70">
        <f t="shared" si="280"/>
        <v>0</v>
      </c>
      <c r="V651" s="87">
        <f t="shared" si="280"/>
        <v>0</v>
      </c>
      <c r="W651" s="86">
        <f t="shared" si="280"/>
        <v>0</v>
      </c>
      <c r="X651" s="236">
        <f t="shared" si="280"/>
        <v>0</v>
      </c>
      <c r="Y651" s="275">
        <f t="shared" si="280"/>
        <v>0</v>
      </c>
      <c r="Z651" s="71">
        <f t="shared" si="280"/>
        <v>0</v>
      </c>
      <c r="AA651" s="70">
        <f t="shared" si="280"/>
        <v>0</v>
      </c>
      <c r="AB651" s="72">
        <f t="shared" si="280"/>
        <v>0</v>
      </c>
      <c r="AC651" s="86">
        <f t="shared" si="280"/>
        <v>0</v>
      </c>
      <c r="AD651" s="70">
        <f t="shared" si="280"/>
        <v>0</v>
      </c>
      <c r="AE651" s="236">
        <f t="shared" si="280"/>
        <v>0</v>
      </c>
      <c r="AF651" s="87">
        <f t="shared" si="280"/>
        <v>0</v>
      </c>
      <c r="AG651" s="87">
        <f t="shared" si="280"/>
        <v>0</v>
      </c>
      <c r="AH651" s="70">
        <f t="shared" si="280"/>
        <v>0</v>
      </c>
      <c r="AI651" s="87">
        <f t="shared" si="280"/>
        <v>0</v>
      </c>
      <c r="AJ651" s="70">
        <f t="shared" si="280"/>
        <v>2351</v>
      </c>
      <c r="AK651" s="236">
        <f t="shared" si="280"/>
        <v>1893</v>
      </c>
      <c r="AL651" s="87">
        <f t="shared" si="280"/>
        <v>2394</v>
      </c>
      <c r="AM651" s="70">
        <f t="shared" si="280"/>
        <v>0</v>
      </c>
      <c r="AN651" s="236">
        <f t="shared" si="280"/>
        <v>0</v>
      </c>
      <c r="AO651" s="236">
        <f t="shared" si="280"/>
        <v>0</v>
      </c>
      <c r="AP651" s="87">
        <f t="shared" si="280"/>
        <v>0</v>
      </c>
      <c r="AQ651" s="70">
        <f t="shared" si="280"/>
        <v>0</v>
      </c>
      <c r="AR651" s="87">
        <f t="shared" si="280"/>
        <v>0</v>
      </c>
      <c r="AS651" s="70">
        <f t="shared" si="280"/>
        <v>737</v>
      </c>
      <c r="AT651" s="236">
        <f t="shared" si="280"/>
        <v>917</v>
      </c>
      <c r="AU651" s="87">
        <f t="shared" si="280"/>
        <v>497</v>
      </c>
      <c r="AV651" s="70">
        <f t="shared" si="280"/>
        <v>0</v>
      </c>
      <c r="AW651" s="236">
        <f t="shared" si="280"/>
        <v>0</v>
      </c>
      <c r="AX651" s="70">
        <f t="shared" si="280"/>
        <v>0</v>
      </c>
      <c r="AY651" s="236">
        <f t="shared" si="280"/>
        <v>0</v>
      </c>
      <c r="AZ651" s="87">
        <f t="shared" si="280"/>
        <v>0</v>
      </c>
      <c r="BA651" s="70">
        <f t="shared" si="280"/>
        <v>0</v>
      </c>
      <c r="BB651" s="70">
        <f t="shared" si="280"/>
        <v>0</v>
      </c>
      <c r="BC651" s="87">
        <f t="shared" si="280"/>
        <v>0</v>
      </c>
      <c r="BD651" s="70">
        <f t="shared" si="280"/>
        <v>0</v>
      </c>
      <c r="BE651" s="70">
        <f t="shared" si="280"/>
        <v>0</v>
      </c>
      <c r="BF651" s="236">
        <f t="shared" si="280"/>
        <v>0</v>
      </c>
      <c r="BG651" s="274">
        <f t="shared" si="280"/>
        <v>0</v>
      </c>
      <c r="BH651" s="588">
        <f t="shared" si="280"/>
        <v>0</v>
      </c>
      <c r="BI651" s="70">
        <f t="shared" si="280"/>
        <v>0</v>
      </c>
      <c r="BJ651" s="71">
        <f t="shared" si="280"/>
        <v>0</v>
      </c>
      <c r="BK651" s="70">
        <f t="shared" si="280"/>
        <v>0</v>
      </c>
      <c r="BL651" s="275">
        <f t="shared" si="280"/>
        <v>0</v>
      </c>
      <c r="BM651" s="71">
        <f t="shared" si="280"/>
        <v>0</v>
      </c>
      <c r="BN651" s="70">
        <f t="shared" si="280"/>
        <v>0</v>
      </c>
      <c r="BO651" s="236">
        <f t="shared" si="280"/>
        <v>0</v>
      </c>
      <c r="BP651" s="275">
        <f t="shared" si="280"/>
        <v>0</v>
      </c>
      <c r="BQ651" s="236">
        <f t="shared" si="280"/>
        <v>0</v>
      </c>
      <c r="BR651" s="87">
        <f t="shared" si="280"/>
        <v>0</v>
      </c>
      <c r="BS651" s="70">
        <f t="shared" ref="BS651:CI651" si="281">SUM(BS81:BS85)+SUM(BS90:BS91)+SUM(BS93)+SUM(BS103:BS104)+SUM(BS106:BS111)+SUM(BS133:BS135)+SUM(BS136:BS153)+SUM(BS154:BS162)+SUM(BS178)+SUM(BS180)+SUM(BS182)+SUM(BS184)+SUM(BS275:BS286)+SUM(BS420)+SUM(BS498:BS501)+SUM(BS513)+SUM(BS516)</f>
        <v>0</v>
      </c>
      <c r="BT651" s="71">
        <f t="shared" si="281"/>
        <v>0</v>
      </c>
      <c r="BU651" s="70">
        <f t="shared" si="281"/>
        <v>0</v>
      </c>
      <c r="BV651" s="275">
        <f t="shared" si="281"/>
        <v>0</v>
      </c>
      <c r="BW651" s="72">
        <f t="shared" si="281"/>
        <v>0</v>
      </c>
      <c r="BX651" s="236">
        <f t="shared" si="281"/>
        <v>0</v>
      </c>
      <c r="BY651" s="87">
        <f t="shared" si="281"/>
        <v>0</v>
      </c>
      <c r="BZ651" s="70">
        <f t="shared" si="281"/>
        <v>0</v>
      </c>
      <c r="CA651" s="236">
        <f t="shared" si="281"/>
        <v>0</v>
      </c>
      <c r="CB651" s="275">
        <f t="shared" si="281"/>
        <v>0</v>
      </c>
      <c r="CC651" s="71">
        <f t="shared" si="281"/>
        <v>0</v>
      </c>
      <c r="CD651" s="70">
        <f t="shared" si="281"/>
        <v>0</v>
      </c>
      <c r="CE651" s="236">
        <f t="shared" si="281"/>
        <v>0</v>
      </c>
      <c r="CF651" s="236">
        <f t="shared" si="281"/>
        <v>0</v>
      </c>
      <c r="CG651" s="87">
        <f t="shared" si="281"/>
        <v>0</v>
      </c>
      <c r="CH651" s="70">
        <f t="shared" si="281"/>
        <v>0</v>
      </c>
      <c r="CI651" s="87">
        <f t="shared" si="281"/>
        <v>0</v>
      </c>
    </row>
    <row r="652" spans="2:87" x14ac:dyDescent="0.3">
      <c r="B652" s="17" t="s">
        <v>839</v>
      </c>
      <c r="C652" s="322">
        <f t="shared" ref="C652:D652" si="282">SUM(C17:C27)+SUM(C36)+SUM(C40)+SUM(C55:C65)+SUM(C94:C102)+SUM(C310:C318)+SUM(C351)+SUM(C391:C396)+SUM(C398)+SUM(C424)+SUM(C427:C428)+SUM(C478:C483)+SUM(C502:C504)+SUM(C505:C507)+SUM(C509:C512)+SUM(C514)+SUM(C517:C523)+SUM(C525:C530)+SUM(C532)+SUM(C533)+SUM(C564:C565)</f>
        <v>92060</v>
      </c>
      <c r="D652" s="235">
        <f t="shared" si="282"/>
        <v>46355</v>
      </c>
      <c r="E652" s="367">
        <f t="shared" si="224"/>
        <v>0.50353030632196394</v>
      </c>
      <c r="F652" s="49">
        <f t="shared" ref="F652" si="283">SUM(F19:F29)+SUM(F38)+SUM(F42)+SUM(F57:F67)+SUM(F96:F104)+SUM(F312:F320)+SUM(F353)+SUM(F393:F398)+SUM(F400)+SUM(F426)+SUM(F429:F430)+SUM(F480:F485)+SUM(F504:F506)+SUM(F507:F509)+SUM(F511:F514)+SUM(F516)+SUM(F519:F525)+SUM(F527:F532)+SUM(F534)+SUM(F535)+SUM(F566:F567)</f>
        <v>108096</v>
      </c>
      <c r="G652" s="49">
        <f t="shared" ref="G652:BR652" si="284">SUM(G17:G27)+SUM(G36)+SUM(G40)+SUM(G55:G65)+SUM(G94:G102)+SUM(G310:G318)+SUM(G351)+SUM(G391:G396)+SUM(G398)+SUM(G424)+SUM(G427:G428)+SUM(G478:G483)+SUM(G502:G504)+SUM(G505:G507)+SUM(G509:G512)+SUM(G514)+SUM(G517:G523)+SUM(G525:G530)+SUM(G532)+SUM(G533)+SUM(G564:G565)</f>
        <v>5257</v>
      </c>
      <c r="H652" s="49">
        <f t="shared" si="284"/>
        <v>11603</v>
      </c>
      <c r="I652" s="49">
        <f t="shared" si="284"/>
        <v>14481</v>
      </c>
      <c r="J652" s="50">
        <f t="shared" si="284"/>
        <v>2669</v>
      </c>
      <c r="K652" s="49">
        <f t="shared" si="284"/>
        <v>64</v>
      </c>
      <c r="L652" s="231">
        <f t="shared" si="284"/>
        <v>56</v>
      </c>
      <c r="M652" s="543">
        <f t="shared" si="284"/>
        <v>79</v>
      </c>
      <c r="N652" s="49">
        <f t="shared" si="284"/>
        <v>0</v>
      </c>
      <c r="O652" s="235">
        <f t="shared" si="284"/>
        <v>0</v>
      </c>
      <c r="P652" s="291">
        <f t="shared" si="284"/>
        <v>0</v>
      </c>
      <c r="Q652" s="63">
        <f t="shared" si="284"/>
        <v>0</v>
      </c>
      <c r="R652" s="63">
        <f t="shared" si="284"/>
        <v>0</v>
      </c>
      <c r="S652" s="62">
        <f t="shared" si="284"/>
        <v>0</v>
      </c>
      <c r="T652" s="49">
        <f t="shared" si="284"/>
        <v>0</v>
      </c>
      <c r="U652" s="49">
        <f t="shared" si="284"/>
        <v>0</v>
      </c>
      <c r="V652" s="82">
        <f t="shared" si="284"/>
        <v>0</v>
      </c>
      <c r="W652" s="62">
        <f t="shared" si="284"/>
        <v>0</v>
      </c>
      <c r="X652" s="235">
        <f t="shared" si="284"/>
        <v>0</v>
      </c>
      <c r="Y652" s="291">
        <f t="shared" si="284"/>
        <v>0</v>
      </c>
      <c r="Z652" s="50">
        <f t="shared" si="284"/>
        <v>0</v>
      </c>
      <c r="AA652" s="49">
        <f t="shared" si="284"/>
        <v>1550</v>
      </c>
      <c r="AB652" s="63">
        <f t="shared" si="284"/>
        <v>1585</v>
      </c>
      <c r="AC652" s="62">
        <f t="shared" si="284"/>
        <v>0</v>
      </c>
      <c r="AD652" s="49">
        <f t="shared" si="284"/>
        <v>0</v>
      </c>
      <c r="AE652" s="235">
        <f t="shared" si="284"/>
        <v>0</v>
      </c>
      <c r="AF652" s="82">
        <f t="shared" si="284"/>
        <v>0</v>
      </c>
      <c r="AG652" s="82">
        <f t="shared" si="284"/>
        <v>2363</v>
      </c>
      <c r="AH652" s="49">
        <f t="shared" si="284"/>
        <v>23</v>
      </c>
      <c r="AI652" s="82">
        <f t="shared" si="284"/>
        <v>16</v>
      </c>
      <c r="AJ652" s="49">
        <f t="shared" si="284"/>
        <v>0</v>
      </c>
      <c r="AK652" s="235">
        <f t="shared" si="284"/>
        <v>0</v>
      </c>
      <c r="AL652" s="82">
        <f t="shared" si="284"/>
        <v>0</v>
      </c>
      <c r="AM652" s="49">
        <f t="shared" si="284"/>
        <v>1271</v>
      </c>
      <c r="AN652" s="235">
        <f t="shared" si="284"/>
        <v>565</v>
      </c>
      <c r="AO652" s="235">
        <f t="shared" si="284"/>
        <v>791</v>
      </c>
      <c r="AP652" s="82">
        <f t="shared" si="284"/>
        <v>573</v>
      </c>
      <c r="AQ652" s="49">
        <f t="shared" si="284"/>
        <v>31</v>
      </c>
      <c r="AR652" s="82">
        <f t="shared" si="284"/>
        <v>27</v>
      </c>
      <c r="AS652" s="49">
        <f t="shared" si="284"/>
        <v>0</v>
      </c>
      <c r="AT652" s="235">
        <f t="shared" si="284"/>
        <v>0</v>
      </c>
      <c r="AU652" s="82">
        <f t="shared" si="284"/>
        <v>0</v>
      </c>
      <c r="AV652" s="49">
        <f t="shared" si="284"/>
        <v>0</v>
      </c>
      <c r="AW652" s="235">
        <f t="shared" si="284"/>
        <v>0</v>
      </c>
      <c r="AX652" s="49">
        <f t="shared" si="284"/>
        <v>0</v>
      </c>
      <c r="AY652" s="235">
        <f t="shared" si="284"/>
        <v>0</v>
      </c>
      <c r="AZ652" s="82">
        <f t="shared" si="284"/>
        <v>0</v>
      </c>
      <c r="BA652" s="49">
        <f t="shared" si="284"/>
        <v>921</v>
      </c>
      <c r="BB652" s="49">
        <f t="shared" si="284"/>
        <v>1005</v>
      </c>
      <c r="BC652" s="82">
        <f t="shared" si="284"/>
        <v>1128</v>
      </c>
      <c r="BD652" s="49">
        <f t="shared" si="284"/>
        <v>926</v>
      </c>
      <c r="BE652" s="49">
        <f t="shared" si="284"/>
        <v>1491</v>
      </c>
      <c r="BF652" s="235">
        <f t="shared" si="284"/>
        <v>2314</v>
      </c>
      <c r="BG652" s="231">
        <f t="shared" si="284"/>
        <v>2226</v>
      </c>
      <c r="BH652" s="543">
        <f t="shared" si="284"/>
        <v>2902</v>
      </c>
      <c r="BI652" s="49">
        <f t="shared" si="284"/>
        <v>2191</v>
      </c>
      <c r="BJ652" s="50">
        <f t="shared" si="284"/>
        <v>2623</v>
      </c>
      <c r="BK652" s="49">
        <f t="shared" si="284"/>
        <v>1657</v>
      </c>
      <c r="BL652" s="291">
        <f t="shared" si="284"/>
        <v>1988</v>
      </c>
      <c r="BM652" s="50">
        <f t="shared" si="284"/>
        <v>2198</v>
      </c>
      <c r="BN652" s="49">
        <f t="shared" si="284"/>
        <v>0</v>
      </c>
      <c r="BO652" s="235">
        <f t="shared" si="284"/>
        <v>0</v>
      </c>
      <c r="BP652" s="291">
        <f t="shared" si="284"/>
        <v>0</v>
      </c>
      <c r="BQ652" s="235">
        <f t="shared" si="284"/>
        <v>0</v>
      </c>
      <c r="BR652" s="82">
        <f t="shared" si="284"/>
        <v>0</v>
      </c>
      <c r="BS652" s="49">
        <f t="shared" ref="BS652:CI652" si="285">SUM(BS17:BS27)+SUM(BS36)+SUM(BS40)+SUM(BS55:BS65)+SUM(BS94:BS102)+SUM(BS310:BS318)+SUM(BS351)+SUM(BS391:BS396)+SUM(BS398)+SUM(BS424)+SUM(BS427:BS428)+SUM(BS478:BS483)+SUM(BS502:BS504)+SUM(BS505:BS507)+SUM(BS509:BS512)+SUM(BS514)+SUM(BS517:BS523)+SUM(BS525:BS530)+SUM(BS532)+SUM(BS533)+SUM(BS564:BS565)</f>
        <v>475</v>
      </c>
      <c r="BT652" s="50">
        <f t="shared" si="285"/>
        <v>429</v>
      </c>
      <c r="BU652" s="49">
        <f t="shared" si="285"/>
        <v>0</v>
      </c>
      <c r="BV652" s="291">
        <f t="shared" si="285"/>
        <v>0</v>
      </c>
      <c r="BW652" s="63">
        <f t="shared" si="285"/>
        <v>0</v>
      </c>
      <c r="BX652" s="235">
        <f t="shared" si="285"/>
        <v>0</v>
      </c>
      <c r="BY652" s="82">
        <f t="shared" si="285"/>
        <v>0</v>
      </c>
      <c r="BZ652" s="49">
        <f t="shared" si="285"/>
        <v>0</v>
      </c>
      <c r="CA652" s="235">
        <f t="shared" si="285"/>
        <v>0</v>
      </c>
      <c r="CB652" s="291">
        <f t="shared" si="285"/>
        <v>0</v>
      </c>
      <c r="CC652" s="50">
        <f t="shared" si="285"/>
        <v>0</v>
      </c>
      <c r="CD652" s="49">
        <f t="shared" si="285"/>
        <v>0</v>
      </c>
      <c r="CE652" s="235">
        <f t="shared" si="285"/>
        <v>0</v>
      </c>
      <c r="CF652" s="235">
        <f t="shared" si="285"/>
        <v>0</v>
      </c>
      <c r="CG652" s="82">
        <f t="shared" si="285"/>
        <v>0</v>
      </c>
      <c r="CH652" s="49">
        <f t="shared" si="285"/>
        <v>0</v>
      </c>
      <c r="CI652" s="82">
        <f t="shared" si="285"/>
        <v>0</v>
      </c>
    </row>
    <row r="653" spans="2:87" x14ac:dyDescent="0.3">
      <c r="B653" s="17" t="s">
        <v>840</v>
      </c>
      <c r="C653" s="322">
        <f t="shared" ref="C653:D653" si="286">SUM(C16)+SUM(C28:C35)+SUM(C37:C39)+SUM(C42:C49)+SUM(C70:C73)+SUM(C86:C89)+SUM(C92)+SUM(C105)+SUM(C112)+SUM(C233:C245)+SUM(C254)+SUM(C319:C350)+SUM(C397)+SUM(C496:C497)+SUM(C547:C560)</f>
        <v>97747</v>
      </c>
      <c r="D653" s="235">
        <f t="shared" si="286"/>
        <v>54172</v>
      </c>
      <c r="E653" s="367">
        <f t="shared" si="224"/>
        <v>0.55420626720001642</v>
      </c>
      <c r="F653" s="49">
        <f t="shared" ref="F653" si="287">SUM(F18)+SUM(F30:F37)+SUM(F39:F41)+SUM(F44:F51)+SUM(F72:F75)+SUM(F88:F91)+SUM(F94)+SUM(F107)+SUM(F114)+SUM(F235:F247)+SUM(F256)+SUM(F321:F352)+SUM(F399)+SUM(F498:F499)+SUM(F549:F562)</f>
        <v>10501</v>
      </c>
      <c r="G653" s="49">
        <f t="shared" ref="G653:BR653" si="288">SUM(G16)+SUM(G28:G35)+SUM(G37:G39)+SUM(G42:G49)+SUM(G70:G73)+SUM(G86:G89)+SUM(G92)+SUM(G105)+SUM(G112)+SUM(G233:G245)+SUM(G254)+SUM(G319:G350)+SUM(G397)+SUM(G496:G497)+SUM(G547:G560)</f>
        <v>2629</v>
      </c>
      <c r="H653" s="49">
        <f t="shared" si="288"/>
        <v>7927</v>
      </c>
      <c r="I653" s="49">
        <f t="shared" si="288"/>
        <v>8753</v>
      </c>
      <c r="J653" s="50">
        <f t="shared" si="288"/>
        <v>1916</v>
      </c>
      <c r="K653" s="49">
        <f t="shared" si="288"/>
        <v>0</v>
      </c>
      <c r="L653" s="231">
        <f t="shared" si="288"/>
        <v>0</v>
      </c>
      <c r="M653" s="543">
        <f t="shared" si="288"/>
        <v>0</v>
      </c>
      <c r="N653" s="49">
        <f t="shared" si="288"/>
        <v>764</v>
      </c>
      <c r="O653" s="235">
        <f t="shared" si="288"/>
        <v>991</v>
      </c>
      <c r="P653" s="291">
        <f t="shared" si="288"/>
        <v>781</v>
      </c>
      <c r="Q653" s="63">
        <f t="shared" si="288"/>
        <v>1659</v>
      </c>
      <c r="R653" s="63">
        <f t="shared" si="288"/>
        <v>1156</v>
      </c>
      <c r="S653" s="62">
        <f t="shared" si="288"/>
        <v>1963</v>
      </c>
      <c r="T653" s="49">
        <f t="shared" si="288"/>
        <v>3114</v>
      </c>
      <c r="U653" s="49">
        <f t="shared" si="288"/>
        <v>3297</v>
      </c>
      <c r="V653" s="82">
        <f t="shared" si="288"/>
        <v>1162</v>
      </c>
      <c r="W653" s="62">
        <f t="shared" si="288"/>
        <v>12</v>
      </c>
      <c r="X653" s="235">
        <f t="shared" si="288"/>
        <v>7</v>
      </c>
      <c r="Y653" s="291">
        <f t="shared" si="288"/>
        <v>4</v>
      </c>
      <c r="Z653" s="50">
        <f t="shared" si="288"/>
        <v>13</v>
      </c>
      <c r="AA653" s="49">
        <f t="shared" si="288"/>
        <v>686</v>
      </c>
      <c r="AB653" s="63">
        <f t="shared" si="288"/>
        <v>848</v>
      </c>
      <c r="AC653" s="62">
        <f t="shared" si="288"/>
        <v>0</v>
      </c>
      <c r="AD653" s="49">
        <f t="shared" si="288"/>
        <v>0</v>
      </c>
      <c r="AE653" s="235">
        <f t="shared" si="288"/>
        <v>0</v>
      </c>
      <c r="AF653" s="82">
        <f t="shared" si="288"/>
        <v>1</v>
      </c>
      <c r="AG653" s="82">
        <f t="shared" si="288"/>
        <v>0</v>
      </c>
      <c r="AH653" s="49">
        <f t="shared" si="288"/>
        <v>0</v>
      </c>
      <c r="AI653" s="82">
        <f t="shared" si="288"/>
        <v>0</v>
      </c>
      <c r="AJ653" s="49">
        <f t="shared" si="288"/>
        <v>0</v>
      </c>
      <c r="AK653" s="235">
        <f t="shared" si="288"/>
        <v>0</v>
      </c>
      <c r="AL653" s="82">
        <f t="shared" si="288"/>
        <v>0</v>
      </c>
      <c r="AM653" s="49">
        <f t="shared" si="288"/>
        <v>0</v>
      </c>
      <c r="AN653" s="235">
        <f t="shared" si="288"/>
        <v>0</v>
      </c>
      <c r="AO653" s="235">
        <f t="shared" si="288"/>
        <v>0</v>
      </c>
      <c r="AP653" s="82">
        <f t="shared" si="288"/>
        <v>0</v>
      </c>
      <c r="AQ653" s="49">
        <f t="shared" si="288"/>
        <v>0</v>
      </c>
      <c r="AR653" s="82">
        <f t="shared" si="288"/>
        <v>0</v>
      </c>
      <c r="AS653" s="49">
        <f t="shared" si="288"/>
        <v>0</v>
      </c>
      <c r="AT653" s="235">
        <f t="shared" si="288"/>
        <v>0</v>
      </c>
      <c r="AU653" s="82">
        <f t="shared" si="288"/>
        <v>0</v>
      </c>
      <c r="AV653" s="49">
        <f t="shared" si="288"/>
        <v>1322</v>
      </c>
      <c r="AW653" s="235">
        <f t="shared" si="288"/>
        <v>1369</v>
      </c>
      <c r="AX653" s="49">
        <f t="shared" si="288"/>
        <v>1444</v>
      </c>
      <c r="AY653" s="235">
        <f t="shared" si="288"/>
        <v>601</v>
      </c>
      <c r="AZ653" s="82">
        <f t="shared" si="288"/>
        <v>432</v>
      </c>
      <c r="BA653" s="49">
        <f t="shared" si="288"/>
        <v>0</v>
      </c>
      <c r="BB653" s="49">
        <f t="shared" si="288"/>
        <v>0</v>
      </c>
      <c r="BC653" s="82">
        <f t="shared" si="288"/>
        <v>0</v>
      </c>
      <c r="BD653" s="49">
        <f t="shared" si="288"/>
        <v>0</v>
      </c>
      <c r="BE653" s="49">
        <f t="shared" si="288"/>
        <v>0</v>
      </c>
      <c r="BF653" s="235">
        <f t="shared" si="288"/>
        <v>0</v>
      </c>
      <c r="BG653" s="231">
        <f t="shared" si="288"/>
        <v>0</v>
      </c>
      <c r="BH653" s="543">
        <f t="shared" si="288"/>
        <v>0</v>
      </c>
      <c r="BI653" s="49">
        <f t="shared" si="288"/>
        <v>9235</v>
      </c>
      <c r="BJ653" s="50">
        <f t="shared" si="288"/>
        <v>9408</v>
      </c>
      <c r="BK653" s="49">
        <f t="shared" si="288"/>
        <v>0</v>
      </c>
      <c r="BL653" s="291">
        <f t="shared" si="288"/>
        <v>0</v>
      </c>
      <c r="BM653" s="50">
        <f t="shared" si="288"/>
        <v>0</v>
      </c>
      <c r="BN653" s="49">
        <f t="shared" si="288"/>
        <v>8838</v>
      </c>
      <c r="BO653" s="235">
        <f t="shared" si="288"/>
        <v>9144</v>
      </c>
      <c r="BP653" s="291">
        <f t="shared" si="288"/>
        <v>10202</v>
      </c>
      <c r="BQ653" s="235">
        <f t="shared" si="288"/>
        <v>11819</v>
      </c>
      <c r="BR653" s="82">
        <f t="shared" si="288"/>
        <v>966</v>
      </c>
      <c r="BS653" s="49">
        <f t="shared" ref="BS653:CI653" si="289">SUM(BS16)+SUM(BS28:BS35)+SUM(BS37:BS39)+SUM(BS42:BS49)+SUM(BS70:BS73)+SUM(BS86:BS89)+SUM(BS92)+SUM(BS105)+SUM(BS112)+SUM(BS233:BS245)+SUM(BS254)+SUM(BS319:BS350)+SUM(BS397)+SUM(BS496:BS497)+SUM(BS547:BS560)</f>
        <v>0</v>
      </c>
      <c r="BT653" s="50">
        <f t="shared" si="289"/>
        <v>0</v>
      </c>
      <c r="BU653" s="49">
        <f t="shared" si="289"/>
        <v>0</v>
      </c>
      <c r="BV653" s="291">
        <f t="shared" si="289"/>
        <v>0</v>
      </c>
      <c r="BW653" s="63">
        <f t="shared" si="289"/>
        <v>0</v>
      </c>
      <c r="BX653" s="235">
        <f t="shared" si="289"/>
        <v>0</v>
      </c>
      <c r="BY653" s="82">
        <f t="shared" si="289"/>
        <v>0</v>
      </c>
      <c r="BZ653" s="49">
        <f t="shared" si="289"/>
        <v>0</v>
      </c>
      <c r="CA653" s="235">
        <f t="shared" si="289"/>
        <v>0</v>
      </c>
      <c r="CB653" s="291">
        <f t="shared" si="289"/>
        <v>0</v>
      </c>
      <c r="CC653" s="50">
        <f t="shared" si="289"/>
        <v>0</v>
      </c>
      <c r="CD653" s="49">
        <f t="shared" si="289"/>
        <v>0</v>
      </c>
      <c r="CE653" s="235">
        <f t="shared" si="289"/>
        <v>0</v>
      </c>
      <c r="CF653" s="235">
        <f t="shared" si="289"/>
        <v>0</v>
      </c>
      <c r="CG653" s="82">
        <f t="shared" si="289"/>
        <v>0</v>
      </c>
      <c r="CH653" s="49">
        <f t="shared" si="289"/>
        <v>0</v>
      </c>
      <c r="CI653" s="82">
        <f t="shared" si="289"/>
        <v>0</v>
      </c>
    </row>
    <row r="654" spans="2:87" x14ac:dyDescent="0.3">
      <c r="B654" s="17" t="s">
        <v>841</v>
      </c>
      <c r="C654" s="322">
        <f t="shared" ref="C654:D654" si="290">SUM(C194:C204)+SUM(C209:C225)+SUM(C246:C253)+SUM(C255:C263)+SUM(C287:C309)+SUM(C390)+SUM(C421:C423)+SUM(C425:C426)+SUM(C472:C474)+SUM(C534:C546)</f>
        <v>86212</v>
      </c>
      <c r="D654" s="235">
        <f t="shared" si="290"/>
        <v>47174</v>
      </c>
      <c r="E654" s="367">
        <f t="shared" si="224"/>
        <v>0.54718600658840999</v>
      </c>
      <c r="F654" s="49">
        <f t="shared" ref="F654" si="291">SUM(F196:F206)+SUM(F211:F227)+SUM(F248:F255)+SUM(F257:F265)+SUM(F289:F311)+SUM(F392)+SUM(F423:F425)+SUM(F427:F428)+SUM(F474:F476)+SUM(F536:F548)</f>
        <v>1517</v>
      </c>
      <c r="G654" s="49">
        <f t="shared" ref="G654:BR654" si="292">SUM(G194:G204)+SUM(G209:G225)+SUM(G246:G253)+SUM(G255:G263)+SUM(G287:G309)+SUM(G390)+SUM(G421:G423)+SUM(G425:G426)+SUM(G472:G474)+SUM(G534:G546)</f>
        <v>89</v>
      </c>
      <c r="H654" s="49">
        <f t="shared" si="292"/>
        <v>144</v>
      </c>
      <c r="I654" s="49">
        <f t="shared" si="292"/>
        <v>159</v>
      </c>
      <c r="J654" s="50">
        <f t="shared" si="292"/>
        <v>58</v>
      </c>
      <c r="K654" s="49">
        <f t="shared" si="292"/>
        <v>2217</v>
      </c>
      <c r="L654" s="231">
        <f t="shared" si="292"/>
        <v>2481</v>
      </c>
      <c r="M654" s="543">
        <f t="shared" si="292"/>
        <v>2959</v>
      </c>
      <c r="N654" s="49">
        <f t="shared" si="292"/>
        <v>334</v>
      </c>
      <c r="O654" s="235">
        <f t="shared" si="292"/>
        <v>762</v>
      </c>
      <c r="P654" s="291">
        <f t="shared" si="292"/>
        <v>393</v>
      </c>
      <c r="Q654" s="63">
        <f t="shared" si="292"/>
        <v>1515</v>
      </c>
      <c r="R654" s="63">
        <f t="shared" si="292"/>
        <v>1161</v>
      </c>
      <c r="S654" s="62">
        <f t="shared" si="292"/>
        <v>0</v>
      </c>
      <c r="T654" s="49">
        <f t="shared" si="292"/>
        <v>0</v>
      </c>
      <c r="U654" s="49">
        <f t="shared" si="292"/>
        <v>0</v>
      </c>
      <c r="V654" s="82">
        <f t="shared" si="292"/>
        <v>0</v>
      </c>
      <c r="W654" s="62">
        <f t="shared" si="292"/>
        <v>3435</v>
      </c>
      <c r="X654" s="235">
        <f t="shared" si="292"/>
        <v>1167</v>
      </c>
      <c r="Y654" s="291">
        <f t="shared" si="292"/>
        <v>1100</v>
      </c>
      <c r="Z654" s="50">
        <f t="shared" si="292"/>
        <v>3342</v>
      </c>
      <c r="AA654" s="49">
        <f t="shared" si="292"/>
        <v>0</v>
      </c>
      <c r="AB654" s="63">
        <f t="shared" si="292"/>
        <v>0</v>
      </c>
      <c r="AC654" s="62">
        <f t="shared" si="292"/>
        <v>0</v>
      </c>
      <c r="AD654" s="49">
        <f t="shared" si="292"/>
        <v>0</v>
      </c>
      <c r="AE654" s="235">
        <f t="shared" si="292"/>
        <v>0</v>
      </c>
      <c r="AF654" s="82">
        <f t="shared" si="292"/>
        <v>0</v>
      </c>
      <c r="AG654" s="82">
        <f t="shared" si="292"/>
        <v>0</v>
      </c>
      <c r="AH654" s="49">
        <f t="shared" si="292"/>
        <v>0</v>
      </c>
      <c r="AI654" s="82">
        <f t="shared" si="292"/>
        <v>0</v>
      </c>
      <c r="AJ654" s="49">
        <f t="shared" si="292"/>
        <v>0</v>
      </c>
      <c r="AK654" s="235">
        <f t="shared" si="292"/>
        <v>0</v>
      </c>
      <c r="AL654" s="82">
        <f t="shared" si="292"/>
        <v>0</v>
      </c>
      <c r="AM654" s="49">
        <f t="shared" si="292"/>
        <v>5077</v>
      </c>
      <c r="AN654" s="235">
        <f t="shared" si="292"/>
        <v>3350</v>
      </c>
      <c r="AO654" s="235">
        <f t="shared" si="292"/>
        <v>4160</v>
      </c>
      <c r="AP654" s="82">
        <f t="shared" si="292"/>
        <v>5174</v>
      </c>
      <c r="AQ654" s="49">
        <f t="shared" si="292"/>
        <v>1512</v>
      </c>
      <c r="AR654" s="82">
        <f t="shared" si="292"/>
        <v>2125</v>
      </c>
      <c r="AS654" s="49">
        <f t="shared" si="292"/>
        <v>0</v>
      </c>
      <c r="AT654" s="235">
        <f t="shared" si="292"/>
        <v>0</v>
      </c>
      <c r="AU654" s="82">
        <f t="shared" si="292"/>
        <v>0</v>
      </c>
      <c r="AV654" s="49">
        <f t="shared" si="292"/>
        <v>4205</v>
      </c>
      <c r="AW654" s="235">
        <f t="shared" si="292"/>
        <v>5197</v>
      </c>
      <c r="AX654" s="49">
        <f t="shared" si="292"/>
        <v>5652</v>
      </c>
      <c r="AY654" s="235">
        <f t="shared" si="292"/>
        <v>2342</v>
      </c>
      <c r="AZ654" s="82">
        <f t="shared" si="292"/>
        <v>1800</v>
      </c>
      <c r="BA654" s="49">
        <f t="shared" si="292"/>
        <v>3091</v>
      </c>
      <c r="BB654" s="49">
        <f t="shared" si="292"/>
        <v>2165</v>
      </c>
      <c r="BC654" s="82">
        <f t="shared" si="292"/>
        <v>2052</v>
      </c>
      <c r="BD654" s="49">
        <f t="shared" si="292"/>
        <v>0</v>
      </c>
      <c r="BE654" s="49">
        <f t="shared" si="292"/>
        <v>0</v>
      </c>
      <c r="BF654" s="235">
        <f t="shared" si="292"/>
        <v>0</v>
      </c>
      <c r="BG654" s="231">
        <f t="shared" si="292"/>
        <v>0</v>
      </c>
      <c r="BH654" s="543">
        <f t="shared" si="292"/>
        <v>0</v>
      </c>
      <c r="BI654" s="49">
        <f t="shared" si="292"/>
        <v>94</v>
      </c>
      <c r="BJ654" s="50">
        <f t="shared" si="292"/>
        <v>114</v>
      </c>
      <c r="BK654" s="49">
        <f t="shared" si="292"/>
        <v>0</v>
      </c>
      <c r="BL654" s="291">
        <f t="shared" si="292"/>
        <v>0</v>
      </c>
      <c r="BM654" s="50">
        <f t="shared" si="292"/>
        <v>0</v>
      </c>
      <c r="BN654" s="49">
        <f t="shared" si="292"/>
        <v>0</v>
      </c>
      <c r="BO654" s="235">
        <f t="shared" si="292"/>
        <v>0</v>
      </c>
      <c r="BP654" s="291">
        <f t="shared" si="292"/>
        <v>0</v>
      </c>
      <c r="BQ654" s="235">
        <f t="shared" si="292"/>
        <v>0</v>
      </c>
      <c r="BR654" s="82">
        <f t="shared" si="292"/>
        <v>0</v>
      </c>
      <c r="BS654" s="49">
        <f t="shared" ref="BS654:CI654" si="293">SUM(BS194:BS204)+SUM(BS209:BS225)+SUM(BS246:BS253)+SUM(BS255:BS263)+SUM(BS287:BS309)+SUM(BS390)+SUM(BS421:BS423)+SUM(BS425:BS426)+SUM(BS472:BS474)+SUM(BS534:BS546)</f>
        <v>0</v>
      </c>
      <c r="BT654" s="50">
        <f t="shared" si="293"/>
        <v>0</v>
      </c>
      <c r="BU654" s="49">
        <f t="shared" si="293"/>
        <v>52</v>
      </c>
      <c r="BV654" s="291">
        <f t="shared" si="293"/>
        <v>45</v>
      </c>
      <c r="BW654" s="63">
        <f t="shared" si="293"/>
        <v>104</v>
      </c>
      <c r="BX654" s="235">
        <f t="shared" si="293"/>
        <v>35</v>
      </c>
      <c r="BY654" s="82">
        <f t="shared" si="293"/>
        <v>29</v>
      </c>
      <c r="BZ654" s="49">
        <f t="shared" si="293"/>
        <v>0</v>
      </c>
      <c r="CA654" s="235">
        <f t="shared" si="293"/>
        <v>0</v>
      </c>
      <c r="CB654" s="291">
        <f t="shared" si="293"/>
        <v>0</v>
      </c>
      <c r="CC654" s="50">
        <f t="shared" si="293"/>
        <v>0</v>
      </c>
      <c r="CD654" s="49">
        <f t="shared" si="293"/>
        <v>0</v>
      </c>
      <c r="CE654" s="235">
        <f t="shared" si="293"/>
        <v>0</v>
      </c>
      <c r="CF654" s="235">
        <f t="shared" si="293"/>
        <v>0</v>
      </c>
      <c r="CG654" s="82">
        <f t="shared" si="293"/>
        <v>0</v>
      </c>
      <c r="CH654" s="49">
        <f t="shared" si="293"/>
        <v>0</v>
      </c>
      <c r="CI654" s="82">
        <f t="shared" si="293"/>
        <v>0</v>
      </c>
    </row>
    <row r="655" spans="2:87" x14ac:dyDescent="0.3">
      <c r="B655" s="17" t="s">
        <v>842</v>
      </c>
      <c r="C655" s="322">
        <f t="shared" ref="C655:D655" si="294">SUM(C226:C232)+SUM(C264:C274)+SUM(C352:C389)+SUM(C399:C400)+SUM(C475:C477)+SUM(C485:C487)+SUM(C493)+SUM(C508)+SUM(C515)+SUM(C524)+SUM(C531)+SUM(C561:C563)</f>
        <v>79033</v>
      </c>
      <c r="D655" s="235">
        <f t="shared" si="294"/>
        <v>36559</v>
      </c>
      <c r="E655" s="367">
        <f t="shared" si="224"/>
        <v>0.4625789227284805</v>
      </c>
      <c r="F655" s="49">
        <f t="shared" ref="F655" si="295">SUM(F228:F234)+SUM(F266:F276)+SUM(F354:F391)+SUM(F401:F402)+SUM(F477:F479)+SUM(F487:F489)+SUM(F495)+SUM(F510)+SUM(F517)+SUM(F526)+SUM(F533)+SUM(F563:F565)</f>
        <v>167</v>
      </c>
      <c r="G655" s="49">
        <f t="shared" ref="G655:BR655" si="296">SUM(G226:G232)+SUM(G264:G274)+SUM(G352:G389)+SUM(G399:G400)+SUM(G475:G477)+SUM(G485:G487)+SUM(G493)+SUM(G508)+SUM(G515)+SUM(G524)+SUM(G531)+SUM(G561:G563)</f>
        <v>0</v>
      </c>
      <c r="H655" s="49">
        <f t="shared" si="296"/>
        <v>0</v>
      </c>
      <c r="I655" s="49">
        <f t="shared" si="296"/>
        <v>0</v>
      </c>
      <c r="J655" s="50">
        <f t="shared" si="296"/>
        <v>0</v>
      </c>
      <c r="K655" s="49">
        <f t="shared" si="296"/>
        <v>0</v>
      </c>
      <c r="L655" s="231">
        <f t="shared" si="296"/>
        <v>0</v>
      </c>
      <c r="M655" s="543">
        <f t="shared" si="296"/>
        <v>0</v>
      </c>
      <c r="N655" s="49">
        <f t="shared" si="296"/>
        <v>0</v>
      </c>
      <c r="O655" s="235">
        <f t="shared" si="296"/>
        <v>0</v>
      </c>
      <c r="P655" s="291">
        <f t="shared" si="296"/>
        <v>0</v>
      </c>
      <c r="Q655" s="63">
        <f t="shared" si="296"/>
        <v>0</v>
      </c>
      <c r="R655" s="63">
        <f t="shared" si="296"/>
        <v>0</v>
      </c>
      <c r="S655" s="62">
        <f t="shared" si="296"/>
        <v>0</v>
      </c>
      <c r="T655" s="49">
        <f t="shared" si="296"/>
        <v>0</v>
      </c>
      <c r="U655" s="49">
        <f t="shared" si="296"/>
        <v>0</v>
      </c>
      <c r="V655" s="82">
        <f t="shared" si="296"/>
        <v>0</v>
      </c>
      <c r="W655" s="62">
        <f t="shared" si="296"/>
        <v>0</v>
      </c>
      <c r="X655" s="235">
        <f t="shared" si="296"/>
        <v>0</v>
      </c>
      <c r="Y655" s="291">
        <f t="shared" si="296"/>
        <v>0</v>
      </c>
      <c r="Z655" s="50">
        <f t="shared" si="296"/>
        <v>0</v>
      </c>
      <c r="AA655" s="49">
        <f t="shared" si="296"/>
        <v>0</v>
      </c>
      <c r="AB655" s="63">
        <f t="shared" si="296"/>
        <v>0</v>
      </c>
      <c r="AC655" s="62">
        <f t="shared" si="296"/>
        <v>0</v>
      </c>
      <c r="AD655" s="49">
        <f t="shared" si="296"/>
        <v>0</v>
      </c>
      <c r="AE655" s="235">
        <f t="shared" si="296"/>
        <v>0</v>
      </c>
      <c r="AF655" s="82">
        <f t="shared" si="296"/>
        <v>0</v>
      </c>
      <c r="AG655" s="82">
        <f t="shared" si="296"/>
        <v>2329</v>
      </c>
      <c r="AH655" s="49">
        <f t="shared" si="296"/>
        <v>1698</v>
      </c>
      <c r="AI655" s="82">
        <f t="shared" si="296"/>
        <v>1093</v>
      </c>
      <c r="AJ655" s="49">
        <f t="shared" si="296"/>
        <v>0</v>
      </c>
      <c r="AK655" s="235">
        <f t="shared" si="296"/>
        <v>0</v>
      </c>
      <c r="AL655" s="82">
        <f t="shared" si="296"/>
        <v>0</v>
      </c>
      <c r="AM655" s="49">
        <f t="shared" si="296"/>
        <v>0</v>
      </c>
      <c r="AN655" s="235">
        <f t="shared" si="296"/>
        <v>0</v>
      </c>
      <c r="AO655" s="235">
        <f t="shared" si="296"/>
        <v>0</v>
      </c>
      <c r="AP655" s="82">
        <f t="shared" si="296"/>
        <v>0</v>
      </c>
      <c r="AQ655" s="49">
        <f t="shared" si="296"/>
        <v>0</v>
      </c>
      <c r="AR655" s="82">
        <f t="shared" si="296"/>
        <v>0</v>
      </c>
      <c r="AS655" s="49">
        <f t="shared" si="296"/>
        <v>0</v>
      </c>
      <c r="AT655" s="235">
        <f t="shared" si="296"/>
        <v>0</v>
      </c>
      <c r="AU655" s="82">
        <f t="shared" si="296"/>
        <v>0</v>
      </c>
      <c r="AV655" s="49">
        <f t="shared" si="296"/>
        <v>0</v>
      </c>
      <c r="AW655" s="235">
        <f t="shared" si="296"/>
        <v>0</v>
      </c>
      <c r="AX655" s="49">
        <f t="shared" si="296"/>
        <v>0</v>
      </c>
      <c r="AY655" s="235">
        <f t="shared" si="296"/>
        <v>0</v>
      </c>
      <c r="AZ655" s="82">
        <f t="shared" si="296"/>
        <v>0</v>
      </c>
      <c r="BA655" s="49">
        <f t="shared" si="296"/>
        <v>0</v>
      </c>
      <c r="BB655" s="49">
        <f t="shared" si="296"/>
        <v>0</v>
      </c>
      <c r="BC655" s="82">
        <f t="shared" si="296"/>
        <v>0</v>
      </c>
      <c r="BD655" s="49">
        <f t="shared" si="296"/>
        <v>0</v>
      </c>
      <c r="BE655" s="49">
        <f t="shared" si="296"/>
        <v>0</v>
      </c>
      <c r="BF655" s="235">
        <f t="shared" si="296"/>
        <v>0</v>
      </c>
      <c r="BG655" s="231">
        <f t="shared" si="296"/>
        <v>0</v>
      </c>
      <c r="BH655" s="543">
        <f t="shared" si="296"/>
        <v>0</v>
      </c>
      <c r="BI655" s="49">
        <f t="shared" si="296"/>
        <v>12961</v>
      </c>
      <c r="BJ655" s="50">
        <f t="shared" si="296"/>
        <v>13301</v>
      </c>
      <c r="BK655" s="49">
        <f t="shared" si="296"/>
        <v>0</v>
      </c>
      <c r="BL655" s="291">
        <f t="shared" si="296"/>
        <v>0</v>
      </c>
      <c r="BM655" s="50">
        <f t="shared" si="296"/>
        <v>0</v>
      </c>
      <c r="BN655" s="49">
        <f t="shared" si="296"/>
        <v>0</v>
      </c>
      <c r="BO655" s="235">
        <f t="shared" si="296"/>
        <v>0</v>
      </c>
      <c r="BP655" s="291">
        <f t="shared" si="296"/>
        <v>0</v>
      </c>
      <c r="BQ655" s="235">
        <f t="shared" si="296"/>
        <v>0</v>
      </c>
      <c r="BR655" s="82">
        <f t="shared" si="296"/>
        <v>0</v>
      </c>
      <c r="BS655" s="49">
        <f t="shared" ref="BS655:CI655" si="297">SUM(BS226:BS232)+SUM(BS264:BS274)+SUM(BS352:BS389)+SUM(BS399:BS400)+SUM(BS475:BS477)+SUM(BS485:BS487)+SUM(BS493)+SUM(BS508)+SUM(BS515)+SUM(BS524)+SUM(BS531)+SUM(BS561:BS563)</f>
        <v>0</v>
      </c>
      <c r="BT655" s="50">
        <f t="shared" si="297"/>
        <v>0</v>
      </c>
      <c r="BU655" s="49">
        <f t="shared" si="297"/>
        <v>6015</v>
      </c>
      <c r="BV655" s="291">
        <f t="shared" si="297"/>
        <v>5683</v>
      </c>
      <c r="BW655" s="63">
        <f t="shared" si="297"/>
        <v>4836</v>
      </c>
      <c r="BX655" s="235">
        <f t="shared" si="297"/>
        <v>6426</v>
      </c>
      <c r="BY655" s="82">
        <f t="shared" si="297"/>
        <v>3741</v>
      </c>
      <c r="BZ655" s="49">
        <f t="shared" si="297"/>
        <v>0</v>
      </c>
      <c r="CA655" s="235">
        <f t="shared" si="297"/>
        <v>0</v>
      </c>
      <c r="CB655" s="291">
        <f t="shared" si="297"/>
        <v>0</v>
      </c>
      <c r="CC655" s="50">
        <f t="shared" si="297"/>
        <v>0</v>
      </c>
      <c r="CD655" s="49">
        <f t="shared" si="297"/>
        <v>4519</v>
      </c>
      <c r="CE655" s="235">
        <f t="shared" si="297"/>
        <v>3264</v>
      </c>
      <c r="CF655" s="235">
        <f t="shared" si="297"/>
        <v>3815</v>
      </c>
      <c r="CG655" s="82">
        <f t="shared" si="297"/>
        <v>2482</v>
      </c>
      <c r="CH655" s="49">
        <f t="shared" si="297"/>
        <v>1269</v>
      </c>
      <c r="CI655" s="82">
        <f t="shared" si="297"/>
        <v>46</v>
      </c>
    </row>
    <row r="656" spans="2:87" x14ac:dyDescent="0.3">
      <c r="B656" s="17" t="s">
        <v>843</v>
      </c>
      <c r="C656" s="322">
        <f t="shared" ref="C656:D656" si="298">SUM(C119:C121)+SUM(C205:C208)+SUM(C401:C419)+SUM(C429:C471)+SUM(C484)+SUM(C488:C492)+SUM(C494:C495)</f>
        <v>83219</v>
      </c>
      <c r="D656" s="235">
        <f t="shared" si="298"/>
        <v>45164</v>
      </c>
      <c r="E656" s="367">
        <f t="shared" si="224"/>
        <v>0.54271260168951807</v>
      </c>
      <c r="F656" s="49">
        <f t="shared" ref="F656" si="299">SUM(F121:F123)+SUM(F207:F210)+SUM(F403:F421)+SUM(F431:F473)+SUM(F486)+SUM(F490:F494)+SUM(F496:F497)</f>
        <v>1888</v>
      </c>
      <c r="G656" s="49">
        <f t="shared" ref="G656:BR656" si="300">SUM(G119:G121)+SUM(G205:G208)+SUM(G401:G419)+SUM(G429:G471)+SUM(G484)+SUM(G488:G492)+SUM(G494:G495)</f>
        <v>1415</v>
      </c>
      <c r="H656" s="49">
        <f t="shared" si="300"/>
        <v>2430</v>
      </c>
      <c r="I656" s="49">
        <f t="shared" si="300"/>
        <v>2390</v>
      </c>
      <c r="J656" s="50">
        <f t="shared" si="300"/>
        <v>2277</v>
      </c>
      <c r="K656" s="49">
        <f t="shared" si="300"/>
        <v>0</v>
      </c>
      <c r="L656" s="231">
        <f t="shared" si="300"/>
        <v>0</v>
      </c>
      <c r="M656" s="543">
        <f t="shared" si="300"/>
        <v>0</v>
      </c>
      <c r="N656" s="49">
        <f t="shared" si="300"/>
        <v>0</v>
      </c>
      <c r="O656" s="235">
        <f t="shared" si="300"/>
        <v>0</v>
      </c>
      <c r="P656" s="291">
        <f t="shared" si="300"/>
        <v>0</v>
      </c>
      <c r="Q656" s="63">
        <f t="shared" si="300"/>
        <v>0</v>
      </c>
      <c r="R656" s="63">
        <f t="shared" si="300"/>
        <v>0</v>
      </c>
      <c r="S656" s="62">
        <f t="shared" si="300"/>
        <v>0</v>
      </c>
      <c r="T656" s="49">
        <f t="shared" si="300"/>
        <v>0</v>
      </c>
      <c r="U656" s="49">
        <f t="shared" si="300"/>
        <v>0</v>
      </c>
      <c r="V656" s="82">
        <f t="shared" si="300"/>
        <v>0</v>
      </c>
      <c r="W656" s="62">
        <f t="shared" si="300"/>
        <v>0</v>
      </c>
      <c r="X656" s="235">
        <f t="shared" si="300"/>
        <v>0</v>
      </c>
      <c r="Y656" s="291">
        <f t="shared" si="300"/>
        <v>0</v>
      </c>
      <c r="Z656" s="50">
        <f t="shared" si="300"/>
        <v>0</v>
      </c>
      <c r="AA656" s="49">
        <f t="shared" si="300"/>
        <v>0</v>
      </c>
      <c r="AB656" s="63">
        <f t="shared" si="300"/>
        <v>0</v>
      </c>
      <c r="AC656" s="62">
        <f t="shared" si="300"/>
        <v>0</v>
      </c>
      <c r="AD656" s="49">
        <f t="shared" si="300"/>
        <v>0</v>
      </c>
      <c r="AE656" s="235">
        <f t="shared" si="300"/>
        <v>0</v>
      </c>
      <c r="AF656" s="82">
        <f t="shared" si="300"/>
        <v>0</v>
      </c>
      <c r="AG656" s="82">
        <f t="shared" si="300"/>
        <v>0</v>
      </c>
      <c r="AH656" s="49">
        <f t="shared" si="300"/>
        <v>0</v>
      </c>
      <c r="AI656" s="82">
        <f t="shared" si="300"/>
        <v>0</v>
      </c>
      <c r="AJ656" s="49">
        <f t="shared" si="300"/>
        <v>0</v>
      </c>
      <c r="AK656" s="235">
        <f t="shared" si="300"/>
        <v>0</v>
      </c>
      <c r="AL656" s="82">
        <f t="shared" si="300"/>
        <v>0</v>
      </c>
      <c r="AM656" s="49">
        <f t="shared" si="300"/>
        <v>0</v>
      </c>
      <c r="AN656" s="235">
        <f t="shared" si="300"/>
        <v>0</v>
      </c>
      <c r="AO656" s="235">
        <f t="shared" si="300"/>
        <v>0</v>
      </c>
      <c r="AP656" s="82">
        <f t="shared" si="300"/>
        <v>0</v>
      </c>
      <c r="AQ656" s="49">
        <f t="shared" si="300"/>
        <v>0</v>
      </c>
      <c r="AR656" s="82">
        <f t="shared" si="300"/>
        <v>0</v>
      </c>
      <c r="AS656" s="49">
        <f t="shared" si="300"/>
        <v>0</v>
      </c>
      <c r="AT656" s="235">
        <f t="shared" si="300"/>
        <v>0</v>
      </c>
      <c r="AU656" s="82">
        <f t="shared" si="300"/>
        <v>0</v>
      </c>
      <c r="AV656" s="49">
        <f t="shared" si="300"/>
        <v>0</v>
      </c>
      <c r="AW656" s="235">
        <f t="shared" si="300"/>
        <v>0</v>
      </c>
      <c r="AX656" s="49">
        <f t="shared" si="300"/>
        <v>0</v>
      </c>
      <c r="AY656" s="235">
        <f t="shared" si="300"/>
        <v>0</v>
      </c>
      <c r="AZ656" s="82">
        <f t="shared" si="300"/>
        <v>0</v>
      </c>
      <c r="BA656" s="49">
        <f t="shared" si="300"/>
        <v>0</v>
      </c>
      <c r="BB656" s="49">
        <f t="shared" si="300"/>
        <v>0</v>
      </c>
      <c r="BC656" s="82">
        <f t="shared" si="300"/>
        <v>0</v>
      </c>
      <c r="BD656" s="49">
        <f t="shared" si="300"/>
        <v>0</v>
      </c>
      <c r="BE656" s="49">
        <f t="shared" si="300"/>
        <v>0</v>
      </c>
      <c r="BF656" s="235">
        <f t="shared" si="300"/>
        <v>0</v>
      </c>
      <c r="BG656" s="231">
        <f t="shared" si="300"/>
        <v>0</v>
      </c>
      <c r="BH656" s="543">
        <f t="shared" si="300"/>
        <v>0</v>
      </c>
      <c r="BI656" s="49">
        <f t="shared" si="300"/>
        <v>16634</v>
      </c>
      <c r="BJ656" s="50">
        <f t="shared" si="300"/>
        <v>16348</v>
      </c>
      <c r="BK656" s="49">
        <f t="shared" si="300"/>
        <v>0</v>
      </c>
      <c r="BL656" s="291">
        <f t="shared" si="300"/>
        <v>0</v>
      </c>
      <c r="BM656" s="50">
        <f t="shared" si="300"/>
        <v>0</v>
      </c>
      <c r="BN656" s="49">
        <f t="shared" si="300"/>
        <v>0</v>
      </c>
      <c r="BO656" s="235">
        <f t="shared" si="300"/>
        <v>0</v>
      </c>
      <c r="BP656" s="291">
        <f t="shared" si="300"/>
        <v>0</v>
      </c>
      <c r="BQ656" s="235">
        <f t="shared" si="300"/>
        <v>0</v>
      </c>
      <c r="BR656" s="82">
        <f t="shared" si="300"/>
        <v>0</v>
      </c>
      <c r="BS656" s="49">
        <f t="shared" ref="BS656:CI656" si="301">SUM(BS119:BS121)+SUM(BS205:BS208)+SUM(BS401:BS419)+SUM(BS429:BS471)+SUM(BS484)+SUM(BS488:BS492)+SUM(BS494:BS495)</f>
        <v>0</v>
      </c>
      <c r="BT656" s="50">
        <f t="shared" si="301"/>
        <v>0</v>
      </c>
      <c r="BU656" s="49">
        <f t="shared" si="301"/>
        <v>1704</v>
      </c>
      <c r="BV656" s="291">
        <f t="shared" si="301"/>
        <v>2334</v>
      </c>
      <c r="BW656" s="63">
        <f t="shared" si="301"/>
        <v>1627</v>
      </c>
      <c r="BX656" s="235">
        <f t="shared" si="301"/>
        <v>2519</v>
      </c>
      <c r="BY656" s="82">
        <f t="shared" si="301"/>
        <v>1197</v>
      </c>
      <c r="BZ656" s="49">
        <f t="shared" si="301"/>
        <v>7104</v>
      </c>
      <c r="CA656" s="235">
        <f t="shared" si="301"/>
        <v>15164</v>
      </c>
      <c r="CB656" s="291">
        <f t="shared" si="301"/>
        <v>4695</v>
      </c>
      <c r="CC656" s="50">
        <f t="shared" si="301"/>
        <v>11115</v>
      </c>
      <c r="CD656" s="49">
        <f t="shared" si="301"/>
        <v>0</v>
      </c>
      <c r="CE656" s="235">
        <f t="shared" si="301"/>
        <v>0</v>
      </c>
      <c r="CF656" s="235">
        <f t="shared" si="301"/>
        <v>0</v>
      </c>
      <c r="CG656" s="82">
        <f t="shared" si="301"/>
        <v>0</v>
      </c>
      <c r="CH656" s="49">
        <f t="shared" si="301"/>
        <v>2967</v>
      </c>
      <c r="CI656" s="82">
        <f t="shared" si="301"/>
        <v>155</v>
      </c>
    </row>
    <row r="657" spans="2:87" x14ac:dyDescent="0.3">
      <c r="B657" s="16" t="s">
        <v>785</v>
      </c>
      <c r="C657" s="322">
        <f>SUM(C28:C32)+C43+C48+SUM(C52:C53)+SUM(C66:C67)+SUM(C69:C86)+SUM(C88:C89)+C92+SUM(C105:C106)+SUM(C112:C118)+C122+C129+C132+SUM(C134:C135)+C176+SUM(C178:C179)+C182+SUM(C187:C188)+SUM(C191:C192)</f>
        <v>64401</v>
      </c>
      <c r="D657" s="235">
        <f>SUM(D28:D32)+D43+D48+SUM(D52:D53)+SUM(D66:D67)+SUM(D69:D86)+SUM(D88:D89)+D92+SUM(D105:D106)+SUM(D112:D118)+D122+D129+D132+SUM(D134:D135)+D176+SUM(D178:D179)+D182+SUM(D187:D188)+SUM(D191:D192)</f>
        <v>18420</v>
      </c>
      <c r="E657" s="367">
        <f t="shared" si="224"/>
        <v>0.28602040340988494</v>
      </c>
      <c r="F657" s="49">
        <f t="shared" ref="F657:AK657" si="302">SUM(F28:F32)+F43+F48+SUM(F52:F53)+SUM(F66:F67)+SUM(F69:F86)+SUM(F88:F89)+F92+SUM(F105:F106)+SUM(F112:F118)+F122+F129+F132+SUM(F134:F135)+F176+SUM(F178:F179)+F182+SUM(F187:F188)+SUM(F191:F192)</f>
        <v>10604</v>
      </c>
      <c r="G657" s="49">
        <f t="shared" si="302"/>
        <v>3723</v>
      </c>
      <c r="H657" s="49">
        <f t="shared" si="302"/>
        <v>8124</v>
      </c>
      <c r="I657" s="49">
        <f t="shared" si="302"/>
        <v>10988</v>
      </c>
      <c r="J657" s="50">
        <f t="shared" si="302"/>
        <v>1628</v>
      </c>
      <c r="K657" s="49">
        <f t="shared" si="302"/>
        <v>0</v>
      </c>
      <c r="L657" s="231">
        <f t="shared" si="302"/>
        <v>0</v>
      </c>
      <c r="M657" s="543">
        <f t="shared" si="302"/>
        <v>0</v>
      </c>
      <c r="N657" s="49">
        <f t="shared" si="302"/>
        <v>0</v>
      </c>
      <c r="O657" s="235">
        <f t="shared" si="302"/>
        <v>0</v>
      </c>
      <c r="P657" s="291">
        <f t="shared" si="302"/>
        <v>0</v>
      </c>
      <c r="Q657" s="63">
        <f t="shared" si="302"/>
        <v>0</v>
      </c>
      <c r="R657" s="63">
        <f t="shared" si="302"/>
        <v>0</v>
      </c>
      <c r="S657" s="62">
        <f t="shared" si="302"/>
        <v>0</v>
      </c>
      <c r="T657" s="49">
        <f t="shared" si="302"/>
        <v>0</v>
      </c>
      <c r="U657" s="49">
        <f t="shared" si="302"/>
        <v>0</v>
      </c>
      <c r="V657" s="82">
        <f t="shared" si="302"/>
        <v>0</v>
      </c>
      <c r="W657" s="62">
        <f t="shared" si="302"/>
        <v>0</v>
      </c>
      <c r="X657" s="235">
        <f t="shared" si="302"/>
        <v>0</v>
      </c>
      <c r="Y657" s="291">
        <f t="shared" si="302"/>
        <v>0</v>
      </c>
      <c r="Z657" s="50">
        <f t="shared" si="302"/>
        <v>0</v>
      </c>
      <c r="AA657" s="49">
        <f t="shared" si="302"/>
        <v>0</v>
      </c>
      <c r="AB657" s="63">
        <f t="shared" si="302"/>
        <v>0</v>
      </c>
      <c r="AC657" s="62">
        <f t="shared" si="302"/>
        <v>0</v>
      </c>
      <c r="AD657" s="49">
        <f t="shared" si="302"/>
        <v>0</v>
      </c>
      <c r="AE657" s="235">
        <f t="shared" si="302"/>
        <v>0</v>
      </c>
      <c r="AF657" s="82">
        <f t="shared" si="302"/>
        <v>0</v>
      </c>
      <c r="AG657" s="82">
        <f t="shared" si="302"/>
        <v>0</v>
      </c>
      <c r="AH657" s="49">
        <f t="shared" si="302"/>
        <v>0</v>
      </c>
      <c r="AI657" s="82">
        <f t="shared" si="302"/>
        <v>0</v>
      </c>
      <c r="AJ657" s="49">
        <f t="shared" si="302"/>
        <v>0</v>
      </c>
      <c r="AK657" s="235">
        <f t="shared" si="302"/>
        <v>0</v>
      </c>
      <c r="AL657" s="82">
        <f t="shared" ref="AL657:BQ657" si="303">SUM(AL28:AL32)+AL43+AL48+SUM(AL52:AL53)+SUM(AL66:AL67)+SUM(AL69:AL86)+SUM(AL88:AL89)+AL92+SUM(AL105:AL106)+SUM(AL112:AL118)+AL122+AL129+AL132+SUM(AL134:AL135)+AL176+SUM(AL178:AL179)+AL182+SUM(AL187:AL188)+SUM(AL191:AL192)</f>
        <v>0</v>
      </c>
      <c r="AM657" s="49">
        <f t="shared" si="303"/>
        <v>0</v>
      </c>
      <c r="AN657" s="235">
        <f t="shared" si="303"/>
        <v>0</v>
      </c>
      <c r="AO657" s="235">
        <f t="shared" si="303"/>
        <v>0</v>
      </c>
      <c r="AP657" s="82">
        <f t="shared" si="303"/>
        <v>0</v>
      </c>
      <c r="AQ657" s="49">
        <f t="shared" si="303"/>
        <v>0</v>
      </c>
      <c r="AR657" s="82">
        <f t="shared" si="303"/>
        <v>0</v>
      </c>
      <c r="AS657" s="49">
        <f t="shared" si="303"/>
        <v>0</v>
      </c>
      <c r="AT657" s="235">
        <f t="shared" si="303"/>
        <v>0</v>
      </c>
      <c r="AU657" s="82">
        <f t="shared" si="303"/>
        <v>0</v>
      </c>
      <c r="AV657" s="49">
        <f t="shared" si="303"/>
        <v>0</v>
      </c>
      <c r="AW657" s="235">
        <f t="shared" si="303"/>
        <v>0</v>
      </c>
      <c r="AX657" s="49">
        <f t="shared" si="303"/>
        <v>0</v>
      </c>
      <c r="AY657" s="235">
        <f t="shared" si="303"/>
        <v>0</v>
      </c>
      <c r="AZ657" s="82">
        <f t="shared" si="303"/>
        <v>0</v>
      </c>
      <c r="BA657" s="49">
        <f t="shared" si="303"/>
        <v>0</v>
      </c>
      <c r="BB657" s="49">
        <f t="shared" si="303"/>
        <v>0</v>
      </c>
      <c r="BC657" s="82">
        <f t="shared" si="303"/>
        <v>0</v>
      </c>
      <c r="BD657" s="49">
        <f t="shared" si="303"/>
        <v>0</v>
      </c>
      <c r="BE657" s="49">
        <f t="shared" si="303"/>
        <v>0</v>
      </c>
      <c r="BF657" s="235">
        <f t="shared" si="303"/>
        <v>0</v>
      </c>
      <c r="BG657" s="231">
        <f t="shared" si="303"/>
        <v>0</v>
      </c>
      <c r="BH657" s="543">
        <f t="shared" si="303"/>
        <v>0</v>
      </c>
      <c r="BI657" s="49">
        <f t="shared" si="303"/>
        <v>0</v>
      </c>
      <c r="BJ657" s="50">
        <f t="shared" si="303"/>
        <v>0</v>
      </c>
      <c r="BK657" s="49">
        <f t="shared" si="303"/>
        <v>0</v>
      </c>
      <c r="BL657" s="291">
        <f t="shared" si="303"/>
        <v>0</v>
      </c>
      <c r="BM657" s="50">
        <f t="shared" si="303"/>
        <v>0</v>
      </c>
      <c r="BN657" s="49">
        <f t="shared" si="303"/>
        <v>0</v>
      </c>
      <c r="BO657" s="235">
        <f t="shared" si="303"/>
        <v>0</v>
      </c>
      <c r="BP657" s="291">
        <f t="shared" si="303"/>
        <v>0</v>
      </c>
      <c r="BQ657" s="235">
        <f t="shared" si="303"/>
        <v>0</v>
      </c>
      <c r="BR657" s="82">
        <f t="shared" ref="BR657:CI657" si="304">SUM(BR28:BR32)+BR43+BR48+SUM(BR52:BR53)+SUM(BR66:BR67)+SUM(BR69:BR86)+SUM(BR88:BR89)+BR92+SUM(BR105:BR106)+SUM(BR112:BR118)+BR122+BR129+BR132+SUM(BR134:BR135)+BR176+SUM(BR178:BR179)+BR182+SUM(BR187:BR188)+SUM(BR191:BR192)</f>
        <v>0</v>
      </c>
      <c r="BS657" s="49">
        <f t="shared" si="304"/>
        <v>0</v>
      </c>
      <c r="BT657" s="50">
        <f t="shared" si="304"/>
        <v>0</v>
      </c>
      <c r="BU657" s="49">
        <f t="shared" si="304"/>
        <v>0</v>
      </c>
      <c r="BV657" s="291">
        <f t="shared" si="304"/>
        <v>0</v>
      </c>
      <c r="BW657" s="63">
        <f t="shared" si="304"/>
        <v>0</v>
      </c>
      <c r="BX657" s="235">
        <f t="shared" si="304"/>
        <v>0</v>
      </c>
      <c r="BY657" s="82">
        <f t="shared" si="304"/>
        <v>0</v>
      </c>
      <c r="BZ657" s="49">
        <f t="shared" si="304"/>
        <v>0</v>
      </c>
      <c r="CA657" s="235">
        <f t="shared" si="304"/>
        <v>0</v>
      </c>
      <c r="CB657" s="291">
        <f t="shared" si="304"/>
        <v>0</v>
      </c>
      <c r="CC657" s="50">
        <f t="shared" si="304"/>
        <v>0</v>
      </c>
      <c r="CD657" s="49">
        <f t="shared" si="304"/>
        <v>0</v>
      </c>
      <c r="CE657" s="235">
        <f t="shared" si="304"/>
        <v>0</v>
      </c>
      <c r="CF657" s="235">
        <f t="shared" si="304"/>
        <v>0</v>
      </c>
      <c r="CG657" s="82">
        <f t="shared" si="304"/>
        <v>0</v>
      </c>
      <c r="CH657" s="49">
        <f t="shared" si="304"/>
        <v>0</v>
      </c>
      <c r="CI657" s="82">
        <f t="shared" si="304"/>
        <v>0</v>
      </c>
    </row>
    <row r="658" spans="2:87" x14ac:dyDescent="0.3">
      <c r="B658" s="16" t="s">
        <v>764</v>
      </c>
      <c r="C658" s="322">
        <f>SUM(C17:C18)+C20+C22+SUM(C24:C25)+SUM(C55:C61)+C64+C87+SUM(C90:C91)+C93+SUM(C94:C102)+SUM(C103:C104)+SUM(C107:C111)+C133+SUM(C136:C141)+SUM(C144:C149)+SUM(C151:C153)+SUM(C154:C155)+SUM(C158:C159)+SUM(C161:C162)+C175+C177+SUM(C180:C181)+SUM(C183:C185)+C189+SUM(C391:C395)+C420+SUM(C498:C501)</f>
        <v>77801</v>
      </c>
      <c r="D658" s="235">
        <f>SUM(D17:D18)+D20+D22+SUM(D24:D25)+SUM(D55:D61)+D64+D87+SUM(D90:D91)+D93+SUM(D94:D102)+SUM(D103:D104)+SUM(D107:D111)+D133+SUM(D136:D141)+SUM(D144:D149)+SUM(D151:D153)+SUM(D154:D155)+SUM(D158:D159)+SUM(D161:D162)+D175+D177+SUM(D180:D181)+SUM(D183:D185)+D189+SUM(D391:D395)+D420+SUM(D498:D501)</f>
        <v>34974</v>
      </c>
      <c r="E658" s="367">
        <f t="shared" si="224"/>
        <v>0.44953149702445983</v>
      </c>
      <c r="F658" s="49">
        <f t="shared" ref="F658:AK658" si="305">SUM(F17:F18)+F20+F22+SUM(F24:F25)+SUM(F55:F61)+F64+F87+SUM(F90:F91)+F93+SUM(F94:F102)+SUM(F103:F104)+SUM(F107:F111)+F133+SUM(F136:F141)+SUM(F144:F149)+SUM(F151:F153)+SUM(F154:F155)+SUM(F158:F159)+SUM(F161:F162)+F175+F177+SUM(F180:F181)+SUM(F183:F185)+F189+SUM(F391:F395)+F420+SUM(F498:F501)</f>
        <v>20426</v>
      </c>
      <c r="G658" s="49">
        <f t="shared" si="305"/>
        <v>6886</v>
      </c>
      <c r="H658" s="49">
        <f t="shared" si="305"/>
        <v>16116</v>
      </c>
      <c r="I658" s="49">
        <f t="shared" si="305"/>
        <v>20409</v>
      </c>
      <c r="J658" s="50">
        <f t="shared" si="305"/>
        <v>2978</v>
      </c>
      <c r="K658" s="49">
        <f t="shared" si="305"/>
        <v>0</v>
      </c>
      <c r="L658" s="231">
        <f t="shared" si="305"/>
        <v>0</v>
      </c>
      <c r="M658" s="543">
        <f t="shared" si="305"/>
        <v>0</v>
      </c>
      <c r="N658" s="49">
        <f t="shared" si="305"/>
        <v>0</v>
      </c>
      <c r="O658" s="235">
        <f t="shared" si="305"/>
        <v>0</v>
      </c>
      <c r="P658" s="291">
        <f t="shared" si="305"/>
        <v>0</v>
      </c>
      <c r="Q658" s="63">
        <f t="shared" si="305"/>
        <v>0</v>
      </c>
      <c r="R658" s="63">
        <f t="shared" si="305"/>
        <v>0</v>
      </c>
      <c r="S658" s="62">
        <f t="shared" si="305"/>
        <v>0</v>
      </c>
      <c r="T658" s="49">
        <f t="shared" si="305"/>
        <v>0</v>
      </c>
      <c r="U658" s="49">
        <f t="shared" si="305"/>
        <v>0</v>
      </c>
      <c r="V658" s="82">
        <f t="shared" si="305"/>
        <v>0</v>
      </c>
      <c r="W658" s="62">
        <f t="shared" si="305"/>
        <v>0</v>
      </c>
      <c r="X658" s="235">
        <f t="shared" si="305"/>
        <v>0</v>
      </c>
      <c r="Y658" s="291">
        <f t="shared" si="305"/>
        <v>0</v>
      </c>
      <c r="Z658" s="50">
        <f t="shared" si="305"/>
        <v>0</v>
      </c>
      <c r="AA658" s="49">
        <f t="shared" si="305"/>
        <v>0</v>
      </c>
      <c r="AB658" s="63">
        <f t="shared" si="305"/>
        <v>0</v>
      </c>
      <c r="AC658" s="62">
        <f t="shared" si="305"/>
        <v>0</v>
      </c>
      <c r="AD658" s="49">
        <f t="shared" si="305"/>
        <v>0</v>
      </c>
      <c r="AE658" s="235">
        <f t="shared" si="305"/>
        <v>0</v>
      </c>
      <c r="AF658" s="82">
        <f t="shared" si="305"/>
        <v>0</v>
      </c>
      <c r="AG658" s="82">
        <f t="shared" si="305"/>
        <v>0</v>
      </c>
      <c r="AH658" s="49">
        <f t="shared" si="305"/>
        <v>0</v>
      </c>
      <c r="AI658" s="82">
        <f t="shared" si="305"/>
        <v>0</v>
      </c>
      <c r="AJ658" s="49">
        <f t="shared" si="305"/>
        <v>0</v>
      </c>
      <c r="AK658" s="235">
        <f t="shared" si="305"/>
        <v>0</v>
      </c>
      <c r="AL658" s="82">
        <f t="shared" ref="AL658:BQ658" si="306">SUM(AL17:AL18)+AL20+AL22+SUM(AL24:AL25)+SUM(AL55:AL61)+AL64+AL87+SUM(AL90:AL91)+AL93+SUM(AL94:AL102)+SUM(AL103:AL104)+SUM(AL107:AL111)+AL133+SUM(AL136:AL141)+SUM(AL144:AL149)+SUM(AL151:AL153)+SUM(AL154:AL155)+SUM(AL158:AL159)+SUM(AL161:AL162)+AL175+AL177+SUM(AL180:AL181)+SUM(AL183:AL185)+AL189+SUM(AL391:AL395)+AL420+SUM(AL498:AL501)</f>
        <v>0</v>
      </c>
      <c r="AM658" s="49">
        <f t="shared" si="306"/>
        <v>0</v>
      </c>
      <c r="AN658" s="235">
        <f t="shared" si="306"/>
        <v>0</v>
      </c>
      <c r="AO658" s="235">
        <f t="shared" si="306"/>
        <v>0</v>
      </c>
      <c r="AP658" s="82">
        <f t="shared" si="306"/>
        <v>0</v>
      </c>
      <c r="AQ658" s="49">
        <f t="shared" si="306"/>
        <v>0</v>
      </c>
      <c r="AR658" s="82">
        <f t="shared" si="306"/>
        <v>0</v>
      </c>
      <c r="AS658" s="49">
        <f t="shared" si="306"/>
        <v>737</v>
      </c>
      <c r="AT658" s="235">
        <f t="shared" si="306"/>
        <v>917</v>
      </c>
      <c r="AU658" s="82">
        <f t="shared" si="306"/>
        <v>497</v>
      </c>
      <c r="AV658" s="49">
        <f t="shared" si="306"/>
        <v>0</v>
      </c>
      <c r="AW658" s="235">
        <f t="shared" si="306"/>
        <v>0</v>
      </c>
      <c r="AX658" s="49">
        <f t="shared" si="306"/>
        <v>0</v>
      </c>
      <c r="AY658" s="235">
        <f t="shared" si="306"/>
        <v>0</v>
      </c>
      <c r="AZ658" s="82">
        <f t="shared" si="306"/>
        <v>0</v>
      </c>
      <c r="BA658" s="49">
        <f t="shared" si="306"/>
        <v>0</v>
      </c>
      <c r="BB658" s="49">
        <f t="shared" si="306"/>
        <v>0</v>
      </c>
      <c r="BC658" s="82">
        <f t="shared" si="306"/>
        <v>0</v>
      </c>
      <c r="BD658" s="49">
        <f t="shared" si="306"/>
        <v>0</v>
      </c>
      <c r="BE658" s="49">
        <f t="shared" si="306"/>
        <v>0</v>
      </c>
      <c r="BF658" s="235">
        <f t="shared" si="306"/>
        <v>0</v>
      </c>
      <c r="BG658" s="231">
        <f t="shared" si="306"/>
        <v>0</v>
      </c>
      <c r="BH658" s="543">
        <f t="shared" si="306"/>
        <v>0</v>
      </c>
      <c r="BI658" s="49">
        <f t="shared" si="306"/>
        <v>0</v>
      </c>
      <c r="BJ658" s="50">
        <f t="shared" si="306"/>
        <v>0</v>
      </c>
      <c r="BK658" s="49">
        <f t="shared" si="306"/>
        <v>0</v>
      </c>
      <c r="BL658" s="291">
        <f t="shared" si="306"/>
        <v>0</v>
      </c>
      <c r="BM658" s="50">
        <f t="shared" si="306"/>
        <v>0</v>
      </c>
      <c r="BN658" s="49">
        <f t="shared" si="306"/>
        <v>0</v>
      </c>
      <c r="BO658" s="235">
        <f t="shared" si="306"/>
        <v>0</v>
      </c>
      <c r="BP658" s="291">
        <f t="shared" si="306"/>
        <v>0</v>
      </c>
      <c r="BQ658" s="235">
        <f t="shared" si="306"/>
        <v>0</v>
      </c>
      <c r="BR658" s="82">
        <f t="shared" ref="BR658:CI658" si="307">SUM(BR17:BR18)+BR20+BR22+SUM(BR24:BR25)+SUM(BR55:BR61)+BR64+BR87+SUM(BR90:BR91)+BR93+SUM(BR94:BR102)+SUM(BR103:BR104)+SUM(BR107:BR111)+BR133+SUM(BR136:BR141)+SUM(BR144:BR149)+SUM(BR151:BR153)+SUM(BR154:BR155)+SUM(BR158:BR159)+SUM(BR161:BR162)+BR175+BR177+SUM(BR180:BR181)+SUM(BR183:BR185)+BR189+SUM(BR391:BR395)+BR420+SUM(BR498:BR501)</f>
        <v>0</v>
      </c>
      <c r="BS658" s="49">
        <f t="shared" si="307"/>
        <v>0</v>
      </c>
      <c r="BT658" s="50">
        <f t="shared" si="307"/>
        <v>0</v>
      </c>
      <c r="BU658" s="49">
        <f t="shared" si="307"/>
        <v>0</v>
      </c>
      <c r="BV658" s="291">
        <f t="shared" si="307"/>
        <v>0</v>
      </c>
      <c r="BW658" s="63">
        <f t="shared" si="307"/>
        <v>0</v>
      </c>
      <c r="BX658" s="235">
        <f t="shared" si="307"/>
        <v>0</v>
      </c>
      <c r="BY658" s="82">
        <f t="shared" si="307"/>
        <v>0</v>
      </c>
      <c r="BZ658" s="49">
        <f t="shared" si="307"/>
        <v>0</v>
      </c>
      <c r="CA658" s="235">
        <f t="shared" si="307"/>
        <v>0</v>
      </c>
      <c r="CB658" s="291">
        <f t="shared" si="307"/>
        <v>0</v>
      </c>
      <c r="CC658" s="50">
        <f t="shared" si="307"/>
        <v>0</v>
      </c>
      <c r="CD658" s="49">
        <f t="shared" si="307"/>
        <v>0</v>
      </c>
      <c r="CE658" s="235">
        <f t="shared" si="307"/>
        <v>0</v>
      </c>
      <c r="CF658" s="235">
        <f t="shared" si="307"/>
        <v>0</v>
      </c>
      <c r="CG658" s="82">
        <f t="shared" si="307"/>
        <v>0</v>
      </c>
      <c r="CH658" s="49">
        <f t="shared" si="307"/>
        <v>0</v>
      </c>
      <c r="CI658" s="82">
        <f t="shared" si="307"/>
        <v>0</v>
      </c>
    </row>
    <row r="659" spans="2:87" x14ac:dyDescent="0.3">
      <c r="B659" s="16" t="s">
        <v>765</v>
      </c>
      <c r="C659" s="322">
        <f>SUM(C62:C63)+C65+SUM(C142:C143)+C150+SUM(C156:C157)+C160+SUM(C213:C225)+SUM(C264:C274)+SUM(C310:C314)+SUM(C315:C318)+C351+SUM(C427:C428)+SUM(C472:C474)+SUM(C478:C481)+SUM(C502:C504)+SUM(C505:C507)+SUM(C509:C523)+SUM(C525:C532)+SUM(C564:C565)</f>
        <v>84526</v>
      </c>
      <c r="D659" s="235">
        <f>SUM(D62:D63)+D65+SUM(D142:D143)+D150+SUM(D156:D157)+D160+SUM(D213:D225)+SUM(D264:D274)+SUM(D310:D314)+SUM(D315:D318)+D351+SUM(D427:D428)+SUM(D472:D474)+SUM(D478:D481)+SUM(D502:D504)+SUM(D505:D507)+SUM(D509:D523)+SUM(D525:D532)+SUM(D564:D565)</f>
        <v>38974</v>
      </c>
      <c r="E659" s="367">
        <f t="shared" si="224"/>
        <v>0.46108889572439249</v>
      </c>
      <c r="F659" s="49">
        <f t="shared" ref="F659:AK659" si="308">SUM(F62:F63)+F65+SUM(F142:F143)+F150+SUM(F156:F157)+F160+SUM(F213:F225)+SUM(F264:F274)+SUM(F310:F314)+SUM(F315:F318)+F351+SUM(F427:F428)+SUM(F472:F474)+SUM(F478:F481)+SUM(F502:F504)+SUM(F505:F507)+SUM(F509:F523)+SUM(F525:F532)+SUM(F564:F565)</f>
        <v>5440</v>
      </c>
      <c r="G659" s="49">
        <f t="shared" si="308"/>
        <v>2246</v>
      </c>
      <c r="H659" s="49">
        <f t="shared" si="308"/>
        <v>3978</v>
      </c>
      <c r="I659" s="49">
        <f t="shared" si="308"/>
        <v>5291</v>
      </c>
      <c r="J659" s="50">
        <f t="shared" si="308"/>
        <v>1277</v>
      </c>
      <c r="K659" s="49">
        <f t="shared" si="308"/>
        <v>64</v>
      </c>
      <c r="L659" s="231">
        <f t="shared" si="308"/>
        <v>56</v>
      </c>
      <c r="M659" s="543">
        <f t="shared" si="308"/>
        <v>79</v>
      </c>
      <c r="N659" s="49">
        <f t="shared" si="308"/>
        <v>0</v>
      </c>
      <c r="O659" s="235">
        <f t="shared" si="308"/>
        <v>0</v>
      </c>
      <c r="P659" s="291">
        <f t="shared" si="308"/>
        <v>0</v>
      </c>
      <c r="Q659" s="63">
        <f t="shared" si="308"/>
        <v>0</v>
      </c>
      <c r="R659" s="63">
        <f t="shared" si="308"/>
        <v>0</v>
      </c>
      <c r="S659" s="62">
        <f t="shared" si="308"/>
        <v>0</v>
      </c>
      <c r="T659" s="49">
        <f t="shared" si="308"/>
        <v>0</v>
      </c>
      <c r="U659" s="49">
        <f t="shared" si="308"/>
        <v>0</v>
      </c>
      <c r="V659" s="82">
        <f t="shared" si="308"/>
        <v>0</v>
      </c>
      <c r="W659" s="62">
        <f t="shared" si="308"/>
        <v>0</v>
      </c>
      <c r="X659" s="235">
        <f t="shared" si="308"/>
        <v>0</v>
      </c>
      <c r="Y659" s="291">
        <f t="shared" si="308"/>
        <v>0</v>
      </c>
      <c r="Z659" s="50">
        <f t="shared" si="308"/>
        <v>0</v>
      </c>
      <c r="AA659" s="49">
        <f t="shared" si="308"/>
        <v>0</v>
      </c>
      <c r="AB659" s="63">
        <f t="shared" si="308"/>
        <v>0</v>
      </c>
      <c r="AC659" s="62">
        <f t="shared" si="308"/>
        <v>0</v>
      </c>
      <c r="AD659" s="49">
        <f t="shared" si="308"/>
        <v>0</v>
      </c>
      <c r="AE659" s="235">
        <f t="shared" si="308"/>
        <v>0</v>
      </c>
      <c r="AF659" s="82">
        <f t="shared" si="308"/>
        <v>0</v>
      </c>
      <c r="AG659" s="82">
        <f t="shared" si="308"/>
        <v>3560</v>
      </c>
      <c r="AH659" s="49">
        <f t="shared" si="308"/>
        <v>1721</v>
      </c>
      <c r="AI659" s="82">
        <f t="shared" si="308"/>
        <v>1109</v>
      </c>
      <c r="AJ659" s="49">
        <f t="shared" si="308"/>
        <v>0</v>
      </c>
      <c r="AK659" s="235">
        <f t="shared" si="308"/>
        <v>0</v>
      </c>
      <c r="AL659" s="82">
        <f t="shared" ref="AL659:BQ659" si="309">SUM(AL62:AL63)+AL65+SUM(AL142:AL143)+AL150+SUM(AL156:AL157)+AL160+SUM(AL213:AL225)+SUM(AL264:AL274)+SUM(AL310:AL314)+SUM(AL315:AL318)+AL351+SUM(AL427:AL428)+SUM(AL472:AL474)+SUM(AL478:AL481)+SUM(AL502:AL504)+SUM(AL505:AL507)+SUM(AL509:AL523)+SUM(AL525:AL532)+SUM(AL564:AL565)</f>
        <v>0</v>
      </c>
      <c r="AM659" s="49">
        <f t="shared" si="309"/>
        <v>1271</v>
      </c>
      <c r="AN659" s="235">
        <f t="shared" si="309"/>
        <v>565</v>
      </c>
      <c r="AO659" s="235">
        <f t="shared" si="309"/>
        <v>791</v>
      </c>
      <c r="AP659" s="82">
        <f t="shared" si="309"/>
        <v>573</v>
      </c>
      <c r="AQ659" s="49">
        <f t="shared" si="309"/>
        <v>0</v>
      </c>
      <c r="AR659" s="82">
        <f t="shared" si="309"/>
        <v>0</v>
      </c>
      <c r="AS659" s="49">
        <f t="shared" si="309"/>
        <v>0</v>
      </c>
      <c r="AT659" s="235">
        <f t="shared" si="309"/>
        <v>0</v>
      </c>
      <c r="AU659" s="82">
        <f t="shared" si="309"/>
        <v>0</v>
      </c>
      <c r="AV659" s="49">
        <f t="shared" si="309"/>
        <v>0</v>
      </c>
      <c r="AW659" s="235">
        <f t="shared" si="309"/>
        <v>0</v>
      </c>
      <c r="AX659" s="49">
        <f t="shared" si="309"/>
        <v>0</v>
      </c>
      <c r="AY659" s="235">
        <f t="shared" si="309"/>
        <v>0</v>
      </c>
      <c r="AZ659" s="82">
        <f t="shared" si="309"/>
        <v>0</v>
      </c>
      <c r="BA659" s="49">
        <f t="shared" si="309"/>
        <v>4012</v>
      </c>
      <c r="BB659" s="49">
        <f t="shared" si="309"/>
        <v>3170</v>
      </c>
      <c r="BC659" s="82">
        <f t="shared" si="309"/>
        <v>3180</v>
      </c>
      <c r="BD659" s="49">
        <f t="shared" si="309"/>
        <v>926</v>
      </c>
      <c r="BE659" s="49">
        <f t="shared" si="309"/>
        <v>1491</v>
      </c>
      <c r="BF659" s="235">
        <f t="shared" si="309"/>
        <v>2314</v>
      </c>
      <c r="BG659" s="231">
        <f t="shared" si="309"/>
        <v>2226</v>
      </c>
      <c r="BH659" s="543">
        <f t="shared" si="309"/>
        <v>2902</v>
      </c>
      <c r="BI659" s="49">
        <f t="shared" si="309"/>
        <v>2518</v>
      </c>
      <c r="BJ659" s="50">
        <f t="shared" si="309"/>
        <v>2958</v>
      </c>
      <c r="BK659" s="49">
        <f t="shared" si="309"/>
        <v>1657</v>
      </c>
      <c r="BL659" s="291">
        <f t="shared" si="309"/>
        <v>1988</v>
      </c>
      <c r="BM659" s="50">
        <f t="shared" si="309"/>
        <v>2198</v>
      </c>
      <c r="BN659" s="49">
        <f t="shared" si="309"/>
        <v>0</v>
      </c>
      <c r="BO659" s="235">
        <f t="shared" si="309"/>
        <v>0</v>
      </c>
      <c r="BP659" s="291">
        <f t="shared" si="309"/>
        <v>0</v>
      </c>
      <c r="BQ659" s="235">
        <f t="shared" si="309"/>
        <v>0</v>
      </c>
      <c r="BR659" s="82">
        <f t="shared" ref="BR659:CI659" si="310">SUM(BR62:BR63)+BR65+SUM(BR142:BR143)+BR150+SUM(BR156:BR157)+BR160+SUM(BR213:BR225)+SUM(BR264:BR274)+SUM(BR310:BR314)+SUM(BR315:BR318)+BR351+SUM(BR427:BR428)+SUM(BR472:BR474)+SUM(BR478:BR481)+SUM(BR502:BR504)+SUM(BR505:BR507)+SUM(BR509:BR523)+SUM(BR525:BR532)+SUM(BR564:BR565)</f>
        <v>0</v>
      </c>
      <c r="BS659" s="49">
        <f t="shared" si="310"/>
        <v>475</v>
      </c>
      <c r="BT659" s="50">
        <f t="shared" si="310"/>
        <v>429</v>
      </c>
      <c r="BU659" s="49">
        <f t="shared" si="310"/>
        <v>186</v>
      </c>
      <c r="BV659" s="291">
        <f t="shared" si="310"/>
        <v>196</v>
      </c>
      <c r="BW659" s="63">
        <f t="shared" si="310"/>
        <v>274</v>
      </c>
      <c r="BX659" s="235">
        <f t="shared" si="310"/>
        <v>165</v>
      </c>
      <c r="BY659" s="82">
        <f t="shared" si="310"/>
        <v>98</v>
      </c>
      <c r="BZ659" s="49">
        <f t="shared" si="310"/>
        <v>0</v>
      </c>
      <c r="CA659" s="235">
        <f t="shared" si="310"/>
        <v>0</v>
      </c>
      <c r="CB659" s="291">
        <f t="shared" si="310"/>
        <v>0</v>
      </c>
      <c r="CC659" s="50">
        <f t="shared" si="310"/>
        <v>0</v>
      </c>
      <c r="CD659" s="49">
        <f t="shared" si="310"/>
        <v>0</v>
      </c>
      <c r="CE659" s="235">
        <f t="shared" si="310"/>
        <v>0</v>
      </c>
      <c r="CF659" s="235">
        <f t="shared" si="310"/>
        <v>0</v>
      </c>
      <c r="CG659" s="82">
        <f t="shared" si="310"/>
        <v>0</v>
      </c>
      <c r="CH659" s="49">
        <f t="shared" si="310"/>
        <v>0</v>
      </c>
      <c r="CI659" s="82">
        <f t="shared" si="310"/>
        <v>0</v>
      </c>
    </row>
    <row r="660" spans="2:87" x14ac:dyDescent="0.3">
      <c r="B660" s="16" t="s">
        <v>786</v>
      </c>
      <c r="C660" s="322">
        <f>SUM(C4:C16)+C19+C21+C23+C26+C27+SUM(C33:C42)+SUM(C44:C47)+SUM(C49:C51)+C54+C68+SUM(C275:C286)+SUM(C319:C350)+C396+C424+SUM(C482:C483)+SUM(C496:C497)</f>
        <v>98542</v>
      </c>
      <c r="D660" s="235">
        <f>SUM(D4:D16)+D19+D21+D23+D26+D27+SUM(D33:D42)+SUM(D44:D47)+SUM(D49:D51)+D54+D68+SUM(D275:D286)+SUM(D319:D350)+D396+D424+SUM(D482:D483)+SUM(D496:D497)</f>
        <v>55979</v>
      </c>
      <c r="E660" s="367">
        <f t="shared" si="224"/>
        <v>0.56807249700635265</v>
      </c>
      <c r="F660" s="49">
        <f t="shared" ref="F660:AK660" si="311">SUM(F4:F16)+F19+F21+F23+F26+F27+SUM(F33:F42)+SUM(F44:F47)+SUM(F49:F51)+F54+F68+SUM(F275:F286)+SUM(F319:F350)+F396+F424+SUM(F482:F483)+SUM(F496:F497)</f>
        <v>12568</v>
      </c>
      <c r="G660" s="49">
        <f t="shared" si="311"/>
        <v>3797</v>
      </c>
      <c r="H660" s="49">
        <f t="shared" si="311"/>
        <v>11550</v>
      </c>
      <c r="I660" s="49">
        <f t="shared" si="311"/>
        <v>11324</v>
      </c>
      <c r="J660" s="50">
        <f t="shared" si="311"/>
        <v>3325</v>
      </c>
      <c r="K660" s="49">
        <f t="shared" si="311"/>
        <v>0</v>
      </c>
      <c r="L660" s="231">
        <f t="shared" si="311"/>
        <v>0</v>
      </c>
      <c r="M660" s="543">
        <f t="shared" si="311"/>
        <v>0</v>
      </c>
      <c r="N660" s="49">
        <f t="shared" si="311"/>
        <v>0</v>
      </c>
      <c r="O660" s="235">
        <f t="shared" si="311"/>
        <v>0</v>
      </c>
      <c r="P660" s="291">
        <f t="shared" si="311"/>
        <v>0</v>
      </c>
      <c r="Q660" s="63">
        <f t="shared" si="311"/>
        <v>0</v>
      </c>
      <c r="R660" s="63">
        <f t="shared" si="311"/>
        <v>0</v>
      </c>
      <c r="S660" s="62">
        <f t="shared" si="311"/>
        <v>0</v>
      </c>
      <c r="T660" s="49">
        <f t="shared" si="311"/>
        <v>0</v>
      </c>
      <c r="U660" s="49">
        <f t="shared" si="311"/>
        <v>0</v>
      </c>
      <c r="V660" s="82">
        <f t="shared" si="311"/>
        <v>0</v>
      </c>
      <c r="W660" s="62">
        <f t="shared" si="311"/>
        <v>0</v>
      </c>
      <c r="X660" s="235">
        <f t="shared" si="311"/>
        <v>0</v>
      </c>
      <c r="Y660" s="291">
        <f t="shared" si="311"/>
        <v>0</v>
      </c>
      <c r="Z660" s="50">
        <f t="shared" si="311"/>
        <v>0</v>
      </c>
      <c r="AA660" s="49">
        <f t="shared" si="311"/>
        <v>1550</v>
      </c>
      <c r="AB660" s="63">
        <f t="shared" si="311"/>
        <v>1585</v>
      </c>
      <c r="AC660" s="62">
        <f t="shared" si="311"/>
        <v>0</v>
      </c>
      <c r="AD660" s="49">
        <f t="shared" si="311"/>
        <v>0</v>
      </c>
      <c r="AE660" s="235">
        <f t="shared" si="311"/>
        <v>0</v>
      </c>
      <c r="AF660" s="82">
        <f t="shared" si="311"/>
        <v>0</v>
      </c>
      <c r="AG660" s="82">
        <f t="shared" si="311"/>
        <v>0</v>
      </c>
      <c r="AH660" s="49">
        <f t="shared" si="311"/>
        <v>0</v>
      </c>
      <c r="AI660" s="82">
        <f t="shared" si="311"/>
        <v>0</v>
      </c>
      <c r="AJ660" s="49">
        <f t="shared" si="311"/>
        <v>2351</v>
      </c>
      <c r="AK660" s="235">
        <f t="shared" si="311"/>
        <v>1893</v>
      </c>
      <c r="AL660" s="82">
        <f t="shared" ref="AL660:BQ660" si="312">SUM(AL4:AL16)+AL19+AL21+AL23+AL26+AL27+SUM(AL33:AL42)+SUM(AL44:AL47)+SUM(AL49:AL51)+AL54+AL68+SUM(AL275:AL286)+SUM(AL319:AL350)+AL396+AL424+SUM(AL482:AL483)+SUM(AL496:AL497)</f>
        <v>2394</v>
      </c>
      <c r="AM660" s="49">
        <f t="shared" si="312"/>
        <v>0</v>
      </c>
      <c r="AN660" s="235">
        <f t="shared" si="312"/>
        <v>0</v>
      </c>
      <c r="AO660" s="235">
        <f t="shared" si="312"/>
        <v>0</v>
      </c>
      <c r="AP660" s="82">
        <f t="shared" si="312"/>
        <v>0</v>
      </c>
      <c r="AQ660" s="49">
        <f t="shared" si="312"/>
        <v>0</v>
      </c>
      <c r="AR660" s="82">
        <f t="shared" si="312"/>
        <v>0</v>
      </c>
      <c r="AS660" s="49">
        <f t="shared" si="312"/>
        <v>0</v>
      </c>
      <c r="AT660" s="235">
        <f t="shared" si="312"/>
        <v>0</v>
      </c>
      <c r="AU660" s="82">
        <f t="shared" si="312"/>
        <v>0</v>
      </c>
      <c r="AV660" s="49">
        <f t="shared" si="312"/>
        <v>0</v>
      </c>
      <c r="AW660" s="235">
        <f t="shared" si="312"/>
        <v>0</v>
      </c>
      <c r="AX660" s="49">
        <f t="shared" si="312"/>
        <v>0</v>
      </c>
      <c r="AY660" s="235">
        <f t="shared" si="312"/>
        <v>0</v>
      </c>
      <c r="AZ660" s="82">
        <f t="shared" si="312"/>
        <v>0</v>
      </c>
      <c r="BA660" s="49">
        <f t="shared" si="312"/>
        <v>0</v>
      </c>
      <c r="BB660" s="49">
        <f t="shared" si="312"/>
        <v>0</v>
      </c>
      <c r="BC660" s="82">
        <f t="shared" si="312"/>
        <v>0</v>
      </c>
      <c r="BD660" s="49">
        <f t="shared" si="312"/>
        <v>0</v>
      </c>
      <c r="BE660" s="49">
        <f t="shared" si="312"/>
        <v>0</v>
      </c>
      <c r="BF660" s="235">
        <f t="shared" si="312"/>
        <v>0</v>
      </c>
      <c r="BG660" s="231">
        <f t="shared" si="312"/>
        <v>0</v>
      </c>
      <c r="BH660" s="543">
        <f t="shared" si="312"/>
        <v>0</v>
      </c>
      <c r="BI660" s="49">
        <f t="shared" si="312"/>
        <v>9235</v>
      </c>
      <c r="BJ660" s="50">
        <f t="shared" si="312"/>
        <v>9408</v>
      </c>
      <c r="BK660" s="49">
        <f t="shared" si="312"/>
        <v>0</v>
      </c>
      <c r="BL660" s="291">
        <f t="shared" si="312"/>
        <v>0</v>
      </c>
      <c r="BM660" s="50">
        <f t="shared" si="312"/>
        <v>0</v>
      </c>
      <c r="BN660" s="49">
        <f t="shared" si="312"/>
        <v>8838</v>
      </c>
      <c r="BO660" s="235">
        <f t="shared" si="312"/>
        <v>9144</v>
      </c>
      <c r="BP660" s="291">
        <f t="shared" si="312"/>
        <v>10202</v>
      </c>
      <c r="BQ660" s="235">
        <f t="shared" si="312"/>
        <v>11819</v>
      </c>
      <c r="BR660" s="82">
        <f t="shared" ref="BR660:CI660" si="313">SUM(BR4:BR16)+BR19+BR21+BR23+BR26+BR27+SUM(BR33:BR42)+SUM(BR44:BR47)+SUM(BR49:BR51)+BR54+BR68+SUM(BR275:BR286)+SUM(BR319:BR350)+BR396+BR424+SUM(BR482:BR483)+SUM(BR496:BR497)</f>
        <v>966</v>
      </c>
      <c r="BS660" s="49">
        <f t="shared" si="313"/>
        <v>0</v>
      </c>
      <c r="BT660" s="50">
        <f t="shared" si="313"/>
        <v>0</v>
      </c>
      <c r="BU660" s="49">
        <f t="shared" si="313"/>
        <v>0</v>
      </c>
      <c r="BV660" s="291">
        <f t="shared" si="313"/>
        <v>0</v>
      </c>
      <c r="BW660" s="63">
        <f t="shared" si="313"/>
        <v>0</v>
      </c>
      <c r="BX660" s="235">
        <f t="shared" si="313"/>
        <v>0</v>
      </c>
      <c r="BY660" s="82">
        <f t="shared" si="313"/>
        <v>0</v>
      </c>
      <c r="BZ660" s="49">
        <f t="shared" si="313"/>
        <v>0</v>
      </c>
      <c r="CA660" s="235">
        <f t="shared" si="313"/>
        <v>0</v>
      </c>
      <c r="CB660" s="291">
        <f t="shared" si="313"/>
        <v>0</v>
      </c>
      <c r="CC660" s="50">
        <f t="shared" si="313"/>
        <v>0</v>
      </c>
      <c r="CD660" s="49">
        <f t="shared" si="313"/>
        <v>0</v>
      </c>
      <c r="CE660" s="235">
        <f t="shared" si="313"/>
        <v>0</v>
      </c>
      <c r="CF660" s="235">
        <f t="shared" si="313"/>
        <v>0</v>
      </c>
      <c r="CG660" s="82">
        <f t="shared" si="313"/>
        <v>0</v>
      </c>
      <c r="CH660" s="49">
        <f t="shared" si="313"/>
        <v>0</v>
      </c>
      <c r="CI660" s="82">
        <f t="shared" si="313"/>
        <v>0</v>
      </c>
    </row>
    <row r="661" spans="2:87" x14ac:dyDescent="0.3">
      <c r="B661" s="16" t="s">
        <v>787</v>
      </c>
      <c r="C661" s="322">
        <f>SUM(C194:C204)+SUM(C209:C212)+SUM(C233:C238)+SUM(C239:C263)+SUM(C287:C309)+C390+SUM(C397:C398)+SUM(C421:C423)+SUM(C425:C426)+SUM(C533:C560)</f>
        <v>96736</v>
      </c>
      <c r="D661" s="235">
        <f>SUM(D194:D204)+SUM(D209:D212)+SUM(D233:D238)+SUM(D239:D263)+SUM(D287:D309)+D390+SUM(D397:D398)+SUM(D421:D423)+SUM(D425:D426)+SUM(D533:D560)</f>
        <v>55877</v>
      </c>
      <c r="E661" s="367">
        <f t="shared" si="224"/>
        <v>0.57762363546146211</v>
      </c>
      <c r="F661" s="49">
        <f t="shared" ref="F661:AK661" si="314">SUM(F194:F204)+SUM(F209:F212)+SUM(F233:F238)+SUM(F239:F263)+SUM(F287:F309)+F390+SUM(F397:F398)+SUM(F421:F423)+SUM(F425:F426)+SUM(F533:F560)</f>
        <v>205</v>
      </c>
      <c r="G661" s="49">
        <f t="shared" si="314"/>
        <v>99</v>
      </c>
      <c r="H661" s="49">
        <f t="shared" si="314"/>
        <v>166</v>
      </c>
      <c r="I661" s="49">
        <f t="shared" si="314"/>
        <v>187</v>
      </c>
      <c r="J661" s="50">
        <f t="shared" si="314"/>
        <v>63</v>
      </c>
      <c r="K661" s="49">
        <f t="shared" si="314"/>
        <v>2217</v>
      </c>
      <c r="L661" s="231">
        <f t="shared" si="314"/>
        <v>2481</v>
      </c>
      <c r="M661" s="543">
        <f t="shared" si="314"/>
        <v>2959</v>
      </c>
      <c r="N661" s="49">
        <f t="shared" si="314"/>
        <v>1098</v>
      </c>
      <c r="O661" s="235">
        <f t="shared" si="314"/>
        <v>1753</v>
      </c>
      <c r="P661" s="291">
        <f t="shared" si="314"/>
        <v>1174</v>
      </c>
      <c r="Q661" s="63">
        <f t="shared" si="314"/>
        <v>3174</v>
      </c>
      <c r="R661" s="63">
        <f t="shared" si="314"/>
        <v>2317</v>
      </c>
      <c r="S661" s="62">
        <f t="shared" si="314"/>
        <v>1963</v>
      </c>
      <c r="T661" s="49">
        <f t="shared" si="314"/>
        <v>3114</v>
      </c>
      <c r="U661" s="49">
        <f t="shared" si="314"/>
        <v>3297</v>
      </c>
      <c r="V661" s="82">
        <f t="shared" si="314"/>
        <v>1162</v>
      </c>
      <c r="W661" s="62">
        <f t="shared" si="314"/>
        <v>3447</v>
      </c>
      <c r="X661" s="235">
        <f t="shared" si="314"/>
        <v>1174</v>
      </c>
      <c r="Y661" s="291">
        <f t="shared" si="314"/>
        <v>1104</v>
      </c>
      <c r="Z661" s="50">
        <f t="shared" si="314"/>
        <v>3355</v>
      </c>
      <c r="AA661" s="49">
        <f t="shared" si="314"/>
        <v>686</v>
      </c>
      <c r="AB661" s="63">
        <f t="shared" si="314"/>
        <v>848</v>
      </c>
      <c r="AC661" s="62">
        <f t="shared" si="314"/>
        <v>0</v>
      </c>
      <c r="AD661" s="49">
        <f t="shared" si="314"/>
        <v>0</v>
      </c>
      <c r="AE661" s="235">
        <f t="shared" si="314"/>
        <v>0</v>
      </c>
      <c r="AF661" s="82">
        <f t="shared" si="314"/>
        <v>1</v>
      </c>
      <c r="AG661" s="82">
        <f t="shared" si="314"/>
        <v>0</v>
      </c>
      <c r="AH661" s="49">
        <f t="shared" si="314"/>
        <v>0</v>
      </c>
      <c r="AI661" s="82">
        <f t="shared" si="314"/>
        <v>0</v>
      </c>
      <c r="AJ661" s="49">
        <f t="shared" si="314"/>
        <v>0</v>
      </c>
      <c r="AK661" s="235">
        <f t="shared" si="314"/>
        <v>0</v>
      </c>
      <c r="AL661" s="82">
        <f t="shared" ref="AL661:BQ661" si="315">SUM(AL194:AL204)+SUM(AL209:AL212)+SUM(AL233:AL238)+SUM(AL239:AL263)+SUM(AL287:AL309)+AL390+SUM(AL397:AL398)+SUM(AL421:AL423)+SUM(AL425:AL426)+SUM(AL533:AL560)</f>
        <v>0</v>
      </c>
      <c r="AM661" s="49">
        <f t="shared" si="315"/>
        <v>5077</v>
      </c>
      <c r="AN661" s="235">
        <f t="shared" si="315"/>
        <v>3350</v>
      </c>
      <c r="AO661" s="235">
        <f t="shared" si="315"/>
        <v>4160</v>
      </c>
      <c r="AP661" s="82">
        <f t="shared" si="315"/>
        <v>5174</v>
      </c>
      <c r="AQ661" s="49">
        <f t="shared" si="315"/>
        <v>1543</v>
      </c>
      <c r="AR661" s="82">
        <f t="shared" si="315"/>
        <v>2152</v>
      </c>
      <c r="AS661" s="49">
        <f t="shared" si="315"/>
        <v>0</v>
      </c>
      <c r="AT661" s="235">
        <f t="shared" si="315"/>
        <v>0</v>
      </c>
      <c r="AU661" s="82">
        <f t="shared" si="315"/>
        <v>0</v>
      </c>
      <c r="AV661" s="49">
        <f t="shared" si="315"/>
        <v>5527</v>
      </c>
      <c r="AW661" s="235">
        <f t="shared" si="315"/>
        <v>6566</v>
      </c>
      <c r="AX661" s="49">
        <f t="shared" si="315"/>
        <v>7096</v>
      </c>
      <c r="AY661" s="235">
        <f t="shared" si="315"/>
        <v>2943</v>
      </c>
      <c r="AZ661" s="82">
        <f t="shared" si="315"/>
        <v>2232</v>
      </c>
      <c r="BA661" s="49">
        <f t="shared" si="315"/>
        <v>0</v>
      </c>
      <c r="BB661" s="49">
        <f t="shared" si="315"/>
        <v>0</v>
      </c>
      <c r="BC661" s="82">
        <f t="shared" si="315"/>
        <v>0</v>
      </c>
      <c r="BD661" s="49">
        <f t="shared" si="315"/>
        <v>0</v>
      </c>
      <c r="BE661" s="49">
        <f t="shared" si="315"/>
        <v>0</v>
      </c>
      <c r="BF661" s="235">
        <f t="shared" si="315"/>
        <v>0</v>
      </c>
      <c r="BG661" s="231">
        <f t="shared" si="315"/>
        <v>0</v>
      </c>
      <c r="BH661" s="543">
        <f t="shared" si="315"/>
        <v>0</v>
      </c>
      <c r="BI661" s="49">
        <f t="shared" si="315"/>
        <v>0</v>
      </c>
      <c r="BJ661" s="50">
        <f t="shared" si="315"/>
        <v>0</v>
      </c>
      <c r="BK661" s="49">
        <f t="shared" si="315"/>
        <v>0</v>
      </c>
      <c r="BL661" s="291">
        <f t="shared" si="315"/>
        <v>0</v>
      </c>
      <c r="BM661" s="50">
        <f t="shared" si="315"/>
        <v>0</v>
      </c>
      <c r="BN661" s="49">
        <f t="shared" si="315"/>
        <v>0</v>
      </c>
      <c r="BO661" s="235">
        <f t="shared" si="315"/>
        <v>0</v>
      </c>
      <c r="BP661" s="291">
        <f t="shared" si="315"/>
        <v>0</v>
      </c>
      <c r="BQ661" s="235">
        <f t="shared" si="315"/>
        <v>0</v>
      </c>
      <c r="BR661" s="82">
        <f t="shared" ref="BR661:CI661" si="316">SUM(BR194:BR204)+SUM(BR209:BR212)+SUM(BR233:BR238)+SUM(BR239:BR263)+SUM(BR287:BR309)+BR390+SUM(BR397:BR398)+SUM(BR421:BR423)+SUM(BR425:BR426)+SUM(BR533:BR560)</f>
        <v>0</v>
      </c>
      <c r="BS661" s="49">
        <f t="shared" si="316"/>
        <v>0</v>
      </c>
      <c r="BT661" s="50">
        <f t="shared" si="316"/>
        <v>0</v>
      </c>
      <c r="BU661" s="49">
        <f t="shared" si="316"/>
        <v>0</v>
      </c>
      <c r="BV661" s="291">
        <f t="shared" si="316"/>
        <v>0</v>
      </c>
      <c r="BW661" s="63">
        <f t="shared" si="316"/>
        <v>0</v>
      </c>
      <c r="BX661" s="235">
        <f t="shared" si="316"/>
        <v>0</v>
      </c>
      <c r="BY661" s="82">
        <f t="shared" si="316"/>
        <v>0</v>
      </c>
      <c r="BZ661" s="49">
        <f t="shared" si="316"/>
        <v>0</v>
      </c>
      <c r="CA661" s="235">
        <f t="shared" si="316"/>
        <v>0</v>
      </c>
      <c r="CB661" s="291">
        <f t="shared" si="316"/>
        <v>0</v>
      </c>
      <c r="CC661" s="50">
        <f t="shared" si="316"/>
        <v>0</v>
      </c>
      <c r="CD661" s="49">
        <f t="shared" si="316"/>
        <v>0</v>
      </c>
      <c r="CE661" s="235">
        <f t="shared" si="316"/>
        <v>0</v>
      </c>
      <c r="CF661" s="235">
        <f t="shared" si="316"/>
        <v>0</v>
      </c>
      <c r="CG661" s="82">
        <f t="shared" si="316"/>
        <v>0</v>
      </c>
      <c r="CH661" s="49">
        <f t="shared" si="316"/>
        <v>0</v>
      </c>
      <c r="CI661" s="82">
        <f t="shared" si="316"/>
        <v>0</v>
      </c>
    </row>
    <row r="662" spans="2:87" x14ac:dyDescent="0.3">
      <c r="B662" s="16" t="s">
        <v>723</v>
      </c>
      <c r="C662" s="322">
        <f>SUM(C205:C208)+SUM(C352:C389)+SUM(C429:C471)+C508+C524</f>
        <v>94007</v>
      </c>
      <c r="D662" s="235">
        <f>SUM(D205:D208)+SUM(D352:D389)+SUM(D429:D471)+D508+D524</f>
        <v>48477</v>
      </c>
      <c r="E662" s="367">
        <f t="shared" si="224"/>
        <v>0.51567436467497096</v>
      </c>
      <c r="F662" s="49">
        <f t="shared" ref="F662:AK662" si="317">SUM(F205:F208)+SUM(F352:F389)+SUM(F429:F471)+F508+F524</f>
        <v>2369</v>
      </c>
      <c r="G662" s="49">
        <f t="shared" si="317"/>
        <v>1092</v>
      </c>
      <c r="H662" s="49">
        <f t="shared" si="317"/>
        <v>1889</v>
      </c>
      <c r="I662" s="49">
        <f t="shared" si="317"/>
        <v>1934</v>
      </c>
      <c r="J662" s="50">
        <f t="shared" si="317"/>
        <v>1870</v>
      </c>
      <c r="K662" s="49">
        <f t="shared" si="317"/>
        <v>0</v>
      </c>
      <c r="L662" s="231">
        <f t="shared" si="317"/>
        <v>0</v>
      </c>
      <c r="M662" s="543">
        <f t="shared" si="317"/>
        <v>0</v>
      </c>
      <c r="N662" s="49">
        <f t="shared" si="317"/>
        <v>0</v>
      </c>
      <c r="O662" s="235">
        <f t="shared" si="317"/>
        <v>0</v>
      </c>
      <c r="P662" s="291">
        <f t="shared" si="317"/>
        <v>0</v>
      </c>
      <c r="Q662" s="63">
        <f t="shared" si="317"/>
        <v>0</v>
      </c>
      <c r="R662" s="63">
        <f t="shared" si="317"/>
        <v>0</v>
      </c>
      <c r="S662" s="62">
        <f t="shared" si="317"/>
        <v>0</v>
      </c>
      <c r="T662" s="49">
        <f t="shared" si="317"/>
        <v>0</v>
      </c>
      <c r="U662" s="49">
        <f t="shared" si="317"/>
        <v>0</v>
      </c>
      <c r="V662" s="82">
        <f t="shared" si="317"/>
        <v>0</v>
      </c>
      <c r="W662" s="62">
        <f t="shared" si="317"/>
        <v>0</v>
      </c>
      <c r="X662" s="235">
        <f t="shared" si="317"/>
        <v>0</v>
      </c>
      <c r="Y662" s="291">
        <f t="shared" si="317"/>
        <v>0</v>
      </c>
      <c r="Z662" s="50">
        <f t="shared" si="317"/>
        <v>0</v>
      </c>
      <c r="AA662" s="49">
        <f t="shared" si="317"/>
        <v>0</v>
      </c>
      <c r="AB662" s="63">
        <f t="shared" si="317"/>
        <v>0</v>
      </c>
      <c r="AC662" s="62">
        <f t="shared" si="317"/>
        <v>0</v>
      </c>
      <c r="AD662" s="49">
        <f t="shared" si="317"/>
        <v>0</v>
      </c>
      <c r="AE662" s="235">
        <f t="shared" si="317"/>
        <v>0</v>
      </c>
      <c r="AF662" s="82">
        <f t="shared" si="317"/>
        <v>0</v>
      </c>
      <c r="AG662" s="82">
        <f t="shared" si="317"/>
        <v>1132</v>
      </c>
      <c r="AH662" s="49">
        <f t="shared" si="317"/>
        <v>0</v>
      </c>
      <c r="AI662" s="82">
        <f t="shared" si="317"/>
        <v>0</v>
      </c>
      <c r="AJ662" s="49">
        <f t="shared" si="317"/>
        <v>0</v>
      </c>
      <c r="AK662" s="235">
        <f t="shared" si="317"/>
        <v>0</v>
      </c>
      <c r="AL662" s="82">
        <f t="shared" ref="AL662:BQ662" si="318">SUM(AL205:AL208)+SUM(AL352:AL389)+SUM(AL429:AL471)+AL508+AL524</f>
        <v>0</v>
      </c>
      <c r="AM662" s="49">
        <f t="shared" si="318"/>
        <v>0</v>
      </c>
      <c r="AN662" s="235">
        <f t="shared" si="318"/>
        <v>0</v>
      </c>
      <c r="AO662" s="235">
        <f t="shared" si="318"/>
        <v>0</v>
      </c>
      <c r="AP662" s="82">
        <f t="shared" si="318"/>
        <v>0</v>
      </c>
      <c r="AQ662" s="49">
        <f t="shared" si="318"/>
        <v>0</v>
      </c>
      <c r="AR662" s="82">
        <f t="shared" si="318"/>
        <v>0</v>
      </c>
      <c r="AS662" s="49">
        <f t="shared" si="318"/>
        <v>0</v>
      </c>
      <c r="AT662" s="235">
        <f t="shared" si="318"/>
        <v>0</v>
      </c>
      <c r="AU662" s="82">
        <f t="shared" si="318"/>
        <v>0</v>
      </c>
      <c r="AV662" s="49">
        <f t="shared" si="318"/>
        <v>0</v>
      </c>
      <c r="AW662" s="235">
        <f t="shared" si="318"/>
        <v>0</v>
      </c>
      <c r="AX662" s="49">
        <f t="shared" si="318"/>
        <v>0</v>
      </c>
      <c r="AY662" s="235">
        <f t="shared" si="318"/>
        <v>0</v>
      </c>
      <c r="AZ662" s="82">
        <f t="shared" si="318"/>
        <v>0</v>
      </c>
      <c r="BA662" s="49">
        <f t="shared" si="318"/>
        <v>0</v>
      </c>
      <c r="BB662" s="49">
        <f t="shared" si="318"/>
        <v>0</v>
      </c>
      <c r="BC662" s="82">
        <f t="shared" si="318"/>
        <v>0</v>
      </c>
      <c r="BD662" s="49">
        <f t="shared" si="318"/>
        <v>0</v>
      </c>
      <c r="BE662" s="49">
        <f t="shared" si="318"/>
        <v>0</v>
      </c>
      <c r="BF662" s="235">
        <f t="shared" si="318"/>
        <v>0</v>
      </c>
      <c r="BG662" s="231">
        <f t="shared" si="318"/>
        <v>0</v>
      </c>
      <c r="BH662" s="543">
        <f t="shared" si="318"/>
        <v>0</v>
      </c>
      <c r="BI662" s="49">
        <f t="shared" si="318"/>
        <v>17693</v>
      </c>
      <c r="BJ662" s="50">
        <f t="shared" si="318"/>
        <v>18141</v>
      </c>
      <c r="BK662" s="49">
        <f t="shared" si="318"/>
        <v>0</v>
      </c>
      <c r="BL662" s="291">
        <f t="shared" si="318"/>
        <v>0</v>
      </c>
      <c r="BM662" s="50">
        <f t="shared" si="318"/>
        <v>0</v>
      </c>
      <c r="BN662" s="49">
        <f t="shared" si="318"/>
        <v>0</v>
      </c>
      <c r="BO662" s="235">
        <f t="shared" si="318"/>
        <v>0</v>
      </c>
      <c r="BP662" s="291">
        <f t="shared" si="318"/>
        <v>0</v>
      </c>
      <c r="BQ662" s="235">
        <f t="shared" si="318"/>
        <v>0</v>
      </c>
      <c r="BR662" s="82">
        <f t="shared" ref="BR662:CI662" si="319">SUM(BR205:BR208)+SUM(BR352:BR389)+SUM(BR429:BR471)+BR508+BR524</f>
        <v>0</v>
      </c>
      <c r="BS662" s="49">
        <f t="shared" si="319"/>
        <v>0</v>
      </c>
      <c r="BT662" s="50">
        <f t="shared" si="319"/>
        <v>0</v>
      </c>
      <c r="BU662" s="49">
        <f t="shared" si="319"/>
        <v>7585</v>
      </c>
      <c r="BV662" s="291">
        <f t="shared" si="319"/>
        <v>7866</v>
      </c>
      <c r="BW662" s="63">
        <f t="shared" si="319"/>
        <v>6293</v>
      </c>
      <c r="BX662" s="235">
        <f t="shared" si="319"/>
        <v>8815</v>
      </c>
      <c r="BY662" s="82">
        <f t="shared" si="319"/>
        <v>4869</v>
      </c>
      <c r="BZ662" s="49">
        <f t="shared" si="319"/>
        <v>4071</v>
      </c>
      <c r="CA662" s="235">
        <f t="shared" si="319"/>
        <v>9331</v>
      </c>
      <c r="CB662" s="291">
        <f t="shared" si="319"/>
        <v>2713</v>
      </c>
      <c r="CC662" s="50">
        <f t="shared" si="319"/>
        <v>6729</v>
      </c>
      <c r="CD662" s="49">
        <f t="shared" si="319"/>
        <v>0</v>
      </c>
      <c r="CE662" s="235">
        <f t="shared" si="319"/>
        <v>0</v>
      </c>
      <c r="CF662" s="235">
        <f t="shared" si="319"/>
        <v>0</v>
      </c>
      <c r="CG662" s="82">
        <f t="shared" si="319"/>
        <v>0</v>
      </c>
      <c r="CH662" s="49">
        <f t="shared" si="319"/>
        <v>0</v>
      </c>
      <c r="CI662" s="82">
        <f t="shared" si="319"/>
        <v>0</v>
      </c>
    </row>
    <row r="663" spans="2:87" x14ac:dyDescent="0.3">
      <c r="B663" s="16" t="s">
        <v>766</v>
      </c>
      <c r="C663" s="322">
        <f>SUM(C119:C121)+SUM(C123:C128)+C130+C131+SUM(C163:C174)+C186+C190+C193+SUM(C226:C231)+SUM(C399:C419)+SUM(C475:C477)+SUM(C484:C495)+SUM(C561:C563)</f>
        <v>80862</v>
      </c>
      <c r="D663" s="235">
        <f>SUM(D119:D121)+SUM(D123:D128)+D130+D131+SUM(D163:D174)+D186+D190+D193+SUM(D226:D231)+SUM(D399:D419)+SUM(D475:D477)+SUM(D484:D495)+SUM(D561:D563)</f>
        <v>35743</v>
      </c>
      <c r="E663" s="367">
        <f t="shared" si="224"/>
        <v>0.44202468402958128</v>
      </c>
      <c r="F663" s="49">
        <f t="shared" ref="F663:AK663" si="320">SUM(F119:F121)+SUM(F123:F128)+F130+F131+SUM(F163:F174)+F186+F190+F193+SUM(F226:F231)+SUM(F399:F419)+SUM(F475:F477)+SUM(F484:F495)+SUM(F561:F563)</f>
        <v>4544</v>
      </c>
      <c r="G663" s="49">
        <f t="shared" si="320"/>
        <v>1992</v>
      </c>
      <c r="H663" s="49">
        <f t="shared" si="320"/>
        <v>3595</v>
      </c>
      <c r="I663" s="49">
        <f t="shared" si="320"/>
        <v>4331</v>
      </c>
      <c r="J663" s="50">
        <f t="shared" si="320"/>
        <v>1811</v>
      </c>
      <c r="K663" s="49">
        <f t="shared" si="320"/>
        <v>0</v>
      </c>
      <c r="L663" s="231">
        <f t="shared" si="320"/>
        <v>0</v>
      </c>
      <c r="M663" s="543">
        <f t="shared" si="320"/>
        <v>0</v>
      </c>
      <c r="N663" s="49">
        <f t="shared" si="320"/>
        <v>0</v>
      </c>
      <c r="O663" s="235">
        <f t="shared" si="320"/>
        <v>0</v>
      </c>
      <c r="P663" s="291">
        <f t="shared" si="320"/>
        <v>0</v>
      </c>
      <c r="Q663" s="63">
        <f t="shared" si="320"/>
        <v>0</v>
      </c>
      <c r="R663" s="63">
        <f t="shared" si="320"/>
        <v>0</v>
      </c>
      <c r="S663" s="62">
        <f t="shared" si="320"/>
        <v>0</v>
      </c>
      <c r="T663" s="49">
        <f t="shared" si="320"/>
        <v>0</v>
      </c>
      <c r="U663" s="49">
        <f t="shared" si="320"/>
        <v>0</v>
      </c>
      <c r="V663" s="82">
        <f t="shared" si="320"/>
        <v>0</v>
      </c>
      <c r="W663" s="62">
        <f t="shared" si="320"/>
        <v>0</v>
      </c>
      <c r="X663" s="235">
        <f t="shared" si="320"/>
        <v>0</v>
      </c>
      <c r="Y663" s="291">
        <f t="shared" si="320"/>
        <v>0</v>
      </c>
      <c r="Z663" s="50">
        <f t="shared" si="320"/>
        <v>0</v>
      </c>
      <c r="AA663" s="49">
        <f t="shared" si="320"/>
        <v>0</v>
      </c>
      <c r="AB663" s="63">
        <f t="shared" si="320"/>
        <v>0</v>
      </c>
      <c r="AC663" s="62">
        <f t="shared" si="320"/>
        <v>0</v>
      </c>
      <c r="AD663" s="49">
        <f t="shared" si="320"/>
        <v>0</v>
      </c>
      <c r="AE663" s="235">
        <f t="shared" si="320"/>
        <v>0</v>
      </c>
      <c r="AF663" s="82">
        <f t="shared" si="320"/>
        <v>0</v>
      </c>
      <c r="AG663" s="82">
        <f t="shared" si="320"/>
        <v>0</v>
      </c>
      <c r="AH663" s="49">
        <f t="shared" si="320"/>
        <v>0</v>
      </c>
      <c r="AI663" s="82">
        <f t="shared" si="320"/>
        <v>0</v>
      </c>
      <c r="AJ663" s="49">
        <f t="shared" si="320"/>
        <v>0</v>
      </c>
      <c r="AK663" s="235">
        <f t="shared" si="320"/>
        <v>0</v>
      </c>
      <c r="AL663" s="82">
        <f t="shared" ref="AL663:BQ663" si="321">SUM(AL119:AL121)+SUM(AL123:AL128)+AL130+AL131+SUM(AL163:AL174)+AL186+AL190+AL193+SUM(AL226:AL231)+SUM(AL399:AL419)+SUM(AL475:AL477)+SUM(AL484:AL495)+SUM(AL561:AL563)</f>
        <v>0</v>
      </c>
      <c r="AM663" s="49">
        <f t="shared" si="321"/>
        <v>0</v>
      </c>
      <c r="AN663" s="235">
        <f t="shared" si="321"/>
        <v>0</v>
      </c>
      <c r="AO663" s="235">
        <f t="shared" si="321"/>
        <v>0</v>
      </c>
      <c r="AP663" s="82">
        <f t="shared" si="321"/>
        <v>0</v>
      </c>
      <c r="AQ663" s="49">
        <f t="shared" si="321"/>
        <v>0</v>
      </c>
      <c r="AR663" s="82">
        <f t="shared" si="321"/>
        <v>0</v>
      </c>
      <c r="AS663" s="49">
        <f t="shared" si="321"/>
        <v>0</v>
      </c>
      <c r="AT663" s="235">
        <f t="shared" si="321"/>
        <v>0</v>
      </c>
      <c r="AU663" s="82">
        <f t="shared" si="321"/>
        <v>0</v>
      </c>
      <c r="AV663" s="49">
        <f t="shared" si="321"/>
        <v>0</v>
      </c>
      <c r="AW663" s="235">
        <f t="shared" si="321"/>
        <v>0</v>
      </c>
      <c r="AX663" s="49">
        <f t="shared" si="321"/>
        <v>0</v>
      </c>
      <c r="AY663" s="235">
        <f t="shared" si="321"/>
        <v>0</v>
      </c>
      <c r="AZ663" s="82">
        <f t="shared" si="321"/>
        <v>0</v>
      </c>
      <c r="BA663" s="49">
        <f t="shared" si="321"/>
        <v>0</v>
      </c>
      <c r="BB663" s="49">
        <f t="shared" si="321"/>
        <v>0</v>
      </c>
      <c r="BC663" s="82">
        <f t="shared" si="321"/>
        <v>0</v>
      </c>
      <c r="BD663" s="49">
        <f t="shared" si="321"/>
        <v>0</v>
      </c>
      <c r="BE663" s="49">
        <f t="shared" si="321"/>
        <v>0</v>
      </c>
      <c r="BF663" s="235">
        <f t="shared" si="321"/>
        <v>0</v>
      </c>
      <c r="BG663" s="231">
        <f t="shared" si="321"/>
        <v>0</v>
      </c>
      <c r="BH663" s="543">
        <f t="shared" si="321"/>
        <v>0</v>
      </c>
      <c r="BI663" s="49">
        <f t="shared" si="321"/>
        <v>11513</v>
      </c>
      <c r="BJ663" s="50">
        <f t="shared" si="321"/>
        <v>11114</v>
      </c>
      <c r="BK663" s="49">
        <f t="shared" si="321"/>
        <v>0</v>
      </c>
      <c r="BL663" s="291">
        <f t="shared" si="321"/>
        <v>0</v>
      </c>
      <c r="BM663" s="50">
        <f t="shared" si="321"/>
        <v>0</v>
      </c>
      <c r="BN663" s="49">
        <f t="shared" si="321"/>
        <v>0</v>
      </c>
      <c r="BO663" s="235">
        <f t="shared" si="321"/>
        <v>0</v>
      </c>
      <c r="BP663" s="291">
        <f t="shared" si="321"/>
        <v>0</v>
      </c>
      <c r="BQ663" s="235">
        <f t="shared" si="321"/>
        <v>0</v>
      </c>
      <c r="BR663" s="82">
        <f t="shared" ref="BR663:CI663" si="322">SUM(BR119:BR121)+SUM(BR123:BR128)+BR130+BR131+SUM(BR163:BR174)+BR186+BR190+BR193+SUM(BR226:BR231)+SUM(BR399:BR419)+SUM(BR475:BR477)+SUM(BR484:BR495)+SUM(BR561:BR563)</f>
        <v>0</v>
      </c>
      <c r="BS663" s="49">
        <f t="shared" si="322"/>
        <v>0</v>
      </c>
      <c r="BT663" s="50">
        <f t="shared" si="322"/>
        <v>0</v>
      </c>
      <c r="BU663" s="49">
        <f t="shared" si="322"/>
        <v>0</v>
      </c>
      <c r="BV663" s="291">
        <f t="shared" si="322"/>
        <v>0</v>
      </c>
      <c r="BW663" s="63">
        <f t="shared" si="322"/>
        <v>0</v>
      </c>
      <c r="BX663" s="235">
        <f t="shared" si="322"/>
        <v>0</v>
      </c>
      <c r="BY663" s="82">
        <f t="shared" si="322"/>
        <v>0</v>
      </c>
      <c r="BZ663" s="49">
        <f t="shared" si="322"/>
        <v>3033</v>
      </c>
      <c r="CA663" s="235">
        <f t="shared" si="322"/>
        <v>5833</v>
      </c>
      <c r="CB663" s="291">
        <f t="shared" si="322"/>
        <v>1982</v>
      </c>
      <c r="CC663" s="50">
        <f t="shared" si="322"/>
        <v>4386</v>
      </c>
      <c r="CD663" s="49">
        <f t="shared" si="322"/>
        <v>4371</v>
      </c>
      <c r="CE663" s="235">
        <f t="shared" si="322"/>
        <v>3137</v>
      </c>
      <c r="CF663" s="235">
        <f t="shared" si="322"/>
        <v>3656</v>
      </c>
      <c r="CG663" s="82">
        <f t="shared" si="322"/>
        <v>2395</v>
      </c>
      <c r="CH663" s="49">
        <f t="shared" si="322"/>
        <v>4236</v>
      </c>
      <c r="CI663" s="82">
        <f t="shared" si="322"/>
        <v>201</v>
      </c>
    </row>
    <row r="664" spans="2:87" x14ac:dyDescent="0.3">
      <c r="B664" s="17" t="s">
        <v>788</v>
      </c>
      <c r="C664" s="477">
        <v>245203</v>
      </c>
      <c r="D664" s="236">
        <v>100822</v>
      </c>
      <c r="E664" s="367">
        <f t="shared" si="224"/>
        <v>0.41117767727148524</v>
      </c>
      <c r="F664" s="49">
        <f>SUM(F4:F193)+SUM(F205:F208)+SUM(F248)+SUM(F253)+SUM(F315:F318)+SUM(F390:F395)+SUM(F398)+SUM(F402)+SUM(F405)+SUM(F416:F418)+SUM(F424)+SUM(F427:F428)+SUM(F430:F431)+SUM(F433)+SUM(F436)+SUM(F451)+SUM(F455:F456)+SUM(F460)+SUM(F464)+SUM(F502:F504)+SUM(F509)+SUM(F513)+SUM(F516)+SUM(F518)+SUM(F540)</f>
        <v>56156</v>
      </c>
      <c r="G664" s="235">
        <f t="shared" ref="G664:BR664" si="323">SUM(G4:G193)+SUM(G205:G208)+SUM(G248)+SUM(G253)+SUM(G315:G318)+SUM(G390:G395)+SUM(G398)+SUM(G402)+SUM(G405)+SUM(G416:G418)+SUM(G424)+SUM(G427:G428)+SUM(G430:G431)+SUM(G433)+SUM(G436)+SUM(G451)+SUM(G455:G456)+SUM(G460)+SUM(G464)+SUM(G502:G504)+SUM(G509)+SUM(G513)+SUM(G516)+SUM(G518)+SUM(G540)</f>
        <v>19835</v>
      </c>
      <c r="H664" s="235">
        <f t="shared" si="323"/>
        <v>45418</v>
      </c>
      <c r="I664" s="235">
        <f t="shared" si="323"/>
        <v>54464</v>
      </c>
      <c r="J664" s="50">
        <f t="shared" si="323"/>
        <v>12952</v>
      </c>
      <c r="K664" s="49">
        <f t="shared" si="323"/>
        <v>64</v>
      </c>
      <c r="L664" s="231">
        <f t="shared" si="323"/>
        <v>56</v>
      </c>
      <c r="M664" s="543">
        <f t="shared" si="323"/>
        <v>79</v>
      </c>
      <c r="N664" s="49">
        <f t="shared" si="323"/>
        <v>22</v>
      </c>
      <c r="O664" s="235">
        <f t="shared" si="323"/>
        <v>51</v>
      </c>
      <c r="P664" s="291">
        <f t="shared" si="323"/>
        <v>16</v>
      </c>
      <c r="Q664" s="63">
        <f t="shared" si="323"/>
        <v>96</v>
      </c>
      <c r="R664" s="63">
        <f t="shared" si="323"/>
        <v>87</v>
      </c>
      <c r="S664" s="62">
        <f t="shared" si="323"/>
        <v>0</v>
      </c>
      <c r="T664" s="49">
        <f t="shared" si="323"/>
        <v>0</v>
      </c>
      <c r="U664" s="49">
        <f t="shared" si="323"/>
        <v>0</v>
      </c>
      <c r="V664" s="82">
        <f t="shared" si="323"/>
        <v>0</v>
      </c>
      <c r="W664" s="62">
        <f t="shared" si="323"/>
        <v>787</v>
      </c>
      <c r="X664" s="235">
        <f t="shared" si="323"/>
        <v>266</v>
      </c>
      <c r="Y664" s="291">
        <f t="shared" si="323"/>
        <v>251</v>
      </c>
      <c r="Z664" s="50">
        <f t="shared" si="323"/>
        <v>786</v>
      </c>
      <c r="AA664" s="49">
        <f t="shared" si="323"/>
        <v>367</v>
      </c>
      <c r="AB664" s="63">
        <f t="shared" si="323"/>
        <v>372</v>
      </c>
      <c r="AC664" s="62">
        <f t="shared" si="323"/>
        <v>0</v>
      </c>
      <c r="AD664" s="49">
        <f t="shared" si="323"/>
        <v>0</v>
      </c>
      <c r="AE664" s="235">
        <f t="shared" si="323"/>
        <v>0</v>
      </c>
      <c r="AF664" s="82">
        <f t="shared" si="323"/>
        <v>0</v>
      </c>
      <c r="AG664" s="82">
        <f t="shared" si="323"/>
        <v>0</v>
      </c>
      <c r="AH664" s="49">
        <f t="shared" si="323"/>
        <v>0</v>
      </c>
      <c r="AI664" s="82">
        <f t="shared" si="323"/>
        <v>0</v>
      </c>
      <c r="AJ664" s="49">
        <f t="shared" si="323"/>
        <v>0</v>
      </c>
      <c r="AK664" s="235">
        <f t="shared" si="323"/>
        <v>0</v>
      </c>
      <c r="AL664" s="82">
        <f t="shared" si="323"/>
        <v>0</v>
      </c>
      <c r="AM664" s="49">
        <f t="shared" si="323"/>
        <v>0</v>
      </c>
      <c r="AN664" s="235">
        <f t="shared" si="323"/>
        <v>0</v>
      </c>
      <c r="AO664" s="235">
        <f t="shared" si="323"/>
        <v>0</v>
      </c>
      <c r="AP664" s="82">
        <f t="shared" si="323"/>
        <v>0</v>
      </c>
      <c r="AQ664" s="49">
        <f t="shared" si="323"/>
        <v>0</v>
      </c>
      <c r="AR664" s="82">
        <f t="shared" si="323"/>
        <v>0</v>
      </c>
      <c r="AS664" s="49">
        <f t="shared" si="323"/>
        <v>0</v>
      </c>
      <c r="AT664" s="235">
        <f t="shared" si="323"/>
        <v>0</v>
      </c>
      <c r="AU664" s="82">
        <f t="shared" si="323"/>
        <v>0</v>
      </c>
      <c r="AV664" s="49">
        <f t="shared" si="323"/>
        <v>0</v>
      </c>
      <c r="AW664" s="235">
        <f t="shared" si="323"/>
        <v>0</v>
      </c>
      <c r="AX664" s="49">
        <f t="shared" si="323"/>
        <v>0</v>
      </c>
      <c r="AY664" s="235">
        <f t="shared" si="323"/>
        <v>0</v>
      </c>
      <c r="AZ664" s="82">
        <f t="shared" si="323"/>
        <v>0</v>
      </c>
      <c r="BA664" s="49">
        <f t="shared" si="323"/>
        <v>0</v>
      </c>
      <c r="BB664" s="49">
        <f t="shared" si="323"/>
        <v>0</v>
      </c>
      <c r="BC664" s="82">
        <f t="shared" si="323"/>
        <v>0</v>
      </c>
      <c r="BD664" s="49">
        <f t="shared" si="323"/>
        <v>0</v>
      </c>
      <c r="BE664" s="49">
        <f t="shared" si="323"/>
        <v>0</v>
      </c>
      <c r="BF664" s="235">
        <f t="shared" si="323"/>
        <v>0</v>
      </c>
      <c r="BG664" s="231">
        <f t="shared" si="323"/>
        <v>0</v>
      </c>
      <c r="BH664" s="543">
        <f t="shared" si="323"/>
        <v>0</v>
      </c>
      <c r="BI664" s="49">
        <f t="shared" si="323"/>
        <v>2461</v>
      </c>
      <c r="BJ664" s="50">
        <f t="shared" si="323"/>
        <v>2549</v>
      </c>
      <c r="BK664" s="49">
        <f t="shared" si="323"/>
        <v>251</v>
      </c>
      <c r="BL664" s="291">
        <f t="shared" si="323"/>
        <v>306</v>
      </c>
      <c r="BM664" s="50">
        <f t="shared" si="323"/>
        <v>309</v>
      </c>
      <c r="BN664" s="49">
        <f t="shared" si="323"/>
        <v>0</v>
      </c>
      <c r="BO664" s="235">
        <f t="shared" si="323"/>
        <v>0</v>
      </c>
      <c r="BP664" s="291">
        <f t="shared" si="323"/>
        <v>0</v>
      </c>
      <c r="BQ664" s="235">
        <f t="shared" si="323"/>
        <v>0</v>
      </c>
      <c r="BR664" s="82">
        <f t="shared" si="323"/>
        <v>0</v>
      </c>
      <c r="BS664" s="49">
        <f t="shared" ref="BS664:CI664" si="324">SUM(BS4:BS193)+SUM(BS205:BS208)+SUM(BS248)+SUM(BS253)+SUM(BS315:BS318)+SUM(BS390:BS395)+SUM(BS398)+SUM(BS402)+SUM(BS405)+SUM(BS416:BS418)+SUM(BS424)+SUM(BS427:BS428)+SUM(BS430:BS431)+SUM(BS433)+SUM(BS436)+SUM(BS451)+SUM(BS455:BS456)+SUM(BS460)+SUM(BS464)+SUM(BS502:BS504)+SUM(BS509)+SUM(BS513)+SUM(BS516)+SUM(BS518)+SUM(BS540)</f>
        <v>0</v>
      </c>
      <c r="BT664" s="50">
        <f t="shared" si="324"/>
        <v>0</v>
      </c>
      <c r="BU664" s="49">
        <f t="shared" si="324"/>
        <v>212</v>
      </c>
      <c r="BV664" s="291">
        <f t="shared" si="324"/>
        <v>344</v>
      </c>
      <c r="BW664" s="63">
        <f t="shared" si="324"/>
        <v>238</v>
      </c>
      <c r="BX664" s="235">
        <f t="shared" si="324"/>
        <v>301</v>
      </c>
      <c r="BY664" s="82">
        <f t="shared" si="324"/>
        <v>166</v>
      </c>
      <c r="BZ664" s="49">
        <f t="shared" si="324"/>
        <v>1195</v>
      </c>
      <c r="CA664" s="235">
        <f t="shared" si="324"/>
        <v>2568</v>
      </c>
      <c r="CB664" s="291">
        <f t="shared" si="324"/>
        <v>733</v>
      </c>
      <c r="CC664" s="50">
        <f t="shared" si="324"/>
        <v>1982</v>
      </c>
      <c r="CD664" s="49">
        <f t="shared" si="324"/>
        <v>0</v>
      </c>
      <c r="CE664" s="235">
        <f t="shared" si="324"/>
        <v>0</v>
      </c>
      <c r="CF664" s="235">
        <f t="shared" si="324"/>
        <v>0</v>
      </c>
      <c r="CG664" s="82">
        <f t="shared" si="324"/>
        <v>0</v>
      </c>
      <c r="CH664" s="49">
        <f t="shared" si="324"/>
        <v>0</v>
      </c>
      <c r="CI664" s="82">
        <f t="shared" si="324"/>
        <v>0</v>
      </c>
    </row>
    <row r="665" spans="2:87" x14ac:dyDescent="0.3">
      <c r="B665" s="17" t="s">
        <v>724</v>
      </c>
      <c r="C665" s="477">
        <v>8526</v>
      </c>
      <c r="D665" s="236">
        <v>4650</v>
      </c>
      <c r="E665" s="367">
        <f t="shared" si="224"/>
        <v>0.54539057002111191</v>
      </c>
      <c r="F665" s="49">
        <v>0</v>
      </c>
      <c r="G665" s="235">
        <v>0</v>
      </c>
      <c r="H665" s="235">
        <v>0</v>
      </c>
      <c r="I665" s="235">
        <v>0</v>
      </c>
      <c r="J665" s="50">
        <v>0</v>
      </c>
      <c r="K665" s="49">
        <f>SUM(K209:K212)+K502+K535+K539+K543+K544+K546</f>
        <v>2281</v>
      </c>
      <c r="L665" s="231">
        <v>0</v>
      </c>
      <c r="M665" s="543">
        <v>0</v>
      </c>
      <c r="N665" s="49">
        <v>0</v>
      </c>
      <c r="O665" s="235">
        <v>0</v>
      </c>
      <c r="P665" s="291">
        <v>0</v>
      </c>
      <c r="Q665" s="63">
        <v>0</v>
      </c>
      <c r="R665" s="63">
        <v>0</v>
      </c>
      <c r="S665" s="62">
        <f>SUM(S209:S212)+S502+S535+S539+S543+S544+S546</f>
        <v>0</v>
      </c>
      <c r="T665" s="49">
        <v>0</v>
      </c>
      <c r="U665" s="49">
        <v>0</v>
      </c>
      <c r="V665" s="82">
        <f>SUM(V209:V212)+V502+V535+V539+V543+V544+V546</f>
        <v>0</v>
      </c>
      <c r="W665" s="62">
        <f>SUM(W209:W212)+W502+W535+W539+W543+W544+W546</f>
        <v>0</v>
      </c>
      <c r="X665" s="235">
        <v>0</v>
      </c>
      <c r="Y665" s="291">
        <v>0</v>
      </c>
      <c r="Z665" s="50">
        <f>SUM(Z209:Z212)+Z502+Z535+Z539+Z543+Z544+Z546</f>
        <v>0</v>
      </c>
      <c r="AA665" s="49">
        <f>SUM(AA209:AA212)+AA502+AA535+AA539+AA543+AA544+AA546</f>
        <v>0</v>
      </c>
      <c r="AB665" s="63">
        <f>SUM(AB209:AB212)+AB502+AB535+AB539+AB543+AB544+AB546</f>
        <v>0</v>
      </c>
      <c r="AC665" s="62">
        <f>SUM(AC209:AC212)+AC502+AC535+AC539+AC543+AC544+AC546</f>
        <v>0</v>
      </c>
      <c r="AD665" s="49">
        <v>0</v>
      </c>
      <c r="AE665" s="235">
        <v>0</v>
      </c>
      <c r="AF665" s="82">
        <f t="shared" ref="AF665:AM665" si="325">SUM(AF209:AF212)+AF502+AF535+AF539+AF543+AF544+AF546</f>
        <v>0</v>
      </c>
      <c r="AG665" s="82">
        <f t="shared" si="325"/>
        <v>0</v>
      </c>
      <c r="AH665" s="49">
        <f t="shared" si="325"/>
        <v>0</v>
      </c>
      <c r="AI665" s="82">
        <f t="shared" si="325"/>
        <v>0</v>
      </c>
      <c r="AJ665" s="49">
        <f t="shared" si="325"/>
        <v>0</v>
      </c>
      <c r="AK665" s="235">
        <f t="shared" si="325"/>
        <v>0</v>
      </c>
      <c r="AL665" s="82">
        <f t="shared" si="325"/>
        <v>0</v>
      </c>
      <c r="AM665" s="49">
        <f t="shared" si="325"/>
        <v>0</v>
      </c>
      <c r="AN665" s="235">
        <v>0</v>
      </c>
      <c r="AO665" s="235">
        <f t="shared" ref="AO665:BD665" si="326">SUM(AO209:AO212)+AO502+AO535+AO539+AO543+AO544+AO546</f>
        <v>0</v>
      </c>
      <c r="AP665" s="82">
        <f t="shared" si="326"/>
        <v>0</v>
      </c>
      <c r="AQ665" s="49">
        <f t="shared" si="326"/>
        <v>0</v>
      </c>
      <c r="AR665" s="82">
        <f t="shared" si="326"/>
        <v>0</v>
      </c>
      <c r="AS665" s="49">
        <f t="shared" si="326"/>
        <v>0</v>
      </c>
      <c r="AT665" s="235">
        <f t="shared" si="326"/>
        <v>0</v>
      </c>
      <c r="AU665" s="82">
        <f t="shared" si="326"/>
        <v>0</v>
      </c>
      <c r="AV665" s="49">
        <f t="shared" si="326"/>
        <v>0</v>
      </c>
      <c r="AW665" s="235">
        <f t="shared" si="326"/>
        <v>0</v>
      </c>
      <c r="AX665" s="49">
        <f t="shared" si="326"/>
        <v>0</v>
      </c>
      <c r="AY665" s="235">
        <f t="shared" si="326"/>
        <v>0</v>
      </c>
      <c r="AZ665" s="82">
        <f t="shared" si="326"/>
        <v>0</v>
      </c>
      <c r="BA665" s="49">
        <f t="shared" si="326"/>
        <v>0</v>
      </c>
      <c r="BB665" s="49">
        <f t="shared" si="326"/>
        <v>0</v>
      </c>
      <c r="BC665" s="82">
        <f t="shared" si="326"/>
        <v>0</v>
      </c>
      <c r="BD665" s="49">
        <f t="shared" si="326"/>
        <v>0</v>
      </c>
      <c r="BE665" s="49">
        <v>0</v>
      </c>
      <c r="BF665" s="235">
        <f t="shared" ref="BF665:BO665" si="327">SUM(BF209:BF212)+BF502+BF535+BF539+BF543+BF544+BF546</f>
        <v>0</v>
      </c>
      <c r="BG665" s="231">
        <f t="shared" si="327"/>
        <v>0</v>
      </c>
      <c r="BH665" s="543">
        <f t="shared" si="327"/>
        <v>0</v>
      </c>
      <c r="BI665" s="49">
        <f t="shared" si="327"/>
        <v>0</v>
      </c>
      <c r="BJ665" s="50">
        <f t="shared" si="327"/>
        <v>0</v>
      </c>
      <c r="BK665" s="49">
        <f t="shared" si="327"/>
        <v>0</v>
      </c>
      <c r="BL665" s="291">
        <f t="shared" si="327"/>
        <v>0</v>
      </c>
      <c r="BM665" s="50">
        <f t="shared" si="327"/>
        <v>0</v>
      </c>
      <c r="BN665" s="49">
        <f t="shared" si="327"/>
        <v>0</v>
      </c>
      <c r="BO665" s="235">
        <f t="shared" si="327"/>
        <v>0</v>
      </c>
      <c r="BP665" s="291">
        <v>0</v>
      </c>
      <c r="BQ665" s="235">
        <f t="shared" ref="BQ665:CD665" si="328">SUM(BQ209:BQ212)+BQ502+BQ535+BQ539+BQ543+BQ544+BQ546</f>
        <v>0</v>
      </c>
      <c r="BR665" s="82">
        <f t="shared" si="328"/>
        <v>0</v>
      </c>
      <c r="BS665" s="49">
        <f t="shared" si="328"/>
        <v>0</v>
      </c>
      <c r="BT665" s="50">
        <f t="shared" si="328"/>
        <v>0</v>
      </c>
      <c r="BU665" s="49">
        <f t="shared" si="328"/>
        <v>0</v>
      </c>
      <c r="BV665" s="291">
        <f t="shared" si="328"/>
        <v>0</v>
      </c>
      <c r="BW665" s="63">
        <f t="shared" si="328"/>
        <v>0</v>
      </c>
      <c r="BX665" s="235">
        <f t="shared" si="328"/>
        <v>0</v>
      </c>
      <c r="BY665" s="82">
        <f t="shared" si="328"/>
        <v>0</v>
      </c>
      <c r="BZ665" s="49">
        <f t="shared" si="328"/>
        <v>0</v>
      </c>
      <c r="CA665" s="235">
        <f t="shared" si="328"/>
        <v>0</v>
      </c>
      <c r="CB665" s="291">
        <f t="shared" si="328"/>
        <v>0</v>
      </c>
      <c r="CC665" s="50">
        <f t="shared" si="328"/>
        <v>0</v>
      </c>
      <c r="CD665" s="49">
        <f t="shared" si="328"/>
        <v>0</v>
      </c>
      <c r="CE665" s="235">
        <v>0</v>
      </c>
      <c r="CF665" s="235">
        <f>SUM(CF209:CF212)+CF502+CF535+CF539+CF543+CF544+CF546</f>
        <v>0</v>
      </c>
      <c r="CG665" s="82">
        <f>SUM(CG209:CG212)+CG502+CG535+CG539+CG543+CG544+CG546</f>
        <v>0</v>
      </c>
      <c r="CH665" s="49">
        <f>SUM(CH209:CH212)+CH502+CH535+CH539+CH543+CH544+CH546</f>
        <v>0</v>
      </c>
      <c r="CI665" s="82">
        <f>SUM(CI209:CI212)+CI502+CI535+CI539+CI543+CI544+CI546</f>
        <v>0</v>
      </c>
    </row>
    <row r="666" spans="2:87" x14ac:dyDescent="0.3">
      <c r="B666" s="17" t="s">
        <v>725</v>
      </c>
      <c r="C666" s="477">
        <v>11287</v>
      </c>
      <c r="D666" s="236">
        <v>6614</v>
      </c>
      <c r="E666" s="367">
        <f t="shared" si="224"/>
        <v>0.58598387525471785</v>
      </c>
      <c r="F666" s="49">
        <f t="shared" ref="F666:M666" si="329">SUM(F233:F238)+F249+SUM(F397)+SUM(F537:F540)+F543+F545+SUM(F547:F548)+SUM(F254)</f>
        <v>117</v>
      </c>
      <c r="G666" s="235">
        <f t="shared" si="329"/>
        <v>59</v>
      </c>
      <c r="H666" s="235">
        <f t="shared" si="329"/>
        <v>96</v>
      </c>
      <c r="I666" s="235">
        <f t="shared" si="329"/>
        <v>103</v>
      </c>
      <c r="J666" s="50">
        <f t="shared" si="329"/>
        <v>36</v>
      </c>
      <c r="K666" s="49">
        <f t="shared" si="329"/>
        <v>84</v>
      </c>
      <c r="L666" s="231">
        <f t="shared" si="329"/>
        <v>92</v>
      </c>
      <c r="M666" s="543">
        <f t="shared" si="329"/>
        <v>121</v>
      </c>
      <c r="N666" s="49">
        <f>SUM(N233:N238)+N249+SUM(N397)+SUM(N537:N540)+N543+N545+SUM(N547:N548)+SUM(N254)</f>
        <v>1098</v>
      </c>
      <c r="O666" s="235">
        <f t="shared" ref="O666:BZ666" si="330">SUM(O233:O238)+O249+SUM(O397)+SUM(O537:O540)+O543+O545+SUM(O547:O548)+SUM(O254)</f>
        <v>1753</v>
      </c>
      <c r="P666" s="291">
        <f t="shared" si="330"/>
        <v>1174</v>
      </c>
      <c r="Q666" s="63">
        <f t="shared" si="330"/>
        <v>3174</v>
      </c>
      <c r="R666" s="63">
        <f t="shared" si="330"/>
        <v>2317</v>
      </c>
      <c r="S666" s="62">
        <f t="shared" si="330"/>
        <v>0</v>
      </c>
      <c r="T666" s="49">
        <f t="shared" si="330"/>
        <v>0</v>
      </c>
      <c r="U666" s="49">
        <f t="shared" si="330"/>
        <v>0</v>
      </c>
      <c r="V666" s="82">
        <f t="shared" si="330"/>
        <v>0</v>
      </c>
      <c r="W666" s="62">
        <f t="shared" si="330"/>
        <v>594</v>
      </c>
      <c r="X666" s="235">
        <f t="shared" si="330"/>
        <v>209</v>
      </c>
      <c r="Y666" s="291">
        <f t="shared" si="330"/>
        <v>187</v>
      </c>
      <c r="Z666" s="50">
        <f t="shared" si="330"/>
        <v>583</v>
      </c>
      <c r="AA666" s="49">
        <f t="shared" si="330"/>
        <v>2</v>
      </c>
      <c r="AB666" s="63">
        <f t="shared" si="330"/>
        <v>3</v>
      </c>
      <c r="AC666" s="62">
        <f t="shared" si="330"/>
        <v>0</v>
      </c>
      <c r="AD666" s="49">
        <f t="shared" si="330"/>
        <v>0</v>
      </c>
      <c r="AE666" s="235">
        <f t="shared" si="330"/>
        <v>0</v>
      </c>
      <c r="AF666" s="82">
        <f t="shared" si="330"/>
        <v>1</v>
      </c>
      <c r="AG666" s="82">
        <f t="shared" si="330"/>
        <v>0</v>
      </c>
      <c r="AH666" s="49">
        <f t="shared" si="330"/>
        <v>0</v>
      </c>
      <c r="AI666" s="82">
        <f t="shared" si="330"/>
        <v>0</v>
      </c>
      <c r="AJ666" s="49">
        <f t="shared" si="330"/>
        <v>0</v>
      </c>
      <c r="AK666" s="235">
        <f t="shared" si="330"/>
        <v>0</v>
      </c>
      <c r="AL666" s="82">
        <f t="shared" si="330"/>
        <v>0</v>
      </c>
      <c r="AM666" s="49">
        <f t="shared" si="330"/>
        <v>0</v>
      </c>
      <c r="AN666" s="235">
        <f t="shared" si="330"/>
        <v>0</v>
      </c>
      <c r="AO666" s="235">
        <f t="shared" si="330"/>
        <v>0</v>
      </c>
      <c r="AP666" s="82">
        <f t="shared" si="330"/>
        <v>0</v>
      </c>
      <c r="AQ666" s="49">
        <f t="shared" si="330"/>
        <v>0</v>
      </c>
      <c r="AR666" s="82">
        <f t="shared" si="330"/>
        <v>0</v>
      </c>
      <c r="AS666" s="49">
        <f t="shared" si="330"/>
        <v>0</v>
      </c>
      <c r="AT666" s="235">
        <f t="shared" si="330"/>
        <v>0</v>
      </c>
      <c r="AU666" s="82">
        <f t="shared" si="330"/>
        <v>0</v>
      </c>
      <c r="AV666" s="49">
        <f t="shared" si="330"/>
        <v>158</v>
      </c>
      <c r="AW666" s="235">
        <f t="shared" si="330"/>
        <v>231</v>
      </c>
      <c r="AX666" s="49">
        <f t="shared" si="330"/>
        <v>167</v>
      </c>
      <c r="AY666" s="235">
        <f t="shared" si="330"/>
        <v>82</v>
      </c>
      <c r="AZ666" s="82">
        <f t="shared" si="330"/>
        <v>51</v>
      </c>
      <c r="BA666" s="49">
        <f t="shared" si="330"/>
        <v>0</v>
      </c>
      <c r="BB666" s="49">
        <f t="shared" si="330"/>
        <v>0</v>
      </c>
      <c r="BC666" s="82">
        <f t="shared" si="330"/>
        <v>0</v>
      </c>
      <c r="BD666" s="49">
        <f t="shared" si="330"/>
        <v>0</v>
      </c>
      <c r="BE666" s="49">
        <f t="shared" si="330"/>
        <v>0</v>
      </c>
      <c r="BF666" s="235">
        <f t="shared" si="330"/>
        <v>0</v>
      </c>
      <c r="BG666" s="231">
        <f t="shared" si="330"/>
        <v>0</v>
      </c>
      <c r="BH666" s="543">
        <f t="shared" si="330"/>
        <v>0</v>
      </c>
      <c r="BI666" s="49">
        <f t="shared" si="330"/>
        <v>0</v>
      </c>
      <c r="BJ666" s="50">
        <f t="shared" si="330"/>
        <v>0</v>
      </c>
      <c r="BK666" s="49">
        <f t="shared" si="330"/>
        <v>0</v>
      </c>
      <c r="BL666" s="291">
        <f t="shared" si="330"/>
        <v>0</v>
      </c>
      <c r="BM666" s="50">
        <f t="shared" si="330"/>
        <v>0</v>
      </c>
      <c r="BN666" s="49">
        <f t="shared" si="330"/>
        <v>0</v>
      </c>
      <c r="BO666" s="235">
        <f t="shared" si="330"/>
        <v>0</v>
      </c>
      <c r="BP666" s="291">
        <f t="shared" si="330"/>
        <v>0</v>
      </c>
      <c r="BQ666" s="235">
        <f t="shared" si="330"/>
        <v>0</v>
      </c>
      <c r="BR666" s="82">
        <f t="shared" si="330"/>
        <v>0</v>
      </c>
      <c r="BS666" s="49">
        <f t="shared" si="330"/>
        <v>0</v>
      </c>
      <c r="BT666" s="50">
        <f t="shared" si="330"/>
        <v>0</v>
      </c>
      <c r="BU666" s="49">
        <f t="shared" si="330"/>
        <v>0</v>
      </c>
      <c r="BV666" s="291">
        <f t="shared" si="330"/>
        <v>0</v>
      </c>
      <c r="BW666" s="63">
        <f t="shared" si="330"/>
        <v>0</v>
      </c>
      <c r="BX666" s="235">
        <f t="shared" si="330"/>
        <v>0</v>
      </c>
      <c r="BY666" s="82">
        <f t="shared" si="330"/>
        <v>0</v>
      </c>
      <c r="BZ666" s="49">
        <f t="shared" si="330"/>
        <v>0</v>
      </c>
      <c r="CA666" s="235">
        <f t="shared" ref="CA666:CI666" si="331">SUM(CA233:CA238)+CA249+SUM(CA397)+SUM(CA537:CA540)+CA543+CA545+SUM(CA547:CA548)+SUM(CA254)</f>
        <v>0</v>
      </c>
      <c r="CB666" s="291">
        <f t="shared" si="331"/>
        <v>0</v>
      </c>
      <c r="CC666" s="50">
        <f t="shared" si="331"/>
        <v>0</v>
      </c>
      <c r="CD666" s="49">
        <f t="shared" si="331"/>
        <v>0</v>
      </c>
      <c r="CE666" s="235">
        <f t="shared" si="331"/>
        <v>0</v>
      </c>
      <c r="CF666" s="235">
        <f t="shared" si="331"/>
        <v>0</v>
      </c>
      <c r="CG666" s="82">
        <f t="shared" si="331"/>
        <v>0</v>
      </c>
      <c r="CH666" s="49">
        <f t="shared" si="331"/>
        <v>0</v>
      </c>
      <c r="CI666" s="82">
        <f t="shared" si="331"/>
        <v>0</v>
      </c>
    </row>
    <row r="667" spans="2:87" x14ac:dyDescent="0.3">
      <c r="B667" s="17" t="s">
        <v>726</v>
      </c>
      <c r="C667" s="477">
        <v>10839</v>
      </c>
      <c r="D667" s="236">
        <v>6400</v>
      </c>
      <c r="E667" s="367">
        <f t="shared" si="224"/>
        <v>0.59046037457330014</v>
      </c>
      <c r="F667" s="49">
        <f>SUM(F234:F239)+F250+SUM(F398)+SUM(F538:F541)+F544+F546+SUM(F548:F549)+SUM(F255)</f>
        <v>138</v>
      </c>
      <c r="G667" s="235">
        <f t="shared" ref="F667:AU667" si="332">SUM(G239:G245)+G549+G551+G554+SUM(G556:G558)</f>
        <v>0</v>
      </c>
      <c r="H667" s="235">
        <f t="shared" si="332"/>
        <v>0</v>
      </c>
      <c r="I667" s="235">
        <f t="shared" si="332"/>
        <v>0</v>
      </c>
      <c r="J667" s="50">
        <f t="shared" si="332"/>
        <v>0</v>
      </c>
      <c r="K667" s="49">
        <f t="shared" si="332"/>
        <v>0</v>
      </c>
      <c r="L667" s="231">
        <f t="shared" si="332"/>
        <v>0</v>
      </c>
      <c r="M667" s="543">
        <f t="shared" si="332"/>
        <v>0</v>
      </c>
      <c r="N667" s="49">
        <f t="shared" si="332"/>
        <v>0</v>
      </c>
      <c r="O667" s="235">
        <f t="shared" si="332"/>
        <v>0</v>
      </c>
      <c r="P667" s="291">
        <f t="shared" si="332"/>
        <v>0</v>
      </c>
      <c r="Q667" s="63">
        <f t="shared" si="332"/>
        <v>0</v>
      </c>
      <c r="R667" s="63">
        <f t="shared" si="332"/>
        <v>0</v>
      </c>
      <c r="S667" s="62">
        <f>SUM(S239:S245)+S549+S551+S554+SUM(S556:S558)</f>
        <v>1963</v>
      </c>
      <c r="T667" s="49">
        <f t="shared" si="332"/>
        <v>3114</v>
      </c>
      <c r="U667" s="49">
        <f t="shared" si="332"/>
        <v>3297</v>
      </c>
      <c r="V667" s="82">
        <f t="shared" si="332"/>
        <v>1162</v>
      </c>
      <c r="W667" s="62">
        <f t="shared" si="332"/>
        <v>0</v>
      </c>
      <c r="X667" s="235">
        <f t="shared" si="332"/>
        <v>0</v>
      </c>
      <c r="Y667" s="291">
        <f t="shared" si="332"/>
        <v>0</v>
      </c>
      <c r="Z667" s="50">
        <f t="shared" si="332"/>
        <v>0</v>
      </c>
      <c r="AA667" s="49">
        <f t="shared" si="332"/>
        <v>0</v>
      </c>
      <c r="AB667" s="63">
        <f t="shared" si="332"/>
        <v>0</v>
      </c>
      <c r="AC667" s="62">
        <f t="shared" si="332"/>
        <v>0</v>
      </c>
      <c r="AD667" s="49">
        <f t="shared" si="332"/>
        <v>0</v>
      </c>
      <c r="AE667" s="235">
        <f t="shared" si="332"/>
        <v>0</v>
      </c>
      <c r="AF667" s="82">
        <f t="shared" si="332"/>
        <v>0</v>
      </c>
      <c r="AG667" s="82">
        <f t="shared" si="332"/>
        <v>0</v>
      </c>
      <c r="AH667" s="49">
        <f t="shared" si="332"/>
        <v>0</v>
      </c>
      <c r="AI667" s="82">
        <f t="shared" si="332"/>
        <v>0</v>
      </c>
      <c r="AJ667" s="49">
        <f t="shared" si="332"/>
        <v>0</v>
      </c>
      <c r="AK667" s="235">
        <f t="shared" si="332"/>
        <v>0</v>
      </c>
      <c r="AL667" s="82">
        <f t="shared" si="332"/>
        <v>0</v>
      </c>
      <c r="AM667" s="49">
        <f t="shared" si="332"/>
        <v>0</v>
      </c>
      <c r="AN667" s="235">
        <f t="shared" si="332"/>
        <v>0</v>
      </c>
      <c r="AO667" s="235">
        <f t="shared" si="332"/>
        <v>0</v>
      </c>
      <c r="AP667" s="82">
        <f t="shared" si="332"/>
        <v>0</v>
      </c>
      <c r="AQ667" s="49">
        <f t="shared" si="332"/>
        <v>0</v>
      </c>
      <c r="AR667" s="82">
        <f t="shared" si="332"/>
        <v>0</v>
      </c>
      <c r="AS667" s="49">
        <f t="shared" si="332"/>
        <v>0</v>
      </c>
      <c r="AT667" s="235">
        <f t="shared" si="332"/>
        <v>0</v>
      </c>
      <c r="AU667" s="82">
        <f t="shared" si="332"/>
        <v>0</v>
      </c>
      <c r="AV667" s="49">
        <v>0</v>
      </c>
      <c r="AW667" s="235">
        <f>SUM(AW239:AW245)+AW549+AW551+AW554+SUM(AW556:AW558)</f>
        <v>376</v>
      </c>
      <c r="AX667" s="49">
        <f>SUM(AX239:AX245)+AX549+AX551+AX554+SUM(AX556:AX558)</f>
        <v>336</v>
      </c>
      <c r="AY667" s="235">
        <f>SUM(AY239:AY245)+AY549+AY551+AY554+SUM(AY556:AY558)</f>
        <v>162</v>
      </c>
      <c r="AZ667" s="82">
        <v>0</v>
      </c>
      <c r="BA667" s="49">
        <f t="shared" ref="BA667:CI667" si="333">SUM(BA239:BA245)+BA549+BA551+BA554+SUM(BA556:BA558)</f>
        <v>0</v>
      </c>
      <c r="BB667" s="49">
        <f t="shared" si="333"/>
        <v>0</v>
      </c>
      <c r="BC667" s="82">
        <f t="shared" si="333"/>
        <v>0</v>
      </c>
      <c r="BD667" s="49">
        <f t="shared" si="333"/>
        <v>0</v>
      </c>
      <c r="BE667" s="49">
        <f t="shared" si="333"/>
        <v>0</v>
      </c>
      <c r="BF667" s="235">
        <f t="shared" si="333"/>
        <v>0</v>
      </c>
      <c r="BG667" s="231">
        <f t="shared" si="333"/>
        <v>0</v>
      </c>
      <c r="BH667" s="543">
        <f t="shared" si="333"/>
        <v>0</v>
      </c>
      <c r="BI667" s="49">
        <f t="shared" si="333"/>
        <v>0</v>
      </c>
      <c r="BJ667" s="50">
        <f t="shared" si="333"/>
        <v>0</v>
      </c>
      <c r="BK667" s="49">
        <f t="shared" si="333"/>
        <v>0</v>
      </c>
      <c r="BL667" s="291">
        <f t="shared" si="333"/>
        <v>0</v>
      </c>
      <c r="BM667" s="50">
        <f t="shared" si="333"/>
        <v>0</v>
      </c>
      <c r="BN667" s="49">
        <f t="shared" si="333"/>
        <v>0</v>
      </c>
      <c r="BO667" s="235">
        <f t="shared" si="333"/>
        <v>0</v>
      </c>
      <c r="BP667" s="291">
        <f t="shared" si="333"/>
        <v>0</v>
      </c>
      <c r="BQ667" s="235">
        <f t="shared" si="333"/>
        <v>0</v>
      </c>
      <c r="BR667" s="82">
        <f t="shared" si="333"/>
        <v>0</v>
      </c>
      <c r="BS667" s="49">
        <f t="shared" si="333"/>
        <v>0</v>
      </c>
      <c r="BT667" s="50">
        <f t="shared" si="333"/>
        <v>0</v>
      </c>
      <c r="BU667" s="49">
        <f t="shared" si="333"/>
        <v>0</v>
      </c>
      <c r="BV667" s="291">
        <f t="shared" si="333"/>
        <v>0</v>
      </c>
      <c r="BW667" s="63">
        <f t="shared" si="333"/>
        <v>0</v>
      </c>
      <c r="BX667" s="235">
        <f t="shared" si="333"/>
        <v>0</v>
      </c>
      <c r="BY667" s="82">
        <f t="shared" si="333"/>
        <v>0</v>
      </c>
      <c r="BZ667" s="49">
        <f t="shared" si="333"/>
        <v>0</v>
      </c>
      <c r="CA667" s="235">
        <f t="shared" si="333"/>
        <v>0</v>
      </c>
      <c r="CB667" s="291">
        <f t="shared" si="333"/>
        <v>0</v>
      </c>
      <c r="CC667" s="50">
        <f t="shared" si="333"/>
        <v>0</v>
      </c>
      <c r="CD667" s="49">
        <f t="shared" si="333"/>
        <v>0</v>
      </c>
      <c r="CE667" s="235">
        <f t="shared" si="333"/>
        <v>0</v>
      </c>
      <c r="CF667" s="235">
        <f t="shared" si="333"/>
        <v>0</v>
      </c>
      <c r="CG667" s="82">
        <f t="shared" si="333"/>
        <v>0</v>
      </c>
      <c r="CH667" s="49">
        <f t="shared" si="333"/>
        <v>0</v>
      </c>
      <c r="CI667" s="82">
        <f t="shared" si="333"/>
        <v>0</v>
      </c>
    </row>
    <row r="668" spans="2:87" x14ac:dyDescent="0.3">
      <c r="B668" s="17" t="s">
        <v>727</v>
      </c>
      <c r="C668" s="477">
        <v>7270</v>
      </c>
      <c r="D668" s="236">
        <v>5060</v>
      </c>
      <c r="E668" s="367">
        <f t="shared" si="224"/>
        <v>0.69601100412654748</v>
      </c>
      <c r="F668" s="49">
        <v>0</v>
      </c>
      <c r="G668" s="235">
        <v>0</v>
      </c>
      <c r="H668" s="235">
        <v>0</v>
      </c>
      <c r="I668" s="235">
        <v>0</v>
      </c>
      <c r="J668" s="50">
        <v>0</v>
      </c>
      <c r="K668" s="49">
        <f>SUM(K18)+K236+SUM(K246:K253)</f>
        <v>0</v>
      </c>
      <c r="L668" s="231">
        <v>0</v>
      </c>
      <c r="M668" s="543">
        <v>0</v>
      </c>
      <c r="N668" s="49">
        <v>0</v>
      </c>
      <c r="O668" s="235">
        <v>0</v>
      </c>
      <c r="P668" s="291">
        <v>0</v>
      </c>
      <c r="Q668" s="63">
        <v>0</v>
      </c>
      <c r="R668" s="63">
        <v>0</v>
      </c>
      <c r="S668" s="62">
        <f>SUM(S18)+S236+SUM(S246:S253)</f>
        <v>0</v>
      </c>
      <c r="T668" s="49">
        <v>0</v>
      </c>
      <c r="U668" s="49">
        <v>0</v>
      </c>
      <c r="V668" s="82">
        <f>SUM(V18)+V236+SUM(V246:V253)</f>
        <v>0</v>
      </c>
      <c r="W668" s="62">
        <f>SUM(W18)+W236+SUM(W246:W253)</f>
        <v>3447</v>
      </c>
      <c r="X668" s="235">
        <v>0</v>
      </c>
      <c r="Y668" s="291">
        <v>0</v>
      </c>
      <c r="Z668" s="50">
        <f>SUM(Z18)+Z236+SUM(Z246:Z253)</f>
        <v>3355</v>
      </c>
      <c r="AA668" s="49">
        <f>SUM(AA18)+AA236+SUM(AA246:AA253)</f>
        <v>0</v>
      </c>
      <c r="AB668" s="63">
        <f>SUM(AB18)+AB236+SUM(AB246:AB253)</f>
        <v>0</v>
      </c>
      <c r="AC668" s="62">
        <f>SUM(AC18)+AC236+SUM(AC246:AC253)</f>
        <v>0</v>
      </c>
      <c r="AD668" s="49">
        <v>0</v>
      </c>
      <c r="AE668" s="235">
        <v>0</v>
      </c>
      <c r="AF668" s="82">
        <f t="shared" ref="AF668:AM668" si="334">SUM(AF18)+AF236+SUM(AF246:AF253)</f>
        <v>0</v>
      </c>
      <c r="AG668" s="82">
        <f t="shared" si="334"/>
        <v>0</v>
      </c>
      <c r="AH668" s="49">
        <f t="shared" si="334"/>
        <v>0</v>
      </c>
      <c r="AI668" s="82">
        <f t="shared" si="334"/>
        <v>0</v>
      </c>
      <c r="AJ668" s="49">
        <f t="shared" si="334"/>
        <v>0</v>
      </c>
      <c r="AK668" s="235">
        <f t="shared" si="334"/>
        <v>0</v>
      </c>
      <c r="AL668" s="82">
        <f t="shared" si="334"/>
        <v>0</v>
      </c>
      <c r="AM668" s="49">
        <f t="shared" si="334"/>
        <v>0</v>
      </c>
      <c r="AN668" s="235">
        <v>0</v>
      </c>
      <c r="AO668" s="235">
        <f t="shared" ref="AO668:BD668" si="335">SUM(AO18)+AO236+SUM(AO246:AO253)</f>
        <v>0</v>
      </c>
      <c r="AP668" s="82">
        <f t="shared" si="335"/>
        <v>0</v>
      </c>
      <c r="AQ668" s="49">
        <f t="shared" si="335"/>
        <v>0</v>
      </c>
      <c r="AR668" s="82">
        <f t="shared" si="335"/>
        <v>0</v>
      </c>
      <c r="AS668" s="49">
        <f t="shared" si="335"/>
        <v>0</v>
      </c>
      <c r="AT668" s="235">
        <f t="shared" si="335"/>
        <v>0</v>
      </c>
      <c r="AU668" s="82">
        <f t="shared" si="335"/>
        <v>0</v>
      </c>
      <c r="AV668" s="49">
        <f t="shared" si="335"/>
        <v>0</v>
      </c>
      <c r="AW668" s="235">
        <f t="shared" si="335"/>
        <v>0</v>
      </c>
      <c r="AX668" s="49">
        <f t="shared" si="335"/>
        <v>0</v>
      </c>
      <c r="AY668" s="235">
        <f t="shared" si="335"/>
        <v>0</v>
      </c>
      <c r="AZ668" s="82">
        <f t="shared" si="335"/>
        <v>0</v>
      </c>
      <c r="BA668" s="49">
        <f t="shared" si="335"/>
        <v>0</v>
      </c>
      <c r="BB668" s="49">
        <f t="shared" si="335"/>
        <v>0</v>
      </c>
      <c r="BC668" s="82">
        <f t="shared" si="335"/>
        <v>0</v>
      </c>
      <c r="BD668" s="49">
        <f t="shared" si="335"/>
        <v>0</v>
      </c>
      <c r="BE668" s="49">
        <v>0</v>
      </c>
      <c r="BF668" s="235">
        <f t="shared" ref="BF668:BO668" si="336">SUM(BF18)+BF236+SUM(BF246:BF253)</f>
        <v>0</v>
      </c>
      <c r="BG668" s="231">
        <f t="shared" si="336"/>
        <v>0</v>
      </c>
      <c r="BH668" s="543">
        <f t="shared" si="336"/>
        <v>0</v>
      </c>
      <c r="BI668" s="49">
        <f t="shared" si="336"/>
        <v>0</v>
      </c>
      <c r="BJ668" s="50">
        <f t="shared" si="336"/>
        <v>0</v>
      </c>
      <c r="BK668" s="49">
        <f t="shared" si="336"/>
        <v>0</v>
      </c>
      <c r="BL668" s="291">
        <f t="shared" si="336"/>
        <v>0</v>
      </c>
      <c r="BM668" s="50">
        <f t="shared" si="336"/>
        <v>0</v>
      </c>
      <c r="BN668" s="49">
        <f t="shared" si="336"/>
        <v>0</v>
      </c>
      <c r="BO668" s="235">
        <f t="shared" si="336"/>
        <v>0</v>
      </c>
      <c r="BP668" s="291">
        <v>0</v>
      </c>
      <c r="BQ668" s="235">
        <f t="shared" ref="BQ668:CD668" si="337">SUM(BQ18)+BQ236+SUM(BQ246:BQ253)</f>
        <v>0</v>
      </c>
      <c r="BR668" s="82">
        <f t="shared" si="337"/>
        <v>0</v>
      </c>
      <c r="BS668" s="49">
        <f t="shared" si="337"/>
        <v>0</v>
      </c>
      <c r="BT668" s="50">
        <f t="shared" si="337"/>
        <v>0</v>
      </c>
      <c r="BU668" s="49">
        <f t="shared" si="337"/>
        <v>0</v>
      </c>
      <c r="BV668" s="291">
        <f t="shared" si="337"/>
        <v>0</v>
      </c>
      <c r="BW668" s="63">
        <f t="shared" si="337"/>
        <v>0</v>
      </c>
      <c r="BX668" s="235">
        <f t="shared" si="337"/>
        <v>0</v>
      </c>
      <c r="BY668" s="82">
        <f t="shared" si="337"/>
        <v>0</v>
      </c>
      <c r="BZ668" s="49">
        <f t="shared" si="337"/>
        <v>0</v>
      </c>
      <c r="CA668" s="235">
        <f t="shared" si="337"/>
        <v>0</v>
      </c>
      <c r="CB668" s="291">
        <f t="shared" si="337"/>
        <v>0</v>
      </c>
      <c r="CC668" s="50">
        <f t="shared" si="337"/>
        <v>0</v>
      </c>
      <c r="CD668" s="49">
        <f t="shared" si="337"/>
        <v>0</v>
      </c>
      <c r="CE668" s="235">
        <v>0</v>
      </c>
      <c r="CF668" s="235">
        <f>SUM(CF18)+CF236+SUM(CF246:CF253)</f>
        <v>0</v>
      </c>
      <c r="CG668" s="82">
        <f>SUM(CG18)+CG236+SUM(CG246:CG253)</f>
        <v>0</v>
      </c>
      <c r="CH668" s="49">
        <f>SUM(CH18)+CH236+SUM(CH246:CH253)</f>
        <v>0</v>
      </c>
      <c r="CI668" s="82">
        <f>SUM(CI18)+CI236+SUM(CI246:CI253)</f>
        <v>0</v>
      </c>
    </row>
    <row r="669" spans="2:87" x14ac:dyDescent="0.3">
      <c r="B669" s="17" t="s">
        <v>33</v>
      </c>
      <c r="C669" s="477">
        <v>6825</v>
      </c>
      <c r="D669" s="236">
        <v>4111</v>
      </c>
      <c r="E669" s="367">
        <f t="shared" si="224"/>
        <v>0.60234432234432234</v>
      </c>
      <c r="F669" s="49">
        <f t="shared" ref="F669:Z669" si="338">SUM(F235)+SUM(F254)+SUM(F396)+SUM(F424)+SUM(F482:F483)+SUM(F559:F560)</f>
        <v>0</v>
      </c>
      <c r="G669" s="235">
        <f t="shared" si="338"/>
        <v>0</v>
      </c>
      <c r="H669" s="235">
        <f t="shared" si="338"/>
        <v>0</v>
      </c>
      <c r="I669" s="235">
        <f t="shared" si="338"/>
        <v>0</v>
      </c>
      <c r="J669" s="50">
        <f t="shared" si="338"/>
        <v>0</v>
      </c>
      <c r="K669" s="49">
        <f t="shared" si="338"/>
        <v>0</v>
      </c>
      <c r="L669" s="231">
        <f t="shared" si="338"/>
        <v>0</v>
      </c>
      <c r="M669" s="543">
        <f t="shared" si="338"/>
        <v>0</v>
      </c>
      <c r="N669" s="49">
        <f>SUM(N235)+SUM(N254)+SUM(N396)+SUM(N424)+SUM(N482:N483)+SUM(N559:N560)</f>
        <v>122</v>
      </c>
      <c r="O669" s="235">
        <f t="shared" si="338"/>
        <v>117</v>
      </c>
      <c r="P669" s="291">
        <f t="shared" si="338"/>
        <v>146</v>
      </c>
      <c r="Q669" s="63">
        <f t="shared" si="338"/>
        <v>234</v>
      </c>
      <c r="R669" s="63">
        <f t="shared" si="338"/>
        <v>146</v>
      </c>
      <c r="S669" s="62">
        <f t="shared" si="338"/>
        <v>0</v>
      </c>
      <c r="T669" s="49">
        <f t="shared" si="338"/>
        <v>0</v>
      </c>
      <c r="U669" s="49">
        <f t="shared" si="338"/>
        <v>0</v>
      </c>
      <c r="V669" s="82">
        <f t="shared" si="338"/>
        <v>0</v>
      </c>
      <c r="W669" s="62">
        <f t="shared" si="338"/>
        <v>0</v>
      </c>
      <c r="X669" s="235">
        <f t="shared" si="338"/>
        <v>0</v>
      </c>
      <c r="Y669" s="291">
        <f t="shared" si="338"/>
        <v>0</v>
      </c>
      <c r="Z669" s="50">
        <f t="shared" si="338"/>
        <v>0</v>
      </c>
      <c r="AA669" s="49">
        <f>SUM(AA235)+SUM(AA254)+SUM(AA396)+SUM(AA424)+SUM(AA482:AA483)+SUM(AA559:AA560)</f>
        <v>2236</v>
      </c>
      <c r="AB669" s="63">
        <f t="shared" ref="AB669:CI669" si="339">SUM(AB235)+SUM(AB254)+SUM(AB396)+SUM(AB424)+SUM(AB482:AB483)+SUM(AB559:AB560)</f>
        <v>2433</v>
      </c>
      <c r="AC669" s="62">
        <f t="shared" si="339"/>
        <v>0</v>
      </c>
      <c r="AD669" s="49">
        <f t="shared" si="339"/>
        <v>0</v>
      </c>
      <c r="AE669" s="235">
        <f t="shared" si="339"/>
        <v>0</v>
      </c>
      <c r="AF669" s="82">
        <f t="shared" si="339"/>
        <v>1</v>
      </c>
      <c r="AG669" s="82">
        <f t="shared" si="339"/>
        <v>0</v>
      </c>
      <c r="AH669" s="49">
        <f t="shared" si="339"/>
        <v>0</v>
      </c>
      <c r="AI669" s="82">
        <f t="shared" si="339"/>
        <v>0</v>
      </c>
      <c r="AJ669" s="49">
        <f t="shared" si="339"/>
        <v>0</v>
      </c>
      <c r="AK669" s="235">
        <f t="shared" si="339"/>
        <v>0</v>
      </c>
      <c r="AL669" s="82">
        <f t="shared" si="339"/>
        <v>0</v>
      </c>
      <c r="AM669" s="49">
        <f t="shared" si="339"/>
        <v>0</v>
      </c>
      <c r="AN669" s="235">
        <f t="shared" si="339"/>
        <v>0</v>
      </c>
      <c r="AO669" s="235">
        <f t="shared" si="339"/>
        <v>0</v>
      </c>
      <c r="AP669" s="82">
        <f t="shared" si="339"/>
        <v>0</v>
      </c>
      <c r="AQ669" s="49">
        <f t="shared" si="339"/>
        <v>0</v>
      </c>
      <c r="AR669" s="82">
        <f t="shared" si="339"/>
        <v>0</v>
      </c>
      <c r="AS669" s="49">
        <f t="shared" si="339"/>
        <v>0</v>
      </c>
      <c r="AT669" s="235">
        <f t="shared" si="339"/>
        <v>0</v>
      </c>
      <c r="AU669" s="82">
        <f t="shared" si="339"/>
        <v>0</v>
      </c>
      <c r="AV669" s="49">
        <f t="shared" si="339"/>
        <v>0</v>
      </c>
      <c r="AW669" s="235">
        <f t="shared" si="339"/>
        <v>0</v>
      </c>
      <c r="AX669" s="49">
        <f t="shared" si="339"/>
        <v>0</v>
      </c>
      <c r="AY669" s="235">
        <f t="shared" si="339"/>
        <v>0</v>
      </c>
      <c r="AZ669" s="82">
        <f t="shared" si="339"/>
        <v>0</v>
      </c>
      <c r="BA669" s="49">
        <f t="shared" si="339"/>
        <v>0</v>
      </c>
      <c r="BB669" s="49">
        <f t="shared" si="339"/>
        <v>0</v>
      </c>
      <c r="BC669" s="82">
        <f t="shared" si="339"/>
        <v>0</v>
      </c>
      <c r="BD669" s="49">
        <f t="shared" si="339"/>
        <v>0</v>
      </c>
      <c r="BE669" s="49">
        <f t="shared" si="339"/>
        <v>0</v>
      </c>
      <c r="BF669" s="235">
        <f t="shared" si="339"/>
        <v>0</v>
      </c>
      <c r="BG669" s="231">
        <f t="shared" si="339"/>
        <v>0</v>
      </c>
      <c r="BH669" s="543">
        <f t="shared" si="339"/>
        <v>0</v>
      </c>
      <c r="BI669" s="49">
        <f t="shared" si="339"/>
        <v>0</v>
      </c>
      <c r="BJ669" s="50">
        <f t="shared" si="339"/>
        <v>0</v>
      </c>
      <c r="BK669" s="49">
        <f t="shared" si="339"/>
        <v>0</v>
      </c>
      <c r="BL669" s="291">
        <f t="shared" si="339"/>
        <v>0</v>
      </c>
      <c r="BM669" s="50">
        <f t="shared" si="339"/>
        <v>0</v>
      </c>
      <c r="BN669" s="49">
        <f t="shared" si="339"/>
        <v>0</v>
      </c>
      <c r="BO669" s="235">
        <f t="shared" si="339"/>
        <v>0</v>
      </c>
      <c r="BP669" s="291">
        <f t="shared" si="339"/>
        <v>0</v>
      </c>
      <c r="BQ669" s="235">
        <f t="shared" si="339"/>
        <v>0</v>
      </c>
      <c r="BR669" s="82">
        <f t="shared" si="339"/>
        <v>0</v>
      </c>
      <c r="BS669" s="49">
        <f t="shared" si="339"/>
        <v>0</v>
      </c>
      <c r="BT669" s="50">
        <f t="shared" si="339"/>
        <v>0</v>
      </c>
      <c r="BU669" s="49">
        <f t="shared" si="339"/>
        <v>0</v>
      </c>
      <c r="BV669" s="291">
        <f t="shared" si="339"/>
        <v>0</v>
      </c>
      <c r="BW669" s="63">
        <f t="shared" si="339"/>
        <v>0</v>
      </c>
      <c r="BX669" s="235">
        <f t="shared" si="339"/>
        <v>0</v>
      </c>
      <c r="BY669" s="82">
        <f t="shared" si="339"/>
        <v>0</v>
      </c>
      <c r="BZ669" s="49">
        <f t="shared" si="339"/>
        <v>0</v>
      </c>
      <c r="CA669" s="235">
        <f t="shared" si="339"/>
        <v>0</v>
      </c>
      <c r="CB669" s="291">
        <f t="shared" si="339"/>
        <v>0</v>
      </c>
      <c r="CC669" s="50">
        <f t="shared" si="339"/>
        <v>0</v>
      </c>
      <c r="CD669" s="49">
        <f t="shared" si="339"/>
        <v>0</v>
      </c>
      <c r="CE669" s="235">
        <f t="shared" si="339"/>
        <v>0</v>
      </c>
      <c r="CF669" s="235">
        <f t="shared" si="339"/>
        <v>0</v>
      </c>
      <c r="CG669" s="82">
        <f t="shared" si="339"/>
        <v>0</v>
      </c>
      <c r="CH669" s="49">
        <f t="shared" si="339"/>
        <v>0</v>
      </c>
      <c r="CI669" s="82">
        <f t="shared" si="339"/>
        <v>0</v>
      </c>
    </row>
    <row r="670" spans="2:87" x14ac:dyDescent="0.3">
      <c r="B670" s="16" t="s">
        <v>16</v>
      </c>
      <c r="C670" s="473">
        <v>7</v>
      </c>
      <c r="D670" s="412">
        <v>3</v>
      </c>
      <c r="E670" s="367">
        <f t="shared" si="224"/>
        <v>0.42857142857142855</v>
      </c>
      <c r="F670" s="49">
        <f t="shared" ref="F670:AB670" si="340">SUM(F254)</f>
        <v>0</v>
      </c>
      <c r="G670" s="235">
        <f t="shared" si="340"/>
        <v>0</v>
      </c>
      <c r="H670" s="235">
        <f t="shared" si="340"/>
        <v>0</v>
      </c>
      <c r="I670" s="235">
        <f t="shared" si="340"/>
        <v>0</v>
      </c>
      <c r="J670" s="50">
        <f t="shared" si="340"/>
        <v>0</v>
      </c>
      <c r="K670" s="49">
        <f t="shared" si="340"/>
        <v>0</v>
      </c>
      <c r="L670" s="231">
        <f t="shared" si="340"/>
        <v>0</v>
      </c>
      <c r="M670" s="543">
        <f t="shared" si="340"/>
        <v>0</v>
      </c>
      <c r="N670" s="49">
        <f t="shared" si="340"/>
        <v>1</v>
      </c>
      <c r="O670" s="235">
        <f t="shared" si="340"/>
        <v>2</v>
      </c>
      <c r="P670" s="291">
        <f t="shared" si="340"/>
        <v>2</v>
      </c>
      <c r="Q670" s="63">
        <f t="shared" si="340"/>
        <v>5</v>
      </c>
      <c r="R670" s="63">
        <f t="shared" si="340"/>
        <v>2</v>
      </c>
      <c r="S670" s="62">
        <f t="shared" si="340"/>
        <v>0</v>
      </c>
      <c r="T670" s="49">
        <f t="shared" si="340"/>
        <v>0</v>
      </c>
      <c r="U670" s="49">
        <f t="shared" si="340"/>
        <v>0</v>
      </c>
      <c r="V670" s="82">
        <f t="shared" si="340"/>
        <v>0</v>
      </c>
      <c r="W670" s="62">
        <f t="shared" si="340"/>
        <v>0</v>
      </c>
      <c r="X670" s="235">
        <f t="shared" si="340"/>
        <v>0</v>
      </c>
      <c r="Y670" s="291">
        <f t="shared" si="340"/>
        <v>0</v>
      </c>
      <c r="Z670" s="50">
        <f t="shared" si="340"/>
        <v>0</v>
      </c>
      <c r="AA670" s="49">
        <f t="shared" si="340"/>
        <v>1</v>
      </c>
      <c r="AB670" s="63">
        <f t="shared" si="340"/>
        <v>2</v>
      </c>
      <c r="AC670" s="62">
        <f>SUM(AC254)</f>
        <v>0</v>
      </c>
      <c r="AD670" s="49">
        <f t="shared" ref="AD670:CI670" si="341">SUM(AD254)</f>
        <v>0</v>
      </c>
      <c r="AE670" s="235">
        <f t="shared" si="341"/>
        <v>0</v>
      </c>
      <c r="AF670" s="82">
        <f t="shared" si="341"/>
        <v>1</v>
      </c>
      <c r="AG670" s="82">
        <f t="shared" si="341"/>
        <v>0</v>
      </c>
      <c r="AH670" s="49">
        <f t="shared" si="341"/>
        <v>0</v>
      </c>
      <c r="AI670" s="82">
        <f t="shared" si="341"/>
        <v>0</v>
      </c>
      <c r="AJ670" s="49">
        <f t="shared" si="341"/>
        <v>0</v>
      </c>
      <c r="AK670" s="235">
        <f t="shared" si="341"/>
        <v>0</v>
      </c>
      <c r="AL670" s="82">
        <f t="shared" si="341"/>
        <v>0</v>
      </c>
      <c r="AM670" s="49">
        <f t="shared" si="341"/>
        <v>0</v>
      </c>
      <c r="AN670" s="235">
        <f t="shared" si="341"/>
        <v>0</v>
      </c>
      <c r="AO670" s="235">
        <f t="shared" si="341"/>
        <v>0</v>
      </c>
      <c r="AP670" s="82">
        <f t="shared" si="341"/>
        <v>0</v>
      </c>
      <c r="AQ670" s="49">
        <f t="shared" si="341"/>
        <v>0</v>
      </c>
      <c r="AR670" s="82">
        <f t="shared" si="341"/>
        <v>0</v>
      </c>
      <c r="AS670" s="49">
        <f t="shared" si="341"/>
        <v>0</v>
      </c>
      <c r="AT670" s="235">
        <f t="shared" si="341"/>
        <v>0</v>
      </c>
      <c r="AU670" s="82">
        <f t="shared" si="341"/>
        <v>0</v>
      </c>
      <c r="AV670" s="49">
        <f t="shared" si="341"/>
        <v>0</v>
      </c>
      <c r="AW670" s="235">
        <f t="shared" si="341"/>
        <v>0</v>
      </c>
      <c r="AX670" s="49">
        <f t="shared" si="341"/>
        <v>0</v>
      </c>
      <c r="AY670" s="235">
        <f t="shared" si="341"/>
        <v>0</v>
      </c>
      <c r="AZ670" s="82">
        <f t="shared" si="341"/>
        <v>0</v>
      </c>
      <c r="BA670" s="49">
        <f t="shared" si="341"/>
        <v>0</v>
      </c>
      <c r="BB670" s="49">
        <f t="shared" si="341"/>
        <v>0</v>
      </c>
      <c r="BC670" s="82">
        <f t="shared" si="341"/>
        <v>0</v>
      </c>
      <c r="BD670" s="49">
        <f t="shared" si="341"/>
        <v>0</v>
      </c>
      <c r="BE670" s="49">
        <f t="shared" si="341"/>
        <v>0</v>
      </c>
      <c r="BF670" s="235">
        <f t="shared" si="341"/>
        <v>0</v>
      </c>
      <c r="BG670" s="231">
        <f t="shared" si="341"/>
        <v>0</v>
      </c>
      <c r="BH670" s="543">
        <f t="shared" si="341"/>
        <v>0</v>
      </c>
      <c r="BI670" s="49">
        <f t="shared" si="341"/>
        <v>0</v>
      </c>
      <c r="BJ670" s="50">
        <f t="shared" si="341"/>
        <v>0</v>
      </c>
      <c r="BK670" s="49">
        <f t="shared" si="341"/>
        <v>0</v>
      </c>
      <c r="BL670" s="291">
        <f t="shared" si="341"/>
        <v>0</v>
      </c>
      <c r="BM670" s="50">
        <f t="shared" si="341"/>
        <v>0</v>
      </c>
      <c r="BN670" s="49">
        <f t="shared" si="341"/>
        <v>0</v>
      </c>
      <c r="BO670" s="235">
        <f t="shared" si="341"/>
        <v>0</v>
      </c>
      <c r="BP670" s="291">
        <f t="shared" si="341"/>
        <v>0</v>
      </c>
      <c r="BQ670" s="235">
        <f t="shared" si="341"/>
        <v>0</v>
      </c>
      <c r="BR670" s="82">
        <f t="shared" si="341"/>
        <v>0</v>
      </c>
      <c r="BS670" s="49">
        <f t="shared" si="341"/>
        <v>0</v>
      </c>
      <c r="BT670" s="50">
        <f t="shared" si="341"/>
        <v>0</v>
      </c>
      <c r="BU670" s="49">
        <f t="shared" si="341"/>
        <v>0</v>
      </c>
      <c r="BV670" s="291">
        <f t="shared" si="341"/>
        <v>0</v>
      </c>
      <c r="BW670" s="63">
        <f t="shared" si="341"/>
        <v>0</v>
      </c>
      <c r="BX670" s="235">
        <f t="shared" si="341"/>
        <v>0</v>
      </c>
      <c r="BY670" s="82">
        <f t="shared" si="341"/>
        <v>0</v>
      </c>
      <c r="BZ670" s="49">
        <f t="shared" si="341"/>
        <v>0</v>
      </c>
      <c r="CA670" s="235">
        <f t="shared" si="341"/>
        <v>0</v>
      </c>
      <c r="CB670" s="291">
        <f t="shared" si="341"/>
        <v>0</v>
      </c>
      <c r="CC670" s="50">
        <f t="shared" si="341"/>
        <v>0</v>
      </c>
      <c r="CD670" s="49">
        <f t="shared" si="341"/>
        <v>0</v>
      </c>
      <c r="CE670" s="235">
        <f t="shared" si="341"/>
        <v>0</v>
      </c>
      <c r="CF670" s="235">
        <f t="shared" si="341"/>
        <v>0</v>
      </c>
      <c r="CG670" s="82">
        <f t="shared" si="341"/>
        <v>0</v>
      </c>
      <c r="CH670" s="49">
        <f t="shared" si="341"/>
        <v>0</v>
      </c>
      <c r="CI670" s="82">
        <f t="shared" si="341"/>
        <v>0</v>
      </c>
    </row>
    <row r="671" spans="2:87" x14ac:dyDescent="0.3">
      <c r="B671" s="17" t="s">
        <v>34</v>
      </c>
      <c r="C671" s="477">
        <v>16641</v>
      </c>
      <c r="D671" s="236">
        <v>6750</v>
      </c>
      <c r="E671" s="367">
        <f t="shared" si="224"/>
        <v>0.40562466197944835</v>
      </c>
      <c r="F671" s="49">
        <f t="shared" ref="F671:AG671" si="342">SUM(F264:F267)+F353+F355+F371+F376+F377+F380+F384+F505+F507+F511+F512+F514+F517+SUM(F519:F521)+F529</f>
        <v>0</v>
      </c>
      <c r="G671" s="235">
        <f t="shared" si="342"/>
        <v>0</v>
      </c>
      <c r="H671" s="235">
        <f t="shared" si="342"/>
        <v>0</v>
      </c>
      <c r="I671" s="235">
        <f t="shared" si="342"/>
        <v>0</v>
      </c>
      <c r="J671" s="50">
        <f t="shared" si="342"/>
        <v>0</v>
      </c>
      <c r="K671" s="49">
        <f t="shared" si="342"/>
        <v>0</v>
      </c>
      <c r="L671" s="231">
        <f t="shared" si="342"/>
        <v>0</v>
      </c>
      <c r="M671" s="543">
        <f t="shared" si="342"/>
        <v>0</v>
      </c>
      <c r="N671" s="49">
        <f t="shared" si="342"/>
        <v>0</v>
      </c>
      <c r="O671" s="235">
        <f t="shared" si="342"/>
        <v>0</v>
      </c>
      <c r="P671" s="291">
        <f t="shared" si="342"/>
        <v>0</v>
      </c>
      <c r="Q671" s="63">
        <f t="shared" si="342"/>
        <v>0</v>
      </c>
      <c r="R671" s="63">
        <f t="shared" si="342"/>
        <v>0</v>
      </c>
      <c r="S671" s="62">
        <f t="shared" si="342"/>
        <v>0</v>
      </c>
      <c r="T671" s="49">
        <f t="shared" si="342"/>
        <v>0</v>
      </c>
      <c r="U671" s="49">
        <f t="shared" si="342"/>
        <v>0</v>
      </c>
      <c r="V671" s="82">
        <f t="shared" si="342"/>
        <v>0</v>
      </c>
      <c r="W671" s="62">
        <f t="shared" si="342"/>
        <v>0</v>
      </c>
      <c r="X671" s="235">
        <f t="shared" si="342"/>
        <v>0</v>
      </c>
      <c r="Y671" s="291">
        <f t="shared" si="342"/>
        <v>0</v>
      </c>
      <c r="Z671" s="50">
        <f t="shared" si="342"/>
        <v>0</v>
      </c>
      <c r="AA671" s="49">
        <f t="shared" si="342"/>
        <v>0</v>
      </c>
      <c r="AB671" s="63">
        <f t="shared" si="342"/>
        <v>0</v>
      </c>
      <c r="AC671" s="62">
        <f t="shared" si="342"/>
        <v>0</v>
      </c>
      <c r="AD671" s="49">
        <f t="shared" si="342"/>
        <v>0</v>
      </c>
      <c r="AE671" s="235">
        <f t="shared" si="342"/>
        <v>0</v>
      </c>
      <c r="AF671" s="82">
        <f t="shared" si="342"/>
        <v>0</v>
      </c>
      <c r="AG671" s="82">
        <f t="shared" si="342"/>
        <v>4690</v>
      </c>
      <c r="AH671" s="49">
        <v>0</v>
      </c>
      <c r="AI671" s="82">
        <v>0</v>
      </c>
      <c r="AJ671" s="49">
        <f>SUM(AJ264:AJ267)+AJ353+AJ355+AJ371+AJ376+AJ377+AJ380+AJ384+AJ505+AJ507+AJ511+AJ512+AJ514+AJ517+SUM(AJ519:AJ521)+AJ529</f>
        <v>0</v>
      </c>
      <c r="AK671" s="235">
        <f>SUM(AK264:AK267)+AK353+AK355+AK371+AK376+AK377+AK380+AK384+AK505+AK507+AK511+AK512+AK514+AK517+SUM(AK519:AK521)+AK529</f>
        <v>0</v>
      </c>
      <c r="AL671" s="82">
        <f>SUM(AL264:AL267)+AL353+AL355+AL371+AL376+AL377+AL380+AL384+AL505+AL507+AL511+AL512+AL514+AL517+SUM(AL519:AL521)+AL529</f>
        <v>0</v>
      </c>
      <c r="AM671" s="49">
        <f>SUM(AM264:AM267)+AM353+AM355+AM371+AM376+AM377+AM380+AM384+AM505+AM507+AM511+AM512+AM514+AM517+SUM(AM519:AM521)+AM529</f>
        <v>0</v>
      </c>
      <c r="AN671" s="235">
        <f>SUM(AN264:AN267)+AN353+AN355+AN371+AN376+AN377+AN380+AN384+AN505+AN507+AN511+AN512+AN514+AN517+SUM(AN519:AN521)+AN529</f>
        <v>0</v>
      </c>
      <c r="AO671" s="235">
        <v>0</v>
      </c>
      <c r="AP671" s="82">
        <f>SUM(AP264:AP267)+AP353+AP355+AP371+AP376+AP377+AP380+AP384+AP505+AP507+AP511+AP512+AP514+AP517+SUM(AP519:AP521)+AP529</f>
        <v>0</v>
      </c>
      <c r="AQ671" s="49">
        <f>SUM(AQ264:AQ267)+AQ353+AQ355+AQ371+AQ376+AQ377+AQ380+AQ384+AQ505+AQ507+AQ511+AQ512+AQ514+AQ517+SUM(AQ519:AQ521)+AQ529</f>
        <v>0</v>
      </c>
      <c r="AR671" s="82">
        <f>SUM(AR264:AR267)+AR353+AR355+AR371+AR376+AR377+AR380+AR384+AR505+AR507+AR511+AR512+AR514+AR517+SUM(AR519:AR521)+AR529</f>
        <v>0</v>
      </c>
      <c r="AS671" s="49">
        <f>SUM(AS264:AS267)+AS353+AS355+AS371+AS376+AS377+AS380+AS384+AS505+AS507+AS511+AS512+AS514+AS517+SUM(AS519:AS521)+AS529</f>
        <v>0</v>
      </c>
      <c r="AT671" s="235">
        <v>0</v>
      </c>
      <c r="AU671" s="82">
        <f>SUM(AU264:AU267)+AU353+AU355+AU371+AU376+AU377+AU380+AU384+AU505+AU507+AU511+AU512+AU514+AU517+SUM(AU519:AU521)+AU529</f>
        <v>0</v>
      </c>
      <c r="AV671" s="49">
        <f>SUM(AV264:AV267)+AV353+AV355+AV371+AV376+AV377+AV380+AV384+AV505+AV507+AV511+AV512+AV514+AV517+SUM(AV519:AV521)+AV529</f>
        <v>0</v>
      </c>
      <c r="AW671" s="235">
        <v>0</v>
      </c>
      <c r="AX671" s="49">
        <v>0</v>
      </c>
      <c r="AY671" s="235">
        <v>0</v>
      </c>
      <c r="AZ671" s="82">
        <f>SUM(AZ264:AZ267)+AZ353+AZ355+AZ371+AZ376+AZ377+AZ380+AZ384+AZ505+AZ507+AZ511+AZ512+AZ514+AZ517+SUM(AZ519:AZ521)+AZ529</f>
        <v>0</v>
      </c>
      <c r="BA671" s="49">
        <v>0</v>
      </c>
      <c r="BB671" s="49">
        <v>0</v>
      </c>
      <c r="BC671" s="82">
        <v>0</v>
      </c>
      <c r="BD671" s="49">
        <f>SUM(BD264:BD267)+BD353+BD355+BD371+BD376+BD377+BD380+BD384+BD505+BD507+BD511+BD512+BD514+BD517+SUM(BD519:BD521)+BD529</f>
        <v>0</v>
      </c>
      <c r="BE671" s="49">
        <f>SUM(BE264:BE267)+BE353+BE355+BE371+BE376+BE377+BE380+BE384+BE505+BE507+BE511+BE512+BE514+BE517+SUM(BE519:BE521)+BE529</f>
        <v>0</v>
      </c>
      <c r="BF671" s="235">
        <v>0</v>
      </c>
      <c r="BG671" s="231">
        <v>0</v>
      </c>
      <c r="BH671" s="543">
        <v>0</v>
      </c>
      <c r="BI671" s="49">
        <f>SUM(BI264:BI267)+BI353+BI355+BI371+BI376+BI377+BI380+BI384+BI505+BI507+BI511+BI512+BI514+BI517+SUM(BI519:BI521)+BI529</f>
        <v>842</v>
      </c>
      <c r="BJ671" s="50">
        <f>SUM(BJ264:BJ267)+BJ353+BJ355+BJ371+BJ376+BJ377+BJ380+BJ384+BJ505+BJ507+BJ511+BJ512+BJ514+BJ517+SUM(BJ519:BJ521)+BJ529</f>
        <v>1000</v>
      </c>
      <c r="BK671" s="49">
        <f>SUM(BK264:BK267)+BK353+BK355+BK371+BK376+BK377+BK380+BK384+BK505+BK507+BK511+BK512+BK514+BK517+SUM(BK519:BK521)+BK529</f>
        <v>153</v>
      </c>
      <c r="BL671" s="291">
        <v>0</v>
      </c>
      <c r="BM671" s="50">
        <v>0</v>
      </c>
      <c r="BN671" s="49">
        <f>SUM(BN264:BN267)+BN353+BN355+BN371+BN376+BN377+BN380+BN384+BN505+BN507+BN511+BN512+BN514+BN517+SUM(BN519:BN521)+BN529</f>
        <v>0</v>
      </c>
      <c r="BO671" s="235">
        <v>0</v>
      </c>
      <c r="BP671" s="291">
        <f>SUM(BP264:BP267)+BP353+BP355+BP371+BP376+BP377+BP380+BP384+BP505+BP507+BP511+BP512+BP514+BP517+SUM(BP519:BP521)+BP529</f>
        <v>0</v>
      </c>
      <c r="BQ671" s="235">
        <v>0</v>
      </c>
      <c r="BR671" s="82">
        <f>SUM(BR264:BR267)+BR353+BR355+BR371+BR376+BR377+BR380+BR384+BR505+BR507+BR511+BR512+BR514+BR517+SUM(BR519:BR521)+BR529</f>
        <v>0</v>
      </c>
      <c r="BS671" s="49">
        <v>0</v>
      </c>
      <c r="BT671" s="50">
        <v>0</v>
      </c>
      <c r="BU671" s="49">
        <v>0</v>
      </c>
      <c r="BV671" s="291">
        <v>0</v>
      </c>
      <c r="BW671" s="63">
        <v>0</v>
      </c>
      <c r="BX671" s="235">
        <v>0</v>
      </c>
      <c r="BY671" s="82">
        <v>0</v>
      </c>
      <c r="BZ671" s="49">
        <f>SUM(BZ264:BZ267)+BZ353+BZ355+BZ371+BZ376+BZ377+BZ380+BZ384+BZ505+BZ507+BZ511+BZ512+BZ514+BZ517+SUM(BZ519:BZ521)+BZ529</f>
        <v>0</v>
      </c>
      <c r="CA671" s="235">
        <v>0</v>
      </c>
      <c r="CB671" s="291">
        <v>0</v>
      </c>
      <c r="CC671" s="50">
        <f>SUM(CC264:CC267)+CC353+CC355+CC371+CC376+CC377+CC380+CC384+CC505+CC507+CC511+CC512+CC514+CC517+SUM(CC519:CC521)+CC529</f>
        <v>0</v>
      </c>
      <c r="CD671" s="49">
        <f>SUM(CD264:CD267)+CD353+CD355+CD371+CD376+CD377+CD380+CD384+CD505+CD507+CD511+CD512+CD514+CD517+SUM(CD519:CD521)+CD529</f>
        <v>0</v>
      </c>
      <c r="CE671" s="235">
        <f>SUM(CE264:CE267)+CE353+CE355+CE371+CE376+CE377+CE380+CE384+CE505+CE507+CE511+CE512+CE514+CE517+SUM(CE519:CE521)+CE529</f>
        <v>0</v>
      </c>
      <c r="CF671" s="235">
        <v>0</v>
      </c>
      <c r="CG671" s="82">
        <f>SUM(CG264:CG267)+CG353+CG355+CG371+CG376+CG377+CG380+CG384+CG505+CG507+CG511+CG512+CG514+CG517+SUM(CG519:CG521)+CG529</f>
        <v>0</v>
      </c>
      <c r="CH671" s="49">
        <f>SUM(CH264:CH267)+CH353+CH355+CH371+CH376+CH377+CH380+CH384+CH505+CH507+CH511+CH512+CH514+CH517+SUM(CH519:CH521)+CH529</f>
        <v>0</v>
      </c>
      <c r="CI671" s="82">
        <f>SUM(CI264:CI267)+CI353+CI355+CI371+CI376+CI377+CI380+CI384+CI505+CI507+CI511+CI512+CI514+CI517+SUM(CI519:CI521)+CI529</f>
        <v>0</v>
      </c>
    </row>
    <row r="672" spans="2:87" x14ac:dyDescent="0.3">
      <c r="B672" s="17" t="s">
        <v>728</v>
      </c>
      <c r="C672" s="477">
        <v>7356</v>
      </c>
      <c r="D672" s="236">
        <v>2857</v>
      </c>
      <c r="E672" s="367">
        <f t="shared" si="224"/>
        <v>0.38839042958129416</v>
      </c>
      <c r="F672" s="49">
        <f t="shared" ref="F672:AF672" si="343">SUM(F268:F274)+F505+F515+F529</f>
        <v>0</v>
      </c>
      <c r="G672" s="235">
        <f t="shared" si="343"/>
        <v>0</v>
      </c>
      <c r="H672" s="235">
        <f t="shared" si="343"/>
        <v>0</v>
      </c>
      <c r="I672" s="235">
        <f t="shared" si="343"/>
        <v>0</v>
      </c>
      <c r="J672" s="50">
        <f t="shared" si="343"/>
        <v>0</v>
      </c>
      <c r="K672" s="49">
        <f t="shared" si="343"/>
        <v>0</v>
      </c>
      <c r="L672" s="231">
        <f t="shared" si="343"/>
        <v>0</v>
      </c>
      <c r="M672" s="543">
        <f t="shared" si="343"/>
        <v>0</v>
      </c>
      <c r="N672" s="49">
        <f t="shared" si="343"/>
        <v>0</v>
      </c>
      <c r="O672" s="235">
        <f t="shared" si="343"/>
        <v>0</v>
      </c>
      <c r="P672" s="291">
        <f t="shared" si="343"/>
        <v>0</v>
      </c>
      <c r="Q672" s="63">
        <f t="shared" si="343"/>
        <v>0</v>
      </c>
      <c r="R672" s="63">
        <f t="shared" si="343"/>
        <v>0</v>
      </c>
      <c r="S672" s="62">
        <f t="shared" si="343"/>
        <v>0</v>
      </c>
      <c r="T672" s="49">
        <f t="shared" si="343"/>
        <v>0</v>
      </c>
      <c r="U672" s="49">
        <f t="shared" si="343"/>
        <v>0</v>
      </c>
      <c r="V672" s="82">
        <f t="shared" si="343"/>
        <v>0</v>
      </c>
      <c r="W672" s="62">
        <f t="shared" si="343"/>
        <v>0</v>
      </c>
      <c r="X672" s="235">
        <f t="shared" si="343"/>
        <v>0</v>
      </c>
      <c r="Y672" s="291">
        <f t="shared" si="343"/>
        <v>0</v>
      </c>
      <c r="Z672" s="50">
        <f t="shared" si="343"/>
        <v>0</v>
      </c>
      <c r="AA672" s="49">
        <f t="shared" si="343"/>
        <v>0</v>
      </c>
      <c r="AB672" s="63">
        <f t="shared" si="343"/>
        <v>0</v>
      </c>
      <c r="AC672" s="62">
        <f t="shared" si="343"/>
        <v>0</v>
      </c>
      <c r="AD672" s="49">
        <f t="shared" si="343"/>
        <v>0</v>
      </c>
      <c r="AE672" s="235">
        <f t="shared" si="343"/>
        <v>0</v>
      </c>
      <c r="AF672" s="82">
        <f t="shared" si="343"/>
        <v>0</v>
      </c>
      <c r="AG672" s="82">
        <v>0</v>
      </c>
      <c r="AH672" s="49">
        <f t="shared" ref="AH672:BT672" si="344">SUM(AH268:AH274)+AH505+AH515+AH529</f>
        <v>1721</v>
      </c>
      <c r="AI672" s="82">
        <f t="shared" si="344"/>
        <v>1109</v>
      </c>
      <c r="AJ672" s="49">
        <f t="shared" si="344"/>
        <v>0</v>
      </c>
      <c r="AK672" s="235">
        <f t="shared" si="344"/>
        <v>0</v>
      </c>
      <c r="AL672" s="82">
        <f t="shared" si="344"/>
        <v>0</v>
      </c>
      <c r="AM672" s="49">
        <f t="shared" si="344"/>
        <v>0</v>
      </c>
      <c r="AN672" s="235">
        <f t="shared" si="344"/>
        <v>0</v>
      </c>
      <c r="AO672" s="235">
        <f t="shared" si="344"/>
        <v>0</v>
      </c>
      <c r="AP672" s="82">
        <f t="shared" si="344"/>
        <v>0</v>
      </c>
      <c r="AQ672" s="49">
        <f t="shared" si="344"/>
        <v>0</v>
      </c>
      <c r="AR672" s="82">
        <f t="shared" si="344"/>
        <v>0</v>
      </c>
      <c r="AS672" s="49">
        <f t="shared" si="344"/>
        <v>0</v>
      </c>
      <c r="AT672" s="235">
        <f t="shared" si="344"/>
        <v>0</v>
      </c>
      <c r="AU672" s="82">
        <f t="shared" si="344"/>
        <v>0</v>
      </c>
      <c r="AV672" s="49">
        <f t="shared" si="344"/>
        <v>0</v>
      </c>
      <c r="AW672" s="235">
        <f t="shared" si="344"/>
        <v>0</v>
      </c>
      <c r="AX672" s="49">
        <f t="shared" si="344"/>
        <v>0</v>
      </c>
      <c r="AY672" s="235">
        <f t="shared" si="344"/>
        <v>0</v>
      </c>
      <c r="AZ672" s="82">
        <f t="shared" si="344"/>
        <v>0</v>
      </c>
      <c r="BA672" s="49">
        <f t="shared" si="344"/>
        <v>0</v>
      </c>
      <c r="BB672" s="49">
        <f t="shared" si="344"/>
        <v>0</v>
      </c>
      <c r="BC672" s="82">
        <f t="shared" si="344"/>
        <v>0</v>
      </c>
      <c r="BD672" s="49">
        <f t="shared" si="344"/>
        <v>0</v>
      </c>
      <c r="BE672" s="49">
        <f t="shared" si="344"/>
        <v>0</v>
      </c>
      <c r="BF672" s="235">
        <f t="shared" si="344"/>
        <v>0</v>
      </c>
      <c r="BG672" s="231">
        <f t="shared" si="344"/>
        <v>0</v>
      </c>
      <c r="BH672" s="543">
        <f t="shared" si="344"/>
        <v>0</v>
      </c>
      <c r="BI672" s="49">
        <f t="shared" si="344"/>
        <v>1</v>
      </c>
      <c r="BJ672" s="50">
        <f t="shared" si="344"/>
        <v>2</v>
      </c>
      <c r="BK672" s="49">
        <f t="shared" si="344"/>
        <v>0</v>
      </c>
      <c r="BL672" s="291">
        <f t="shared" si="344"/>
        <v>0</v>
      </c>
      <c r="BM672" s="50">
        <f t="shared" si="344"/>
        <v>0</v>
      </c>
      <c r="BN672" s="49">
        <f t="shared" si="344"/>
        <v>0</v>
      </c>
      <c r="BO672" s="235">
        <f t="shared" si="344"/>
        <v>0</v>
      </c>
      <c r="BP672" s="291">
        <f t="shared" si="344"/>
        <v>0</v>
      </c>
      <c r="BQ672" s="235">
        <f t="shared" si="344"/>
        <v>0</v>
      </c>
      <c r="BR672" s="82">
        <f t="shared" si="344"/>
        <v>0</v>
      </c>
      <c r="BS672" s="49">
        <f t="shared" si="344"/>
        <v>0</v>
      </c>
      <c r="BT672" s="50">
        <f t="shared" si="344"/>
        <v>0</v>
      </c>
      <c r="BU672" s="49">
        <v>0</v>
      </c>
      <c r="BV672" s="291">
        <f>SUM(BV268:BV274)+BV505+BV515+BV529</f>
        <v>0</v>
      </c>
      <c r="BW672" s="63">
        <f>SUM(BW268:BW274)+BW505+BW515+BW529</f>
        <v>1</v>
      </c>
      <c r="BX672" s="235">
        <v>0</v>
      </c>
      <c r="BY672" s="82">
        <v>0</v>
      </c>
      <c r="BZ672" s="49">
        <f t="shared" ref="BZ672:CI672" si="345">SUM(BZ268:BZ274)+BZ505+BZ515+BZ529</f>
        <v>0</v>
      </c>
      <c r="CA672" s="235">
        <f t="shared" si="345"/>
        <v>0</v>
      </c>
      <c r="CB672" s="291">
        <f t="shared" si="345"/>
        <v>0</v>
      </c>
      <c r="CC672" s="50">
        <f t="shared" si="345"/>
        <v>0</v>
      </c>
      <c r="CD672" s="49">
        <f t="shared" si="345"/>
        <v>0</v>
      </c>
      <c r="CE672" s="235">
        <f t="shared" si="345"/>
        <v>0</v>
      </c>
      <c r="CF672" s="235">
        <f t="shared" si="345"/>
        <v>0</v>
      </c>
      <c r="CG672" s="82">
        <f t="shared" si="345"/>
        <v>0</v>
      </c>
      <c r="CH672" s="49">
        <f t="shared" si="345"/>
        <v>0</v>
      </c>
      <c r="CI672" s="82">
        <f t="shared" si="345"/>
        <v>0</v>
      </c>
    </row>
    <row r="673" spans="1:87" x14ac:dyDescent="0.3">
      <c r="B673" s="17" t="s">
        <v>801</v>
      </c>
      <c r="C673" s="321">
        <v>13173</v>
      </c>
      <c r="D673" s="236">
        <v>5871</v>
      </c>
      <c r="E673" s="367">
        <f t="shared" si="224"/>
        <v>0.44568435436119336</v>
      </c>
      <c r="F673" s="49">
        <f t="shared" ref="F673:AK673" si="346">SUM(F275:F286)</f>
        <v>0</v>
      </c>
      <c r="G673" s="235">
        <f t="shared" si="346"/>
        <v>0</v>
      </c>
      <c r="H673" s="235">
        <f t="shared" si="346"/>
        <v>0</v>
      </c>
      <c r="I673" s="235">
        <f t="shared" si="346"/>
        <v>0</v>
      </c>
      <c r="J673" s="50">
        <f t="shared" si="346"/>
        <v>0</v>
      </c>
      <c r="K673" s="49">
        <f t="shared" si="346"/>
        <v>0</v>
      </c>
      <c r="L673" s="231">
        <f t="shared" si="346"/>
        <v>0</v>
      </c>
      <c r="M673" s="543">
        <f t="shared" si="346"/>
        <v>0</v>
      </c>
      <c r="N673" s="49">
        <f t="shared" si="346"/>
        <v>0</v>
      </c>
      <c r="O673" s="235">
        <f t="shared" si="346"/>
        <v>0</v>
      </c>
      <c r="P673" s="291">
        <f t="shared" si="346"/>
        <v>0</v>
      </c>
      <c r="Q673" s="63">
        <f t="shared" si="346"/>
        <v>0</v>
      </c>
      <c r="R673" s="63">
        <f t="shared" si="346"/>
        <v>0</v>
      </c>
      <c r="S673" s="62">
        <f t="shared" si="346"/>
        <v>0</v>
      </c>
      <c r="T673" s="49">
        <f t="shared" si="346"/>
        <v>0</v>
      </c>
      <c r="U673" s="49">
        <f t="shared" si="346"/>
        <v>0</v>
      </c>
      <c r="V673" s="82">
        <f t="shared" si="346"/>
        <v>0</v>
      </c>
      <c r="W673" s="62">
        <f t="shared" si="346"/>
        <v>0</v>
      </c>
      <c r="X673" s="235">
        <f t="shared" si="346"/>
        <v>0</v>
      </c>
      <c r="Y673" s="291">
        <f t="shared" si="346"/>
        <v>0</v>
      </c>
      <c r="Z673" s="50">
        <f t="shared" si="346"/>
        <v>0</v>
      </c>
      <c r="AA673" s="49">
        <f t="shared" si="346"/>
        <v>0</v>
      </c>
      <c r="AB673" s="63">
        <f t="shared" si="346"/>
        <v>0</v>
      </c>
      <c r="AC673" s="62">
        <f t="shared" si="346"/>
        <v>0</v>
      </c>
      <c r="AD673" s="49">
        <f t="shared" si="346"/>
        <v>0</v>
      </c>
      <c r="AE673" s="235">
        <f t="shared" si="346"/>
        <v>0</v>
      </c>
      <c r="AF673" s="82">
        <f t="shared" si="346"/>
        <v>0</v>
      </c>
      <c r="AG673" s="82">
        <f t="shared" si="346"/>
        <v>0</v>
      </c>
      <c r="AH673" s="49">
        <f t="shared" si="346"/>
        <v>0</v>
      </c>
      <c r="AI673" s="82">
        <f t="shared" si="346"/>
        <v>0</v>
      </c>
      <c r="AJ673" s="49">
        <f t="shared" si="346"/>
        <v>2351</v>
      </c>
      <c r="AK673" s="235">
        <f t="shared" si="346"/>
        <v>1893</v>
      </c>
      <c r="AL673" s="82">
        <f t="shared" ref="AL673:BQ673" si="347">SUM(AL275:AL286)</f>
        <v>2394</v>
      </c>
      <c r="AM673" s="49">
        <f t="shared" si="347"/>
        <v>0</v>
      </c>
      <c r="AN673" s="235">
        <f t="shared" si="347"/>
        <v>0</v>
      </c>
      <c r="AO673" s="235">
        <f t="shared" si="347"/>
        <v>0</v>
      </c>
      <c r="AP673" s="82">
        <f t="shared" si="347"/>
        <v>0</v>
      </c>
      <c r="AQ673" s="49">
        <f t="shared" si="347"/>
        <v>0</v>
      </c>
      <c r="AR673" s="82">
        <f t="shared" si="347"/>
        <v>0</v>
      </c>
      <c r="AS673" s="49">
        <f t="shared" si="347"/>
        <v>0</v>
      </c>
      <c r="AT673" s="235">
        <f t="shared" si="347"/>
        <v>0</v>
      </c>
      <c r="AU673" s="82">
        <f t="shared" si="347"/>
        <v>0</v>
      </c>
      <c r="AV673" s="49">
        <f t="shared" si="347"/>
        <v>0</v>
      </c>
      <c r="AW673" s="235">
        <f t="shared" si="347"/>
        <v>0</v>
      </c>
      <c r="AX673" s="49">
        <f t="shared" si="347"/>
        <v>0</v>
      </c>
      <c r="AY673" s="235">
        <f t="shared" si="347"/>
        <v>0</v>
      </c>
      <c r="AZ673" s="82">
        <f t="shared" si="347"/>
        <v>0</v>
      </c>
      <c r="BA673" s="49">
        <f t="shared" si="347"/>
        <v>0</v>
      </c>
      <c r="BB673" s="49">
        <f t="shared" si="347"/>
        <v>0</v>
      </c>
      <c r="BC673" s="82">
        <f t="shared" si="347"/>
        <v>0</v>
      </c>
      <c r="BD673" s="49">
        <f t="shared" si="347"/>
        <v>0</v>
      </c>
      <c r="BE673" s="49">
        <f t="shared" si="347"/>
        <v>0</v>
      </c>
      <c r="BF673" s="235">
        <f t="shared" si="347"/>
        <v>0</v>
      </c>
      <c r="BG673" s="231">
        <f t="shared" si="347"/>
        <v>0</v>
      </c>
      <c r="BH673" s="543">
        <f t="shared" si="347"/>
        <v>0</v>
      </c>
      <c r="BI673" s="49">
        <f t="shared" si="347"/>
        <v>0</v>
      </c>
      <c r="BJ673" s="50">
        <f t="shared" si="347"/>
        <v>0</v>
      </c>
      <c r="BK673" s="49">
        <f t="shared" si="347"/>
        <v>0</v>
      </c>
      <c r="BL673" s="291">
        <f t="shared" si="347"/>
        <v>0</v>
      </c>
      <c r="BM673" s="50">
        <f t="shared" si="347"/>
        <v>0</v>
      </c>
      <c r="BN673" s="49">
        <f t="shared" si="347"/>
        <v>0</v>
      </c>
      <c r="BO673" s="235">
        <f t="shared" si="347"/>
        <v>0</v>
      </c>
      <c r="BP673" s="291">
        <f t="shared" si="347"/>
        <v>0</v>
      </c>
      <c r="BQ673" s="235">
        <f t="shared" si="347"/>
        <v>0</v>
      </c>
      <c r="BR673" s="82">
        <f t="shared" ref="BR673:CI673" si="348">SUM(BR275:BR286)</f>
        <v>0</v>
      </c>
      <c r="BS673" s="49">
        <f t="shared" si="348"/>
        <v>0</v>
      </c>
      <c r="BT673" s="50">
        <f t="shared" si="348"/>
        <v>0</v>
      </c>
      <c r="BU673" s="49">
        <f t="shared" si="348"/>
        <v>0</v>
      </c>
      <c r="BV673" s="291">
        <f t="shared" si="348"/>
        <v>0</v>
      </c>
      <c r="BW673" s="63">
        <f t="shared" si="348"/>
        <v>0</v>
      </c>
      <c r="BX673" s="235">
        <f t="shared" si="348"/>
        <v>0</v>
      </c>
      <c r="BY673" s="82">
        <f t="shared" si="348"/>
        <v>0</v>
      </c>
      <c r="BZ673" s="49">
        <f t="shared" si="348"/>
        <v>0</v>
      </c>
      <c r="CA673" s="235">
        <f t="shared" si="348"/>
        <v>0</v>
      </c>
      <c r="CB673" s="291">
        <f t="shared" si="348"/>
        <v>0</v>
      </c>
      <c r="CC673" s="50">
        <f t="shared" si="348"/>
        <v>0</v>
      </c>
      <c r="CD673" s="49">
        <f t="shared" si="348"/>
        <v>0</v>
      </c>
      <c r="CE673" s="235">
        <f t="shared" si="348"/>
        <v>0</v>
      </c>
      <c r="CF673" s="235">
        <f t="shared" si="348"/>
        <v>0</v>
      </c>
      <c r="CG673" s="82">
        <f t="shared" si="348"/>
        <v>0</v>
      </c>
      <c r="CH673" s="49">
        <f t="shared" si="348"/>
        <v>0</v>
      </c>
      <c r="CI673" s="82">
        <f t="shared" si="348"/>
        <v>0</v>
      </c>
    </row>
    <row r="674" spans="1:87" x14ac:dyDescent="0.3">
      <c r="B674" s="17" t="s">
        <v>734</v>
      </c>
      <c r="C674" s="477">
        <v>26620</v>
      </c>
      <c r="D674" s="236">
        <v>13570</v>
      </c>
      <c r="E674" s="367">
        <f t="shared" si="224"/>
        <v>0.50976709241172047</v>
      </c>
      <c r="F674" s="49">
        <f t="shared" ref="F674:AQ674" si="349">SUM(F198:F199)+SUM(F295:F309)+SUM(F421:F422)+SUM(F425:F426)+SUM(F478:F479)+F528+F534+F536+F541+SUM(F564:F565)</f>
        <v>0</v>
      </c>
      <c r="G674" s="235">
        <f t="shared" si="349"/>
        <v>0</v>
      </c>
      <c r="H674" s="235">
        <f t="shared" si="349"/>
        <v>0</v>
      </c>
      <c r="I674" s="235">
        <f t="shared" si="349"/>
        <v>0</v>
      </c>
      <c r="J674" s="50">
        <f t="shared" si="349"/>
        <v>0</v>
      </c>
      <c r="K674" s="49">
        <f t="shared" si="349"/>
        <v>0</v>
      </c>
      <c r="L674" s="231">
        <f t="shared" si="349"/>
        <v>0</v>
      </c>
      <c r="M674" s="543">
        <f t="shared" si="349"/>
        <v>0</v>
      </c>
      <c r="N674" s="49">
        <f t="shared" si="349"/>
        <v>0</v>
      </c>
      <c r="O674" s="235">
        <f t="shared" si="349"/>
        <v>0</v>
      </c>
      <c r="P674" s="291">
        <f t="shared" si="349"/>
        <v>0</v>
      </c>
      <c r="Q674" s="63">
        <f t="shared" si="349"/>
        <v>0</v>
      </c>
      <c r="R674" s="63">
        <f t="shared" si="349"/>
        <v>0</v>
      </c>
      <c r="S674" s="62">
        <f t="shared" si="349"/>
        <v>0</v>
      </c>
      <c r="T674" s="49">
        <f t="shared" si="349"/>
        <v>0</v>
      </c>
      <c r="U674" s="49">
        <f t="shared" si="349"/>
        <v>0</v>
      </c>
      <c r="V674" s="82">
        <f t="shared" si="349"/>
        <v>0</v>
      </c>
      <c r="W674" s="62">
        <f t="shared" si="349"/>
        <v>0</v>
      </c>
      <c r="X674" s="235">
        <f t="shared" si="349"/>
        <v>0</v>
      </c>
      <c r="Y674" s="291">
        <f t="shared" si="349"/>
        <v>0</v>
      </c>
      <c r="Z674" s="50">
        <f t="shared" si="349"/>
        <v>0</v>
      </c>
      <c r="AA674" s="49">
        <f t="shared" si="349"/>
        <v>0</v>
      </c>
      <c r="AB674" s="63">
        <f t="shared" si="349"/>
        <v>0</v>
      </c>
      <c r="AC674" s="62">
        <f t="shared" si="349"/>
        <v>0</v>
      </c>
      <c r="AD674" s="49">
        <f t="shared" si="349"/>
        <v>0</v>
      </c>
      <c r="AE674" s="235">
        <f t="shared" si="349"/>
        <v>0</v>
      </c>
      <c r="AF674" s="82">
        <f t="shared" si="349"/>
        <v>0</v>
      </c>
      <c r="AG674" s="82">
        <f t="shared" si="349"/>
        <v>0</v>
      </c>
      <c r="AH674" s="49">
        <f t="shared" si="349"/>
        <v>0</v>
      </c>
      <c r="AI674" s="82">
        <f t="shared" si="349"/>
        <v>0</v>
      </c>
      <c r="AJ674" s="49">
        <f t="shared" si="349"/>
        <v>0</v>
      </c>
      <c r="AK674" s="235">
        <f t="shared" si="349"/>
        <v>0</v>
      </c>
      <c r="AL674" s="82">
        <f t="shared" si="349"/>
        <v>0</v>
      </c>
      <c r="AM674" s="49">
        <f t="shared" si="349"/>
        <v>6348</v>
      </c>
      <c r="AN674" s="235">
        <f t="shared" si="349"/>
        <v>3915</v>
      </c>
      <c r="AO674" s="235">
        <f t="shared" si="349"/>
        <v>4951</v>
      </c>
      <c r="AP674" s="82">
        <f t="shared" si="349"/>
        <v>5747</v>
      </c>
      <c r="AQ674" s="49">
        <f t="shared" si="349"/>
        <v>0</v>
      </c>
      <c r="AR674" s="82">
        <f>SUM(AR198:AR199)+SUM(AR296:AR309)+SUM(AR421:AR422)+SUM(AR425:AR426)+SUM(AR478:AR479)+AR528+AR534+AR536+AR541+SUM(AR564:AR565)</f>
        <v>0</v>
      </c>
      <c r="AS674" s="49">
        <v>0</v>
      </c>
      <c r="AT674" s="235">
        <f>SUM(AT198:AT199)+SUM(AT295:AT309)+SUM(AT421:AT422)+SUM(AT425:AT426)+SUM(AT478:AT479)+AT528+AT534+AT536+AT541+SUM(AT564:AT565)</f>
        <v>0</v>
      </c>
      <c r="AU674" s="82">
        <v>0</v>
      </c>
      <c r="AV674" s="49">
        <v>0</v>
      </c>
      <c r="AW674" s="235">
        <f>SUM(AW198:AW199)+SUM(AW295:AW309)+SUM(AW421:AW422)+SUM(AW425:AW426)+SUM(AW478:AW479)+AW528+AW534+AW536+AW541+SUM(AW564:AW565)</f>
        <v>597</v>
      </c>
      <c r="AX674" s="49">
        <f>SUM(AX198:AX199)+SUM(AX295:AX309)+SUM(AX421:AX422)+SUM(AX425:AX426)+SUM(AX478:AX479)+AX528+AX534+AX536+AX541+SUM(AX564:AX565)</f>
        <v>721</v>
      </c>
      <c r="AY674" s="235">
        <f>SUM(AY198:AY199)+SUM(AY295:AY309)+SUM(AY421:AY422)+SUM(AY425:AY426)+SUM(AY478:AY479)+AY528+AY534+AY536+AY541+SUM(AY564:AY565)</f>
        <v>245</v>
      </c>
      <c r="AZ674" s="82">
        <v>0</v>
      </c>
      <c r="BA674" s="49">
        <v>0</v>
      </c>
      <c r="BB674" s="49">
        <f>SUM(BB198:BB199)+SUM(BB295:BB309)+SUM(BB421:BB422)+SUM(BB425:BB426)+SUM(BB478:BB479)+BB528+BB534+BB536+BB541+SUM(BB564:BB565)</f>
        <v>84</v>
      </c>
      <c r="BC674" s="82">
        <v>0</v>
      </c>
      <c r="BD674" s="49">
        <f t="shared" ref="BD674:CI674" si="350">SUM(BD198:BD199)+SUM(BD295:BD309)+SUM(BD421:BD422)+SUM(BD425:BD426)+SUM(BD478:BD479)+BD528+BD534+BD536+BD541+SUM(BD564:BD565)</f>
        <v>0</v>
      </c>
      <c r="BE674" s="49">
        <f t="shared" si="350"/>
        <v>0</v>
      </c>
      <c r="BF674" s="235">
        <f t="shared" si="350"/>
        <v>0</v>
      </c>
      <c r="BG674" s="231">
        <f t="shared" si="350"/>
        <v>0</v>
      </c>
      <c r="BH674" s="543">
        <f t="shared" si="350"/>
        <v>0</v>
      </c>
      <c r="BI674" s="49">
        <f t="shared" si="350"/>
        <v>0</v>
      </c>
      <c r="BJ674" s="50">
        <f t="shared" si="350"/>
        <v>0</v>
      </c>
      <c r="BK674" s="49">
        <f t="shared" si="350"/>
        <v>0</v>
      </c>
      <c r="BL674" s="291">
        <f t="shared" si="350"/>
        <v>0</v>
      </c>
      <c r="BM674" s="50">
        <f t="shared" si="350"/>
        <v>0</v>
      </c>
      <c r="BN674" s="49">
        <f t="shared" si="350"/>
        <v>0</v>
      </c>
      <c r="BO674" s="235">
        <f t="shared" si="350"/>
        <v>0</v>
      </c>
      <c r="BP674" s="291">
        <f t="shared" si="350"/>
        <v>0</v>
      </c>
      <c r="BQ674" s="235">
        <f t="shared" si="350"/>
        <v>0</v>
      </c>
      <c r="BR674" s="82">
        <f t="shared" si="350"/>
        <v>0</v>
      </c>
      <c r="BS674" s="49">
        <f t="shared" si="350"/>
        <v>0</v>
      </c>
      <c r="BT674" s="50">
        <f t="shared" si="350"/>
        <v>0</v>
      </c>
      <c r="BU674" s="49">
        <f t="shared" si="350"/>
        <v>0</v>
      </c>
      <c r="BV674" s="291">
        <f t="shared" si="350"/>
        <v>0</v>
      </c>
      <c r="BW674" s="63">
        <f t="shared" si="350"/>
        <v>0</v>
      </c>
      <c r="BX674" s="235">
        <f t="shared" si="350"/>
        <v>0</v>
      </c>
      <c r="BY674" s="82">
        <f t="shared" si="350"/>
        <v>0</v>
      </c>
      <c r="BZ674" s="49">
        <f t="shared" si="350"/>
        <v>0</v>
      </c>
      <c r="CA674" s="235">
        <f t="shared" si="350"/>
        <v>0</v>
      </c>
      <c r="CB674" s="291">
        <f t="shared" si="350"/>
        <v>0</v>
      </c>
      <c r="CC674" s="50">
        <f t="shared" si="350"/>
        <v>0</v>
      </c>
      <c r="CD674" s="49">
        <f t="shared" si="350"/>
        <v>0</v>
      </c>
      <c r="CE674" s="235">
        <f t="shared" si="350"/>
        <v>0</v>
      </c>
      <c r="CF674" s="235">
        <f t="shared" si="350"/>
        <v>0</v>
      </c>
      <c r="CG674" s="82">
        <f t="shared" si="350"/>
        <v>0</v>
      </c>
      <c r="CH674" s="49">
        <f t="shared" si="350"/>
        <v>0</v>
      </c>
      <c r="CI674" s="82">
        <f t="shared" si="350"/>
        <v>0</v>
      </c>
    </row>
    <row r="675" spans="1:87" x14ac:dyDescent="0.3">
      <c r="B675" s="17" t="s">
        <v>767</v>
      </c>
      <c r="C675" s="477">
        <v>7394</v>
      </c>
      <c r="D675" s="236">
        <v>3671</v>
      </c>
      <c r="E675" s="367">
        <f t="shared" si="224"/>
        <v>0.49648363538003787</v>
      </c>
      <c r="F675" s="70">
        <f t="shared" ref="F675:AK675" si="351">SUM(F287:F294)+F533</f>
        <v>0</v>
      </c>
      <c r="G675" s="236">
        <f t="shared" si="351"/>
        <v>0</v>
      </c>
      <c r="H675" s="236">
        <f t="shared" si="351"/>
        <v>0</v>
      </c>
      <c r="I675" s="236">
        <f t="shared" si="351"/>
        <v>0</v>
      </c>
      <c r="J675" s="71">
        <f t="shared" si="351"/>
        <v>0</v>
      </c>
      <c r="K675" s="70">
        <f t="shared" si="351"/>
        <v>0</v>
      </c>
      <c r="L675" s="274">
        <f t="shared" si="351"/>
        <v>0</v>
      </c>
      <c r="M675" s="588">
        <f t="shared" si="351"/>
        <v>0</v>
      </c>
      <c r="N675" s="70">
        <f t="shared" si="351"/>
        <v>0</v>
      </c>
      <c r="O675" s="236">
        <f t="shared" si="351"/>
        <v>0</v>
      </c>
      <c r="P675" s="275">
        <f t="shared" si="351"/>
        <v>0</v>
      </c>
      <c r="Q675" s="72">
        <f t="shared" si="351"/>
        <v>0</v>
      </c>
      <c r="R675" s="72">
        <f t="shared" si="351"/>
        <v>0</v>
      </c>
      <c r="S675" s="86">
        <f t="shared" si="351"/>
        <v>0</v>
      </c>
      <c r="T675" s="70">
        <f t="shared" si="351"/>
        <v>0</v>
      </c>
      <c r="U675" s="70">
        <f t="shared" si="351"/>
        <v>0</v>
      </c>
      <c r="V675" s="87">
        <f t="shared" si="351"/>
        <v>0</v>
      </c>
      <c r="W675" s="86">
        <f t="shared" si="351"/>
        <v>0</v>
      </c>
      <c r="X675" s="236">
        <f t="shared" si="351"/>
        <v>0</v>
      </c>
      <c r="Y675" s="275">
        <f t="shared" si="351"/>
        <v>0</v>
      </c>
      <c r="Z675" s="71">
        <f t="shared" si="351"/>
        <v>0</v>
      </c>
      <c r="AA675" s="70">
        <f t="shared" si="351"/>
        <v>0</v>
      </c>
      <c r="AB675" s="72">
        <f t="shared" si="351"/>
        <v>0</v>
      </c>
      <c r="AC675" s="86">
        <f t="shared" si="351"/>
        <v>0</v>
      </c>
      <c r="AD675" s="70">
        <f t="shared" si="351"/>
        <v>0</v>
      </c>
      <c r="AE675" s="236">
        <f t="shared" si="351"/>
        <v>0</v>
      </c>
      <c r="AF675" s="87">
        <f t="shared" si="351"/>
        <v>0</v>
      </c>
      <c r="AG675" s="87">
        <f t="shared" si="351"/>
        <v>0</v>
      </c>
      <c r="AH675" s="70">
        <f t="shared" si="351"/>
        <v>0</v>
      </c>
      <c r="AI675" s="87">
        <f t="shared" si="351"/>
        <v>0</v>
      </c>
      <c r="AJ675" s="70">
        <f t="shared" si="351"/>
        <v>0</v>
      </c>
      <c r="AK675" s="236">
        <f t="shared" si="351"/>
        <v>0</v>
      </c>
      <c r="AL675" s="87">
        <f t="shared" ref="AL675:BQ675" si="352">SUM(AL287:AL294)+AL533</f>
        <v>0</v>
      </c>
      <c r="AM675" s="70">
        <f t="shared" si="352"/>
        <v>0</v>
      </c>
      <c r="AN675" s="236">
        <f t="shared" si="352"/>
        <v>0</v>
      </c>
      <c r="AO675" s="236">
        <f t="shared" si="352"/>
        <v>0</v>
      </c>
      <c r="AP675" s="87">
        <f t="shared" si="352"/>
        <v>0</v>
      </c>
      <c r="AQ675" s="70">
        <f t="shared" si="352"/>
        <v>1543</v>
      </c>
      <c r="AR675" s="87">
        <f t="shared" si="352"/>
        <v>2152</v>
      </c>
      <c r="AS675" s="70">
        <f t="shared" si="352"/>
        <v>0</v>
      </c>
      <c r="AT675" s="236">
        <f t="shared" si="352"/>
        <v>0</v>
      </c>
      <c r="AU675" s="87">
        <f t="shared" si="352"/>
        <v>0</v>
      </c>
      <c r="AV675" s="70">
        <f t="shared" si="352"/>
        <v>0</v>
      </c>
      <c r="AW675" s="236">
        <f t="shared" si="352"/>
        <v>0</v>
      </c>
      <c r="AX675" s="70">
        <f t="shared" si="352"/>
        <v>0</v>
      </c>
      <c r="AY675" s="236">
        <f t="shared" si="352"/>
        <v>0</v>
      </c>
      <c r="AZ675" s="87">
        <f t="shared" si="352"/>
        <v>0</v>
      </c>
      <c r="BA675" s="70">
        <f t="shared" si="352"/>
        <v>0</v>
      </c>
      <c r="BB675" s="70">
        <f t="shared" si="352"/>
        <v>0</v>
      </c>
      <c r="BC675" s="87">
        <f t="shared" si="352"/>
        <v>0</v>
      </c>
      <c r="BD675" s="70">
        <f t="shared" si="352"/>
        <v>0</v>
      </c>
      <c r="BE675" s="70">
        <f t="shared" si="352"/>
        <v>0</v>
      </c>
      <c r="BF675" s="236">
        <f t="shared" si="352"/>
        <v>0</v>
      </c>
      <c r="BG675" s="274">
        <f t="shared" si="352"/>
        <v>0</v>
      </c>
      <c r="BH675" s="588">
        <f t="shared" si="352"/>
        <v>0</v>
      </c>
      <c r="BI675" s="70">
        <f t="shared" si="352"/>
        <v>0</v>
      </c>
      <c r="BJ675" s="71">
        <f t="shared" si="352"/>
        <v>0</v>
      </c>
      <c r="BK675" s="70">
        <f t="shared" si="352"/>
        <v>0</v>
      </c>
      <c r="BL675" s="275">
        <f t="shared" si="352"/>
        <v>0</v>
      </c>
      <c r="BM675" s="71">
        <f t="shared" si="352"/>
        <v>0</v>
      </c>
      <c r="BN675" s="70">
        <f t="shared" si="352"/>
        <v>0</v>
      </c>
      <c r="BO675" s="236">
        <f t="shared" si="352"/>
        <v>0</v>
      </c>
      <c r="BP675" s="275">
        <f t="shared" si="352"/>
        <v>0</v>
      </c>
      <c r="BQ675" s="236">
        <f t="shared" si="352"/>
        <v>0</v>
      </c>
      <c r="BR675" s="87">
        <f t="shared" ref="BR675:CI675" si="353">SUM(BR287:BR294)+BR533</f>
        <v>0</v>
      </c>
      <c r="BS675" s="70">
        <f t="shared" si="353"/>
        <v>0</v>
      </c>
      <c r="BT675" s="71">
        <f t="shared" si="353"/>
        <v>0</v>
      </c>
      <c r="BU675" s="70">
        <f t="shared" si="353"/>
        <v>0</v>
      </c>
      <c r="BV675" s="275">
        <f t="shared" si="353"/>
        <v>0</v>
      </c>
      <c r="BW675" s="72">
        <f t="shared" si="353"/>
        <v>0</v>
      </c>
      <c r="BX675" s="236">
        <f t="shared" si="353"/>
        <v>0</v>
      </c>
      <c r="BY675" s="87">
        <f t="shared" si="353"/>
        <v>0</v>
      </c>
      <c r="BZ675" s="70">
        <f t="shared" si="353"/>
        <v>0</v>
      </c>
      <c r="CA675" s="236">
        <f t="shared" si="353"/>
        <v>0</v>
      </c>
      <c r="CB675" s="275">
        <f t="shared" si="353"/>
        <v>0</v>
      </c>
      <c r="CC675" s="71">
        <f t="shared" si="353"/>
        <v>0</v>
      </c>
      <c r="CD675" s="70">
        <f t="shared" si="353"/>
        <v>0</v>
      </c>
      <c r="CE675" s="236">
        <f t="shared" si="353"/>
        <v>0</v>
      </c>
      <c r="CF675" s="236">
        <f t="shared" si="353"/>
        <v>0</v>
      </c>
      <c r="CG675" s="87">
        <f t="shared" si="353"/>
        <v>0</v>
      </c>
      <c r="CH675" s="70">
        <f t="shared" si="353"/>
        <v>0</v>
      </c>
      <c r="CI675" s="87">
        <f t="shared" si="353"/>
        <v>0</v>
      </c>
    </row>
    <row r="676" spans="1:87" x14ac:dyDescent="0.3">
      <c r="B676" s="17" t="s">
        <v>729</v>
      </c>
      <c r="C676" s="321">
        <v>4147</v>
      </c>
      <c r="D676" s="236">
        <v>1845</v>
      </c>
      <c r="E676" s="367">
        <f t="shared" si="224"/>
        <v>0.44489992765854836</v>
      </c>
      <c r="F676" s="70">
        <f t="shared" ref="F676:J676" si="354">SUM(F498:F501)+F420</f>
        <v>0</v>
      </c>
      <c r="G676" s="236">
        <f t="shared" si="354"/>
        <v>0</v>
      </c>
      <c r="H676" s="236">
        <f t="shared" ref="H676:I676" si="355">SUM(H498:H501)+H420</f>
        <v>0</v>
      </c>
      <c r="I676" s="236">
        <f t="shared" si="355"/>
        <v>0</v>
      </c>
      <c r="J676" s="71">
        <f t="shared" si="354"/>
        <v>0</v>
      </c>
      <c r="K676" s="70">
        <f t="shared" ref="K676:AV676" si="356">SUM(K498:K501)+K420</f>
        <v>0</v>
      </c>
      <c r="L676" s="274">
        <f t="shared" si="356"/>
        <v>0</v>
      </c>
      <c r="M676" s="588">
        <f>SUM(M498:M501)+M420</f>
        <v>0</v>
      </c>
      <c r="N676" s="70">
        <f t="shared" si="356"/>
        <v>0</v>
      </c>
      <c r="O676" s="236">
        <f t="shared" ref="O676:Q676" si="357">SUM(O498:O501)+O420</f>
        <v>0</v>
      </c>
      <c r="P676" s="275">
        <f t="shared" ref="P676" si="358">SUM(P498:P501)+P420</f>
        <v>0</v>
      </c>
      <c r="Q676" s="72">
        <f t="shared" si="357"/>
        <v>0</v>
      </c>
      <c r="R676" s="72">
        <f t="shared" si="356"/>
        <v>0</v>
      </c>
      <c r="S676" s="86">
        <f t="shared" si="356"/>
        <v>0</v>
      </c>
      <c r="T676" s="70">
        <f t="shared" si="356"/>
        <v>0</v>
      </c>
      <c r="U676" s="70">
        <f t="shared" ref="U676" si="359">SUM(U498:U501)+U420</f>
        <v>0</v>
      </c>
      <c r="V676" s="87">
        <f t="shared" si="356"/>
        <v>0</v>
      </c>
      <c r="W676" s="86">
        <f t="shared" si="356"/>
        <v>0</v>
      </c>
      <c r="X676" s="236">
        <f t="shared" si="356"/>
        <v>0</v>
      </c>
      <c r="Y676" s="275">
        <f>SUM(Y498:Y501)+Y420</f>
        <v>0</v>
      </c>
      <c r="Z676" s="71">
        <f t="shared" si="356"/>
        <v>0</v>
      </c>
      <c r="AA676" s="70">
        <f t="shared" si="356"/>
        <v>0</v>
      </c>
      <c r="AB676" s="72">
        <f t="shared" si="356"/>
        <v>0</v>
      </c>
      <c r="AC676" s="86">
        <f t="shared" si="356"/>
        <v>0</v>
      </c>
      <c r="AD676" s="70">
        <f t="shared" si="356"/>
        <v>0</v>
      </c>
      <c r="AE676" s="236">
        <f t="shared" ref="AE676" si="360">SUM(AE498:AE501)+AE420</f>
        <v>0</v>
      </c>
      <c r="AF676" s="87">
        <f t="shared" si="356"/>
        <v>0</v>
      </c>
      <c r="AG676" s="87">
        <f t="shared" si="356"/>
        <v>0</v>
      </c>
      <c r="AH676" s="70">
        <f t="shared" si="356"/>
        <v>0</v>
      </c>
      <c r="AI676" s="87">
        <f t="shared" si="356"/>
        <v>0</v>
      </c>
      <c r="AJ676" s="70">
        <f t="shared" si="356"/>
        <v>0</v>
      </c>
      <c r="AK676" s="236">
        <f>SUM(AK498:AK501)+AK420</f>
        <v>0</v>
      </c>
      <c r="AL676" s="87">
        <f t="shared" si="356"/>
        <v>0</v>
      </c>
      <c r="AM676" s="70">
        <f t="shared" si="356"/>
        <v>0</v>
      </c>
      <c r="AN676" s="236">
        <f t="shared" si="356"/>
        <v>0</v>
      </c>
      <c r="AO676" s="236">
        <f t="shared" ref="AO676" si="361">SUM(AO498:AO501)+AO420</f>
        <v>0</v>
      </c>
      <c r="AP676" s="87">
        <f t="shared" si="356"/>
        <v>0</v>
      </c>
      <c r="AQ676" s="70">
        <f t="shared" si="356"/>
        <v>0</v>
      </c>
      <c r="AR676" s="87">
        <f t="shared" si="356"/>
        <v>0</v>
      </c>
      <c r="AS676" s="70">
        <f t="shared" si="356"/>
        <v>737</v>
      </c>
      <c r="AT676" s="236">
        <f t="shared" ref="AT676" si="362">SUM(AT498:AT501)+AT420</f>
        <v>917</v>
      </c>
      <c r="AU676" s="87">
        <f t="shared" si="356"/>
        <v>497</v>
      </c>
      <c r="AV676" s="70">
        <f t="shared" si="356"/>
        <v>0</v>
      </c>
      <c r="AW676" s="236">
        <f t="shared" ref="AW676:AY676" si="363">SUM(AW498:AW501)+AW420</f>
        <v>0</v>
      </c>
      <c r="AX676" s="70">
        <f t="shared" si="363"/>
        <v>0</v>
      </c>
      <c r="AY676" s="236">
        <f t="shared" si="363"/>
        <v>0</v>
      </c>
      <c r="AZ676" s="87">
        <f t="shared" ref="AZ676:CI676" si="364">SUM(AZ498:AZ501)+AZ420</f>
        <v>0</v>
      </c>
      <c r="BA676" s="70">
        <f t="shared" si="364"/>
        <v>0</v>
      </c>
      <c r="BB676" s="70">
        <f t="shared" ref="BB676" si="365">SUM(BB498:BB501)+BB420</f>
        <v>0</v>
      </c>
      <c r="BC676" s="87">
        <f>SUM(BC498:BC501)+BC420</f>
        <v>0</v>
      </c>
      <c r="BD676" s="70">
        <f t="shared" si="364"/>
        <v>0</v>
      </c>
      <c r="BE676" s="70">
        <f t="shared" si="364"/>
        <v>0</v>
      </c>
      <c r="BF676" s="236">
        <f t="shared" ref="BF676:BH676" si="366">SUM(BF498:BF501)+BF420</f>
        <v>0</v>
      </c>
      <c r="BG676" s="274">
        <f t="shared" si="366"/>
        <v>0</v>
      </c>
      <c r="BH676" s="588">
        <f t="shared" si="366"/>
        <v>0</v>
      </c>
      <c r="BI676" s="70">
        <f t="shared" si="364"/>
        <v>0</v>
      </c>
      <c r="BJ676" s="71">
        <f t="shared" si="364"/>
        <v>0</v>
      </c>
      <c r="BK676" s="70">
        <f t="shared" ref="BK676" si="367">SUM(BK498:BK501)+BK420</f>
        <v>0</v>
      </c>
      <c r="BL676" s="275">
        <f t="shared" ref="BL676" si="368">SUM(BL498:BL501)+BL420</f>
        <v>0</v>
      </c>
      <c r="BM676" s="71">
        <f t="shared" si="364"/>
        <v>0</v>
      </c>
      <c r="BN676" s="70">
        <f t="shared" si="364"/>
        <v>0</v>
      </c>
      <c r="BO676" s="236">
        <f t="shared" ref="BO676:BQ676" si="369">SUM(BO498:BO501)+BO420</f>
        <v>0</v>
      </c>
      <c r="BP676" s="275">
        <f t="shared" si="369"/>
        <v>0</v>
      </c>
      <c r="BQ676" s="236">
        <f t="shared" si="369"/>
        <v>0</v>
      </c>
      <c r="BR676" s="87">
        <f t="shared" si="364"/>
        <v>0</v>
      </c>
      <c r="BS676" s="70">
        <f t="shared" si="364"/>
        <v>0</v>
      </c>
      <c r="BT676" s="71">
        <f t="shared" si="364"/>
        <v>0</v>
      </c>
      <c r="BU676" s="70">
        <f t="shared" si="364"/>
        <v>0</v>
      </c>
      <c r="BV676" s="275">
        <f t="shared" ref="BV676:BW676" si="370">SUM(BV498:BV501)+BV420</f>
        <v>0</v>
      </c>
      <c r="BW676" s="72">
        <f t="shared" si="370"/>
        <v>0</v>
      </c>
      <c r="BX676" s="236">
        <f>SUM(BX498:BX501)+BX420</f>
        <v>0</v>
      </c>
      <c r="BY676" s="87">
        <f t="shared" si="364"/>
        <v>0</v>
      </c>
      <c r="BZ676" s="70">
        <f t="shared" si="364"/>
        <v>0</v>
      </c>
      <c r="CA676" s="236">
        <f t="shared" ref="CA676:CB676" si="371">SUM(CA498:CA501)+CA420</f>
        <v>0</v>
      </c>
      <c r="CB676" s="275">
        <f t="shared" si="371"/>
        <v>0</v>
      </c>
      <c r="CC676" s="71">
        <f t="shared" si="364"/>
        <v>0</v>
      </c>
      <c r="CD676" s="70">
        <f t="shared" si="364"/>
        <v>0</v>
      </c>
      <c r="CE676" s="236">
        <f t="shared" si="364"/>
        <v>0</v>
      </c>
      <c r="CF676" s="236">
        <f t="shared" ref="CF676" si="372">SUM(CF498:CF501)+CF420</f>
        <v>0</v>
      </c>
      <c r="CG676" s="87">
        <f t="shared" si="364"/>
        <v>0</v>
      </c>
      <c r="CH676" s="70">
        <f t="shared" si="364"/>
        <v>0</v>
      </c>
      <c r="CI676" s="87">
        <f t="shared" si="364"/>
        <v>0</v>
      </c>
    </row>
    <row r="677" spans="1:87" x14ac:dyDescent="0.3">
      <c r="B677" s="17" t="s">
        <v>736</v>
      </c>
      <c r="C677" s="477">
        <v>27417</v>
      </c>
      <c r="D677" s="236">
        <v>16317</v>
      </c>
      <c r="E677" s="367">
        <f t="shared" si="224"/>
        <v>0.59514170040485825</v>
      </c>
      <c r="F677" s="70">
        <f t="shared" ref="F677:M677" si="373">SUM(F194:F204)+F239+F241+SUM(F255:F263)+F423+SUM(F536:F537)+F542+F545+F548+SUM(F550:F556)+F558</f>
        <v>0</v>
      </c>
      <c r="G677" s="236">
        <f t="shared" si="373"/>
        <v>0</v>
      </c>
      <c r="H677" s="236">
        <f t="shared" si="373"/>
        <v>0</v>
      </c>
      <c r="I677" s="236">
        <f t="shared" si="373"/>
        <v>0</v>
      </c>
      <c r="J677" s="71">
        <f t="shared" si="373"/>
        <v>0</v>
      </c>
      <c r="K677" s="70">
        <f t="shared" si="373"/>
        <v>0</v>
      </c>
      <c r="L677" s="274">
        <f t="shared" si="373"/>
        <v>0</v>
      </c>
      <c r="M677" s="588">
        <f t="shared" si="373"/>
        <v>0</v>
      </c>
      <c r="N677" s="70">
        <v>0</v>
      </c>
      <c r="O677" s="236">
        <f>SUM(O194:O204)+O239+O241+SUM(O255:O263)+O423+SUM(O536:O537)+O542+O545+O548+SUM(O550:O556)+O558</f>
        <v>331</v>
      </c>
      <c r="P677" s="275">
        <f>SUM(P194:P204)+P239+P241+SUM(P255:P263)+P423+SUM(P536:P537)+P542+P545+P548+SUM(P550:P556)+P558</f>
        <v>220</v>
      </c>
      <c r="Q677" s="72">
        <f>SUM(Q194:Q204)+Q239+Q241+SUM(Q255:Q263)+Q423+SUM(Q536:Q537)+Q542+Q545+Q548+SUM(Q550:Q556)+Q558</f>
        <v>743</v>
      </c>
      <c r="R677" s="72">
        <v>0</v>
      </c>
      <c r="S677" s="86">
        <v>0</v>
      </c>
      <c r="T677" s="70">
        <f>SUM(T194:T204)+T239+T241+SUM(T255:T263)+T423+SUM(T536:T537)+T542+T545+T548+SUM(T550:T556)+T558</f>
        <v>1211</v>
      </c>
      <c r="U677" s="70">
        <f>SUM(U194:U204)+U239+U241+SUM(U255:U263)+U423+SUM(U536:U537)+U542+U545+U548+SUM(U550:U556)+U558</f>
        <v>1333</v>
      </c>
      <c r="V677" s="87">
        <v>0</v>
      </c>
      <c r="W677" s="86">
        <f t="shared" ref="W677:AL677" si="374">SUM(W194:W204)+W239+W241+SUM(W255:W263)+W423+SUM(W536:W537)+W542+W545+W548+SUM(W550:W556)+W558</f>
        <v>0</v>
      </c>
      <c r="X677" s="236">
        <f t="shared" si="374"/>
        <v>0</v>
      </c>
      <c r="Y677" s="275">
        <f t="shared" si="374"/>
        <v>0</v>
      </c>
      <c r="Z677" s="71">
        <f t="shared" si="374"/>
        <v>0</v>
      </c>
      <c r="AA677" s="70">
        <f t="shared" si="374"/>
        <v>0</v>
      </c>
      <c r="AB677" s="72">
        <f t="shared" si="374"/>
        <v>0</v>
      </c>
      <c r="AC677" s="86">
        <f t="shared" si="374"/>
        <v>0</v>
      </c>
      <c r="AD677" s="70">
        <f t="shared" si="374"/>
        <v>0</v>
      </c>
      <c r="AE677" s="236">
        <f t="shared" si="374"/>
        <v>0</v>
      </c>
      <c r="AF677" s="87">
        <f t="shared" si="374"/>
        <v>0</v>
      </c>
      <c r="AG677" s="87">
        <f t="shared" si="374"/>
        <v>0</v>
      </c>
      <c r="AH677" s="70">
        <f t="shared" si="374"/>
        <v>0</v>
      </c>
      <c r="AI677" s="87">
        <f t="shared" si="374"/>
        <v>0</v>
      </c>
      <c r="AJ677" s="70">
        <f t="shared" si="374"/>
        <v>0</v>
      </c>
      <c r="AK677" s="236">
        <f t="shared" si="374"/>
        <v>0</v>
      </c>
      <c r="AL677" s="87">
        <f t="shared" si="374"/>
        <v>0</v>
      </c>
      <c r="AM677" s="70">
        <v>0</v>
      </c>
      <c r="AN677" s="236">
        <f>SUM(AN194:AN204)+AN239+AN241+SUM(AN255:AN263)+AN423+SUM(AN536:AN537)+AN542+AN545+AN548+SUM(AN550:AN556)+AN558</f>
        <v>77</v>
      </c>
      <c r="AO677" s="236">
        <f>SUM(AO194:AO204)+AO239+AO241+SUM(AO255:AO263)+AO423+SUM(AO536:AO537)+AO542+AO545+AO548+SUM(AO550:AO556)+AO558</f>
        <v>89</v>
      </c>
      <c r="AP677" s="87">
        <v>0</v>
      </c>
      <c r="AQ677" s="70">
        <f>SUM(AQ194:AQ204)+AQ239+AQ241+SUM(AQ255:AQ263)+AQ423+SUM(AQ536:AQ537)+AQ542+AQ545+AQ548+SUM(AQ550:AQ556)+AQ558</f>
        <v>0</v>
      </c>
      <c r="AR677" s="87">
        <f>SUM(AR194:AR204)+AR239+AR241+SUM(AR255:AR263)+AR423+SUM(AR536:AR537)+AR542+AR545+AR548+SUM(AR550:AR556)+AR558</f>
        <v>0</v>
      </c>
      <c r="AS677" s="70">
        <v>0</v>
      </c>
      <c r="AT677" s="236">
        <f>SUM(AT194:AT204)+AT239+AT241+SUM(AT255:AT263)+AT423+SUM(AT536:AT537)+AT542+AT545+AT548+SUM(AT550:AT556)+AT558</f>
        <v>0</v>
      </c>
      <c r="AU677" s="87">
        <v>0</v>
      </c>
      <c r="AV677" s="70">
        <f t="shared" ref="AV677:CI677" si="375">SUM(AV194:AV204)+AV239+AV241+SUM(AV255:AV263)+AV423+SUM(AV536:AV537)+AV542+AV545+AV548+SUM(AV550:AV556)+AV558</f>
        <v>5527</v>
      </c>
      <c r="AW677" s="236">
        <f t="shared" si="375"/>
        <v>6566</v>
      </c>
      <c r="AX677" s="70">
        <f t="shared" si="375"/>
        <v>7096</v>
      </c>
      <c r="AY677" s="236">
        <f t="shared" si="375"/>
        <v>2943</v>
      </c>
      <c r="AZ677" s="87">
        <f t="shared" si="375"/>
        <v>2232</v>
      </c>
      <c r="BA677" s="70">
        <f t="shared" si="375"/>
        <v>0</v>
      </c>
      <c r="BB677" s="70">
        <f t="shared" si="375"/>
        <v>0</v>
      </c>
      <c r="BC677" s="87">
        <f t="shared" si="375"/>
        <v>0</v>
      </c>
      <c r="BD677" s="70">
        <f t="shared" si="375"/>
        <v>0</v>
      </c>
      <c r="BE677" s="70">
        <f t="shared" si="375"/>
        <v>0</v>
      </c>
      <c r="BF677" s="236">
        <f t="shared" si="375"/>
        <v>0</v>
      </c>
      <c r="BG677" s="274">
        <f t="shared" si="375"/>
        <v>0</v>
      </c>
      <c r="BH677" s="588">
        <f t="shared" si="375"/>
        <v>0</v>
      </c>
      <c r="BI677" s="70">
        <f t="shared" si="375"/>
        <v>0</v>
      </c>
      <c r="BJ677" s="71">
        <f t="shared" si="375"/>
        <v>0</v>
      </c>
      <c r="BK677" s="70">
        <f t="shared" si="375"/>
        <v>0</v>
      </c>
      <c r="BL677" s="275">
        <f t="shared" si="375"/>
        <v>0</v>
      </c>
      <c r="BM677" s="71">
        <f t="shared" si="375"/>
        <v>0</v>
      </c>
      <c r="BN677" s="70">
        <f t="shared" si="375"/>
        <v>0</v>
      </c>
      <c r="BO677" s="236">
        <f t="shared" si="375"/>
        <v>0</v>
      </c>
      <c r="BP677" s="275">
        <f t="shared" si="375"/>
        <v>0</v>
      </c>
      <c r="BQ677" s="236">
        <f t="shared" si="375"/>
        <v>0</v>
      </c>
      <c r="BR677" s="87">
        <f t="shared" si="375"/>
        <v>0</v>
      </c>
      <c r="BS677" s="70">
        <f t="shared" si="375"/>
        <v>0</v>
      </c>
      <c r="BT677" s="71">
        <f t="shared" si="375"/>
        <v>0</v>
      </c>
      <c r="BU677" s="70">
        <f t="shared" si="375"/>
        <v>0</v>
      </c>
      <c r="BV677" s="275">
        <f t="shared" si="375"/>
        <v>0</v>
      </c>
      <c r="BW677" s="72">
        <f t="shared" si="375"/>
        <v>0</v>
      </c>
      <c r="BX677" s="236">
        <f t="shared" si="375"/>
        <v>0</v>
      </c>
      <c r="BY677" s="87">
        <f t="shared" si="375"/>
        <v>0</v>
      </c>
      <c r="BZ677" s="70">
        <f t="shared" si="375"/>
        <v>0</v>
      </c>
      <c r="CA677" s="236">
        <f t="shared" si="375"/>
        <v>0</v>
      </c>
      <c r="CB677" s="275">
        <f t="shared" si="375"/>
        <v>0</v>
      </c>
      <c r="CC677" s="71">
        <f t="shared" si="375"/>
        <v>0</v>
      </c>
      <c r="CD677" s="70">
        <f t="shared" si="375"/>
        <v>0</v>
      </c>
      <c r="CE677" s="236">
        <f t="shared" si="375"/>
        <v>0</v>
      </c>
      <c r="CF677" s="236">
        <f t="shared" si="375"/>
        <v>0</v>
      </c>
      <c r="CG677" s="87">
        <f t="shared" si="375"/>
        <v>0</v>
      </c>
      <c r="CH677" s="70">
        <f t="shared" si="375"/>
        <v>0</v>
      </c>
      <c r="CI677" s="87">
        <f t="shared" si="375"/>
        <v>0</v>
      </c>
    </row>
    <row r="678" spans="1:87" x14ac:dyDescent="0.3">
      <c r="B678" s="17" t="s">
        <v>35</v>
      </c>
      <c r="C678" s="477">
        <v>18666</v>
      </c>
      <c r="D678" s="236">
        <v>8491</v>
      </c>
      <c r="E678" s="367">
        <f t="shared" si="224"/>
        <v>0.45489124611593273</v>
      </c>
      <c r="F678" s="70">
        <f t="shared" ref="F678:AF678" si="376">SUM(F213:F217)+SUM(F219:F225)+F310+SUM(F472:F474)+SUM(F510:F512)+F526+F528+F532</f>
        <v>0</v>
      </c>
      <c r="G678" s="236">
        <f t="shared" si="376"/>
        <v>0</v>
      </c>
      <c r="H678" s="236">
        <f t="shared" si="376"/>
        <v>0</v>
      </c>
      <c r="I678" s="236">
        <f t="shared" si="376"/>
        <v>0</v>
      </c>
      <c r="J678" s="71">
        <f t="shared" si="376"/>
        <v>0</v>
      </c>
      <c r="K678" s="70">
        <f t="shared" si="376"/>
        <v>0</v>
      </c>
      <c r="L678" s="274">
        <f t="shared" si="376"/>
        <v>0</v>
      </c>
      <c r="M678" s="588">
        <f t="shared" si="376"/>
        <v>0</v>
      </c>
      <c r="N678" s="70">
        <f t="shared" si="376"/>
        <v>0</v>
      </c>
      <c r="O678" s="236">
        <f t="shared" si="376"/>
        <v>0</v>
      </c>
      <c r="P678" s="275">
        <f t="shared" si="376"/>
        <v>0</v>
      </c>
      <c r="Q678" s="72">
        <f t="shared" si="376"/>
        <v>0</v>
      </c>
      <c r="R678" s="72">
        <f t="shared" si="376"/>
        <v>0</v>
      </c>
      <c r="S678" s="86">
        <f t="shared" si="376"/>
        <v>0</v>
      </c>
      <c r="T678" s="70">
        <f t="shared" si="376"/>
        <v>0</v>
      </c>
      <c r="U678" s="70">
        <f t="shared" si="376"/>
        <v>0</v>
      </c>
      <c r="V678" s="87">
        <f t="shared" si="376"/>
        <v>0</v>
      </c>
      <c r="W678" s="86">
        <f t="shared" si="376"/>
        <v>0</v>
      </c>
      <c r="X678" s="236">
        <f t="shared" si="376"/>
        <v>0</v>
      </c>
      <c r="Y678" s="275">
        <f t="shared" si="376"/>
        <v>0</v>
      </c>
      <c r="Z678" s="71">
        <f t="shared" si="376"/>
        <v>0</v>
      </c>
      <c r="AA678" s="70">
        <f t="shared" si="376"/>
        <v>0</v>
      </c>
      <c r="AB678" s="72">
        <f t="shared" si="376"/>
        <v>0</v>
      </c>
      <c r="AC678" s="86">
        <f t="shared" si="376"/>
        <v>0</v>
      </c>
      <c r="AD678" s="70">
        <f t="shared" si="376"/>
        <v>0</v>
      </c>
      <c r="AE678" s="236">
        <f t="shared" si="376"/>
        <v>0</v>
      </c>
      <c r="AF678" s="87">
        <f t="shared" si="376"/>
        <v>0</v>
      </c>
      <c r="AG678" s="87">
        <v>0</v>
      </c>
      <c r="AH678" s="70">
        <f>SUM(AH213:AH217)+SUM(AH219:AH225)+AH310+SUM(AH472:AH474)+SUM(AH510:AH512)+AH526+AH528+AH532</f>
        <v>0</v>
      </c>
      <c r="AI678" s="87">
        <f>SUM(AI213:AI217)+SUM(AI219:AI225)+AI310+SUM(AI472:AI474)+SUM(AI510:AI512)+AI526+AI528+AI532</f>
        <v>0</v>
      </c>
      <c r="AJ678" s="70">
        <f>SUM(AJ213:AJ217)+SUM(AJ219:AJ225)+AJ310+SUM(AJ472:AJ474)+SUM(AJ510:AJ512)+AJ526+AJ528+AJ532</f>
        <v>0</v>
      </c>
      <c r="AK678" s="236">
        <f>SUM(AK213:AK217)+SUM(AK219:AK225)+AK310+SUM(AK472:AK474)+SUM(AK510:AK512)+AK526+AK528+AK532</f>
        <v>0</v>
      </c>
      <c r="AL678" s="87">
        <f>SUM(AL213:AL217)+SUM(AL219:AL225)+AL310+SUM(AL472:AL474)+SUM(AL510:AL512)+AL526+AL528+AL532</f>
        <v>0</v>
      </c>
      <c r="AM678" s="70">
        <v>0</v>
      </c>
      <c r="AN678" s="236">
        <f>SUM(AN213:AN217)+SUM(AN219:AN225)+AN310+SUM(AN472:AN474)+SUM(AN510:AN512)+AN526+AN528+AN532</f>
        <v>36</v>
      </c>
      <c r="AO678" s="236">
        <f>SUM(AO213:AO217)+SUM(AO219:AO225)+AO310+SUM(AO472:AO474)+SUM(AO510:AO512)+AO526+AO528+AO532</f>
        <v>61</v>
      </c>
      <c r="AP678" s="87">
        <v>0</v>
      </c>
      <c r="AQ678" s="70">
        <f t="shared" ref="AQ678:BC678" si="377">SUM(AQ213:AQ217)+SUM(AQ219:AQ225)+AQ310+SUM(AQ472:AQ474)+SUM(AQ510:AQ512)+AQ526+AQ528+AQ532</f>
        <v>0</v>
      </c>
      <c r="AR678" s="87">
        <f t="shared" si="377"/>
        <v>0</v>
      </c>
      <c r="AS678" s="70">
        <f t="shared" si="377"/>
        <v>0</v>
      </c>
      <c r="AT678" s="236">
        <f t="shared" si="377"/>
        <v>0</v>
      </c>
      <c r="AU678" s="87">
        <f t="shared" si="377"/>
        <v>0</v>
      </c>
      <c r="AV678" s="70">
        <f t="shared" si="377"/>
        <v>0</v>
      </c>
      <c r="AW678" s="236">
        <f t="shared" si="377"/>
        <v>0</v>
      </c>
      <c r="AX678" s="70">
        <f t="shared" si="377"/>
        <v>0</v>
      </c>
      <c r="AY678" s="236">
        <f t="shared" si="377"/>
        <v>0</v>
      </c>
      <c r="AZ678" s="87">
        <f t="shared" si="377"/>
        <v>0</v>
      </c>
      <c r="BA678" s="70">
        <f t="shared" si="377"/>
        <v>4012</v>
      </c>
      <c r="BB678" s="70">
        <f t="shared" si="377"/>
        <v>3170</v>
      </c>
      <c r="BC678" s="87">
        <f t="shared" si="377"/>
        <v>3180</v>
      </c>
      <c r="BD678" s="70">
        <v>0</v>
      </c>
      <c r="BE678" s="70">
        <f>SUM(BE213:BE217)+SUM(BE219:BE225)+BE310+SUM(BE472:BE474)+SUM(BE510:BE512)+BE526+BE528+BE532</f>
        <v>265</v>
      </c>
      <c r="BF678" s="236">
        <f>SUM(BF213:BF217)+SUM(BF219:BF225)+BF310+SUM(BF472:BF474)+SUM(BF510:BF512)+BF526+BF528+BF532</f>
        <v>456</v>
      </c>
      <c r="BG678" s="274">
        <f>SUM(BG213:BG217)+SUM(BG219:BG225)+BG310+SUM(BG472:BG474)+SUM(BG510:BG512)+BG526+BG528+BG532</f>
        <v>469</v>
      </c>
      <c r="BH678" s="588">
        <f>SUM(BH213:BH217)+SUM(BH219:BH225)+BH310+SUM(BH472:BH474)+SUM(BH510:BH512)+BH526+BH528+BH532</f>
        <v>589</v>
      </c>
      <c r="BI678" s="70">
        <v>0</v>
      </c>
      <c r="BJ678" s="71">
        <v>0</v>
      </c>
      <c r="BK678" s="70">
        <v>0</v>
      </c>
      <c r="BL678" s="275">
        <f>SUM(BL213:BL217)+SUM(BL219:BL225)+BL310+SUM(BL472:BL474)+SUM(BL510:BL512)+BL526+BL528+BL532</f>
        <v>11</v>
      </c>
      <c r="BM678" s="71">
        <v>0</v>
      </c>
      <c r="BN678" s="70">
        <f t="shared" ref="BN678:CI678" si="378">SUM(BN213:BN217)+SUM(BN219:BN225)+BN310+SUM(BN472:BN474)+SUM(BN510:BN512)+BN526+BN528+BN532</f>
        <v>0</v>
      </c>
      <c r="BO678" s="236">
        <f t="shared" si="378"/>
        <v>0</v>
      </c>
      <c r="BP678" s="275">
        <f t="shared" si="378"/>
        <v>0</v>
      </c>
      <c r="BQ678" s="236">
        <f t="shared" si="378"/>
        <v>0</v>
      </c>
      <c r="BR678" s="87">
        <f t="shared" si="378"/>
        <v>0</v>
      </c>
      <c r="BS678" s="70">
        <f t="shared" si="378"/>
        <v>0</v>
      </c>
      <c r="BT678" s="71">
        <f t="shared" si="378"/>
        <v>0</v>
      </c>
      <c r="BU678" s="70">
        <f t="shared" si="378"/>
        <v>0</v>
      </c>
      <c r="BV678" s="275">
        <f t="shared" si="378"/>
        <v>0</v>
      </c>
      <c r="BW678" s="72">
        <f t="shared" si="378"/>
        <v>0</v>
      </c>
      <c r="BX678" s="236">
        <f t="shared" si="378"/>
        <v>0</v>
      </c>
      <c r="BY678" s="87">
        <f t="shared" si="378"/>
        <v>0</v>
      </c>
      <c r="BZ678" s="70">
        <f t="shared" si="378"/>
        <v>0</v>
      </c>
      <c r="CA678" s="236">
        <f t="shared" si="378"/>
        <v>0</v>
      </c>
      <c r="CB678" s="275">
        <f t="shared" si="378"/>
        <v>0</v>
      </c>
      <c r="CC678" s="71">
        <f t="shared" si="378"/>
        <v>0</v>
      </c>
      <c r="CD678" s="70">
        <f t="shared" si="378"/>
        <v>0</v>
      </c>
      <c r="CE678" s="236">
        <f t="shared" si="378"/>
        <v>0</v>
      </c>
      <c r="CF678" s="236">
        <f t="shared" si="378"/>
        <v>0</v>
      </c>
      <c r="CG678" s="87">
        <f t="shared" si="378"/>
        <v>0</v>
      </c>
      <c r="CH678" s="70">
        <f t="shared" si="378"/>
        <v>0</v>
      </c>
      <c r="CI678" s="87">
        <f t="shared" si="378"/>
        <v>0</v>
      </c>
    </row>
    <row r="679" spans="1:87" x14ac:dyDescent="0.3">
      <c r="B679" s="17" t="s">
        <v>36</v>
      </c>
      <c r="C679" s="477">
        <v>6989</v>
      </c>
      <c r="D679" s="236">
        <v>4566</v>
      </c>
      <c r="E679" s="367">
        <f t="shared" si="224"/>
        <v>0.65331234797538995</v>
      </c>
      <c r="F679" s="70">
        <f t="shared" ref="F679:AZ679" si="379">SUM(F310:F314)</f>
        <v>0</v>
      </c>
      <c r="G679" s="236">
        <f t="shared" si="379"/>
        <v>0</v>
      </c>
      <c r="H679" s="236">
        <f t="shared" si="379"/>
        <v>0</v>
      </c>
      <c r="I679" s="236">
        <f t="shared" si="379"/>
        <v>0</v>
      </c>
      <c r="J679" s="71">
        <f t="shared" si="379"/>
        <v>0</v>
      </c>
      <c r="K679" s="70">
        <f t="shared" si="379"/>
        <v>0</v>
      </c>
      <c r="L679" s="274">
        <f t="shared" si="379"/>
        <v>0</v>
      </c>
      <c r="M679" s="588">
        <f t="shared" si="379"/>
        <v>0</v>
      </c>
      <c r="N679" s="70">
        <f t="shared" si="379"/>
        <v>0</v>
      </c>
      <c r="O679" s="236">
        <f t="shared" si="379"/>
        <v>0</v>
      </c>
      <c r="P679" s="275">
        <f t="shared" si="379"/>
        <v>0</v>
      </c>
      <c r="Q679" s="72">
        <f t="shared" si="379"/>
        <v>0</v>
      </c>
      <c r="R679" s="72">
        <f t="shared" si="379"/>
        <v>0</v>
      </c>
      <c r="S679" s="86">
        <f t="shared" si="379"/>
        <v>0</v>
      </c>
      <c r="T679" s="70">
        <f t="shared" si="379"/>
        <v>0</v>
      </c>
      <c r="U679" s="70">
        <f t="shared" si="379"/>
        <v>0</v>
      </c>
      <c r="V679" s="87">
        <f t="shared" si="379"/>
        <v>0</v>
      </c>
      <c r="W679" s="86">
        <f t="shared" si="379"/>
        <v>0</v>
      </c>
      <c r="X679" s="236">
        <f t="shared" si="379"/>
        <v>0</v>
      </c>
      <c r="Y679" s="275">
        <f t="shared" si="379"/>
        <v>0</v>
      </c>
      <c r="Z679" s="71">
        <f t="shared" si="379"/>
        <v>0</v>
      </c>
      <c r="AA679" s="70">
        <f t="shared" si="379"/>
        <v>0</v>
      </c>
      <c r="AB679" s="72">
        <f t="shared" si="379"/>
        <v>0</v>
      </c>
      <c r="AC679" s="86">
        <f t="shared" si="379"/>
        <v>0</v>
      </c>
      <c r="AD679" s="70">
        <f t="shared" si="379"/>
        <v>0</v>
      </c>
      <c r="AE679" s="236">
        <f t="shared" si="379"/>
        <v>0</v>
      </c>
      <c r="AF679" s="87">
        <f t="shared" si="379"/>
        <v>0</v>
      </c>
      <c r="AG679" s="87">
        <f t="shared" si="379"/>
        <v>0</v>
      </c>
      <c r="AH679" s="70">
        <f t="shared" si="379"/>
        <v>0</v>
      </c>
      <c r="AI679" s="87">
        <f t="shared" si="379"/>
        <v>0</v>
      </c>
      <c r="AJ679" s="70">
        <f t="shared" si="379"/>
        <v>0</v>
      </c>
      <c r="AK679" s="236">
        <f t="shared" si="379"/>
        <v>0</v>
      </c>
      <c r="AL679" s="87">
        <f t="shared" si="379"/>
        <v>0</v>
      </c>
      <c r="AM679" s="70">
        <f t="shared" si="379"/>
        <v>0</v>
      </c>
      <c r="AN679" s="236">
        <f t="shared" si="379"/>
        <v>0</v>
      </c>
      <c r="AO679" s="236">
        <f t="shared" si="379"/>
        <v>0</v>
      </c>
      <c r="AP679" s="87">
        <f t="shared" si="379"/>
        <v>0</v>
      </c>
      <c r="AQ679" s="70">
        <f t="shared" si="379"/>
        <v>0</v>
      </c>
      <c r="AR679" s="87">
        <f t="shared" si="379"/>
        <v>0</v>
      </c>
      <c r="AS679" s="70">
        <f t="shared" si="379"/>
        <v>0</v>
      </c>
      <c r="AT679" s="236">
        <f t="shared" si="379"/>
        <v>0</v>
      </c>
      <c r="AU679" s="87">
        <f t="shared" si="379"/>
        <v>0</v>
      </c>
      <c r="AV679" s="70">
        <f t="shared" si="379"/>
        <v>0</v>
      </c>
      <c r="AW679" s="236">
        <f t="shared" si="379"/>
        <v>0</v>
      </c>
      <c r="AX679" s="70">
        <f t="shared" si="379"/>
        <v>0</v>
      </c>
      <c r="AY679" s="236">
        <f t="shared" si="379"/>
        <v>0</v>
      </c>
      <c r="AZ679" s="87">
        <f t="shared" si="379"/>
        <v>0</v>
      </c>
      <c r="BA679" s="70">
        <v>0</v>
      </c>
      <c r="BB679" s="70">
        <f>SUM(BB310:BB314)</f>
        <v>30</v>
      </c>
      <c r="BC679" s="87">
        <v>0</v>
      </c>
      <c r="BD679" s="70">
        <f t="shared" ref="BD679:CI679" si="380">SUM(BD310:BD314)</f>
        <v>926</v>
      </c>
      <c r="BE679" s="70">
        <f t="shared" si="380"/>
        <v>1491</v>
      </c>
      <c r="BF679" s="236">
        <f t="shared" si="380"/>
        <v>2314</v>
      </c>
      <c r="BG679" s="274">
        <f t="shared" si="380"/>
        <v>2226</v>
      </c>
      <c r="BH679" s="588">
        <f t="shared" si="380"/>
        <v>2902</v>
      </c>
      <c r="BI679" s="70">
        <f t="shared" si="380"/>
        <v>0</v>
      </c>
      <c r="BJ679" s="71">
        <f t="shared" si="380"/>
        <v>0</v>
      </c>
      <c r="BK679" s="70">
        <f t="shared" si="380"/>
        <v>0</v>
      </c>
      <c r="BL679" s="275">
        <f t="shared" si="380"/>
        <v>0</v>
      </c>
      <c r="BM679" s="71">
        <f t="shared" si="380"/>
        <v>0</v>
      </c>
      <c r="BN679" s="70">
        <f t="shared" si="380"/>
        <v>0</v>
      </c>
      <c r="BO679" s="236">
        <f t="shared" si="380"/>
        <v>0</v>
      </c>
      <c r="BP679" s="275">
        <f t="shared" si="380"/>
        <v>0</v>
      </c>
      <c r="BQ679" s="236">
        <f t="shared" si="380"/>
        <v>0</v>
      </c>
      <c r="BR679" s="87">
        <f t="shared" si="380"/>
        <v>0</v>
      </c>
      <c r="BS679" s="70">
        <f t="shared" si="380"/>
        <v>0</v>
      </c>
      <c r="BT679" s="71">
        <f t="shared" si="380"/>
        <v>0</v>
      </c>
      <c r="BU679" s="70">
        <f t="shared" si="380"/>
        <v>0</v>
      </c>
      <c r="BV679" s="275">
        <f t="shared" si="380"/>
        <v>0</v>
      </c>
      <c r="BW679" s="72">
        <f t="shared" si="380"/>
        <v>0</v>
      </c>
      <c r="BX679" s="236">
        <f t="shared" si="380"/>
        <v>0</v>
      </c>
      <c r="BY679" s="87">
        <f t="shared" si="380"/>
        <v>0</v>
      </c>
      <c r="BZ679" s="70">
        <f t="shared" si="380"/>
        <v>0</v>
      </c>
      <c r="CA679" s="236">
        <f t="shared" si="380"/>
        <v>0</v>
      </c>
      <c r="CB679" s="275">
        <f t="shared" si="380"/>
        <v>0</v>
      </c>
      <c r="CC679" s="71">
        <f t="shared" si="380"/>
        <v>0</v>
      </c>
      <c r="CD679" s="70">
        <f t="shared" si="380"/>
        <v>0</v>
      </c>
      <c r="CE679" s="236">
        <f t="shared" si="380"/>
        <v>0</v>
      </c>
      <c r="CF679" s="236">
        <f t="shared" si="380"/>
        <v>0</v>
      </c>
      <c r="CG679" s="87">
        <f t="shared" si="380"/>
        <v>0</v>
      </c>
      <c r="CH679" s="70">
        <f t="shared" si="380"/>
        <v>0</v>
      </c>
      <c r="CI679" s="87">
        <f t="shared" si="380"/>
        <v>0</v>
      </c>
    </row>
    <row r="680" spans="1:87" x14ac:dyDescent="0.3">
      <c r="B680" s="17" t="s">
        <v>37</v>
      </c>
      <c r="C680" s="477">
        <v>8384</v>
      </c>
      <c r="D680" s="236">
        <v>4562</v>
      </c>
      <c r="E680" s="367">
        <f t="shared" si="224"/>
        <v>0.54413167938931295</v>
      </c>
      <c r="F680" s="70">
        <v>0</v>
      </c>
      <c r="G680" s="236">
        <v>0</v>
      </c>
      <c r="H680" s="236">
        <v>0</v>
      </c>
      <c r="I680" s="236">
        <v>0</v>
      </c>
      <c r="J680" s="71">
        <v>0</v>
      </c>
      <c r="K680" s="70">
        <f>SUM(K150)+K506+K507+K518+K522+K523+SUM(K525:K527)+K530</f>
        <v>0</v>
      </c>
      <c r="L680" s="274">
        <v>0</v>
      </c>
      <c r="M680" s="588">
        <v>0</v>
      </c>
      <c r="N680" s="70">
        <f>SUM(N150)+N506+N507+N518+N522+N523+SUM(N525:N527)+N530</f>
        <v>0</v>
      </c>
      <c r="O680" s="236">
        <v>0</v>
      </c>
      <c r="P680" s="275">
        <v>0</v>
      </c>
      <c r="Q680" s="72">
        <v>0</v>
      </c>
      <c r="R680" s="72">
        <f>SUM(R150)+R506+R507+R518+R522+R523+SUM(R525:R527)+R530</f>
        <v>0</v>
      </c>
      <c r="S680" s="86">
        <f>SUM(S150)+S506+S507+S518+S522+S523+SUM(S525:S527)+S530</f>
        <v>0</v>
      </c>
      <c r="T680" s="70">
        <v>0</v>
      </c>
      <c r="U680" s="70">
        <v>0</v>
      </c>
      <c r="V680" s="87">
        <f>SUM(V150)+V506+V507+V518+V522+V523+SUM(V525:V527)+V530</f>
        <v>0</v>
      </c>
      <c r="W680" s="86">
        <f>SUM(W150)+W506+W507+W518+W522+W523+SUM(W525:W527)+W530</f>
        <v>0</v>
      </c>
      <c r="X680" s="236">
        <v>0</v>
      </c>
      <c r="Y680" s="275">
        <v>0</v>
      </c>
      <c r="Z680" s="71">
        <f>SUM(Z150)+Z506+Z507+Z518+Z522+Z523+SUM(Z525:Z527)+Z530</f>
        <v>0</v>
      </c>
      <c r="AA680" s="70">
        <f>SUM(AA150)+AA506+AA507+AA518+AA522+AA523+SUM(AA525:AA527)+AA530</f>
        <v>0</v>
      </c>
      <c r="AB680" s="72">
        <f>SUM(AB150)+AB506+AB507+AB518+AB522+AB523+SUM(AB525:AB527)+AB530</f>
        <v>0</v>
      </c>
      <c r="AC680" s="86">
        <f>SUM(AC150)+AC506+AC507+AC518+AC522+AC523+SUM(AC525:AC527)+AC530</f>
        <v>0</v>
      </c>
      <c r="AD680" s="70">
        <v>0</v>
      </c>
      <c r="AE680" s="236">
        <v>0</v>
      </c>
      <c r="AF680" s="87">
        <f>SUM(AF150)+AF506+AF507+AF518+AF522+AF523+SUM(AF525:AF527)+AF530</f>
        <v>0</v>
      </c>
      <c r="AG680" s="87">
        <v>0</v>
      </c>
      <c r="AH680" s="70">
        <f t="shared" ref="AH680:AM680" si="381">SUM(AH150)+AH506+AH507+AH518+AH522+AH523+SUM(AH525:AH527)+AH530</f>
        <v>0</v>
      </c>
      <c r="AI680" s="87">
        <f t="shared" si="381"/>
        <v>0</v>
      </c>
      <c r="AJ680" s="70">
        <f t="shared" si="381"/>
        <v>0</v>
      </c>
      <c r="AK680" s="236">
        <f t="shared" si="381"/>
        <v>0</v>
      </c>
      <c r="AL680" s="87">
        <f t="shared" si="381"/>
        <v>0</v>
      </c>
      <c r="AM680" s="70">
        <f t="shared" si="381"/>
        <v>0</v>
      </c>
      <c r="AN680" s="236">
        <v>0</v>
      </c>
      <c r="AO680" s="236">
        <f t="shared" ref="AO680:AZ680" si="382">SUM(AO150)+AO506+AO507+AO518+AO522+AO523+SUM(AO525:AO527)+AO530</f>
        <v>0</v>
      </c>
      <c r="AP680" s="87">
        <f t="shared" si="382"/>
        <v>0</v>
      </c>
      <c r="AQ680" s="70">
        <f t="shared" si="382"/>
        <v>0</v>
      </c>
      <c r="AR680" s="87">
        <f t="shared" si="382"/>
        <v>0</v>
      </c>
      <c r="AS680" s="70">
        <f t="shared" si="382"/>
        <v>0</v>
      </c>
      <c r="AT680" s="236">
        <f t="shared" si="382"/>
        <v>0</v>
      </c>
      <c r="AU680" s="87">
        <f t="shared" si="382"/>
        <v>0</v>
      </c>
      <c r="AV680" s="70">
        <f t="shared" si="382"/>
        <v>0</v>
      </c>
      <c r="AW680" s="236">
        <f t="shared" si="382"/>
        <v>0</v>
      </c>
      <c r="AX680" s="70">
        <f t="shared" si="382"/>
        <v>0</v>
      </c>
      <c r="AY680" s="236">
        <f t="shared" si="382"/>
        <v>0</v>
      </c>
      <c r="AZ680" s="87">
        <f t="shared" si="382"/>
        <v>0</v>
      </c>
      <c r="BA680" s="70">
        <v>0</v>
      </c>
      <c r="BB680" s="70">
        <f>SUM(BB150)+BB506+BB507+BB518+BB522+BB523+SUM(BB525:BB527)+BB530</f>
        <v>222</v>
      </c>
      <c r="BC680" s="87">
        <v>0</v>
      </c>
      <c r="BD680" s="70">
        <f>SUM(BD150)+BD506+BD507+BD518+BD522+BD523+SUM(BD525:BD527)+BD530</f>
        <v>0</v>
      </c>
      <c r="BE680" s="70">
        <v>0</v>
      </c>
      <c r="BF680" s="236">
        <f t="shared" ref="BF680:BO680" si="383">SUM(BF150)+BF506+BF507+BF518+BF522+BF523+SUM(BF525:BF527)+BF530</f>
        <v>0</v>
      </c>
      <c r="BG680" s="274">
        <f t="shared" si="383"/>
        <v>0</v>
      </c>
      <c r="BH680" s="588">
        <f t="shared" si="383"/>
        <v>0</v>
      </c>
      <c r="BI680" s="70">
        <f t="shared" si="383"/>
        <v>1840</v>
      </c>
      <c r="BJ680" s="71">
        <f t="shared" si="383"/>
        <v>2172</v>
      </c>
      <c r="BK680" s="70">
        <f t="shared" si="383"/>
        <v>1657</v>
      </c>
      <c r="BL680" s="275">
        <f t="shared" si="383"/>
        <v>1988</v>
      </c>
      <c r="BM680" s="71">
        <f t="shared" si="383"/>
        <v>2198</v>
      </c>
      <c r="BN680" s="70">
        <f t="shared" si="383"/>
        <v>0</v>
      </c>
      <c r="BO680" s="236">
        <f t="shared" si="383"/>
        <v>0</v>
      </c>
      <c r="BP680" s="275">
        <v>0</v>
      </c>
      <c r="BQ680" s="236">
        <f t="shared" ref="BQ680:CD680" si="384">SUM(BQ150)+BQ506+BQ507+BQ518+BQ522+BQ523+SUM(BQ525:BQ527)+BQ530</f>
        <v>0</v>
      </c>
      <c r="BR680" s="87">
        <f t="shared" si="384"/>
        <v>0</v>
      </c>
      <c r="BS680" s="70">
        <f t="shared" si="384"/>
        <v>0</v>
      </c>
      <c r="BT680" s="71">
        <f t="shared" si="384"/>
        <v>0</v>
      </c>
      <c r="BU680" s="70">
        <f t="shared" si="384"/>
        <v>0</v>
      </c>
      <c r="BV680" s="275">
        <f t="shared" si="384"/>
        <v>0</v>
      </c>
      <c r="BW680" s="72">
        <f t="shared" si="384"/>
        <v>0</v>
      </c>
      <c r="BX680" s="236">
        <f t="shared" si="384"/>
        <v>0</v>
      </c>
      <c r="BY680" s="87">
        <f t="shared" si="384"/>
        <v>0</v>
      </c>
      <c r="BZ680" s="70">
        <f t="shared" si="384"/>
        <v>0</v>
      </c>
      <c r="CA680" s="236">
        <f t="shared" si="384"/>
        <v>0</v>
      </c>
      <c r="CB680" s="275">
        <f t="shared" si="384"/>
        <v>0</v>
      </c>
      <c r="CC680" s="71">
        <f t="shared" si="384"/>
        <v>0</v>
      </c>
      <c r="CD680" s="70">
        <f t="shared" si="384"/>
        <v>0</v>
      </c>
      <c r="CE680" s="236">
        <v>0</v>
      </c>
      <c r="CF680" s="236">
        <f>SUM(CF150)+CF506+CF507+CF518+CF522+CF523+SUM(CF525:CF527)+CF530</f>
        <v>0</v>
      </c>
      <c r="CG680" s="87">
        <f>SUM(CG150)+CG506+CG507+CG518+CG522+CG523+SUM(CG525:CG527)+CG530</f>
        <v>0</v>
      </c>
      <c r="CH680" s="70">
        <f>SUM(CH150)+CH506+CH507+CH518+CH522+CH523+SUM(CH525:CH527)+CH530</f>
        <v>0</v>
      </c>
      <c r="CI680" s="87">
        <f>SUM(CI150)+CI506+CI507+CI518+CI522+CI523+SUM(CI525:CI527)+CI530</f>
        <v>0</v>
      </c>
    </row>
    <row r="681" spans="1:87" x14ac:dyDescent="0.3">
      <c r="B681" s="17" t="s">
        <v>730</v>
      </c>
      <c r="C681" s="321">
        <v>36318</v>
      </c>
      <c r="D681" s="236">
        <v>23153</v>
      </c>
      <c r="E681" s="367">
        <f t="shared" si="224"/>
        <v>0.63750757200286357</v>
      </c>
      <c r="F681" s="70">
        <f t="shared" ref="F681:AK681" si="385">SUM(F319:F350)+SUM(F496:F497)</f>
        <v>0</v>
      </c>
      <c r="G681" s="236">
        <f t="shared" si="385"/>
        <v>0</v>
      </c>
      <c r="H681" s="236">
        <f t="shared" si="385"/>
        <v>0</v>
      </c>
      <c r="I681" s="236">
        <f t="shared" si="385"/>
        <v>0</v>
      </c>
      <c r="J681" s="71">
        <f t="shared" si="385"/>
        <v>0</v>
      </c>
      <c r="K681" s="70">
        <f t="shared" si="385"/>
        <v>0</v>
      </c>
      <c r="L681" s="274">
        <f t="shared" si="385"/>
        <v>0</v>
      </c>
      <c r="M681" s="588">
        <f t="shared" si="385"/>
        <v>0</v>
      </c>
      <c r="N681" s="70">
        <f t="shared" si="385"/>
        <v>0</v>
      </c>
      <c r="O681" s="236">
        <f t="shared" si="385"/>
        <v>0</v>
      </c>
      <c r="P681" s="275">
        <f t="shared" si="385"/>
        <v>0</v>
      </c>
      <c r="Q681" s="72">
        <f t="shared" si="385"/>
        <v>0</v>
      </c>
      <c r="R681" s="72">
        <f t="shared" si="385"/>
        <v>0</v>
      </c>
      <c r="S681" s="86">
        <f t="shared" si="385"/>
        <v>0</v>
      </c>
      <c r="T681" s="70">
        <f t="shared" si="385"/>
        <v>0</v>
      </c>
      <c r="U681" s="70">
        <f t="shared" si="385"/>
        <v>0</v>
      </c>
      <c r="V681" s="87">
        <f t="shared" si="385"/>
        <v>0</v>
      </c>
      <c r="W681" s="86">
        <f t="shared" si="385"/>
        <v>0</v>
      </c>
      <c r="X681" s="236">
        <f t="shared" si="385"/>
        <v>0</v>
      </c>
      <c r="Y681" s="275">
        <f t="shared" si="385"/>
        <v>0</v>
      </c>
      <c r="Z681" s="71">
        <f t="shared" si="385"/>
        <v>0</v>
      </c>
      <c r="AA681" s="70">
        <f t="shared" si="385"/>
        <v>0</v>
      </c>
      <c r="AB681" s="72">
        <f t="shared" si="385"/>
        <v>0</v>
      </c>
      <c r="AC681" s="86">
        <f t="shared" si="385"/>
        <v>0</v>
      </c>
      <c r="AD681" s="70">
        <f t="shared" si="385"/>
        <v>0</v>
      </c>
      <c r="AE681" s="236">
        <f t="shared" si="385"/>
        <v>0</v>
      </c>
      <c r="AF681" s="87">
        <f t="shared" si="385"/>
        <v>0</v>
      </c>
      <c r="AG681" s="87">
        <f t="shared" si="385"/>
        <v>0</v>
      </c>
      <c r="AH681" s="70">
        <f t="shared" si="385"/>
        <v>0</v>
      </c>
      <c r="AI681" s="87">
        <f t="shared" si="385"/>
        <v>0</v>
      </c>
      <c r="AJ681" s="70">
        <f t="shared" si="385"/>
        <v>0</v>
      </c>
      <c r="AK681" s="236">
        <f t="shared" si="385"/>
        <v>0</v>
      </c>
      <c r="AL681" s="87">
        <f t="shared" ref="AL681:BQ681" si="386">SUM(AL319:AL350)+SUM(AL496:AL497)</f>
        <v>0</v>
      </c>
      <c r="AM681" s="70">
        <f t="shared" si="386"/>
        <v>0</v>
      </c>
      <c r="AN681" s="236">
        <f t="shared" si="386"/>
        <v>0</v>
      </c>
      <c r="AO681" s="236">
        <f t="shared" si="386"/>
        <v>0</v>
      </c>
      <c r="AP681" s="87">
        <f t="shared" si="386"/>
        <v>0</v>
      </c>
      <c r="AQ681" s="70">
        <f t="shared" si="386"/>
        <v>0</v>
      </c>
      <c r="AR681" s="87">
        <f t="shared" si="386"/>
        <v>0</v>
      </c>
      <c r="AS681" s="70">
        <f t="shared" si="386"/>
        <v>0</v>
      </c>
      <c r="AT681" s="236">
        <f t="shared" si="386"/>
        <v>0</v>
      </c>
      <c r="AU681" s="87">
        <f t="shared" si="386"/>
        <v>0</v>
      </c>
      <c r="AV681" s="70">
        <f t="shared" si="386"/>
        <v>0</v>
      </c>
      <c r="AW681" s="236">
        <f t="shared" si="386"/>
        <v>0</v>
      </c>
      <c r="AX681" s="70">
        <f t="shared" si="386"/>
        <v>0</v>
      </c>
      <c r="AY681" s="236">
        <f t="shared" si="386"/>
        <v>0</v>
      </c>
      <c r="AZ681" s="87">
        <f t="shared" si="386"/>
        <v>0</v>
      </c>
      <c r="BA681" s="70">
        <f t="shared" si="386"/>
        <v>0</v>
      </c>
      <c r="BB681" s="70">
        <f t="shared" si="386"/>
        <v>0</v>
      </c>
      <c r="BC681" s="87">
        <f t="shared" si="386"/>
        <v>0</v>
      </c>
      <c r="BD681" s="70">
        <f t="shared" si="386"/>
        <v>0</v>
      </c>
      <c r="BE681" s="70">
        <f t="shared" si="386"/>
        <v>0</v>
      </c>
      <c r="BF681" s="236">
        <f t="shared" si="386"/>
        <v>0</v>
      </c>
      <c r="BG681" s="274">
        <f t="shared" si="386"/>
        <v>0</v>
      </c>
      <c r="BH681" s="588">
        <f t="shared" si="386"/>
        <v>0</v>
      </c>
      <c r="BI681" s="70">
        <f t="shared" si="386"/>
        <v>9235</v>
      </c>
      <c r="BJ681" s="71">
        <f t="shared" si="386"/>
        <v>9408</v>
      </c>
      <c r="BK681" s="70">
        <f t="shared" si="386"/>
        <v>0</v>
      </c>
      <c r="BL681" s="275">
        <f t="shared" si="386"/>
        <v>0</v>
      </c>
      <c r="BM681" s="71">
        <f t="shared" si="386"/>
        <v>0</v>
      </c>
      <c r="BN681" s="70">
        <f t="shared" si="386"/>
        <v>8838</v>
      </c>
      <c r="BO681" s="236">
        <f t="shared" si="386"/>
        <v>9144</v>
      </c>
      <c r="BP681" s="275">
        <f t="shared" si="386"/>
        <v>10202</v>
      </c>
      <c r="BQ681" s="236">
        <f t="shared" si="386"/>
        <v>11819</v>
      </c>
      <c r="BR681" s="87">
        <f t="shared" ref="BR681:CI681" si="387">SUM(BR319:BR350)+SUM(BR496:BR497)</f>
        <v>966</v>
      </c>
      <c r="BS681" s="70">
        <f t="shared" si="387"/>
        <v>0</v>
      </c>
      <c r="BT681" s="71">
        <f t="shared" si="387"/>
        <v>0</v>
      </c>
      <c r="BU681" s="70">
        <f t="shared" si="387"/>
        <v>0</v>
      </c>
      <c r="BV681" s="275">
        <f t="shared" si="387"/>
        <v>0</v>
      </c>
      <c r="BW681" s="72">
        <f t="shared" si="387"/>
        <v>0</v>
      </c>
      <c r="BX681" s="236">
        <f t="shared" si="387"/>
        <v>0</v>
      </c>
      <c r="BY681" s="87">
        <f t="shared" si="387"/>
        <v>0</v>
      </c>
      <c r="BZ681" s="70">
        <f t="shared" si="387"/>
        <v>0</v>
      </c>
      <c r="CA681" s="236">
        <f t="shared" si="387"/>
        <v>0</v>
      </c>
      <c r="CB681" s="275">
        <f t="shared" si="387"/>
        <v>0</v>
      </c>
      <c r="CC681" s="71">
        <f t="shared" si="387"/>
        <v>0</v>
      </c>
      <c r="CD681" s="70">
        <f t="shared" si="387"/>
        <v>0</v>
      </c>
      <c r="CE681" s="236">
        <f t="shared" si="387"/>
        <v>0</v>
      </c>
      <c r="CF681" s="236">
        <f t="shared" si="387"/>
        <v>0</v>
      </c>
      <c r="CG681" s="87">
        <f t="shared" si="387"/>
        <v>0</v>
      </c>
      <c r="CH681" s="70">
        <f t="shared" si="387"/>
        <v>0</v>
      </c>
      <c r="CI681" s="87">
        <f t="shared" si="387"/>
        <v>0</v>
      </c>
    </row>
    <row r="682" spans="1:87" x14ac:dyDescent="0.3">
      <c r="B682" s="17" t="s">
        <v>731</v>
      </c>
      <c r="C682" s="321">
        <v>2682</v>
      </c>
      <c r="D682" s="236">
        <v>879</v>
      </c>
      <c r="E682" s="367">
        <f t="shared" si="224"/>
        <v>0.32774049217002238</v>
      </c>
      <c r="F682" s="70">
        <f t="shared" ref="F682:AK682" si="388">SUM(F351)+SUM(F480:F481)</f>
        <v>0</v>
      </c>
      <c r="G682" s="236">
        <f t="shared" si="388"/>
        <v>0</v>
      </c>
      <c r="H682" s="236">
        <f t="shared" si="388"/>
        <v>0</v>
      </c>
      <c r="I682" s="236">
        <f t="shared" si="388"/>
        <v>0</v>
      </c>
      <c r="J682" s="71">
        <f t="shared" si="388"/>
        <v>0</v>
      </c>
      <c r="K682" s="70">
        <f t="shared" si="388"/>
        <v>0</v>
      </c>
      <c r="L682" s="274">
        <f t="shared" si="388"/>
        <v>0</v>
      </c>
      <c r="M682" s="588">
        <f t="shared" si="388"/>
        <v>0</v>
      </c>
      <c r="N682" s="70">
        <f t="shared" si="388"/>
        <v>0</v>
      </c>
      <c r="O682" s="236">
        <f t="shared" si="388"/>
        <v>0</v>
      </c>
      <c r="P682" s="275">
        <f t="shared" si="388"/>
        <v>0</v>
      </c>
      <c r="Q682" s="72">
        <f t="shared" si="388"/>
        <v>0</v>
      </c>
      <c r="R682" s="72">
        <f t="shared" si="388"/>
        <v>0</v>
      </c>
      <c r="S682" s="86">
        <f t="shared" si="388"/>
        <v>0</v>
      </c>
      <c r="T682" s="70">
        <f t="shared" si="388"/>
        <v>0</v>
      </c>
      <c r="U682" s="70">
        <f t="shared" si="388"/>
        <v>0</v>
      </c>
      <c r="V682" s="87">
        <f t="shared" si="388"/>
        <v>0</v>
      </c>
      <c r="W682" s="86">
        <f t="shared" si="388"/>
        <v>0</v>
      </c>
      <c r="X682" s="236">
        <f t="shared" si="388"/>
        <v>0</v>
      </c>
      <c r="Y682" s="275">
        <f t="shared" si="388"/>
        <v>0</v>
      </c>
      <c r="Z682" s="71">
        <f t="shared" si="388"/>
        <v>0</v>
      </c>
      <c r="AA682" s="70">
        <f t="shared" si="388"/>
        <v>0</v>
      </c>
      <c r="AB682" s="72">
        <f t="shared" si="388"/>
        <v>0</v>
      </c>
      <c r="AC682" s="86">
        <f t="shared" si="388"/>
        <v>0</v>
      </c>
      <c r="AD682" s="70">
        <f t="shared" si="388"/>
        <v>0</v>
      </c>
      <c r="AE682" s="236">
        <f t="shared" si="388"/>
        <v>0</v>
      </c>
      <c r="AF682" s="87">
        <f t="shared" si="388"/>
        <v>0</v>
      </c>
      <c r="AG682" s="87">
        <f t="shared" si="388"/>
        <v>0</v>
      </c>
      <c r="AH682" s="70">
        <f t="shared" si="388"/>
        <v>0</v>
      </c>
      <c r="AI682" s="87">
        <f t="shared" si="388"/>
        <v>0</v>
      </c>
      <c r="AJ682" s="70">
        <f t="shared" si="388"/>
        <v>0</v>
      </c>
      <c r="AK682" s="236">
        <f t="shared" si="388"/>
        <v>0</v>
      </c>
      <c r="AL682" s="87">
        <f t="shared" ref="AL682:BQ682" si="389">SUM(AL351)+SUM(AL480:AL481)</f>
        <v>0</v>
      </c>
      <c r="AM682" s="70">
        <f t="shared" si="389"/>
        <v>0</v>
      </c>
      <c r="AN682" s="236">
        <f t="shared" si="389"/>
        <v>0</v>
      </c>
      <c r="AO682" s="236">
        <f t="shared" si="389"/>
        <v>0</v>
      </c>
      <c r="AP682" s="87">
        <f t="shared" si="389"/>
        <v>0</v>
      </c>
      <c r="AQ682" s="70">
        <f t="shared" si="389"/>
        <v>0</v>
      </c>
      <c r="AR682" s="87">
        <f t="shared" si="389"/>
        <v>0</v>
      </c>
      <c r="AS682" s="70">
        <f t="shared" si="389"/>
        <v>0</v>
      </c>
      <c r="AT682" s="236">
        <f t="shared" si="389"/>
        <v>0</v>
      </c>
      <c r="AU682" s="87">
        <f t="shared" si="389"/>
        <v>0</v>
      </c>
      <c r="AV682" s="70">
        <f t="shared" si="389"/>
        <v>0</v>
      </c>
      <c r="AW682" s="236">
        <f t="shared" si="389"/>
        <v>0</v>
      </c>
      <c r="AX682" s="70">
        <f t="shared" si="389"/>
        <v>0</v>
      </c>
      <c r="AY682" s="236">
        <f t="shared" si="389"/>
        <v>0</v>
      </c>
      <c r="AZ682" s="87">
        <f t="shared" si="389"/>
        <v>0</v>
      </c>
      <c r="BA682" s="70">
        <f t="shared" si="389"/>
        <v>0</v>
      </c>
      <c r="BB682" s="70">
        <f t="shared" si="389"/>
        <v>0</v>
      </c>
      <c r="BC682" s="87">
        <f t="shared" si="389"/>
        <v>0</v>
      </c>
      <c r="BD682" s="70">
        <f t="shared" si="389"/>
        <v>0</v>
      </c>
      <c r="BE682" s="70">
        <f t="shared" si="389"/>
        <v>0</v>
      </c>
      <c r="BF682" s="236">
        <f t="shared" si="389"/>
        <v>0</v>
      </c>
      <c r="BG682" s="274">
        <f t="shared" si="389"/>
        <v>0</v>
      </c>
      <c r="BH682" s="588">
        <f t="shared" si="389"/>
        <v>0</v>
      </c>
      <c r="BI682" s="70">
        <f t="shared" si="389"/>
        <v>351</v>
      </c>
      <c r="BJ682" s="71">
        <f t="shared" si="389"/>
        <v>451</v>
      </c>
      <c r="BK682" s="70">
        <f t="shared" si="389"/>
        <v>0</v>
      </c>
      <c r="BL682" s="275">
        <f t="shared" si="389"/>
        <v>0</v>
      </c>
      <c r="BM682" s="71">
        <f t="shared" si="389"/>
        <v>0</v>
      </c>
      <c r="BN682" s="70">
        <f t="shared" si="389"/>
        <v>0</v>
      </c>
      <c r="BO682" s="236">
        <f t="shared" si="389"/>
        <v>0</v>
      </c>
      <c r="BP682" s="275">
        <f t="shared" si="389"/>
        <v>0</v>
      </c>
      <c r="BQ682" s="236">
        <f t="shared" si="389"/>
        <v>0</v>
      </c>
      <c r="BR682" s="87">
        <f t="shared" ref="BR682:CI682" si="390">SUM(BR351)+SUM(BR480:BR481)</f>
        <v>0</v>
      </c>
      <c r="BS682" s="70">
        <f t="shared" si="390"/>
        <v>475</v>
      </c>
      <c r="BT682" s="71">
        <f t="shared" si="390"/>
        <v>429</v>
      </c>
      <c r="BU682" s="70">
        <f t="shared" si="390"/>
        <v>0</v>
      </c>
      <c r="BV682" s="275">
        <f t="shared" si="390"/>
        <v>0</v>
      </c>
      <c r="BW682" s="72">
        <f t="shared" si="390"/>
        <v>0</v>
      </c>
      <c r="BX682" s="236">
        <f t="shared" si="390"/>
        <v>0</v>
      </c>
      <c r="BY682" s="87">
        <f t="shared" si="390"/>
        <v>0</v>
      </c>
      <c r="BZ682" s="70">
        <f t="shared" si="390"/>
        <v>0</v>
      </c>
      <c r="CA682" s="236">
        <f t="shared" si="390"/>
        <v>0</v>
      </c>
      <c r="CB682" s="275">
        <f t="shared" si="390"/>
        <v>0</v>
      </c>
      <c r="CC682" s="71">
        <f t="shared" si="390"/>
        <v>0</v>
      </c>
      <c r="CD682" s="70">
        <f t="shared" si="390"/>
        <v>0</v>
      </c>
      <c r="CE682" s="236">
        <f t="shared" si="390"/>
        <v>0</v>
      </c>
      <c r="CF682" s="236">
        <f t="shared" si="390"/>
        <v>0</v>
      </c>
      <c r="CG682" s="87">
        <f t="shared" si="390"/>
        <v>0</v>
      </c>
      <c r="CH682" s="70">
        <f t="shared" si="390"/>
        <v>0</v>
      </c>
      <c r="CI682" s="87">
        <f t="shared" si="390"/>
        <v>0</v>
      </c>
    </row>
    <row r="683" spans="1:87" x14ac:dyDescent="0.3">
      <c r="B683" s="17" t="s">
        <v>732</v>
      </c>
      <c r="C683" s="477">
        <v>53398</v>
      </c>
      <c r="D683" s="236">
        <v>26900</v>
      </c>
      <c r="E683" s="367">
        <f t="shared" si="224"/>
        <v>0.50376418592456651</v>
      </c>
      <c r="F683" s="70">
        <v>0</v>
      </c>
      <c r="G683" s="236">
        <v>0</v>
      </c>
      <c r="H683" s="236">
        <v>0</v>
      </c>
      <c r="I683" s="236">
        <v>0</v>
      </c>
      <c r="J683" s="71">
        <v>0</v>
      </c>
      <c r="K683" s="70">
        <f>SUM(K218)+K270+SUM(K352:K389)+K430+K431+K438+K439+K443+K444+K450+K452+K453+K459+K460+K462+K463+K466+K508+K524+K531</f>
        <v>0</v>
      </c>
      <c r="L683" s="274">
        <v>0</v>
      </c>
      <c r="M683" s="588">
        <v>0</v>
      </c>
      <c r="N683" s="70">
        <f>SUM(N218)+N270+SUM(N352:N389)+N430+N431+N438+N439+N443+N444+N450+N452+N453+N459+N460+N462+N463+N466+N508+N524+N531</f>
        <v>0</v>
      </c>
      <c r="O683" s="236">
        <v>0</v>
      </c>
      <c r="P683" s="275">
        <v>0</v>
      </c>
      <c r="Q683" s="72">
        <v>0</v>
      </c>
      <c r="R683" s="72">
        <f>SUM(R218)+R270+SUM(R352:R389)+R430+R431+R438+R439+R443+R444+R450+R452+R453+R459+R460+R462+R463+R466+R508+R524+R531</f>
        <v>0</v>
      </c>
      <c r="S683" s="86">
        <f>SUM(S218)+S270+SUM(S352:S389)+S430+S431+S438+S439+S443+S444+S450+S452+S453+S459+S460+S462+S463+S466+S508+S524+S531</f>
        <v>0</v>
      </c>
      <c r="T683" s="70">
        <v>0</v>
      </c>
      <c r="U683" s="70">
        <v>0</v>
      </c>
      <c r="V683" s="87">
        <f>SUM(V218)+V270+SUM(V352:V389)+V430+V431+V438+V439+V443+V444+V450+V452+V453+V459+V460+V462+V463+V466+V508+V524+V531</f>
        <v>0</v>
      </c>
      <c r="W683" s="86">
        <f>SUM(W218)+W270+SUM(W352:W389)+W430+W431+W438+W439+W443+W444+W450+W452+W453+W459+W460+W462+W463+W466+W508+W524+W531</f>
        <v>0</v>
      </c>
      <c r="X683" s="236">
        <v>0</v>
      </c>
      <c r="Y683" s="275">
        <v>0</v>
      </c>
      <c r="Z683" s="71">
        <f>SUM(Z218)+Z270+SUM(Z352:Z389)+Z430+Z431+Z438+Z439+Z443+Z444+Z450+Z452+Z453+Z459+Z460+Z462+Z463+Z466+Z508+Z524+Z531</f>
        <v>0</v>
      </c>
      <c r="AA683" s="70">
        <f>SUM(AA218)+AA270+SUM(AA352:AA389)+AA430+AA431+AA438+AA439+AA443+AA444+AA450+AA452+AA453+AA459+AA460+AA462+AA463+AA466+AA508+AA524+AA531</f>
        <v>0</v>
      </c>
      <c r="AB683" s="72">
        <f>SUM(AB218)+AB270+SUM(AB352:AB389)+AB430+AB431+AB438+AB439+AB443+AB444+AB450+AB452+AB453+AB459+AB460+AB462+AB463+AB466+AB508+AB524+AB531</f>
        <v>0</v>
      </c>
      <c r="AC683" s="86">
        <f>SUM(AC218)+AC270+SUM(AC352:AC389)+AC430+AC431+AC438+AC439+AC443+AC444+AC450+AC452+AC453+AC459+AC460+AC462+AC463+AC466+AC508+AC524+AC531</f>
        <v>0</v>
      </c>
      <c r="AD683" s="70">
        <v>0</v>
      </c>
      <c r="AE683" s="236">
        <v>0</v>
      </c>
      <c r="AF683" s="87">
        <f>SUM(AF218)+AF270+SUM(AF352:AF389)+AF430+AF431+AF438+AF439+AF443+AF444+AF450+AF452+AF453+AF459+AF460+AF462+AF463+AF466+AF508+AF524+AF531</f>
        <v>0</v>
      </c>
      <c r="AG683" s="87">
        <v>0</v>
      </c>
      <c r="AH683" s="70">
        <v>0</v>
      </c>
      <c r="AI683" s="87">
        <v>0</v>
      </c>
      <c r="AJ683" s="70">
        <f>SUM(AJ218)+AJ270+SUM(AJ352:AJ389)+AJ430+AJ431+AJ438+AJ439+AJ443+AJ444+AJ450+AJ452+AJ453+AJ459+AJ460+AJ462+AJ463+AJ466+AJ508+AJ524+AJ531</f>
        <v>0</v>
      </c>
      <c r="AK683" s="236">
        <f>SUM(AK218)+AK270+SUM(AK352:AK389)+AK430+AK431+AK438+AK439+AK443+AK444+AK450+AK452+AK453+AK459+AK460+AK462+AK463+AK466+AK508+AK524+AK531</f>
        <v>0</v>
      </c>
      <c r="AL683" s="87">
        <f>SUM(AL218)+AL270+SUM(AL352:AL389)+AL430+AL431+AL438+AL439+AL443+AL444+AL450+AL452+AL453+AL459+AL460+AL462+AL463+AL466+AL508+AL524+AL531</f>
        <v>0</v>
      </c>
      <c r="AM683" s="70">
        <f>SUM(AM218)+AM270+SUM(AM352:AM389)+AM430+AM431+AM438+AM439+AM443+AM444+AM450+AM452+AM453+AM459+AM460+AM462+AM463+AM466+AM508+AM524+AM531</f>
        <v>0</v>
      </c>
      <c r="AN683" s="236">
        <v>0</v>
      </c>
      <c r="AO683" s="236">
        <v>0</v>
      </c>
      <c r="AP683" s="87">
        <f>SUM(AP218)+AP270+SUM(AP352:AP389)+AP430+AP431+AP438+AP439+AP443+AP444+AP450+AP452+AP453+AP459+AP460+AP462+AP463+AP466+AP508+AP524+AP531</f>
        <v>0</v>
      </c>
      <c r="AQ683" s="70">
        <f>SUM(AQ218)+AQ270+SUM(AQ352:AQ389)+AQ430+AQ431+AQ438+AQ439+AQ443+AQ444+AQ450+AQ452+AQ453+AQ459+AQ460+AQ462+AQ463+AQ466+AQ508+AQ524+AQ531</f>
        <v>0</v>
      </c>
      <c r="AR683" s="87">
        <f>SUM(AR218)+AR270+SUM(AR352:AR389)+AR430+AR431+AR438+AR439+AR443+AR444+AR450+AR452+AR453+AR459+AR460+AR462+AR463+AR466+AR508+AR524+AR531</f>
        <v>0</v>
      </c>
      <c r="AS683" s="70">
        <f>SUM(AS218)+AS270+SUM(AS352:AS389)+AS430+AS431+AS438+AS439+AS443+AS444+AS450+AS452+AS453+AS459+AS460+AS462+AS463+AS466+AS508+AS524+AS531</f>
        <v>0</v>
      </c>
      <c r="AT683" s="236">
        <v>0</v>
      </c>
      <c r="AU683" s="87">
        <f>SUM(AU218)+AU270+SUM(AU352:AU389)+AU430+AU431+AU438+AU439+AU443+AU444+AU450+AU452+AU453+AU459+AU460+AU462+AU463+AU466+AU508+AU524+AU531</f>
        <v>0</v>
      </c>
      <c r="AV683" s="70">
        <f>SUM(AV218)+AV270+SUM(AV352:AV389)+AV430+AV431+AV438+AV439+AV443+AV444+AV450+AV452+AV453+AV459+AV460+AV462+AV463+AV466+AV508+AV524+AV531</f>
        <v>0</v>
      </c>
      <c r="AW683" s="236">
        <v>0</v>
      </c>
      <c r="AX683" s="70">
        <v>0</v>
      </c>
      <c r="AY683" s="236">
        <v>0</v>
      </c>
      <c r="AZ683" s="87">
        <f>SUM(AZ218)+AZ270+SUM(AZ352:AZ389)+AZ430+AZ431+AZ438+AZ439+AZ443+AZ444+AZ450+AZ452+AZ453+AZ459+AZ460+AZ462+AZ463+AZ466+AZ508+AZ524+AZ531</f>
        <v>0</v>
      </c>
      <c r="BA683" s="70">
        <f>SUM(BA218)+BA270+SUM(BA352:BA389)+BA430+BA431+BA438+BA439+BA443+BA444+BA450+BA452+BA453+BA459+BA460+BA462+BA463+BA466+BA508+BA524+BA531</f>
        <v>0</v>
      </c>
      <c r="BB683" s="70">
        <v>0</v>
      </c>
      <c r="BC683" s="87">
        <f>SUM(BC218)+BC270+SUM(BC352:BC389)+BC430+BC431+BC438+BC439+BC443+BC444+BC450+BC452+BC453+BC459+BC460+BC462+BC463+BC466+BC508+BC524+BC531</f>
        <v>0</v>
      </c>
      <c r="BD683" s="70">
        <f>SUM(BD218)+BD270+SUM(BD352:BD389)+BD430+BD431+BD438+BD439+BD443+BD444+BD450+BD452+BD453+BD459+BD460+BD462+BD463+BD466+BD508+BD524+BD531</f>
        <v>0</v>
      </c>
      <c r="BE683" s="70">
        <v>0</v>
      </c>
      <c r="BF683" s="236">
        <v>0</v>
      </c>
      <c r="BG683" s="274">
        <v>0</v>
      </c>
      <c r="BH683" s="588">
        <v>0</v>
      </c>
      <c r="BI683" s="70">
        <f>SUM(BI218)+BI270+SUM(BI352:BI389)+BI430+BI431+BI438+BI439+BI443+BI444+BI450+BI452+BI453+BI459+BI460+BI462+BI463+BI466+BI508+BI524+BI531</f>
        <v>11395</v>
      </c>
      <c r="BJ683" s="71">
        <f>SUM(BJ218)+BJ270+SUM(BJ352:BJ389)+BJ430+BJ431+BJ438+BJ439+BJ443+BJ444+BJ450+BJ452+BJ453+BJ459+BJ460+BJ462+BJ463+BJ466+BJ508+BJ524+BJ531</f>
        <v>11969</v>
      </c>
      <c r="BK683" s="70">
        <f>SUM(BK218)+BK270+SUM(BK352:BK389)+BK430+BK431+BK438+BK439+BK443+BK444+BK450+BK452+BK453+BK459+BK460+BK462+BK463+BK466+BK508+BK524+BK531</f>
        <v>0</v>
      </c>
      <c r="BL683" s="275">
        <v>0</v>
      </c>
      <c r="BM683" s="71">
        <f>SUM(BM218)+BM270+SUM(BM352:BM389)+BM430+BM431+BM438+BM439+BM443+BM444+BM450+BM452+BM453+BM459+BM460+BM462+BM463+BM466+BM508+BM524+BM531</f>
        <v>0</v>
      </c>
      <c r="BN683" s="70">
        <f>SUM(BN218)+BN270+SUM(BN352:BN389)+BN430+BN431+BN438+BN439+BN443+BN444+BN450+BN452+BN453+BN459+BN460+BN462+BN463+BN466+BN508+BN524+BN531</f>
        <v>0</v>
      </c>
      <c r="BO683" s="236">
        <v>0</v>
      </c>
      <c r="BP683" s="275">
        <v>0</v>
      </c>
      <c r="BQ683" s="236">
        <v>0</v>
      </c>
      <c r="BR683" s="87">
        <f t="shared" ref="BR683:BY683" si="391">SUM(BR218)+BR270+SUM(BR352:BR389)+BR430+BR431+BR438+BR439+BR443+BR444+BR450+BR452+BR453+BR459+BR460+BR462+BR463+BR466+BR508+BR524+BR531</f>
        <v>0</v>
      </c>
      <c r="BS683" s="70">
        <f t="shared" si="391"/>
        <v>0</v>
      </c>
      <c r="BT683" s="71">
        <f t="shared" si="391"/>
        <v>0</v>
      </c>
      <c r="BU683" s="70">
        <f t="shared" si="391"/>
        <v>7771</v>
      </c>
      <c r="BV683" s="275">
        <f t="shared" si="391"/>
        <v>8062</v>
      </c>
      <c r="BW683" s="72">
        <f t="shared" si="391"/>
        <v>6567</v>
      </c>
      <c r="BX683" s="236">
        <f t="shared" si="391"/>
        <v>8980</v>
      </c>
      <c r="BY683" s="87">
        <f t="shared" si="391"/>
        <v>4967</v>
      </c>
      <c r="BZ683" s="70">
        <v>0</v>
      </c>
      <c r="CA683" s="236">
        <f>SUM(CA218)+CA270+SUM(CA352:CA389)+CA430+CA431+CA438+CA439+CA443+CA444+CA450+CA452+CA453+CA459+CA460+CA462+CA463+CA466+CA508+CA524+CA531</f>
        <v>289</v>
      </c>
      <c r="CB683" s="275">
        <f>SUM(CB218)+CB270+SUM(CB352:CB389)+CB430+CB431+CB438+CB439+CB443+CB444+CB450+CB452+CB453+CB459+CB460+CB462+CB463+CB466+CB508+CB524+CB531</f>
        <v>83</v>
      </c>
      <c r="CC683" s="71">
        <v>0</v>
      </c>
      <c r="CD683" s="70">
        <f>SUM(CD218)+CD270+SUM(CD352:CD389)+CD430+CD431+CD438+CD439+CD443+CD444+CD450+CD452+CD453+CD459+CD460+CD462+CD463+CD466+CD508+CD524+CD531</f>
        <v>0</v>
      </c>
      <c r="CE683" s="236">
        <v>0</v>
      </c>
      <c r="CF683" s="236">
        <f>SUM(CF218)+CF270+SUM(CF352:CF389)+CF430+CF431+CF438+CF439+CF443+CF444+CF450+CF452+CF453+CF459+CF460+CF462+CF463+CF466+CF508+CF524+CF531</f>
        <v>0</v>
      </c>
      <c r="CG683" s="87">
        <f>SUM(CG218)+CG270+SUM(CG352:CG389)+CG430+CG431+CG438+CG439+CG443+CG444+CG450+CG452+CG453+CG459+CG460+CG462+CG463+CG466+CG508+CG524+CG531</f>
        <v>0</v>
      </c>
      <c r="CH683" s="70">
        <f>SUM(CH218)+CH270+SUM(CH352:CH389)+CH430+CH431+CH438+CH439+CH443+CH444+CH450+CH452+CH453+CH459+CH460+CH462+CH463+CH466+CH508+CH524+CH531</f>
        <v>0</v>
      </c>
      <c r="CI683" s="87">
        <f>SUM(CI218)+CI270+SUM(CI352:CI389)+CI430+CI431+CI438+CI439+CI443+CI444+CI450+CI452+CI453+CI459+CI460+CI462+CI463+CI466+CI508+CI524+CI531</f>
        <v>0</v>
      </c>
    </row>
    <row r="684" spans="1:87" x14ac:dyDescent="0.3">
      <c r="B684" s="17" t="s">
        <v>38</v>
      </c>
      <c r="C684" s="477">
        <v>46818</v>
      </c>
      <c r="D684" s="236">
        <v>25867</v>
      </c>
      <c r="E684" s="367">
        <f t="shared" si="224"/>
        <v>0.55250117476184368</v>
      </c>
      <c r="F684" s="70">
        <v>0</v>
      </c>
      <c r="G684" s="236">
        <v>0</v>
      </c>
      <c r="H684" s="236">
        <v>0</v>
      </c>
      <c r="I684" s="236">
        <v>0</v>
      </c>
      <c r="J684" s="71">
        <v>0</v>
      </c>
      <c r="K684" s="70">
        <f>SUM(K121)+SUM(K401:K419)+K429+SUM(K432:K435)+K437+SUM(K440:K442)+SUM(K444:K449)+SUM(K451:K452)+SUM(K454:K458)+K461+SUM(K465:K471)</f>
        <v>0</v>
      </c>
      <c r="L684" s="274">
        <v>0</v>
      </c>
      <c r="M684" s="588">
        <v>0</v>
      </c>
      <c r="N684" s="70">
        <f>SUM(N121)+SUM(N401:N419)+N429+SUM(N432:N435)+N437+SUM(N440:N442)+SUM(N444:N449)+SUM(N451:N452)+SUM(N454:N458)+N461+SUM(N465:N471)</f>
        <v>0</v>
      </c>
      <c r="O684" s="236">
        <v>0</v>
      </c>
      <c r="P684" s="275">
        <v>0</v>
      </c>
      <c r="Q684" s="72">
        <v>0</v>
      </c>
      <c r="R684" s="72">
        <f>SUM(R121)+SUM(R401:R419)+R429+SUM(R432:R435)+R437+SUM(R440:R442)+SUM(R444:R449)+SUM(R451:R452)+SUM(R454:R458)+R461+SUM(R465:R471)</f>
        <v>0</v>
      </c>
      <c r="S684" s="86">
        <f>SUM(S121)+SUM(S401:S419)+S429+SUM(S432:S435)+S437+SUM(S440:S442)+SUM(S444:S449)+SUM(S451:S452)+SUM(S454:S458)+S461+SUM(S465:S471)</f>
        <v>0</v>
      </c>
      <c r="T684" s="70">
        <v>0</v>
      </c>
      <c r="U684" s="70">
        <v>0</v>
      </c>
      <c r="V684" s="87">
        <f>SUM(V121)+SUM(V401:V419)+V429+SUM(V432:V435)+V437+SUM(V440:V442)+SUM(V444:V449)+SUM(V451:V452)+SUM(V454:V458)+V461+SUM(V465:V471)</f>
        <v>0</v>
      </c>
      <c r="W684" s="86">
        <f>SUM(W121)+SUM(W401:W419)+W429+SUM(W432:W435)+W437+SUM(W440:W442)+SUM(W444:W449)+SUM(W451:W452)+SUM(W454:W458)+W461+SUM(W465:W471)</f>
        <v>0</v>
      </c>
      <c r="X684" s="236">
        <v>0</v>
      </c>
      <c r="Y684" s="275">
        <v>0</v>
      </c>
      <c r="Z684" s="71">
        <f>SUM(Z121)+SUM(Z401:Z419)+Z429+SUM(Z432:Z435)+Z437+SUM(Z440:Z442)+SUM(Z444:Z449)+SUM(Z451:Z452)+SUM(Z454:Z458)+Z461+SUM(Z465:Z471)</f>
        <v>0</v>
      </c>
      <c r="AA684" s="70">
        <f>SUM(AA121)+SUM(AA401:AA419)+AA429+SUM(AA432:AA435)+AA437+SUM(AA440:AA442)+SUM(AA444:AA449)+SUM(AA451:AA452)+SUM(AA454:AA458)+AA461+SUM(AA465:AA471)</f>
        <v>0</v>
      </c>
      <c r="AB684" s="72">
        <f>SUM(AB121)+SUM(AB401:AB419)+AB429+SUM(AB432:AB435)+AB437+SUM(AB440:AB442)+SUM(AB444:AB449)+SUM(AB451:AB452)+SUM(AB454:AB458)+AB461+SUM(AB465:AB471)</f>
        <v>0</v>
      </c>
      <c r="AC684" s="86">
        <f>SUM(AC121)+SUM(AC401:AC419)+AC429+SUM(AC432:AC435)+AC437+SUM(AC440:AC442)+SUM(AC444:AC449)+SUM(AC451:AC452)+SUM(AC454:AC458)+AC461+SUM(AC465:AC471)</f>
        <v>0</v>
      </c>
      <c r="AD684" s="70">
        <v>0</v>
      </c>
      <c r="AE684" s="236">
        <v>0</v>
      </c>
      <c r="AF684" s="87">
        <f t="shared" ref="AF684:AM684" si="392">SUM(AF121)+SUM(AF401:AF419)+AF429+SUM(AF432:AF435)+AF437+SUM(AF440:AF442)+SUM(AF444:AF449)+SUM(AF451:AF452)+SUM(AF454:AF458)+AF461+SUM(AF465:AF471)</f>
        <v>0</v>
      </c>
      <c r="AG684" s="87">
        <f t="shared" si="392"/>
        <v>0</v>
      </c>
      <c r="AH684" s="70">
        <f t="shared" si="392"/>
        <v>0</v>
      </c>
      <c r="AI684" s="87">
        <f t="shared" si="392"/>
        <v>0</v>
      </c>
      <c r="AJ684" s="70">
        <f t="shared" si="392"/>
        <v>0</v>
      </c>
      <c r="AK684" s="236">
        <f t="shared" si="392"/>
        <v>0</v>
      </c>
      <c r="AL684" s="87">
        <f t="shared" si="392"/>
        <v>0</v>
      </c>
      <c r="AM684" s="70">
        <f t="shared" si="392"/>
        <v>0</v>
      </c>
      <c r="AN684" s="236">
        <v>0</v>
      </c>
      <c r="AO684" s="236">
        <f t="shared" ref="AO684:BD684" si="393">SUM(AO121)+SUM(AO401:AO419)+AO429+SUM(AO432:AO435)+AO437+SUM(AO440:AO442)+SUM(AO444:AO449)+SUM(AO451:AO452)+SUM(AO454:AO458)+AO461+SUM(AO465:AO471)</f>
        <v>0</v>
      </c>
      <c r="AP684" s="87">
        <f t="shared" si="393"/>
        <v>0</v>
      </c>
      <c r="AQ684" s="70">
        <f t="shared" si="393"/>
        <v>0</v>
      </c>
      <c r="AR684" s="87">
        <f t="shared" si="393"/>
        <v>0</v>
      </c>
      <c r="AS684" s="70">
        <f t="shared" si="393"/>
        <v>0</v>
      </c>
      <c r="AT684" s="236">
        <f t="shared" si="393"/>
        <v>0</v>
      </c>
      <c r="AU684" s="87">
        <f t="shared" si="393"/>
        <v>0</v>
      </c>
      <c r="AV684" s="70">
        <f t="shared" si="393"/>
        <v>0</v>
      </c>
      <c r="AW684" s="236">
        <f t="shared" si="393"/>
        <v>0</v>
      </c>
      <c r="AX684" s="70">
        <f t="shared" si="393"/>
        <v>0</v>
      </c>
      <c r="AY684" s="236">
        <f t="shared" si="393"/>
        <v>0</v>
      </c>
      <c r="AZ684" s="87">
        <f t="shared" si="393"/>
        <v>0</v>
      </c>
      <c r="BA684" s="70">
        <f t="shared" si="393"/>
        <v>0</v>
      </c>
      <c r="BB684" s="70">
        <f t="shared" si="393"/>
        <v>0</v>
      </c>
      <c r="BC684" s="87">
        <f t="shared" si="393"/>
        <v>0</v>
      </c>
      <c r="BD684" s="70">
        <f t="shared" si="393"/>
        <v>0</v>
      </c>
      <c r="BE684" s="70">
        <v>0</v>
      </c>
      <c r="BF684" s="236">
        <f t="shared" ref="BF684:BO684" si="394">SUM(BF121)+SUM(BF401:BF419)+BF429+SUM(BF432:BF435)+BF437+SUM(BF440:BF442)+SUM(BF444:BF449)+SUM(BF451:BF452)+SUM(BF454:BF458)+BF461+SUM(BF465:BF471)</f>
        <v>0</v>
      </c>
      <c r="BG684" s="274">
        <f t="shared" si="394"/>
        <v>0</v>
      </c>
      <c r="BH684" s="588">
        <f t="shared" si="394"/>
        <v>0</v>
      </c>
      <c r="BI684" s="70">
        <f t="shared" si="394"/>
        <v>12062</v>
      </c>
      <c r="BJ684" s="71">
        <f t="shared" si="394"/>
        <v>11830</v>
      </c>
      <c r="BK684" s="70">
        <f t="shared" si="394"/>
        <v>0</v>
      </c>
      <c r="BL684" s="275">
        <f t="shared" si="394"/>
        <v>0</v>
      </c>
      <c r="BM684" s="71">
        <f t="shared" si="394"/>
        <v>0</v>
      </c>
      <c r="BN684" s="70">
        <f t="shared" si="394"/>
        <v>0</v>
      </c>
      <c r="BO684" s="236">
        <f t="shared" si="394"/>
        <v>0</v>
      </c>
      <c r="BP684" s="275">
        <v>0</v>
      </c>
      <c r="BQ684" s="236">
        <f>SUM(BQ121)+SUM(BQ401:BQ419)+BQ429+SUM(BQ432:BQ435)+BQ437+SUM(BQ440:BQ442)+SUM(BQ444:BQ449)+SUM(BQ451:BQ452)+SUM(BQ454:BQ458)+BQ461+SUM(BQ465:BQ471)</f>
        <v>0</v>
      </c>
      <c r="BR684" s="87">
        <f>SUM(BR121)+SUM(BR401:BR419)+BR429+SUM(BR432:BR435)+BR437+SUM(BR440:BR442)+SUM(BR444:BR449)+SUM(BR451:BR452)+SUM(BR454:BR458)+BR461+SUM(BR465:BR471)</f>
        <v>0</v>
      </c>
      <c r="BS684" s="70">
        <f>SUM(BS121)+SUM(BS401:BS419)+BS429+SUM(BS432:BS435)+BS437+SUM(BS440:BS442)+SUM(BS444:BS449)+SUM(BS451:BS452)+SUM(BS454:BS458)+BS461+SUM(BS465:BS471)</f>
        <v>0</v>
      </c>
      <c r="BT684" s="71">
        <f>SUM(BT121)+SUM(BT401:BT419)+BT429+SUM(BT432:BT435)+BT437+SUM(BT440:BT442)+SUM(BT444:BT449)+SUM(BT451:BT452)+SUM(BT454:BT458)+BT461+SUM(BT465:BT471)</f>
        <v>0</v>
      </c>
      <c r="BU684" s="70">
        <v>0</v>
      </c>
      <c r="BV684" s="275">
        <f>SUM(BV121)+SUM(BV401:BV419)+BV429+SUM(BV432:BV435)+BV437+SUM(BV440:BV442)+SUM(BV444:BV449)+SUM(BV451:BV452)+SUM(BV454:BV458)+BV461+SUM(BV465:BV471)</f>
        <v>468</v>
      </c>
      <c r="BW684" s="72">
        <f>SUM(BW121)+SUM(BW401:BW419)+BW429+SUM(BW432:BW435)+BW437+SUM(BW440:BW442)+SUM(BW444:BW449)+SUM(BW451:BW452)+SUM(BW454:BW458)+BW461+SUM(BW465:BW471)</f>
        <v>248</v>
      </c>
      <c r="BX684" s="236">
        <v>0</v>
      </c>
      <c r="BY684" s="87">
        <v>0</v>
      </c>
      <c r="BZ684" s="70">
        <f>SUM(BZ121)+SUM(BZ401:BZ419)+BZ429+SUM(BZ432:BZ435)+BZ437+SUM(BZ440:BZ442)+SUM(BZ444:BZ449)+SUM(BZ451:BZ452)+SUM(BZ454:BZ458)+BZ461+SUM(BZ465:BZ471)</f>
        <v>7100</v>
      </c>
      <c r="CA684" s="236">
        <f>SUM(CA121)+SUM(CA401:CA419)+CA429+SUM(CA432:CA435)+CA437+SUM(CA440:CA442)+SUM(CA444:CA449)+SUM(CA451:CA452)+SUM(CA454:CA458)+CA461+SUM(CA465:CA471)</f>
        <v>15160</v>
      </c>
      <c r="CB684" s="275">
        <f>SUM(CB121)+SUM(CB401:CB419)+CB429+SUM(CB432:CB435)+CB437+SUM(CB440:CB442)+SUM(CB444:CB449)+SUM(CB451:CB452)+SUM(CB454:CB458)+CB461+SUM(CB465:CB471)</f>
        <v>4693</v>
      </c>
      <c r="CC684" s="71">
        <f>SUM(CC121)+SUM(CC401:CC419)+CC429+SUM(CC432:CC435)+CC437+SUM(CC440:CC442)+SUM(CC444:CC449)+SUM(CC451:CC452)+SUM(CC454:CC458)+CC461+SUM(CC465:CC471)</f>
        <v>11112</v>
      </c>
      <c r="CD684" s="70">
        <f>SUM(CD121)+SUM(CD401:CD419)+CD429+SUM(CD432:CD435)+CD437+SUM(CD440:CD442)+SUM(CD444:CD449)+SUM(CD451:CD452)+SUM(CD454:CD458)+CD461+SUM(CD465:CD471)</f>
        <v>0</v>
      </c>
      <c r="CE684" s="236">
        <v>0</v>
      </c>
      <c r="CF684" s="236">
        <f>SUM(CF121)+SUM(CF401:CF419)+CF429+SUM(CF432:CF435)+CF437+SUM(CF440:CF442)+SUM(CF444:CF449)+SUM(CF451:CF452)+SUM(CF454:CF458)+CF461+SUM(CF465:CF471)</f>
        <v>0</v>
      </c>
      <c r="CG684" s="87">
        <f>SUM(CG121)+SUM(CG401:CG419)+CG429+SUM(CG432:CG435)+CG437+SUM(CG440:CG442)+SUM(CG444:CG449)+SUM(CG451:CG452)+SUM(CG454:CG458)+CG461+SUM(CG465:CG471)</f>
        <v>0</v>
      </c>
      <c r="CH684" s="70">
        <f>SUM(CH121)+SUM(CH401:CH419)+CH429+SUM(CH432:CH435)+CH437+SUM(CH440:CH442)+SUM(CH444:CH449)+SUM(CH451:CH452)+SUM(CH454:CH458)+CH461+SUM(CH465:CH471)</f>
        <v>0</v>
      </c>
      <c r="CI684" s="87">
        <f>SUM(CI121)+SUM(CI401:CI419)+CI429+SUM(CI432:CI435)+CI437+SUM(CI440:CI442)+SUM(CI444:CI449)+SUM(CI451:CI452)+SUM(CI454:CI458)+CI461+SUM(CI465:CI471)</f>
        <v>0</v>
      </c>
    </row>
    <row r="685" spans="1:87" x14ac:dyDescent="0.3">
      <c r="B685" s="17" t="s">
        <v>1322</v>
      </c>
      <c r="C685" s="322">
        <v>19207</v>
      </c>
      <c r="D685" s="235">
        <v>8804</v>
      </c>
      <c r="E685" s="367">
        <f t="shared" si="224"/>
        <v>0.45837455094496798</v>
      </c>
      <c r="F685" s="70">
        <f t="shared" ref="F685:AK685" si="395">SUM(F226:F230)+SUM(F399:F400)+SUM(F475:F477)+SUM(F561:F563)</f>
        <v>0</v>
      </c>
      <c r="G685" s="236">
        <f t="shared" si="395"/>
        <v>0</v>
      </c>
      <c r="H685" s="236">
        <f t="shared" si="395"/>
        <v>0</v>
      </c>
      <c r="I685" s="236">
        <f t="shared" si="395"/>
        <v>0</v>
      </c>
      <c r="J685" s="71">
        <f t="shared" si="395"/>
        <v>0</v>
      </c>
      <c r="K685" s="70">
        <f t="shared" si="395"/>
        <v>0</v>
      </c>
      <c r="L685" s="274">
        <f t="shared" si="395"/>
        <v>0</v>
      </c>
      <c r="M685" s="588">
        <f t="shared" si="395"/>
        <v>0</v>
      </c>
      <c r="N685" s="70">
        <f t="shared" si="395"/>
        <v>0</v>
      </c>
      <c r="O685" s="236">
        <f t="shared" si="395"/>
        <v>0</v>
      </c>
      <c r="P685" s="275">
        <f t="shared" si="395"/>
        <v>0</v>
      </c>
      <c r="Q685" s="72">
        <f t="shared" si="395"/>
        <v>0</v>
      </c>
      <c r="R685" s="72">
        <f t="shared" si="395"/>
        <v>0</v>
      </c>
      <c r="S685" s="86">
        <f t="shared" si="395"/>
        <v>0</v>
      </c>
      <c r="T685" s="70">
        <f t="shared" si="395"/>
        <v>0</v>
      </c>
      <c r="U685" s="70">
        <f t="shared" si="395"/>
        <v>0</v>
      </c>
      <c r="V685" s="87">
        <f t="shared" si="395"/>
        <v>0</v>
      </c>
      <c r="W685" s="86">
        <f t="shared" si="395"/>
        <v>0</v>
      </c>
      <c r="X685" s="236">
        <f t="shared" si="395"/>
        <v>0</v>
      </c>
      <c r="Y685" s="275">
        <f t="shared" si="395"/>
        <v>0</v>
      </c>
      <c r="Z685" s="71">
        <f t="shared" si="395"/>
        <v>0</v>
      </c>
      <c r="AA685" s="70">
        <f t="shared" si="395"/>
        <v>0</v>
      </c>
      <c r="AB685" s="72">
        <f t="shared" si="395"/>
        <v>0</v>
      </c>
      <c r="AC685" s="86">
        <f t="shared" si="395"/>
        <v>0</v>
      </c>
      <c r="AD685" s="70">
        <f t="shared" si="395"/>
        <v>0</v>
      </c>
      <c r="AE685" s="236">
        <f t="shared" si="395"/>
        <v>0</v>
      </c>
      <c r="AF685" s="87">
        <f t="shared" si="395"/>
        <v>0</v>
      </c>
      <c r="AG685" s="87">
        <f t="shared" si="395"/>
        <v>0</v>
      </c>
      <c r="AH685" s="70">
        <f t="shared" si="395"/>
        <v>0</v>
      </c>
      <c r="AI685" s="87">
        <f t="shared" si="395"/>
        <v>0</v>
      </c>
      <c r="AJ685" s="70">
        <f t="shared" si="395"/>
        <v>0</v>
      </c>
      <c r="AK685" s="236">
        <f t="shared" si="395"/>
        <v>0</v>
      </c>
      <c r="AL685" s="87">
        <f t="shared" ref="AL685:BQ685" si="396">SUM(AL226:AL230)+SUM(AL399:AL400)+SUM(AL475:AL477)+SUM(AL561:AL563)</f>
        <v>0</v>
      </c>
      <c r="AM685" s="70">
        <f t="shared" si="396"/>
        <v>0</v>
      </c>
      <c r="AN685" s="236">
        <f t="shared" si="396"/>
        <v>0</v>
      </c>
      <c r="AO685" s="236">
        <f t="shared" si="396"/>
        <v>0</v>
      </c>
      <c r="AP685" s="87">
        <f t="shared" si="396"/>
        <v>0</v>
      </c>
      <c r="AQ685" s="70">
        <f t="shared" si="396"/>
        <v>0</v>
      </c>
      <c r="AR685" s="87">
        <f t="shared" si="396"/>
        <v>0</v>
      </c>
      <c r="AS685" s="70">
        <f t="shared" si="396"/>
        <v>0</v>
      </c>
      <c r="AT685" s="236">
        <f t="shared" si="396"/>
        <v>0</v>
      </c>
      <c r="AU685" s="87">
        <f t="shared" si="396"/>
        <v>0</v>
      </c>
      <c r="AV685" s="70">
        <f t="shared" si="396"/>
        <v>0</v>
      </c>
      <c r="AW685" s="236">
        <f t="shared" si="396"/>
        <v>0</v>
      </c>
      <c r="AX685" s="70">
        <f t="shared" si="396"/>
        <v>0</v>
      </c>
      <c r="AY685" s="236">
        <f t="shared" si="396"/>
        <v>0</v>
      </c>
      <c r="AZ685" s="87">
        <f t="shared" si="396"/>
        <v>0</v>
      </c>
      <c r="BA685" s="70">
        <f t="shared" si="396"/>
        <v>0</v>
      </c>
      <c r="BB685" s="70">
        <f t="shared" si="396"/>
        <v>0</v>
      </c>
      <c r="BC685" s="87">
        <f t="shared" si="396"/>
        <v>0</v>
      </c>
      <c r="BD685" s="70">
        <f t="shared" si="396"/>
        <v>0</v>
      </c>
      <c r="BE685" s="70">
        <f t="shared" si="396"/>
        <v>0</v>
      </c>
      <c r="BF685" s="236">
        <f t="shared" si="396"/>
        <v>0</v>
      </c>
      <c r="BG685" s="274">
        <f t="shared" si="396"/>
        <v>0</v>
      </c>
      <c r="BH685" s="588">
        <f t="shared" si="396"/>
        <v>0</v>
      </c>
      <c r="BI685" s="70">
        <f t="shared" si="396"/>
        <v>3555</v>
      </c>
      <c r="BJ685" s="71">
        <f t="shared" si="396"/>
        <v>3412</v>
      </c>
      <c r="BK685" s="70">
        <f t="shared" si="396"/>
        <v>0</v>
      </c>
      <c r="BL685" s="275">
        <f t="shared" si="396"/>
        <v>0</v>
      </c>
      <c r="BM685" s="71">
        <f t="shared" si="396"/>
        <v>0</v>
      </c>
      <c r="BN685" s="70">
        <f t="shared" si="396"/>
        <v>0</v>
      </c>
      <c r="BO685" s="236">
        <f t="shared" si="396"/>
        <v>0</v>
      </c>
      <c r="BP685" s="275">
        <f t="shared" si="396"/>
        <v>0</v>
      </c>
      <c r="BQ685" s="236">
        <f t="shared" si="396"/>
        <v>0</v>
      </c>
      <c r="BR685" s="87">
        <f t="shared" ref="BR685:CI685" si="397">SUM(BR226:BR230)+SUM(BR399:BR400)+SUM(BR475:BR477)+SUM(BR561:BR563)</f>
        <v>0</v>
      </c>
      <c r="BS685" s="70">
        <f t="shared" si="397"/>
        <v>0</v>
      </c>
      <c r="BT685" s="71">
        <f t="shared" si="397"/>
        <v>0</v>
      </c>
      <c r="BU685" s="70">
        <f t="shared" si="397"/>
        <v>0</v>
      </c>
      <c r="BV685" s="275">
        <f t="shared" si="397"/>
        <v>0</v>
      </c>
      <c r="BW685" s="72">
        <f t="shared" si="397"/>
        <v>0</v>
      </c>
      <c r="BX685" s="236">
        <f t="shared" si="397"/>
        <v>0</v>
      </c>
      <c r="BY685" s="87">
        <f t="shared" si="397"/>
        <v>0</v>
      </c>
      <c r="BZ685" s="70">
        <f t="shared" si="397"/>
        <v>0</v>
      </c>
      <c r="CA685" s="236">
        <f t="shared" si="397"/>
        <v>0</v>
      </c>
      <c r="CB685" s="275">
        <f t="shared" si="397"/>
        <v>0</v>
      </c>
      <c r="CC685" s="71">
        <f t="shared" si="397"/>
        <v>0</v>
      </c>
      <c r="CD685" s="70">
        <f t="shared" si="397"/>
        <v>4005</v>
      </c>
      <c r="CE685" s="236">
        <f t="shared" si="397"/>
        <v>2741</v>
      </c>
      <c r="CF685" s="236">
        <f t="shared" si="397"/>
        <v>3243</v>
      </c>
      <c r="CG685" s="87">
        <f t="shared" si="397"/>
        <v>2171</v>
      </c>
      <c r="CH685" s="70">
        <f t="shared" si="397"/>
        <v>0</v>
      </c>
      <c r="CI685" s="87">
        <f t="shared" si="397"/>
        <v>0</v>
      </c>
    </row>
    <row r="686" spans="1:87" x14ac:dyDescent="0.3">
      <c r="B686" s="17" t="s">
        <v>39</v>
      </c>
      <c r="C686" s="322">
        <v>12299</v>
      </c>
      <c r="D686" s="235">
        <v>6988</v>
      </c>
      <c r="E686" s="367">
        <f t="shared" si="224"/>
        <v>0.56817627449386132</v>
      </c>
      <c r="F686" s="70">
        <f t="shared" ref="F686:J686" si="398">SUM(F484:F495)</f>
        <v>0</v>
      </c>
      <c r="G686" s="236">
        <f t="shared" si="398"/>
        <v>0</v>
      </c>
      <c r="H686" s="236">
        <f t="shared" ref="H686:I686" si="399">SUM(H484:H495)</f>
        <v>0</v>
      </c>
      <c r="I686" s="236">
        <f t="shared" si="399"/>
        <v>0</v>
      </c>
      <c r="J686" s="71">
        <f t="shared" si="398"/>
        <v>0</v>
      </c>
      <c r="K686" s="70">
        <f t="shared" ref="K686:AV686" si="400">SUM(K484:K495)</f>
        <v>0</v>
      </c>
      <c r="L686" s="274">
        <f t="shared" si="400"/>
        <v>0</v>
      </c>
      <c r="M686" s="588">
        <f>SUM(M484:M495)</f>
        <v>0</v>
      </c>
      <c r="N686" s="70">
        <f t="shared" si="400"/>
        <v>0</v>
      </c>
      <c r="O686" s="236">
        <f t="shared" ref="O686:Q686" si="401">SUM(O484:O495)</f>
        <v>0</v>
      </c>
      <c r="P686" s="275">
        <f t="shared" si="401"/>
        <v>0</v>
      </c>
      <c r="Q686" s="72">
        <f t="shared" si="401"/>
        <v>0</v>
      </c>
      <c r="R686" s="72">
        <f t="shared" si="400"/>
        <v>0</v>
      </c>
      <c r="S686" s="86">
        <f t="shared" si="400"/>
        <v>0</v>
      </c>
      <c r="T686" s="70">
        <f t="shared" si="400"/>
        <v>0</v>
      </c>
      <c r="U686" s="70">
        <f t="shared" ref="U686" si="402">SUM(U484:U495)</f>
        <v>0</v>
      </c>
      <c r="V686" s="87">
        <f t="shared" si="400"/>
        <v>0</v>
      </c>
      <c r="W686" s="86">
        <f t="shared" si="400"/>
        <v>0</v>
      </c>
      <c r="X686" s="236">
        <f t="shared" si="400"/>
        <v>0</v>
      </c>
      <c r="Y686" s="275">
        <f>SUM(Y484:Y495)</f>
        <v>0</v>
      </c>
      <c r="Z686" s="71">
        <f t="shared" si="400"/>
        <v>0</v>
      </c>
      <c r="AA686" s="70">
        <f t="shared" si="400"/>
        <v>0</v>
      </c>
      <c r="AB686" s="72">
        <f t="shared" si="400"/>
        <v>0</v>
      </c>
      <c r="AC686" s="86">
        <f t="shared" si="400"/>
        <v>0</v>
      </c>
      <c r="AD686" s="70">
        <f t="shared" si="400"/>
        <v>0</v>
      </c>
      <c r="AE686" s="236">
        <f t="shared" ref="AE686" si="403">SUM(AE484:AE495)</f>
        <v>0</v>
      </c>
      <c r="AF686" s="87">
        <f t="shared" si="400"/>
        <v>0</v>
      </c>
      <c r="AG686" s="87">
        <f t="shared" si="400"/>
        <v>0</v>
      </c>
      <c r="AH686" s="70">
        <f t="shared" si="400"/>
        <v>0</v>
      </c>
      <c r="AI686" s="87">
        <f t="shared" si="400"/>
        <v>0</v>
      </c>
      <c r="AJ686" s="70">
        <f t="shared" si="400"/>
        <v>0</v>
      </c>
      <c r="AK686" s="236">
        <f>SUM(AK484:AK495)</f>
        <v>0</v>
      </c>
      <c r="AL686" s="87">
        <f t="shared" si="400"/>
        <v>0</v>
      </c>
      <c r="AM686" s="70">
        <f t="shared" si="400"/>
        <v>0</v>
      </c>
      <c r="AN686" s="236">
        <f t="shared" si="400"/>
        <v>0</v>
      </c>
      <c r="AO686" s="236">
        <f t="shared" ref="AO686" si="404">SUM(AO484:AO495)</f>
        <v>0</v>
      </c>
      <c r="AP686" s="87">
        <f t="shared" si="400"/>
        <v>0</v>
      </c>
      <c r="AQ686" s="70">
        <f t="shared" si="400"/>
        <v>0</v>
      </c>
      <c r="AR686" s="87">
        <f t="shared" si="400"/>
        <v>0</v>
      </c>
      <c r="AS686" s="70">
        <f t="shared" si="400"/>
        <v>0</v>
      </c>
      <c r="AT686" s="236">
        <f t="shared" ref="AT686" si="405">SUM(AT484:AT495)</f>
        <v>0</v>
      </c>
      <c r="AU686" s="87">
        <f t="shared" si="400"/>
        <v>0</v>
      </c>
      <c r="AV686" s="70">
        <f t="shared" si="400"/>
        <v>0</v>
      </c>
      <c r="AW686" s="236">
        <f t="shared" ref="AW686:AY686" si="406">SUM(AW484:AW495)</f>
        <v>0</v>
      </c>
      <c r="AX686" s="70">
        <f t="shared" si="406"/>
        <v>0</v>
      </c>
      <c r="AY686" s="236">
        <f t="shared" si="406"/>
        <v>0</v>
      </c>
      <c r="AZ686" s="87">
        <f t="shared" ref="AZ686:CI686" si="407">SUM(AZ484:AZ495)</f>
        <v>0</v>
      </c>
      <c r="BA686" s="70">
        <f t="shared" si="407"/>
        <v>0</v>
      </c>
      <c r="BB686" s="70">
        <f t="shared" si="407"/>
        <v>0</v>
      </c>
      <c r="BC686" s="87">
        <f>SUM(BC484:BC495)</f>
        <v>0</v>
      </c>
      <c r="BD686" s="70">
        <f t="shared" si="407"/>
        <v>0</v>
      </c>
      <c r="BE686" s="70">
        <f t="shared" si="407"/>
        <v>0</v>
      </c>
      <c r="BF686" s="236">
        <f t="shared" si="407"/>
        <v>0</v>
      </c>
      <c r="BG686" s="274">
        <f t="shared" si="407"/>
        <v>0</v>
      </c>
      <c r="BH686" s="588">
        <f t="shared" si="407"/>
        <v>0</v>
      </c>
      <c r="BI686" s="70">
        <f t="shared" si="407"/>
        <v>2988</v>
      </c>
      <c r="BJ686" s="71">
        <f t="shared" si="407"/>
        <v>2786</v>
      </c>
      <c r="BK686" s="70">
        <f t="shared" ref="BK686" si="408">SUM(BK484:BK495)</f>
        <v>0</v>
      </c>
      <c r="BL686" s="275">
        <f t="shared" si="407"/>
        <v>0</v>
      </c>
      <c r="BM686" s="71">
        <f t="shared" si="407"/>
        <v>0</v>
      </c>
      <c r="BN686" s="70">
        <f t="shared" si="407"/>
        <v>0</v>
      </c>
      <c r="BO686" s="236">
        <f t="shared" si="407"/>
        <v>0</v>
      </c>
      <c r="BP686" s="275">
        <f t="shared" si="407"/>
        <v>0</v>
      </c>
      <c r="BQ686" s="236">
        <f t="shared" si="407"/>
        <v>0</v>
      </c>
      <c r="BR686" s="87">
        <f t="shared" si="407"/>
        <v>0</v>
      </c>
      <c r="BS686" s="70">
        <f t="shared" si="407"/>
        <v>0</v>
      </c>
      <c r="BT686" s="71">
        <f t="shared" si="407"/>
        <v>0</v>
      </c>
      <c r="BU686" s="70">
        <f t="shared" si="407"/>
        <v>0</v>
      </c>
      <c r="BV686" s="275">
        <f t="shared" ref="BV686:BW686" si="409">SUM(BV484:BV495)</f>
        <v>0</v>
      </c>
      <c r="BW686" s="72">
        <f t="shared" si="409"/>
        <v>0</v>
      </c>
      <c r="BX686" s="236">
        <f>SUM(BX484:BX495)</f>
        <v>0</v>
      </c>
      <c r="BY686" s="87">
        <f t="shared" si="407"/>
        <v>0</v>
      </c>
      <c r="BZ686" s="70">
        <f t="shared" si="407"/>
        <v>0</v>
      </c>
      <c r="CA686" s="236">
        <f t="shared" ref="CA686:CB686" si="410">SUM(CA484:CA495)</f>
        <v>0</v>
      </c>
      <c r="CB686" s="275">
        <f t="shared" si="410"/>
        <v>0</v>
      </c>
      <c r="CC686" s="71">
        <f t="shared" si="407"/>
        <v>0</v>
      </c>
      <c r="CD686" s="70">
        <f t="shared" si="407"/>
        <v>0</v>
      </c>
      <c r="CE686" s="236">
        <f t="shared" si="407"/>
        <v>0</v>
      </c>
      <c r="CF686" s="236">
        <f t="shared" ref="CF686" si="411">SUM(CF484:CF495)</f>
        <v>0</v>
      </c>
      <c r="CG686" s="87">
        <f t="shared" si="407"/>
        <v>0</v>
      </c>
      <c r="CH686" s="70">
        <f t="shared" si="407"/>
        <v>4236</v>
      </c>
      <c r="CI686" s="87">
        <f t="shared" si="407"/>
        <v>201</v>
      </c>
    </row>
    <row r="687" spans="1:87" x14ac:dyDescent="0.3">
      <c r="B687" s="17" t="s">
        <v>40</v>
      </c>
      <c r="C687" s="322">
        <v>2744</v>
      </c>
      <c r="D687" s="296">
        <f>SUM(D475:D477)</f>
        <v>1489</v>
      </c>
      <c r="E687" s="367">
        <f t="shared" si="224"/>
        <v>0.54263848396501457</v>
      </c>
      <c r="F687" s="70">
        <f t="shared" ref="F687:J687" si="412">SUM(F475:F477)</f>
        <v>0</v>
      </c>
      <c r="G687" s="236">
        <f t="shared" si="412"/>
        <v>0</v>
      </c>
      <c r="H687" s="236">
        <f t="shared" ref="H687:I687" si="413">SUM(H475:H477)</f>
        <v>0</v>
      </c>
      <c r="I687" s="236">
        <f t="shared" si="413"/>
        <v>0</v>
      </c>
      <c r="J687" s="71">
        <f t="shared" si="412"/>
        <v>0</v>
      </c>
      <c r="K687" s="70">
        <f t="shared" ref="K687:AV687" si="414">SUM(K475:K477)</f>
        <v>0</v>
      </c>
      <c r="L687" s="274">
        <f t="shared" si="414"/>
        <v>0</v>
      </c>
      <c r="M687" s="588">
        <f>SUM(M475:M477)</f>
        <v>0</v>
      </c>
      <c r="N687" s="70">
        <f t="shared" si="414"/>
        <v>0</v>
      </c>
      <c r="O687" s="236">
        <f t="shared" ref="O687:Q687" si="415">SUM(O475:O477)</f>
        <v>0</v>
      </c>
      <c r="P687" s="275">
        <f t="shared" si="415"/>
        <v>0</v>
      </c>
      <c r="Q687" s="72">
        <f t="shared" si="415"/>
        <v>0</v>
      </c>
      <c r="R687" s="72">
        <f t="shared" si="414"/>
        <v>0</v>
      </c>
      <c r="S687" s="86">
        <f t="shared" si="414"/>
        <v>0</v>
      </c>
      <c r="T687" s="70">
        <f t="shared" si="414"/>
        <v>0</v>
      </c>
      <c r="U687" s="70">
        <f t="shared" ref="U687" si="416">SUM(U475:U477)</f>
        <v>0</v>
      </c>
      <c r="V687" s="87">
        <f t="shared" si="414"/>
        <v>0</v>
      </c>
      <c r="W687" s="86">
        <f t="shared" si="414"/>
        <v>0</v>
      </c>
      <c r="X687" s="236">
        <f t="shared" si="414"/>
        <v>0</v>
      </c>
      <c r="Y687" s="275">
        <f>SUM(Y475:Y477)</f>
        <v>0</v>
      </c>
      <c r="Z687" s="71">
        <f t="shared" si="414"/>
        <v>0</v>
      </c>
      <c r="AA687" s="70">
        <f t="shared" si="414"/>
        <v>0</v>
      </c>
      <c r="AB687" s="72">
        <f t="shared" si="414"/>
        <v>0</v>
      </c>
      <c r="AC687" s="86">
        <f t="shared" si="414"/>
        <v>0</v>
      </c>
      <c r="AD687" s="70">
        <f t="shared" si="414"/>
        <v>0</v>
      </c>
      <c r="AE687" s="236">
        <f t="shared" ref="AE687" si="417">SUM(AE475:AE477)</f>
        <v>0</v>
      </c>
      <c r="AF687" s="87">
        <f t="shared" si="414"/>
        <v>0</v>
      </c>
      <c r="AG687" s="87">
        <f t="shared" si="414"/>
        <v>0</v>
      </c>
      <c r="AH687" s="70">
        <f t="shared" si="414"/>
        <v>0</v>
      </c>
      <c r="AI687" s="87">
        <f t="shared" si="414"/>
        <v>0</v>
      </c>
      <c r="AJ687" s="70">
        <f t="shared" si="414"/>
        <v>0</v>
      </c>
      <c r="AK687" s="236">
        <f>SUM(AK475:AK477)</f>
        <v>0</v>
      </c>
      <c r="AL687" s="87">
        <f t="shared" si="414"/>
        <v>0</v>
      </c>
      <c r="AM687" s="70">
        <f t="shared" si="414"/>
        <v>0</v>
      </c>
      <c r="AN687" s="236">
        <f t="shared" si="414"/>
        <v>0</v>
      </c>
      <c r="AO687" s="236">
        <f t="shared" ref="AO687" si="418">SUM(AO475:AO477)</f>
        <v>0</v>
      </c>
      <c r="AP687" s="87">
        <f t="shared" si="414"/>
        <v>0</v>
      </c>
      <c r="AQ687" s="70">
        <f t="shared" si="414"/>
        <v>0</v>
      </c>
      <c r="AR687" s="87">
        <f t="shared" si="414"/>
        <v>0</v>
      </c>
      <c r="AS687" s="70">
        <f t="shared" si="414"/>
        <v>0</v>
      </c>
      <c r="AT687" s="236">
        <f t="shared" ref="AT687" si="419">SUM(AT475:AT477)</f>
        <v>0</v>
      </c>
      <c r="AU687" s="87">
        <f t="shared" si="414"/>
        <v>0</v>
      </c>
      <c r="AV687" s="70">
        <f t="shared" si="414"/>
        <v>0</v>
      </c>
      <c r="AW687" s="236">
        <f t="shared" ref="AW687:AY687" si="420">SUM(AW475:AW477)</f>
        <v>0</v>
      </c>
      <c r="AX687" s="70">
        <f t="shared" si="420"/>
        <v>0</v>
      </c>
      <c r="AY687" s="236">
        <f t="shared" si="420"/>
        <v>0</v>
      </c>
      <c r="AZ687" s="87">
        <f t="shared" ref="AZ687:CI687" si="421">SUM(AZ475:AZ477)</f>
        <v>0</v>
      </c>
      <c r="BA687" s="70">
        <f t="shared" si="421"/>
        <v>0</v>
      </c>
      <c r="BB687" s="70">
        <f t="shared" si="421"/>
        <v>0</v>
      </c>
      <c r="BC687" s="87">
        <f>SUM(BC475:BC477)</f>
        <v>0</v>
      </c>
      <c r="BD687" s="70">
        <f t="shared" si="421"/>
        <v>0</v>
      </c>
      <c r="BE687" s="70">
        <f t="shared" si="421"/>
        <v>0</v>
      </c>
      <c r="BF687" s="236">
        <f t="shared" si="421"/>
        <v>0</v>
      </c>
      <c r="BG687" s="274">
        <f t="shared" si="421"/>
        <v>0</v>
      </c>
      <c r="BH687" s="588">
        <f t="shared" si="421"/>
        <v>0</v>
      </c>
      <c r="BI687" s="70">
        <f t="shared" si="421"/>
        <v>602</v>
      </c>
      <c r="BJ687" s="71">
        <f t="shared" si="421"/>
        <v>560</v>
      </c>
      <c r="BK687" s="70">
        <f t="shared" ref="BK687" si="422">SUM(BK475:BK477)</f>
        <v>0</v>
      </c>
      <c r="BL687" s="275">
        <f t="shared" si="421"/>
        <v>0</v>
      </c>
      <c r="BM687" s="71">
        <f t="shared" si="421"/>
        <v>0</v>
      </c>
      <c r="BN687" s="70">
        <f t="shared" si="421"/>
        <v>0</v>
      </c>
      <c r="BO687" s="236">
        <f t="shared" si="421"/>
        <v>0</v>
      </c>
      <c r="BP687" s="275">
        <f t="shared" si="421"/>
        <v>0</v>
      </c>
      <c r="BQ687" s="236">
        <f t="shared" si="421"/>
        <v>0</v>
      </c>
      <c r="BR687" s="87">
        <f t="shared" si="421"/>
        <v>0</v>
      </c>
      <c r="BS687" s="70">
        <f t="shared" si="421"/>
        <v>0</v>
      </c>
      <c r="BT687" s="71">
        <f t="shared" si="421"/>
        <v>0</v>
      </c>
      <c r="BU687" s="70">
        <f t="shared" si="421"/>
        <v>0</v>
      </c>
      <c r="BV687" s="275">
        <f t="shared" ref="BV687:BW687" si="423">SUM(BV475:BV477)</f>
        <v>0</v>
      </c>
      <c r="BW687" s="72">
        <f t="shared" si="423"/>
        <v>0</v>
      </c>
      <c r="BX687" s="236">
        <f>SUM(BX475:BX477)</f>
        <v>0</v>
      </c>
      <c r="BY687" s="87">
        <f t="shared" si="421"/>
        <v>0</v>
      </c>
      <c r="BZ687" s="70">
        <f t="shared" si="421"/>
        <v>0</v>
      </c>
      <c r="CA687" s="236">
        <f t="shared" ref="CA687:CB687" si="424">SUM(CA475:CA477)</f>
        <v>0</v>
      </c>
      <c r="CB687" s="275">
        <f t="shared" si="424"/>
        <v>0</v>
      </c>
      <c r="CC687" s="71">
        <f t="shared" si="421"/>
        <v>0</v>
      </c>
      <c r="CD687" s="70">
        <f t="shared" si="421"/>
        <v>849</v>
      </c>
      <c r="CE687" s="236">
        <f t="shared" si="421"/>
        <v>506</v>
      </c>
      <c r="CF687" s="236">
        <f t="shared" ref="CF687" si="425">SUM(CF475:CF477)</f>
        <v>601</v>
      </c>
      <c r="CG687" s="87">
        <f t="shared" si="421"/>
        <v>370</v>
      </c>
      <c r="CH687" s="70">
        <f t="shared" si="421"/>
        <v>0</v>
      </c>
      <c r="CI687" s="87">
        <f t="shared" si="421"/>
        <v>0</v>
      </c>
    </row>
    <row r="688" spans="1:87" ht="13.5" thickBot="1" x14ac:dyDescent="0.35">
      <c r="A688" s="32"/>
      <c r="B688" s="33" t="s">
        <v>41</v>
      </c>
      <c r="C688" s="323">
        <v>8071</v>
      </c>
      <c r="D688" s="286">
        <f>SUM(D488:D495)</f>
        <v>5160</v>
      </c>
      <c r="E688" s="368">
        <f t="shared" si="224"/>
        <v>0.63932598191054391</v>
      </c>
      <c r="F688" s="238">
        <f t="shared" ref="F688:J688" si="426">SUM(F488:F495)</f>
        <v>0</v>
      </c>
      <c r="G688" s="239">
        <f t="shared" si="426"/>
        <v>0</v>
      </c>
      <c r="H688" s="239">
        <f t="shared" ref="H688:I688" si="427">SUM(H488:H495)</f>
        <v>0</v>
      </c>
      <c r="I688" s="239">
        <f t="shared" si="427"/>
        <v>0</v>
      </c>
      <c r="J688" s="292">
        <f t="shared" si="426"/>
        <v>0</v>
      </c>
      <c r="K688" s="238">
        <f t="shared" ref="K688:AV688" si="428">SUM(K488:K495)</f>
        <v>0</v>
      </c>
      <c r="L688" s="318">
        <f t="shared" si="428"/>
        <v>0</v>
      </c>
      <c r="M688" s="604">
        <f>SUM(M488:M495)</f>
        <v>0</v>
      </c>
      <c r="N688" s="238">
        <f t="shared" si="428"/>
        <v>0</v>
      </c>
      <c r="O688" s="239">
        <f t="shared" ref="O688:Q688" si="429">SUM(O488:O495)</f>
        <v>0</v>
      </c>
      <c r="P688" s="315">
        <f t="shared" si="429"/>
        <v>0</v>
      </c>
      <c r="Q688" s="293">
        <f t="shared" si="429"/>
        <v>0</v>
      </c>
      <c r="R688" s="293">
        <f t="shared" si="428"/>
        <v>0</v>
      </c>
      <c r="S688" s="294">
        <f t="shared" si="428"/>
        <v>0</v>
      </c>
      <c r="T688" s="238">
        <f t="shared" si="428"/>
        <v>0</v>
      </c>
      <c r="U688" s="238">
        <f t="shared" ref="U688" si="430">SUM(U488:U495)</f>
        <v>0</v>
      </c>
      <c r="V688" s="240">
        <f t="shared" si="428"/>
        <v>0</v>
      </c>
      <c r="W688" s="294">
        <f t="shared" si="428"/>
        <v>0</v>
      </c>
      <c r="X688" s="239">
        <f t="shared" si="428"/>
        <v>0</v>
      </c>
      <c r="Y688" s="315">
        <f>SUM(Y488:Y495)</f>
        <v>0</v>
      </c>
      <c r="Z688" s="292">
        <f t="shared" si="428"/>
        <v>0</v>
      </c>
      <c r="AA688" s="238">
        <f t="shared" si="428"/>
        <v>0</v>
      </c>
      <c r="AB688" s="293">
        <f t="shared" si="428"/>
        <v>0</v>
      </c>
      <c r="AC688" s="295">
        <f t="shared" si="428"/>
        <v>0</v>
      </c>
      <c r="AD688" s="315">
        <f t="shared" si="428"/>
        <v>0</v>
      </c>
      <c r="AE688" s="239">
        <f t="shared" ref="AE688" si="431">SUM(AE488:AE495)</f>
        <v>0</v>
      </c>
      <c r="AF688" s="240">
        <f t="shared" si="428"/>
        <v>0</v>
      </c>
      <c r="AG688" s="240">
        <f t="shared" si="428"/>
        <v>0</v>
      </c>
      <c r="AH688" s="238">
        <f t="shared" si="428"/>
        <v>0</v>
      </c>
      <c r="AI688" s="240">
        <f t="shared" si="428"/>
        <v>0</v>
      </c>
      <c r="AJ688" s="238">
        <f t="shared" si="428"/>
        <v>0</v>
      </c>
      <c r="AK688" s="239">
        <f>SUM(AK488:AK495)</f>
        <v>0</v>
      </c>
      <c r="AL688" s="240">
        <f t="shared" si="428"/>
        <v>0</v>
      </c>
      <c r="AM688" s="238">
        <f t="shared" si="428"/>
        <v>0</v>
      </c>
      <c r="AN688" s="239">
        <f t="shared" si="428"/>
        <v>0</v>
      </c>
      <c r="AO688" s="239">
        <f t="shared" ref="AO688" si="432">SUM(AO488:AO495)</f>
        <v>0</v>
      </c>
      <c r="AP688" s="240">
        <f t="shared" si="428"/>
        <v>0</v>
      </c>
      <c r="AQ688" s="238">
        <f t="shared" si="428"/>
        <v>0</v>
      </c>
      <c r="AR688" s="240">
        <f t="shared" si="428"/>
        <v>0</v>
      </c>
      <c r="AS688" s="238">
        <f t="shared" si="428"/>
        <v>0</v>
      </c>
      <c r="AT688" s="239">
        <f t="shared" ref="AT688" si="433">SUM(AT488:AT495)</f>
        <v>0</v>
      </c>
      <c r="AU688" s="240">
        <f t="shared" si="428"/>
        <v>0</v>
      </c>
      <c r="AV688" s="238">
        <f t="shared" si="428"/>
        <v>0</v>
      </c>
      <c r="AW688" s="239">
        <f t="shared" ref="AW688:AY688" si="434">SUM(AW488:AW495)</f>
        <v>0</v>
      </c>
      <c r="AX688" s="238">
        <f t="shared" si="434"/>
        <v>0</v>
      </c>
      <c r="AY688" s="239">
        <f t="shared" si="434"/>
        <v>0</v>
      </c>
      <c r="AZ688" s="240">
        <f t="shared" ref="AZ688:CI688" si="435">SUM(AZ488:AZ495)</f>
        <v>0</v>
      </c>
      <c r="BA688" s="238">
        <f t="shared" si="435"/>
        <v>0</v>
      </c>
      <c r="BB688" s="238">
        <f t="shared" si="435"/>
        <v>0</v>
      </c>
      <c r="BC688" s="240">
        <f>SUM(BC488:BC495)</f>
        <v>0</v>
      </c>
      <c r="BD688" s="238">
        <f t="shared" si="435"/>
        <v>0</v>
      </c>
      <c r="BE688" s="238">
        <f t="shared" si="435"/>
        <v>0</v>
      </c>
      <c r="BF688" s="239">
        <f t="shared" si="435"/>
        <v>0</v>
      </c>
      <c r="BG688" s="318">
        <f t="shared" si="435"/>
        <v>0</v>
      </c>
      <c r="BH688" s="604">
        <f t="shared" si="435"/>
        <v>0</v>
      </c>
      <c r="BI688" s="238">
        <f t="shared" si="435"/>
        <v>2139</v>
      </c>
      <c r="BJ688" s="292">
        <f t="shared" si="435"/>
        <v>1998</v>
      </c>
      <c r="BK688" s="238">
        <f t="shared" ref="BK688" si="436">SUM(BK488:BK495)</f>
        <v>0</v>
      </c>
      <c r="BL688" s="315">
        <f t="shared" si="435"/>
        <v>0</v>
      </c>
      <c r="BM688" s="292">
        <f t="shared" si="435"/>
        <v>0</v>
      </c>
      <c r="BN688" s="238">
        <f t="shared" si="435"/>
        <v>0</v>
      </c>
      <c r="BO688" s="239">
        <f t="shared" si="435"/>
        <v>0</v>
      </c>
      <c r="BP688" s="607">
        <f t="shared" si="435"/>
        <v>0</v>
      </c>
      <c r="BQ688" s="343">
        <f t="shared" si="435"/>
        <v>0</v>
      </c>
      <c r="BR688" s="240">
        <f t="shared" si="435"/>
        <v>0</v>
      </c>
      <c r="BS688" s="238">
        <f t="shared" si="435"/>
        <v>0</v>
      </c>
      <c r="BT688" s="292">
        <f t="shared" si="435"/>
        <v>0</v>
      </c>
      <c r="BU688" s="238">
        <f t="shared" si="435"/>
        <v>0</v>
      </c>
      <c r="BV688" s="315">
        <f t="shared" ref="BV688:BW688" si="437">SUM(BV488:BV495)</f>
        <v>0</v>
      </c>
      <c r="BW688" s="293">
        <f t="shared" si="437"/>
        <v>0</v>
      </c>
      <c r="BX688" s="293">
        <f>SUM(BX488:BX495)</f>
        <v>0</v>
      </c>
      <c r="BY688" s="292">
        <f t="shared" si="435"/>
        <v>0</v>
      </c>
      <c r="BZ688" s="238">
        <f t="shared" si="435"/>
        <v>0</v>
      </c>
      <c r="CA688" s="239">
        <f t="shared" ref="CA688:CB688" si="438">SUM(CA488:CA495)</f>
        <v>0</v>
      </c>
      <c r="CB688" s="315">
        <f t="shared" si="438"/>
        <v>0</v>
      </c>
      <c r="CC688" s="292">
        <f t="shared" si="435"/>
        <v>0</v>
      </c>
      <c r="CD688" s="238">
        <f t="shared" si="435"/>
        <v>0</v>
      </c>
      <c r="CE688" s="239">
        <f t="shared" si="435"/>
        <v>0</v>
      </c>
      <c r="CF688" s="239">
        <f t="shared" ref="CF688" si="439">SUM(CF488:CF495)</f>
        <v>0</v>
      </c>
      <c r="CG688" s="240">
        <f t="shared" si="435"/>
        <v>0</v>
      </c>
      <c r="CH688" s="238">
        <f t="shared" si="435"/>
        <v>3075</v>
      </c>
      <c r="CI688" s="240">
        <f t="shared" si="435"/>
        <v>166</v>
      </c>
    </row>
    <row r="689" spans="1:87" ht="13.5" thickTop="1" x14ac:dyDescent="0.3">
      <c r="A689" s="26"/>
      <c r="B689" s="26"/>
      <c r="C689" s="478"/>
      <c r="D689" s="144"/>
      <c r="E689" s="144"/>
      <c r="F689" s="26"/>
      <c r="G689" s="26"/>
      <c r="H689" s="26"/>
      <c r="I689" s="26"/>
      <c r="J689" s="26"/>
      <c r="K689" s="26"/>
      <c r="L689" s="26"/>
      <c r="M689" s="26"/>
      <c r="N689" s="26"/>
      <c r="O689" s="27"/>
      <c r="P689" s="27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351"/>
      <c r="AG689" s="27"/>
      <c r="AH689" s="344"/>
      <c r="AI689" s="351"/>
      <c r="AJ689" s="26"/>
      <c r="AK689" s="26"/>
      <c r="AL689" s="26"/>
      <c r="AM689" s="26"/>
      <c r="AN689" s="26"/>
      <c r="AO689" s="26"/>
      <c r="AP689" s="351"/>
      <c r="AQ689" s="26"/>
      <c r="AR689" s="26"/>
      <c r="AS689" s="26"/>
      <c r="AT689" s="26"/>
      <c r="AU689" s="351"/>
      <c r="AV689" s="26"/>
      <c r="AW689" s="26"/>
      <c r="AX689" s="26"/>
      <c r="AY689" s="26"/>
      <c r="AZ689" s="26"/>
      <c r="BA689" s="26"/>
      <c r="BB689" s="26"/>
      <c r="BC689" s="351"/>
      <c r="BD689" s="26"/>
      <c r="BE689" s="27"/>
      <c r="BF689" s="27"/>
      <c r="BG689" s="351"/>
      <c r="BH689" s="26"/>
      <c r="BI689" s="26"/>
      <c r="BJ689" s="26"/>
      <c r="BK689" s="26"/>
      <c r="BL689" s="27"/>
      <c r="BM689" s="26"/>
      <c r="BN689" s="26"/>
      <c r="BO689" s="26"/>
      <c r="BP689" s="344"/>
      <c r="BQ689" s="344"/>
      <c r="BR689" s="351"/>
      <c r="BS689" s="26"/>
      <c r="BT689" s="26"/>
      <c r="BU689" s="26"/>
      <c r="BV689" s="26"/>
      <c r="BW689" s="26"/>
      <c r="BX689" s="26"/>
      <c r="BY689" s="26"/>
      <c r="BZ689" s="26"/>
      <c r="CA689" s="27"/>
      <c r="CB689" s="26"/>
      <c r="CC689" s="26"/>
      <c r="CD689" s="26"/>
      <c r="CE689" s="26"/>
      <c r="CF689" s="26"/>
      <c r="CG689" s="26"/>
      <c r="CH689" s="26"/>
      <c r="CI689" s="27"/>
    </row>
    <row r="690" spans="1:87" x14ac:dyDescent="0.3">
      <c r="O690" s="18"/>
      <c r="P690" s="18"/>
      <c r="AF690" s="19"/>
      <c r="AI690" s="19"/>
      <c r="AU690" s="19"/>
      <c r="BC690" s="19"/>
      <c r="BE690" s="18"/>
      <c r="BF690" s="18"/>
      <c r="BG690" s="19"/>
      <c r="BL690" s="18"/>
      <c r="BR690" s="19"/>
      <c r="CA690" s="18"/>
    </row>
    <row r="691" spans="1:87" x14ac:dyDescent="0.3">
      <c r="O691" s="18"/>
      <c r="P691" s="18"/>
      <c r="AI691" s="19"/>
      <c r="AU691" s="19"/>
      <c r="BC691" s="19"/>
      <c r="BE691" s="18"/>
      <c r="BF691" s="18"/>
      <c r="BG691" s="19"/>
      <c r="BL691" s="18"/>
      <c r="BR691" s="19"/>
      <c r="CA691" s="18"/>
    </row>
    <row r="692" spans="1:87" x14ac:dyDescent="0.3">
      <c r="AI692" s="19"/>
      <c r="AU692" s="19"/>
      <c r="BC692" s="19"/>
      <c r="BE692" s="18"/>
      <c r="BF692" s="18"/>
      <c r="BG692" s="19"/>
      <c r="BL692" s="18"/>
      <c r="BR692" s="19"/>
      <c r="CA692" s="18"/>
    </row>
    <row r="693" spans="1:87" x14ac:dyDescent="0.3">
      <c r="AI693" s="19"/>
      <c r="AU693" s="19"/>
      <c r="BC693" s="19"/>
      <c r="BE693" s="18"/>
      <c r="BF693" s="18"/>
      <c r="BG693" s="19"/>
      <c r="BL693" s="18"/>
      <c r="BR693" s="19"/>
      <c r="CA693" s="18"/>
    </row>
    <row r="694" spans="1:87" x14ac:dyDescent="0.3">
      <c r="AI694" s="19"/>
      <c r="BC694" s="19"/>
      <c r="BE694" s="18"/>
      <c r="BF694" s="18"/>
      <c r="BG694" s="19"/>
      <c r="BL694" s="18"/>
      <c r="BR694" s="19"/>
      <c r="CA694" s="18"/>
    </row>
    <row r="695" spans="1:87" x14ac:dyDescent="0.3">
      <c r="AI695" s="19"/>
      <c r="BC695" s="19"/>
      <c r="BE695" s="18"/>
      <c r="BF695" s="18"/>
      <c r="BG695" s="19"/>
      <c r="BL695" s="18"/>
      <c r="BR695" s="19"/>
      <c r="CA695" s="18"/>
    </row>
    <row r="696" spans="1:87" x14ac:dyDescent="0.3">
      <c r="AI696" s="19"/>
      <c r="BC696" s="19"/>
      <c r="BE696" s="18"/>
      <c r="BF696" s="18"/>
      <c r="BG696" s="19"/>
      <c r="BL696" s="18"/>
      <c r="BR696" s="19"/>
      <c r="CA696" s="18"/>
    </row>
    <row r="697" spans="1:87" x14ac:dyDescent="0.3">
      <c r="AI697" s="19"/>
      <c r="BC697" s="19"/>
      <c r="BE697" s="18"/>
      <c r="BF697" s="18"/>
      <c r="BG697" s="19"/>
      <c r="BL697" s="18"/>
      <c r="BR697" s="19"/>
      <c r="CA697" s="18"/>
    </row>
    <row r="698" spans="1:87" x14ac:dyDescent="0.3">
      <c r="AI698" s="19"/>
      <c r="BC698" s="19"/>
      <c r="BE698" s="18"/>
      <c r="BF698" s="18"/>
      <c r="BG698" s="19"/>
      <c r="BL698" s="18"/>
      <c r="CA698" s="18"/>
    </row>
    <row r="699" spans="1:87" x14ac:dyDescent="0.3">
      <c r="AI699" s="19"/>
      <c r="BC699" s="19"/>
      <c r="BE699" s="18"/>
      <c r="BF699" s="18"/>
      <c r="BG699" s="19"/>
      <c r="BL699" s="18"/>
      <c r="CA699" s="18"/>
    </row>
    <row r="700" spans="1:87" x14ac:dyDescent="0.3">
      <c r="AI700" s="19"/>
      <c r="BC700" s="19"/>
      <c r="BE700" s="18"/>
      <c r="BF700" s="18"/>
      <c r="BG700" s="19"/>
      <c r="BL700" s="18"/>
      <c r="CA700" s="18"/>
    </row>
    <row r="701" spans="1:87" x14ac:dyDescent="0.3">
      <c r="AI701" s="19"/>
      <c r="BC701" s="19"/>
      <c r="BE701" s="18"/>
      <c r="BF701" s="18"/>
      <c r="BG701" s="19"/>
      <c r="BL701" s="18"/>
      <c r="CA701" s="18"/>
    </row>
    <row r="702" spans="1:87" x14ac:dyDescent="0.3">
      <c r="AI702" s="19"/>
      <c r="BC702" s="19"/>
      <c r="BE702" s="18"/>
      <c r="BF702" s="18"/>
      <c r="BG702" s="19"/>
      <c r="BL702" s="18"/>
      <c r="CA702" s="18"/>
    </row>
    <row r="703" spans="1:87" x14ac:dyDescent="0.3">
      <c r="AI703" s="19"/>
      <c r="BC703" s="19"/>
      <c r="BE703" s="18"/>
      <c r="BF703" s="18"/>
      <c r="BG703" s="19"/>
      <c r="BL703" s="18"/>
      <c r="CA703" s="18"/>
    </row>
    <row r="704" spans="1:87" x14ac:dyDescent="0.3">
      <c r="AI704" s="19"/>
      <c r="BC704" s="19"/>
      <c r="BE704" s="18"/>
      <c r="BF704" s="18"/>
      <c r="BG704" s="19"/>
      <c r="BL704" s="18"/>
      <c r="CA704" s="18"/>
    </row>
    <row r="705" spans="35:79" x14ac:dyDescent="0.3">
      <c r="AI705" s="19"/>
      <c r="BC705" s="19"/>
      <c r="BE705" s="18"/>
      <c r="BF705" s="18"/>
      <c r="BG705" s="19"/>
      <c r="BL705" s="18"/>
      <c r="CA705" s="18"/>
    </row>
    <row r="706" spans="35:79" x14ac:dyDescent="0.3">
      <c r="AI706" s="19"/>
      <c r="BC706" s="19"/>
      <c r="BE706" s="18"/>
      <c r="BF706" s="18"/>
      <c r="BG706" s="19"/>
      <c r="BL706" s="18"/>
      <c r="CA706" s="18"/>
    </row>
    <row r="707" spans="35:79" x14ac:dyDescent="0.3">
      <c r="AI707" s="19"/>
      <c r="BC707" s="19"/>
      <c r="BE707" s="18"/>
      <c r="BF707" s="18"/>
      <c r="BG707" s="19"/>
      <c r="BL707" s="18"/>
      <c r="CA707" s="18"/>
    </row>
    <row r="708" spans="35:79" x14ac:dyDescent="0.3">
      <c r="AI708" s="19"/>
      <c r="BC708" s="19"/>
      <c r="BE708" s="18"/>
      <c r="BF708" s="18"/>
      <c r="BG708" s="19"/>
      <c r="BL708" s="18"/>
      <c r="CA708" s="18"/>
    </row>
    <row r="709" spans="35:79" x14ac:dyDescent="0.3">
      <c r="AI709" s="19"/>
      <c r="BC709" s="19"/>
      <c r="BE709" s="18"/>
      <c r="BF709" s="18"/>
      <c r="BG709" s="19"/>
      <c r="BL709" s="18"/>
      <c r="CA709" s="18"/>
    </row>
    <row r="710" spans="35:79" x14ac:dyDescent="0.3">
      <c r="AI710" s="19"/>
      <c r="BC710" s="19"/>
      <c r="BE710" s="18"/>
      <c r="BF710" s="18"/>
      <c r="BG710" s="19"/>
      <c r="BL710" s="18"/>
      <c r="CA710" s="18"/>
    </row>
    <row r="711" spans="35:79" x14ac:dyDescent="0.3">
      <c r="AI711" s="19"/>
      <c r="BC711" s="19"/>
      <c r="BE711" s="18"/>
      <c r="BF711" s="18"/>
      <c r="BG711" s="19"/>
      <c r="BL711" s="18"/>
      <c r="CA711" s="18"/>
    </row>
    <row r="712" spans="35:79" x14ac:dyDescent="0.3">
      <c r="AI712" s="19"/>
      <c r="BC712" s="19"/>
      <c r="BE712" s="18"/>
      <c r="BF712" s="18"/>
      <c r="BG712" s="19"/>
      <c r="BL712" s="18"/>
      <c r="CA712" s="18"/>
    </row>
    <row r="713" spans="35:79" x14ac:dyDescent="0.3">
      <c r="AI713" s="19"/>
      <c r="BC713" s="19"/>
      <c r="BE713" s="18"/>
      <c r="BF713" s="18"/>
      <c r="BG713" s="19"/>
      <c r="BL713" s="18"/>
      <c r="CA713" s="18"/>
    </row>
    <row r="714" spans="35:79" x14ac:dyDescent="0.3">
      <c r="AI714" s="19"/>
      <c r="BC714" s="19"/>
      <c r="BE714" s="18"/>
      <c r="BF714" s="18"/>
      <c r="BG714" s="19"/>
      <c r="BL714" s="18"/>
      <c r="CA714" s="18"/>
    </row>
    <row r="715" spans="35:79" x14ac:dyDescent="0.3">
      <c r="AI715" s="19"/>
      <c r="BC715" s="19"/>
      <c r="BE715" s="18"/>
      <c r="BF715" s="18"/>
      <c r="BG715" s="19"/>
      <c r="BL715" s="18"/>
      <c r="CA715" s="18"/>
    </row>
    <row r="716" spans="35:79" x14ac:dyDescent="0.3">
      <c r="AI716" s="19"/>
      <c r="BC716" s="19"/>
      <c r="BE716" s="18"/>
      <c r="BF716" s="18"/>
      <c r="BG716" s="19"/>
      <c r="BL716" s="18"/>
      <c r="CA716" s="18"/>
    </row>
    <row r="717" spans="35:79" x14ac:dyDescent="0.3">
      <c r="AI717" s="19"/>
      <c r="BC717" s="19"/>
      <c r="BE717" s="18"/>
      <c r="BF717" s="18"/>
      <c r="BG717" s="19"/>
      <c r="BL717" s="18"/>
      <c r="CA717" s="18"/>
    </row>
    <row r="718" spans="35:79" x14ac:dyDescent="0.3">
      <c r="AI718" s="19"/>
      <c r="BC718" s="19"/>
      <c r="BE718" s="18"/>
      <c r="BF718" s="18"/>
      <c r="BG718" s="19"/>
      <c r="BL718" s="18"/>
      <c r="CA718" s="18"/>
    </row>
    <row r="719" spans="35:79" x14ac:dyDescent="0.3">
      <c r="AI719" s="19"/>
      <c r="BC719" s="19"/>
      <c r="BE719" s="18"/>
      <c r="BF719" s="18"/>
      <c r="BG719" s="19"/>
      <c r="BL719" s="18"/>
      <c r="CA719" s="18"/>
    </row>
    <row r="720" spans="35:79" x14ac:dyDescent="0.3">
      <c r="AI720" s="19"/>
      <c r="BC720" s="19"/>
      <c r="BE720" s="18"/>
      <c r="BF720" s="18"/>
      <c r="BG720" s="19"/>
      <c r="BL720" s="18"/>
      <c r="CA720" s="18"/>
    </row>
    <row r="721" spans="35:79" x14ac:dyDescent="0.3">
      <c r="AI721" s="19"/>
      <c r="BC721" s="19"/>
      <c r="BE721" s="18"/>
      <c r="BF721" s="18"/>
      <c r="BG721" s="19"/>
      <c r="BL721" s="18"/>
      <c r="CA721" s="18"/>
    </row>
    <row r="722" spans="35:79" x14ac:dyDescent="0.3">
      <c r="AI722" s="19"/>
      <c r="BC722" s="19"/>
      <c r="BE722" s="18"/>
      <c r="BF722" s="18"/>
      <c r="BG722" s="19"/>
      <c r="BL722" s="18"/>
      <c r="CA722" s="18"/>
    </row>
    <row r="723" spans="35:79" x14ac:dyDescent="0.3">
      <c r="AI723" s="19"/>
      <c r="BC723" s="19"/>
      <c r="BE723" s="18"/>
      <c r="BF723" s="18"/>
      <c r="BG723" s="19"/>
      <c r="BL723" s="18"/>
      <c r="CA723" s="18"/>
    </row>
    <row r="724" spans="35:79" x14ac:dyDescent="0.3">
      <c r="AI724" s="19"/>
      <c r="BC724" s="19"/>
      <c r="BE724" s="18"/>
      <c r="BF724" s="18"/>
      <c r="BG724" s="19"/>
      <c r="BL724" s="18"/>
      <c r="CA724" s="18"/>
    </row>
    <row r="725" spans="35:79" x14ac:dyDescent="0.3">
      <c r="AI725" s="19"/>
      <c r="BC725" s="19"/>
      <c r="BE725" s="18"/>
      <c r="BF725" s="18"/>
      <c r="BG725" s="19"/>
      <c r="BL725" s="18"/>
      <c r="CA725" s="18"/>
    </row>
    <row r="726" spans="35:79" x14ac:dyDescent="0.3">
      <c r="AI726" s="19"/>
      <c r="BC726" s="19"/>
      <c r="BE726" s="18"/>
      <c r="BF726" s="18"/>
      <c r="BG726" s="19"/>
      <c r="BL726" s="18"/>
      <c r="CA726" s="18"/>
    </row>
    <row r="727" spans="35:79" x14ac:dyDescent="0.3">
      <c r="AI727" s="19"/>
      <c r="BC727" s="19"/>
      <c r="BE727" s="18"/>
      <c r="BF727" s="18"/>
      <c r="BG727" s="19"/>
      <c r="BL727" s="18"/>
      <c r="CA727" s="18"/>
    </row>
    <row r="728" spans="35:79" x14ac:dyDescent="0.3">
      <c r="AI728" s="19"/>
      <c r="BC728" s="19"/>
      <c r="BE728" s="18"/>
      <c r="BF728" s="18"/>
      <c r="BG728" s="19"/>
      <c r="BL728" s="18"/>
      <c r="CA728" s="18"/>
    </row>
    <row r="729" spans="35:79" x14ac:dyDescent="0.3">
      <c r="AI729" s="19"/>
      <c r="BC729" s="19"/>
      <c r="BE729" s="18"/>
      <c r="BF729" s="18"/>
      <c r="BG729" s="19"/>
      <c r="BL729" s="18"/>
      <c r="CA729" s="18"/>
    </row>
    <row r="730" spans="35:79" x14ac:dyDescent="0.3">
      <c r="AI730" s="19"/>
      <c r="BC730" s="19"/>
      <c r="BE730" s="18"/>
      <c r="BF730" s="18"/>
      <c r="BG730" s="19"/>
      <c r="BL730" s="18"/>
      <c r="CA730" s="18"/>
    </row>
    <row r="731" spans="35:79" x14ac:dyDescent="0.3">
      <c r="AI731" s="19"/>
      <c r="BC731" s="19"/>
      <c r="BE731" s="18"/>
      <c r="BF731" s="18"/>
      <c r="BG731" s="19"/>
      <c r="BL731" s="18"/>
      <c r="CA731" s="18"/>
    </row>
    <row r="732" spans="35:79" x14ac:dyDescent="0.3">
      <c r="AI732" s="19"/>
      <c r="BC732" s="19"/>
      <c r="BE732" s="18"/>
      <c r="BF732" s="18"/>
      <c r="BG732" s="19"/>
      <c r="BL732" s="18"/>
      <c r="CA732" s="18"/>
    </row>
    <row r="733" spans="35:79" x14ac:dyDescent="0.3">
      <c r="AI733" s="19"/>
      <c r="BC733" s="19"/>
      <c r="BE733" s="18"/>
      <c r="BF733" s="18"/>
      <c r="BG733" s="19"/>
      <c r="BL733" s="18"/>
      <c r="CA733" s="18"/>
    </row>
    <row r="734" spans="35:79" x14ac:dyDescent="0.3">
      <c r="AI734" s="19"/>
      <c r="BC734" s="19"/>
      <c r="BE734" s="18"/>
      <c r="BF734" s="18"/>
      <c r="BG734" s="19"/>
      <c r="BL734" s="18"/>
      <c r="CA734" s="18"/>
    </row>
    <row r="735" spans="35:79" x14ac:dyDescent="0.3">
      <c r="AI735" s="19"/>
      <c r="BC735" s="19"/>
      <c r="BE735" s="18"/>
      <c r="BF735" s="18"/>
      <c r="BG735" s="19"/>
      <c r="BL735" s="18"/>
      <c r="CA735" s="18"/>
    </row>
    <row r="736" spans="35:79" x14ac:dyDescent="0.3">
      <c r="AI736" s="19"/>
      <c r="BC736" s="19"/>
      <c r="BE736" s="18"/>
      <c r="BF736" s="18"/>
      <c r="BG736" s="19"/>
      <c r="BL736" s="18"/>
      <c r="CA736" s="18"/>
    </row>
    <row r="737" spans="35:79" x14ac:dyDescent="0.3">
      <c r="AI737" s="19"/>
      <c r="BC737" s="19"/>
      <c r="BE737" s="18"/>
      <c r="BF737" s="18"/>
      <c r="BG737" s="19"/>
      <c r="BL737" s="18"/>
      <c r="CA737" s="18"/>
    </row>
    <row r="738" spans="35:79" x14ac:dyDescent="0.3">
      <c r="AI738" s="19"/>
      <c r="BC738" s="19"/>
      <c r="BE738" s="18"/>
      <c r="BF738" s="18"/>
      <c r="BG738" s="19"/>
      <c r="BL738" s="18"/>
      <c r="CA738" s="18"/>
    </row>
    <row r="739" spans="35:79" x14ac:dyDescent="0.3">
      <c r="AI739" s="19"/>
      <c r="BC739" s="19"/>
      <c r="BE739" s="18"/>
      <c r="BF739" s="18"/>
      <c r="BG739" s="19"/>
      <c r="BL739" s="18"/>
      <c r="CA739" s="18"/>
    </row>
    <row r="740" spans="35:79" x14ac:dyDescent="0.3">
      <c r="AI740" s="19"/>
      <c r="BC740" s="19"/>
      <c r="BE740" s="18"/>
      <c r="BF740" s="18"/>
      <c r="BG740" s="19"/>
      <c r="BL740" s="18"/>
      <c r="CA740" s="18"/>
    </row>
    <row r="741" spans="35:79" x14ac:dyDescent="0.3">
      <c r="AI741" s="19"/>
      <c r="BC741" s="19"/>
      <c r="BE741" s="18"/>
      <c r="BF741" s="18"/>
      <c r="BG741" s="19"/>
      <c r="BL741" s="18"/>
      <c r="CA741" s="18"/>
    </row>
    <row r="742" spans="35:79" x14ac:dyDescent="0.3">
      <c r="AI742" s="19"/>
      <c r="BC742" s="19"/>
      <c r="BE742" s="18"/>
      <c r="BF742" s="18"/>
      <c r="BG742" s="19"/>
      <c r="BL742" s="18"/>
      <c r="CA742" s="18"/>
    </row>
    <row r="743" spans="35:79" x14ac:dyDescent="0.3">
      <c r="AI743" s="19"/>
      <c r="BC743" s="19"/>
      <c r="BE743" s="18"/>
      <c r="BF743" s="18"/>
      <c r="BG743" s="19"/>
      <c r="BL743" s="18"/>
      <c r="CA743" s="18"/>
    </row>
    <row r="744" spans="35:79" x14ac:dyDescent="0.3">
      <c r="AI744" s="19"/>
      <c r="BC744" s="19"/>
      <c r="BE744" s="18"/>
      <c r="BF744" s="18"/>
      <c r="BG744" s="19"/>
      <c r="BL744" s="18"/>
      <c r="CA744" s="18"/>
    </row>
    <row r="745" spans="35:79" x14ac:dyDescent="0.3">
      <c r="AI745" s="19"/>
      <c r="BC745" s="19"/>
      <c r="BE745" s="18"/>
      <c r="BF745" s="18"/>
      <c r="BG745" s="19"/>
      <c r="BL745" s="18"/>
      <c r="CA745" s="18"/>
    </row>
    <row r="746" spans="35:79" x14ac:dyDescent="0.3">
      <c r="AI746" s="19"/>
      <c r="BC746" s="19"/>
      <c r="BE746" s="18"/>
      <c r="BF746" s="18"/>
      <c r="BG746" s="19"/>
      <c r="BL746" s="18"/>
      <c r="CA746" s="18"/>
    </row>
    <row r="747" spans="35:79" x14ac:dyDescent="0.3">
      <c r="AI747" s="19"/>
      <c r="BC747" s="19"/>
      <c r="BE747" s="18"/>
      <c r="BF747" s="18"/>
      <c r="BG747" s="19"/>
      <c r="BL747" s="18"/>
      <c r="CA747" s="18"/>
    </row>
    <row r="748" spans="35:79" x14ac:dyDescent="0.3">
      <c r="AI748" s="19"/>
      <c r="BC748" s="19"/>
      <c r="BE748" s="18"/>
      <c r="BF748" s="18"/>
      <c r="BG748" s="19"/>
      <c r="BL748" s="18"/>
      <c r="CA748" s="18"/>
    </row>
    <row r="749" spans="35:79" x14ac:dyDescent="0.3">
      <c r="AI749" s="19"/>
      <c r="BC749" s="19"/>
      <c r="BE749" s="18"/>
      <c r="BF749" s="18"/>
      <c r="BG749" s="19"/>
      <c r="BL749" s="18"/>
      <c r="CA749" s="18"/>
    </row>
    <row r="750" spans="35:79" x14ac:dyDescent="0.3">
      <c r="AI750" s="19"/>
      <c r="BC750" s="19"/>
      <c r="BE750" s="18"/>
      <c r="BF750" s="18"/>
      <c r="BG750" s="19"/>
      <c r="BL750" s="18"/>
      <c r="CA750" s="18"/>
    </row>
    <row r="751" spans="35:79" x14ac:dyDescent="0.3">
      <c r="AI751" s="19"/>
      <c r="BC751" s="19"/>
      <c r="BE751" s="18"/>
      <c r="BF751" s="18"/>
      <c r="BG751" s="19"/>
      <c r="BL751" s="18"/>
      <c r="CA751" s="18"/>
    </row>
    <row r="752" spans="35:79" x14ac:dyDescent="0.3">
      <c r="AI752" s="19"/>
      <c r="BC752" s="19"/>
      <c r="BE752" s="18"/>
      <c r="BF752" s="18"/>
      <c r="BG752" s="19"/>
      <c r="BL752" s="18"/>
      <c r="CA752" s="18"/>
    </row>
    <row r="753" spans="35:79" x14ac:dyDescent="0.3">
      <c r="AI753" s="19"/>
      <c r="BC753" s="19"/>
      <c r="BE753" s="18"/>
      <c r="BF753" s="18"/>
      <c r="BG753" s="19"/>
      <c r="BL753" s="18"/>
      <c r="CA753" s="18"/>
    </row>
    <row r="754" spans="35:79" x14ac:dyDescent="0.3">
      <c r="AI754" s="19"/>
      <c r="BC754" s="19"/>
      <c r="BE754" s="18"/>
      <c r="BF754" s="18"/>
      <c r="BG754" s="19"/>
      <c r="BL754" s="18"/>
      <c r="CA754" s="18"/>
    </row>
    <row r="755" spans="35:79" x14ac:dyDescent="0.3">
      <c r="AI755" s="19"/>
      <c r="BC755" s="19"/>
      <c r="BE755" s="18"/>
      <c r="BF755" s="18"/>
      <c r="BG755" s="19"/>
      <c r="BL755" s="18"/>
      <c r="CA755" s="18"/>
    </row>
    <row r="756" spans="35:79" x14ac:dyDescent="0.3">
      <c r="AI756" s="19"/>
      <c r="BC756" s="19"/>
      <c r="BE756" s="18"/>
      <c r="BF756" s="18"/>
      <c r="BG756" s="19"/>
      <c r="BL756" s="18"/>
      <c r="CA756" s="18"/>
    </row>
    <row r="757" spans="35:79" x14ac:dyDescent="0.3">
      <c r="AI757" s="19"/>
      <c r="BC757" s="19"/>
      <c r="BE757" s="18"/>
      <c r="BF757" s="18"/>
      <c r="BG757" s="19"/>
      <c r="BL757" s="18"/>
      <c r="CA757" s="18"/>
    </row>
    <row r="758" spans="35:79" x14ac:dyDescent="0.3">
      <c r="AI758" s="19"/>
      <c r="BC758" s="19"/>
      <c r="BE758" s="18"/>
      <c r="BF758" s="18"/>
      <c r="BG758" s="19"/>
      <c r="BL758" s="18"/>
      <c r="CA758" s="18"/>
    </row>
    <row r="759" spans="35:79" x14ac:dyDescent="0.3">
      <c r="AI759" s="19"/>
      <c r="BC759" s="19"/>
      <c r="BE759" s="18"/>
      <c r="BF759" s="18"/>
      <c r="BG759" s="19"/>
      <c r="BL759" s="18"/>
      <c r="CA759" s="18"/>
    </row>
    <row r="760" spans="35:79" x14ac:dyDescent="0.3">
      <c r="AI760" s="19"/>
      <c r="BC760" s="19"/>
      <c r="BE760" s="18"/>
      <c r="BF760" s="18"/>
      <c r="BG760" s="19"/>
      <c r="BL760" s="18"/>
      <c r="CA760" s="18"/>
    </row>
    <row r="761" spans="35:79" x14ac:dyDescent="0.3">
      <c r="AI761" s="19"/>
      <c r="BC761" s="19"/>
      <c r="BE761" s="18"/>
      <c r="BF761" s="18"/>
      <c r="BG761" s="19"/>
      <c r="BL761" s="18"/>
      <c r="CA761" s="18"/>
    </row>
    <row r="762" spans="35:79" x14ac:dyDescent="0.3">
      <c r="AI762" s="19"/>
      <c r="BC762" s="19"/>
      <c r="BE762" s="18"/>
      <c r="BF762" s="18"/>
      <c r="BG762" s="19"/>
      <c r="BL762" s="18"/>
      <c r="CA762" s="18"/>
    </row>
    <row r="763" spans="35:79" x14ac:dyDescent="0.3">
      <c r="AI763" s="19"/>
      <c r="BC763" s="19"/>
      <c r="BE763" s="18"/>
      <c r="BF763" s="18"/>
      <c r="BG763" s="19"/>
      <c r="BL763" s="18"/>
      <c r="CA763" s="18"/>
    </row>
    <row r="764" spans="35:79" x14ac:dyDescent="0.3">
      <c r="AI764" s="19"/>
      <c r="BC764" s="19"/>
      <c r="BE764" s="18"/>
      <c r="BF764" s="18"/>
      <c r="BG764" s="19"/>
      <c r="BL764" s="18"/>
      <c r="CA764" s="18"/>
    </row>
    <row r="765" spans="35:79" x14ac:dyDescent="0.3">
      <c r="AI765" s="19"/>
      <c r="BC765" s="19"/>
      <c r="BE765" s="18"/>
      <c r="BF765" s="18"/>
      <c r="BG765" s="19"/>
      <c r="BL765" s="18"/>
      <c r="CA765" s="18"/>
    </row>
    <row r="766" spans="35:79" x14ac:dyDescent="0.3">
      <c r="AI766" s="19"/>
      <c r="BC766" s="19"/>
      <c r="BE766" s="18"/>
      <c r="BF766" s="18"/>
      <c r="BG766" s="19"/>
      <c r="BL766" s="18"/>
      <c r="CA766" s="18"/>
    </row>
    <row r="767" spans="35:79" x14ac:dyDescent="0.3">
      <c r="AI767" s="19"/>
      <c r="BC767" s="19"/>
      <c r="BE767" s="18"/>
      <c r="BF767" s="18"/>
      <c r="BG767" s="19"/>
      <c r="BL767" s="18"/>
      <c r="CA767" s="18"/>
    </row>
    <row r="768" spans="35:79" x14ac:dyDescent="0.3">
      <c r="AI768" s="19"/>
      <c r="BC768" s="19"/>
      <c r="BE768" s="18"/>
      <c r="BF768" s="18"/>
      <c r="BG768" s="19"/>
      <c r="BL768" s="18"/>
      <c r="CA768" s="18"/>
    </row>
    <row r="769" spans="35:79" x14ac:dyDescent="0.3">
      <c r="AI769" s="19"/>
      <c r="BC769" s="19"/>
      <c r="BE769" s="18"/>
      <c r="BF769" s="18"/>
      <c r="BG769" s="19"/>
      <c r="BL769" s="18"/>
      <c r="CA769" s="18"/>
    </row>
    <row r="770" spans="35:79" x14ac:dyDescent="0.3">
      <c r="AI770" s="19"/>
      <c r="BC770" s="19"/>
      <c r="BE770" s="18"/>
      <c r="BF770" s="18"/>
      <c r="BG770" s="19"/>
      <c r="BL770" s="18"/>
      <c r="CA770" s="18"/>
    </row>
    <row r="771" spans="35:79" x14ac:dyDescent="0.3">
      <c r="AI771" s="19"/>
      <c r="BC771" s="19"/>
      <c r="BE771" s="18"/>
      <c r="BF771" s="18"/>
      <c r="BG771" s="19"/>
      <c r="BL771" s="18"/>
      <c r="CA771" s="18"/>
    </row>
    <row r="772" spans="35:79" x14ac:dyDescent="0.3">
      <c r="AI772" s="19"/>
      <c r="BC772" s="19"/>
      <c r="BE772" s="18"/>
      <c r="BF772" s="18"/>
      <c r="BG772" s="19"/>
      <c r="BL772" s="18"/>
      <c r="CA772" s="18"/>
    </row>
    <row r="773" spans="35:79" x14ac:dyDescent="0.3">
      <c r="AI773" s="19"/>
      <c r="BC773" s="19"/>
      <c r="BE773" s="18"/>
      <c r="BF773" s="18"/>
      <c r="BG773" s="19"/>
      <c r="BL773" s="18"/>
      <c r="CA773" s="18"/>
    </row>
    <row r="774" spans="35:79" x14ac:dyDescent="0.3">
      <c r="AI774" s="19"/>
      <c r="BC774" s="19"/>
      <c r="BE774" s="18"/>
      <c r="BF774" s="18"/>
      <c r="BG774" s="19"/>
      <c r="BL774" s="18"/>
      <c r="CA774" s="18"/>
    </row>
    <row r="775" spans="35:79" x14ac:dyDescent="0.3">
      <c r="AI775" s="19"/>
      <c r="BC775" s="19"/>
      <c r="BE775" s="18"/>
      <c r="BF775" s="18"/>
      <c r="BG775" s="19"/>
      <c r="BL775" s="18"/>
      <c r="CA775" s="18"/>
    </row>
    <row r="776" spans="35:79" x14ac:dyDescent="0.3">
      <c r="AI776" s="19"/>
      <c r="BC776" s="19"/>
      <c r="BE776" s="18"/>
      <c r="BF776" s="18"/>
      <c r="BG776" s="19"/>
      <c r="BL776" s="18"/>
      <c r="CA776" s="18"/>
    </row>
    <row r="777" spans="35:79" x14ac:dyDescent="0.3">
      <c r="AI777" s="19"/>
      <c r="BC777" s="19"/>
      <c r="BL777" s="18"/>
      <c r="CA777" s="18"/>
    </row>
    <row r="778" spans="35:79" x14ac:dyDescent="0.3">
      <c r="AI778" s="19"/>
      <c r="BC778" s="19"/>
      <c r="BL778" s="18"/>
      <c r="CA778" s="18"/>
    </row>
    <row r="779" spans="35:79" x14ac:dyDescent="0.3">
      <c r="AI779" s="19"/>
      <c r="BC779" s="19"/>
      <c r="BL779" s="18"/>
      <c r="CA779" s="18"/>
    </row>
    <row r="780" spans="35:79" x14ac:dyDescent="0.3">
      <c r="AI780" s="19"/>
      <c r="BC780" s="19"/>
      <c r="BL780" s="18"/>
      <c r="CA780" s="18"/>
    </row>
    <row r="781" spans="35:79" x14ac:dyDescent="0.3">
      <c r="AI781" s="19"/>
      <c r="BC781" s="19"/>
      <c r="BL781" s="18"/>
      <c r="CA781" s="18"/>
    </row>
    <row r="782" spans="35:79" x14ac:dyDescent="0.3">
      <c r="AI782" s="19"/>
      <c r="BC782" s="19"/>
      <c r="BL782" s="18"/>
      <c r="CA782" s="18"/>
    </row>
    <row r="783" spans="35:79" x14ac:dyDescent="0.3">
      <c r="AI783" s="19"/>
      <c r="BC783" s="19"/>
      <c r="BL783" s="18"/>
      <c r="CA783" s="18"/>
    </row>
    <row r="784" spans="35:79" x14ac:dyDescent="0.3">
      <c r="AI784" s="19"/>
      <c r="BC784" s="19"/>
      <c r="BL784" s="18"/>
      <c r="CA784" s="18"/>
    </row>
    <row r="785" spans="35:79" x14ac:dyDescent="0.3">
      <c r="AI785" s="19"/>
      <c r="BC785" s="19"/>
      <c r="BL785" s="18"/>
      <c r="CA785" s="18"/>
    </row>
    <row r="786" spans="35:79" x14ac:dyDescent="0.3">
      <c r="AI786" s="19"/>
      <c r="BC786" s="19"/>
      <c r="BL786" s="18"/>
      <c r="CA786" s="18"/>
    </row>
    <row r="787" spans="35:79" x14ac:dyDescent="0.3">
      <c r="AI787" s="19"/>
      <c r="BC787" s="19"/>
      <c r="BL787" s="18"/>
      <c r="CA787" s="18"/>
    </row>
    <row r="788" spans="35:79" x14ac:dyDescent="0.3">
      <c r="AI788" s="19"/>
      <c r="BC788" s="19"/>
      <c r="BL788" s="18"/>
      <c r="CA788" s="18"/>
    </row>
    <row r="789" spans="35:79" x14ac:dyDescent="0.3">
      <c r="AI789" s="19"/>
      <c r="BC789" s="19"/>
      <c r="BL789" s="18"/>
      <c r="CA789" s="18"/>
    </row>
    <row r="790" spans="35:79" x14ac:dyDescent="0.3">
      <c r="AI790" s="19"/>
      <c r="BC790" s="19"/>
      <c r="BL790" s="18"/>
      <c r="CA790" s="18"/>
    </row>
    <row r="791" spans="35:79" x14ac:dyDescent="0.3">
      <c r="AI791" s="19"/>
      <c r="BC791" s="19"/>
      <c r="BL791" s="18"/>
      <c r="CA791" s="18"/>
    </row>
    <row r="792" spans="35:79" x14ac:dyDescent="0.3">
      <c r="AI792" s="19"/>
      <c r="BC792" s="19"/>
      <c r="BL792" s="18"/>
      <c r="CA792" s="18"/>
    </row>
    <row r="793" spans="35:79" x14ac:dyDescent="0.3">
      <c r="AI793" s="19"/>
      <c r="BC793" s="19"/>
      <c r="BL793" s="18"/>
      <c r="CA793" s="18"/>
    </row>
    <row r="794" spans="35:79" x14ac:dyDescent="0.3">
      <c r="AI794" s="19"/>
      <c r="BC794" s="19"/>
      <c r="BL794" s="18"/>
      <c r="CA794" s="18"/>
    </row>
    <row r="795" spans="35:79" x14ac:dyDescent="0.3">
      <c r="AI795" s="19"/>
      <c r="BC795" s="19"/>
      <c r="BL795" s="18"/>
      <c r="CA795" s="18"/>
    </row>
    <row r="796" spans="35:79" x14ac:dyDescent="0.3">
      <c r="AI796" s="19"/>
      <c r="BC796" s="19"/>
      <c r="BL796" s="18"/>
      <c r="CA796" s="18"/>
    </row>
    <row r="797" spans="35:79" x14ac:dyDescent="0.3">
      <c r="AI797" s="19"/>
      <c r="BC797" s="19"/>
      <c r="BL797" s="18"/>
      <c r="CA797" s="18"/>
    </row>
    <row r="798" spans="35:79" x14ac:dyDescent="0.3">
      <c r="AI798" s="19"/>
      <c r="BC798" s="19"/>
      <c r="BL798" s="18"/>
      <c r="CA798" s="18"/>
    </row>
    <row r="799" spans="35:79" x14ac:dyDescent="0.3">
      <c r="AI799" s="19"/>
      <c r="BC799" s="19"/>
      <c r="BL799" s="18"/>
      <c r="CA799" s="18"/>
    </row>
    <row r="800" spans="35:79" x14ac:dyDescent="0.3">
      <c r="AI800" s="19"/>
      <c r="BC800" s="19"/>
      <c r="BL800" s="18"/>
      <c r="CA800" s="18"/>
    </row>
    <row r="801" spans="35:79" x14ac:dyDescent="0.3">
      <c r="AI801" s="19"/>
      <c r="BC801" s="19"/>
      <c r="BL801" s="18"/>
      <c r="CA801" s="18"/>
    </row>
    <row r="802" spans="35:79" x14ac:dyDescent="0.3">
      <c r="AI802" s="19"/>
      <c r="BC802" s="19"/>
      <c r="BL802" s="18"/>
      <c r="CA802" s="18"/>
    </row>
    <row r="803" spans="35:79" x14ac:dyDescent="0.3">
      <c r="AI803" s="19"/>
      <c r="BC803" s="19"/>
      <c r="BL803" s="18"/>
      <c r="CA803" s="18"/>
    </row>
    <row r="804" spans="35:79" x14ac:dyDescent="0.3">
      <c r="AI804" s="19"/>
      <c r="BL804" s="18"/>
      <c r="CA804" s="18"/>
    </row>
    <row r="805" spans="35:79" x14ac:dyDescent="0.3">
      <c r="AI805" s="19"/>
      <c r="BL805" s="18"/>
      <c r="CA805" s="18"/>
    </row>
    <row r="806" spans="35:79" x14ac:dyDescent="0.3">
      <c r="AI806" s="19"/>
      <c r="BL806" s="18"/>
      <c r="CA806" s="18"/>
    </row>
    <row r="807" spans="35:79" x14ac:dyDescent="0.3">
      <c r="AI807" s="19"/>
      <c r="BL807" s="18"/>
      <c r="CA807" s="18"/>
    </row>
    <row r="808" spans="35:79" x14ac:dyDescent="0.3">
      <c r="AI808" s="19"/>
      <c r="BL808" s="18"/>
      <c r="CA808" s="18"/>
    </row>
    <row r="809" spans="35:79" x14ac:dyDescent="0.3">
      <c r="AI809" s="19"/>
      <c r="BL809" s="18"/>
      <c r="CA809" s="18"/>
    </row>
    <row r="810" spans="35:79" x14ac:dyDescent="0.3">
      <c r="AI810" s="19"/>
      <c r="BL810" s="18"/>
      <c r="CA810" s="18"/>
    </row>
    <row r="811" spans="35:79" x14ac:dyDescent="0.3">
      <c r="AI811" s="19"/>
      <c r="BL811" s="18"/>
      <c r="CA811" s="18"/>
    </row>
    <row r="812" spans="35:79" x14ac:dyDescent="0.3">
      <c r="AI812" s="19"/>
      <c r="BL812" s="18"/>
      <c r="CA812" s="18"/>
    </row>
    <row r="813" spans="35:79" x14ac:dyDescent="0.3">
      <c r="AI813" s="19"/>
      <c r="BL813" s="18"/>
      <c r="CA813" s="18"/>
    </row>
    <row r="814" spans="35:79" x14ac:dyDescent="0.3">
      <c r="AI814" s="19"/>
      <c r="BL814" s="18"/>
      <c r="CA814" s="18"/>
    </row>
    <row r="815" spans="35:79" x14ac:dyDescent="0.3">
      <c r="AI815" s="19"/>
      <c r="BL815" s="18"/>
      <c r="CA815" s="18"/>
    </row>
    <row r="816" spans="35:79" x14ac:dyDescent="0.3">
      <c r="AI816" s="19"/>
      <c r="BL816" s="18"/>
      <c r="CA816" s="18"/>
    </row>
    <row r="817" spans="35:79" x14ac:dyDescent="0.3">
      <c r="AI817" s="19"/>
      <c r="CA817" s="18"/>
    </row>
    <row r="818" spans="35:79" x14ac:dyDescent="0.3">
      <c r="AI818" s="19"/>
      <c r="CA818" s="18"/>
    </row>
    <row r="819" spans="35:79" x14ac:dyDescent="0.3">
      <c r="AI819" s="19"/>
      <c r="CA819" s="18"/>
    </row>
    <row r="820" spans="35:79" x14ac:dyDescent="0.3">
      <c r="AI820" s="19"/>
      <c r="CA820" s="18"/>
    </row>
    <row r="821" spans="35:79" x14ac:dyDescent="0.3">
      <c r="AI821" s="19"/>
      <c r="CA821" s="18"/>
    </row>
    <row r="822" spans="35:79" x14ac:dyDescent="0.3">
      <c r="AI822" s="19"/>
      <c r="CA822" s="18"/>
    </row>
    <row r="823" spans="35:79" x14ac:dyDescent="0.3">
      <c r="AI823" s="19"/>
      <c r="CA823" s="18"/>
    </row>
    <row r="824" spans="35:79" x14ac:dyDescent="0.3">
      <c r="AI824" s="19"/>
      <c r="CA824" s="18"/>
    </row>
    <row r="825" spans="35:79" x14ac:dyDescent="0.3">
      <c r="AI825" s="19"/>
      <c r="CA825" s="18"/>
    </row>
    <row r="826" spans="35:79" x14ac:dyDescent="0.3">
      <c r="AI826" s="19"/>
      <c r="CA826" s="18"/>
    </row>
    <row r="827" spans="35:79" x14ac:dyDescent="0.3">
      <c r="AI827" s="19"/>
      <c r="CA827" s="18"/>
    </row>
    <row r="828" spans="35:79" x14ac:dyDescent="0.3">
      <c r="AI828" s="19"/>
      <c r="CA828" s="18"/>
    </row>
    <row r="829" spans="35:79" x14ac:dyDescent="0.3">
      <c r="AI829" s="19"/>
      <c r="CA829" s="18"/>
    </row>
    <row r="830" spans="35:79" x14ac:dyDescent="0.3">
      <c r="AI830" s="19"/>
      <c r="CA830" s="18"/>
    </row>
    <row r="831" spans="35:79" x14ac:dyDescent="0.3">
      <c r="AI831" s="19"/>
      <c r="CA831" s="18"/>
    </row>
    <row r="832" spans="35:79" x14ac:dyDescent="0.3">
      <c r="CA832" s="18"/>
    </row>
    <row r="833" spans="79:79" x14ac:dyDescent="0.3">
      <c r="CA833" s="18"/>
    </row>
    <row r="834" spans="79:79" x14ac:dyDescent="0.3">
      <c r="CA834" s="18"/>
    </row>
    <row r="835" spans="79:79" x14ac:dyDescent="0.3">
      <c r="CA835" s="18"/>
    </row>
    <row r="836" spans="79:79" x14ac:dyDescent="0.3">
      <c r="CA836" s="18"/>
    </row>
    <row r="837" spans="79:79" x14ac:dyDescent="0.3">
      <c r="CA837" s="18"/>
    </row>
    <row r="838" spans="79:79" x14ac:dyDescent="0.3">
      <c r="CA838" s="18"/>
    </row>
    <row r="839" spans="79:79" x14ac:dyDescent="0.3">
      <c r="CA839" s="18"/>
    </row>
    <row r="840" spans="79:79" x14ac:dyDescent="0.3">
      <c r="CA840" s="18"/>
    </row>
    <row r="841" spans="79:79" x14ac:dyDescent="0.3">
      <c r="CA841" s="18"/>
    </row>
    <row r="842" spans="79:79" x14ac:dyDescent="0.3">
      <c r="CA842" s="18"/>
    </row>
    <row r="843" spans="79:79" x14ac:dyDescent="0.3">
      <c r="CA843" s="18"/>
    </row>
    <row r="844" spans="79:79" x14ac:dyDescent="0.3">
      <c r="CA844" s="18"/>
    </row>
    <row r="845" spans="79:79" x14ac:dyDescent="0.3">
      <c r="CA845" s="18"/>
    </row>
    <row r="846" spans="79:79" x14ac:dyDescent="0.3">
      <c r="CA846" s="18"/>
    </row>
    <row r="847" spans="79:79" x14ac:dyDescent="0.3">
      <c r="CA847" s="18"/>
    </row>
    <row r="848" spans="79:79" x14ac:dyDescent="0.3">
      <c r="CA848" s="18"/>
    </row>
    <row r="849" spans="79:79" x14ac:dyDescent="0.3">
      <c r="CA849" s="18"/>
    </row>
    <row r="850" spans="79:79" x14ac:dyDescent="0.3">
      <c r="CA850" s="18"/>
    </row>
    <row r="851" spans="79:79" x14ac:dyDescent="0.3">
      <c r="CA851" s="18"/>
    </row>
    <row r="852" spans="79:79" x14ac:dyDescent="0.3">
      <c r="CA852" s="18"/>
    </row>
    <row r="853" spans="79:79" x14ac:dyDescent="0.3">
      <c r="CA853" s="18"/>
    </row>
    <row r="854" spans="79:79" x14ac:dyDescent="0.3">
      <c r="CA854" s="18"/>
    </row>
    <row r="855" spans="79:79" x14ac:dyDescent="0.3">
      <c r="CA855" s="18"/>
    </row>
    <row r="856" spans="79:79" x14ac:dyDescent="0.3">
      <c r="CA856" s="18"/>
    </row>
    <row r="857" spans="79:79" x14ac:dyDescent="0.3">
      <c r="CA857" s="18"/>
    </row>
    <row r="858" spans="79:79" x14ac:dyDescent="0.3">
      <c r="CA858" s="18"/>
    </row>
    <row r="859" spans="79:79" x14ac:dyDescent="0.3">
      <c r="CA859" s="18"/>
    </row>
    <row r="860" spans="79:79" x14ac:dyDescent="0.3">
      <c r="CA860" s="18"/>
    </row>
    <row r="861" spans="79:79" x14ac:dyDescent="0.3">
      <c r="CA861" s="18"/>
    </row>
    <row r="862" spans="79:79" x14ac:dyDescent="0.3">
      <c r="CA862" s="18"/>
    </row>
    <row r="863" spans="79:79" x14ac:dyDescent="0.3">
      <c r="CA863" s="18"/>
    </row>
    <row r="864" spans="79:79" x14ac:dyDescent="0.3">
      <c r="CA864" s="18"/>
    </row>
    <row r="865" spans="79:79" x14ac:dyDescent="0.3">
      <c r="CA865" s="18"/>
    </row>
    <row r="866" spans="79:79" x14ac:dyDescent="0.3">
      <c r="CA866" s="18"/>
    </row>
    <row r="867" spans="79:79" x14ac:dyDescent="0.3">
      <c r="CA867" s="18"/>
    </row>
    <row r="868" spans="79:79" x14ac:dyDescent="0.3">
      <c r="CA868" s="18"/>
    </row>
    <row r="869" spans="79:79" x14ac:dyDescent="0.3">
      <c r="CA869" s="18"/>
    </row>
    <row r="870" spans="79:79" x14ac:dyDescent="0.3">
      <c r="CA870" s="18"/>
    </row>
    <row r="871" spans="79:79" x14ac:dyDescent="0.3">
      <c r="CA871" s="18"/>
    </row>
    <row r="872" spans="79:79" x14ac:dyDescent="0.3">
      <c r="CA872" s="18"/>
    </row>
    <row r="873" spans="79:79" x14ac:dyDescent="0.3">
      <c r="CA873" s="18"/>
    </row>
    <row r="874" spans="79:79" x14ac:dyDescent="0.3">
      <c r="CA874" s="18"/>
    </row>
    <row r="875" spans="79:79" x14ac:dyDescent="0.3">
      <c r="CA875" s="18"/>
    </row>
    <row r="876" spans="79:79" x14ac:dyDescent="0.3">
      <c r="CA876" s="18"/>
    </row>
    <row r="877" spans="79:79" x14ac:dyDescent="0.3">
      <c r="CA877" s="18"/>
    </row>
    <row r="878" spans="79:79" x14ac:dyDescent="0.3">
      <c r="CA878" s="18"/>
    </row>
    <row r="879" spans="79:79" x14ac:dyDescent="0.3">
      <c r="CA879" s="18"/>
    </row>
    <row r="880" spans="79:79" x14ac:dyDescent="0.3">
      <c r="CA880" s="18"/>
    </row>
    <row r="881" spans="79:79" x14ac:dyDescent="0.3">
      <c r="CA881" s="18"/>
    </row>
    <row r="882" spans="79:79" x14ac:dyDescent="0.3">
      <c r="CA882" s="18"/>
    </row>
    <row r="883" spans="79:79" x14ac:dyDescent="0.3">
      <c r="CA883" s="18"/>
    </row>
    <row r="884" spans="79:79" x14ac:dyDescent="0.3">
      <c r="CA884" s="18"/>
    </row>
    <row r="885" spans="79:79" x14ac:dyDescent="0.3">
      <c r="CA885" s="18"/>
    </row>
    <row r="886" spans="79:79" x14ac:dyDescent="0.3">
      <c r="CA886" s="18"/>
    </row>
    <row r="887" spans="79:79" x14ac:dyDescent="0.3">
      <c r="CA887" s="18"/>
    </row>
    <row r="888" spans="79:79" x14ac:dyDescent="0.3">
      <c r="CA888" s="18"/>
    </row>
    <row r="889" spans="79:79" x14ac:dyDescent="0.3">
      <c r="CA889" s="18"/>
    </row>
    <row r="890" spans="79:79" x14ac:dyDescent="0.3">
      <c r="CA890" s="18"/>
    </row>
    <row r="891" spans="79:79" x14ac:dyDescent="0.3">
      <c r="CA891" s="18"/>
    </row>
    <row r="892" spans="79:79" x14ac:dyDescent="0.3">
      <c r="CA892" s="18"/>
    </row>
    <row r="893" spans="79:79" x14ac:dyDescent="0.3">
      <c r="CA893" s="18"/>
    </row>
    <row r="894" spans="79:79" x14ac:dyDescent="0.3">
      <c r="CA894" s="18"/>
    </row>
    <row r="895" spans="79:79" x14ac:dyDescent="0.3">
      <c r="CA895" s="18"/>
    </row>
    <row r="896" spans="79:79" x14ac:dyDescent="0.3">
      <c r="CA896" s="18"/>
    </row>
    <row r="897" spans="79:79" x14ac:dyDescent="0.3">
      <c r="CA897" s="18"/>
    </row>
    <row r="898" spans="79:79" x14ac:dyDescent="0.3">
      <c r="CA898" s="18"/>
    </row>
    <row r="899" spans="79:79" x14ac:dyDescent="0.3">
      <c r="CA899" s="18"/>
    </row>
    <row r="900" spans="79:79" x14ac:dyDescent="0.3">
      <c r="CA900" s="18"/>
    </row>
    <row r="901" spans="79:79" x14ac:dyDescent="0.3">
      <c r="CA901" s="18"/>
    </row>
    <row r="902" spans="79:79" x14ac:dyDescent="0.3">
      <c r="CA902" s="18"/>
    </row>
    <row r="903" spans="79:79" x14ac:dyDescent="0.3">
      <c r="CA903" s="18"/>
    </row>
    <row r="904" spans="79:79" x14ac:dyDescent="0.3">
      <c r="CA904" s="18"/>
    </row>
    <row r="905" spans="79:79" x14ac:dyDescent="0.3">
      <c r="CA905" s="18"/>
    </row>
    <row r="906" spans="79:79" x14ac:dyDescent="0.3">
      <c r="CA906" s="18"/>
    </row>
    <row r="907" spans="79:79" x14ac:dyDescent="0.3">
      <c r="CA907" s="18"/>
    </row>
    <row r="908" spans="79:79" x14ac:dyDescent="0.3">
      <c r="CA908" s="18"/>
    </row>
    <row r="909" spans="79:79" x14ac:dyDescent="0.3">
      <c r="CA909" s="18"/>
    </row>
    <row r="910" spans="79:79" x14ac:dyDescent="0.3">
      <c r="CA910" s="18"/>
    </row>
    <row r="911" spans="79:79" x14ac:dyDescent="0.3">
      <c r="CA911" s="18"/>
    </row>
    <row r="912" spans="79:79" x14ac:dyDescent="0.3">
      <c r="CA912" s="18"/>
    </row>
    <row r="913" spans="79:79" x14ac:dyDescent="0.3">
      <c r="CA913" s="18"/>
    </row>
    <row r="914" spans="79:79" x14ac:dyDescent="0.3">
      <c r="CA914" s="18"/>
    </row>
    <row r="915" spans="79:79" x14ac:dyDescent="0.3">
      <c r="CA915" s="18"/>
    </row>
    <row r="916" spans="79:79" x14ac:dyDescent="0.3">
      <c r="CA916" s="18"/>
    </row>
    <row r="917" spans="79:79" x14ac:dyDescent="0.3">
      <c r="CA917" s="18"/>
    </row>
    <row r="918" spans="79:79" x14ac:dyDescent="0.3">
      <c r="CA918" s="18"/>
    </row>
    <row r="919" spans="79:79" x14ac:dyDescent="0.3">
      <c r="CA919" s="18"/>
    </row>
    <row r="920" spans="79:79" x14ac:dyDescent="0.3">
      <c r="CA920" s="18"/>
    </row>
    <row r="921" spans="79:79" x14ac:dyDescent="0.3">
      <c r="CA921" s="18"/>
    </row>
    <row r="922" spans="79:79" x14ac:dyDescent="0.3">
      <c r="CA922" s="18"/>
    </row>
    <row r="923" spans="79:79" x14ac:dyDescent="0.3">
      <c r="CA923" s="18"/>
    </row>
    <row r="924" spans="79:79" x14ac:dyDescent="0.3">
      <c r="CA924" s="18"/>
    </row>
    <row r="925" spans="79:79" x14ac:dyDescent="0.3">
      <c r="CA925" s="18"/>
    </row>
    <row r="926" spans="79:79" x14ac:dyDescent="0.3">
      <c r="CA926" s="18"/>
    </row>
    <row r="927" spans="79:79" x14ac:dyDescent="0.3">
      <c r="CA927" s="18"/>
    </row>
    <row r="928" spans="79:79" x14ac:dyDescent="0.3">
      <c r="CA928" s="18"/>
    </row>
    <row r="929" spans="79:79" x14ac:dyDescent="0.3">
      <c r="CA929" s="18"/>
    </row>
    <row r="930" spans="79:79" x14ac:dyDescent="0.3">
      <c r="CA930" s="18"/>
    </row>
    <row r="931" spans="79:79" x14ac:dyDescent="0.3">
      <c r="CA931" s="18"/>
    </row>
    <row r="932" spans="79:79" x14ac:dyDescent="0.3">
      <c r="CA932" s="18"/>
    </row>
    <row r="933" spans="79:79" x14ac:dyDescent="0.3">
      <c r="CA933" s="18"/>
    </row>
    <row r="934" spans="79:79" x14ac:dyDescent="0.3">
      <c r="CA934" s="18"/>
    </row>
    <row r="935" spans="79:79" x14ac:dyDescent="0.3">
      <c r="CA935" s="18"/>
    </row>
    <row r="936" spans="79:79" x14ac:dyDescent="0.3">
      <c r="CA936" s="18"/>
    </row>
    <row r="937" spans="79:79" x14ac:dyDescent="0.3">
      <c r="CA937" s="18"/>
    </row>
    <row r="938" spans="79:79" x14ac:dyDescent="0.3">
      <c r="CA938" s="18"/>
    </row>
    <row r="939" spans="79:79" x14ac:dyDescent="0.3">
      <c r="CA939" s="18"/>
    </row>
    <row r="940" spans="79:79" x14ac:dyDescent="0.3">
      <c r="CA940" s="18"/>
    </row>
    <row r="941" spans="79:79" x14ac:dyDescent="0.3">
      <c r="CA941" s="18"/>
    </row>
    <row r="942" spans="79:79" x14ac:dyDescent="0.3">
      <c r="CA942" s="18"/>
    </row>
    <row r="943" spans="79:79" x14ac:dyDescent="0.3">
      <c r="CA943" s="18"/>
    </row>
    <row r="944" spans="79:79" x14ac:dyDescent="0.3">
      <c r="CA944" s="18"/>
    </row>
    <row r="945" spans="79:79" x14ac:dyDescent="0.3">
      <c r="CA945" s="18"/>
    </row>
    <row r="946" spans="79:79" x14ac:dyDescent="0.3">
      <c r="CA946" s="18"/>
    </row>
    <row r="947" spans="79:79" x14ac:dyDescent="0.3">
      <c r="CA947" s="18"/>
    </row>
    <row r="948" spans="79:79" x14ac:dyDescent="0.3">
      <c r="CA948" s="18"/>
    </row>
    <row r="949" spans="79:79" x14ac:dyDescent="0.3">
      <c r="CA949" s="18"/>
    </row>
    <row r="950" spans="79:79" x14ac:dyDescent="0.3">
      <c r="CA950" s="18"/>
    </row>
    <row r="951" spans="79:79" x14ac:dyDescent="0.3">
      <c r="CA951" s="18"/>
    </row>
    <row r="952" spans="79:79" x14ac:dyDescent="0.3">
      <c r="CA952" s="18"/>
    </row>
    <row r="953" spans="79:79" x14ac:dyDescent="0.3">
      <c r="CA953" s="18"/>
    </row>
    <row r="954" spans="79:79" x14ac:dyDescent="0.3">
      <c r="CA954" s="18"/>
    </row>
    <row r="955" spans="79:79" x14ac:dyDescent="0.3">
      <c r="CA955" s="18"/>
    </row>
    <row r="956" spans="79:79" x14ac:dyDescent="0.3">
      <c r="CA956" s="18"/>
    </row>
    <row r="957" spans="79:79" x14ac:dyDescent="0.3">
      <c r="CA957" s="18"/>
    </row>
    <row r="958" spans="79:79" x14ac:dyDescent="0.3">
      <c r="CA958" s="18"/>
    </row>
    <row r="959" spans="79:79" x14ac:dyDescent="0.3">
      <c r="CA959" s="18"/>
    </row>
    <row r="960" spans="79:79" x14ac:dyDescent="0.3">
      <c r="CA960" s="18"/>
    </row>
    <row r="961" spans="79:79" x14ac:dyDescent="0.3">
      <c r="CA961" s="18"/>
    </row>
    <row r="962" spans="79:79" x14ac:dyDescent="0.3">
      <c r="CA962" s="18"/>
    </row>
    <row r="963" spans="79:79" x14ac:dyDescent="0.3">
      <c r="CA963" s="18"/>
    </row>
    <row r="964" spans="79:79" x14ac:dyDescent="0.3">
      <c r="CA964" s="18"/>
    </row>
    <row r="965" spans="79:79" x14ac:dyDescent="0.3">
      <c r="CA965" s="18"/>
    </row>
    <row r="966" spans="79:79" x14ac:dyDescent="0.3">
      <c r="CA966" s="18"/>
    </row>
    <row r="967" spans="79:79" x14ac:dyDescent="0.3">
      <c r="CA967" s="18"/>
    </row>
    <row r="968" spans="79:79" x14ac:dyDescent="0.3">
      <c r="CA968" s="18"/>
    </row>
    <row r="969" spans="79:79" x14ac:dyDescent="0.3">
      <c r="CA969" s="18"/>
    </row>
    <row r="970" spans="79:79" x14ac:dyDescent="0.3">
      <c r="CA970" s="18"/>
    </row>
    <row r="971" spans="79:79" x14ac:dyDescent="0.3">
      <c r="CA971" s="18"/>
    </row>
    <row r="972" spans="79:79" x14ac:dyDescent="0.3">
      <c r="CA972" s="18"/>
    </row>
    <row r="973" spans="79:79" x14ac:dyDescent="0.3">
      <c r="CA973" s="18"/>
    </row>
    <row r="974" spans="79:79" x14ac:dyDescent="0.3">
      <c r="CA974" s="18"/>
    </row>
    <row r="975" spans="79:79" x14ac:dyDescent="0.3">
      <c r="CA975" s="18"/>
    </row>
    <row r="976" spans="79:79" x14ac:dyDescent="0.3">
      <c r="CA976" s="18"/>
    </row>
    <row r="977" spans="79:79" x14ac:dyDescent="0.3">
      <c r="CA977" s="18"/>
    </row>
    <row r="978" spans="79:79" x14ac:dyDescent="0.3">
      <c r="CA978" s="18"/>
    </row>
    <row r="979" spans="79:79" x14ac:dyDescent="0.3">
      <c r="CA979" s="18"/>
    </row>
    <row r="980" spans="79:79" x14ac:dyDescent="0.3">
      <c r="CA980" s="18"/>
    </row>
    <row r="981" spans="79:79" x14ac:dyDescent="0.3">
      <c r="CA981" s="18"/>
    </row>
    <row r="982" spans="79:79" x14ac:dyDescent="0.3">
      <c r="CA982" s="18"/>
    </row>
    <row r="983" spans="79:79" x14ac:dyDescent="0.3">
      <c r="CA983" s="18"/>
    </row>
    <row r="984" spans="79:79" x14ac:dyDescent="0.3">
      <c r="CA984" s="18"/>
    </row>
    <row r="985" spans="79:79" x14ac:dyDescent="0.3">
      <c r="CA985" s="18"/>
    </row>
    <row r="986" spans="79:79" x14ac:dyDescent="0.3">
      <c r="CA986" s="18"/>
    </row>
    <row r="987" spans="79:79" x14ac:dyDescent="0.3">
      <c r="CA987" s="18"/>
    </row>
    <row r="988" spans="79:79" x14ac:dyDescent="0.3">
      <c r="CA988" s="18"/>
    </row>
    <row r="989" spans="79:79" x14ac:dyDescent="0.3">
      <c r="CA989" s="18"/>
    </row>
    <row r="990" spans="79:79" x14ac:dyDescent="0.3">
      <c r="CA990" s="18"/>
    </row>
    <row r="991" spans="79:79" x14ac:dyDescent="0.3">
      <c r="CA991" s="18"/>
    </row>
    <row r="992" spans="79:79" x14ac:dyDescent="0.3">
      <c r="CA992" s="18"/>
    </row>
    <row r="993" spans="79:79" x14ac:dyDescent="0.3">
      <c r="CA993" s="18"/>
    </row>
    <row r="994" spans="79:79" x14ac:dyDescent="0.3">
      <c r="CA994" s="18"/>
    </row>
    <row r="995" spans="79:79" x14ac:dyDescent="0.3">
      <c r="CA995" s="18"/>
    </row>
    <row r="996" spans="79:79" x14ac:dyDescent="0.3">
      <c r="CA996" s="18"/>
    </row>
    <row r="997" spans="79:79" x14ac:dyDescent="0.3">
      <c r="CA997" s="18"/>
    </row>
    <row r="998" spans="79:79" x14ac:dyDescent="0.3">
      <c r="CA998" s="18"/>
    </row>
    <row r="999" spans="79:79" x14ac:dyDescent="0.3">
      <c r="CA999" s="18"/>
    </row>
    <row r="1000" spans="79:79" x14ac:dyDescent="0.3">
      <c r="CA1000" s="18"/>
    </row>
    <row r="1001" spans="79:79" x14ac:dyDescent="0.3">
      <c r="CA1001" s="18"/>
    </row>
    <row r="1002" spans="79:79" x14ac:dyDescent="0.3">
      <c r="CA1002" s="18"/>
    </row>
    <row r="1003" spans="79:79" x14ac:dyDescent="0.3">
      <c r="CA1003" s="18"/>
    </row>
    <row r="1004" spans="79:79" x14ac:dyDescent="0.3">
      <c r="CA1004" s="18"/>
    </row>
    <row r="1005" spans="79:79" x14ac:dyDescent="0.3">
      <c r="CA1005" s="18"/>
    </row>
    <row r="1006" spans="79:79" x14ac:dyDescent="0.3">
      <c r="CA1006" s="18"/>
    </row>
    <row r="1007" spans="79:79" x14ac:dyDescent="0.3">
      <c r="CA1007" s="18"/>
    </row>
    <row r="1008" spans="79:79" x14ac:dyDescent="0.3">
      <c r="CA1008" s="18"/>
    </row>
    <row r="1009" spans="79:79" x14ac:dyDescent="0.3">
      <c r="CA1009" s="18"/>
    </row>
    <row r="1010" spans="79:79" x14ac:dyDescent="0.3">
      <c r="CA1010" s="18"/>
    </row>
    <row r="1011" spans="79:79" x14ac:dyDescent="0.3">
      <c r="CA1011" s="18"/>
    </row>
    <row r="1012" spans="79:79" x14ac:dyDescent="0.3">
      <c r="CA1012" s="18"/>
    </row>
    <row r="1013" spans="79:79" x14ac:dyDescent="0.3">
      <c r="CA1013" s="18"/>
    </row>
    <row r="1014" spans="79:79" x14ac:dyDescent="0.3">
      <c r="CA1014" s="18"/>
    </row>
    <row r="1015" spans="79:79" x14ac:dyDescent="0.3">
      <c r="CA1015" s="18"/>
    </row>
    <row r="1016" spans="79:79" x14ac:dyDescent="0.3">
      <c r="CA1016" s="18"/>
    </row>
    <row r="1017" spans="79:79" x14ac:dyDescent="0.3">
      <c r="CA1017" s="18"/>
    </row>
    <row r="1018" spans="79:79" x14ac:dyDescent="0.3">
      <c r="CA1018" s="18"/>
    </row>
    <row r="1019" spans="79:79" x14ac:dyDescent="0.3">
      <c r="CA1019" s="18"/>
    </row>
    <row r="1020" spans="79:79" x14ac:dyDescent="0.3">
      <c r="CA1020" s="18"/>
    </row>
    <row r="1021" spans="79:79" x14ac:dyDescent="0.3">
      <c r="CA1021" s="18"/>
    </row>
    <row r="1022" spans="79:79" x14ac:dyDescent="0.3">
      <c r="CA1022" s="18"/>
    </row>
    <row r="1023" spans="79:79" x14ac:dyDescent="0.3">
      <c r="CA1023" s="18"/>
    </row>
    <row r="1024" spans="79:79" x14ac:dyDescent="0.3">
      <c r="CA1024" s="18"/>
    </row>
    <row r="1025" spans="79:79" x14ac:dyDescent="0.3">
      <c r="CA1025" s="18"/>
    </row>
    <row r="1026" spans="79:79" x14ac:dyDescent="0.3">
      <c r="CA1026" s="18"/>
    </row>
    <row r="1027" spans="79:79" x14ac:dyDescent="0.3">
      <c r="CA1027" s="18"/>
    </row>
    <row r="1028" spans="79:79" x14ac:dyDescent="0.3">
      <c r="CA1028" s="18"/>
    </row>
    <row r="1029" spans="79:79" x14ac:dyDescent="0.3">
      <c r="CA1029" s="18"/>
    </row>
    <row r="1030" spans="79:79" x14ac:dyDescent="0.3">
      <c r="CA1030" s="18"/>
    </row>
    <row r="1031" spans="79:79" x14ac:dyDescent="0.3">
      <c r="CA1031" s="18"/>
    </row>
    <row r="1032" spans="79:79" x14ac:dyDescent="0.3">
      <c r="CA1032" s="18"/>
    </row>
    <row r="1033" spans="79:79" x14ac:dyDescent="0.3">
      <c r="CA1033" s="18"/>
    </row>
    <row r="1034" spans="79:79" x14ac:dyDescent="0.3">
      <c r="CA1034" s="18"/>
    </row>
    <row r="1035" spans="79:79" x14ac:dyDescent="0.3">
      <c r="CA1035" s="18"/>
    </row>
    <row r="1036" spans="79:79" x14ac:dyDescent="0.3">
      <c r="CA1036" s="18"/>
    </row>
    <row r="1037" spans="79:79" x14ac:dyDescent="0.3">
      <c r="CA1037" s="18"/>
    </row>
    <row r="1038" spans="79:79" x14ac:dyDescent="0.3">
      <c r="CA1038" s="18"/>
    </row>
    <row r="1039" spans="79:79" x14ac:dyDescent="0.3">
      <c r="CA1039" s="18"/>
    </row>
    <row r="1040" spans="79:79" x14ac:dyDescent="0.3">
      <c r="CA1040" s="18"/>
    </row>
    <row r="1041" spans="79:79" x14ac:dyDescent="0.3">
      <c r="CA1041" s="18"/>
    </row>
    <row r="1042" spans="79:79" x14ac:dyDescent="0.3">
      <c r="CA1042" s="18"/>
    </row>
    <row r="1043" spans="79:79" x14ac:dyDescent="0.3">
      <c r="CA1043" s="18"/>
    </row>
    <row r="1044" spans="79:79" x14ac:dyDescent="0.3">
      <c r="CA1044" s="18"/>
    </row>
    <row r="1045" spans="79:79" x14ac:dyDescent="0.3">
      <c r="CA1045" s="18"/>
    </row>
    <row r="1046" spans="79:79" x14ac:dyDescent="0.3">
      <c r="CA1046" s="18"/>
    </row>
    <row r="1047" spans="79:79" x14ac:dyDescent="0.3">
      <c r="CA1047" s="18"/>
    </row>
    <row r="1048" spans="79:79" x14ac:dyDescent="0.3">
      <c r="CA1048" s="18"/>
    </row>
    <row r="1049" spans="79:79" x14ac:dyDescent="0.3">
      <c r="CA1049" s="18"/>
    </row>
    <row r="1050" spans="79:79" x14ac:dyDescent="0.3">
      <c r="CA1050" s="18"/>
    </row>
    <row r="1051" spans="79:79" x14ac:dyDescent="0.3">
      <c r="CA1051" s="18"/>
    </row>
    <row r="1052" spans="79:79" x14ac:dyDescent="0.3">
      <c r="CA1052" s="18"/>
    </row>
    <row r="1053" spans="79:79" x14ac:dyDescent="0.3">
      <c r="CA1053" s="18"/>
    </row>
    <row r="1054" spans="79:79" x14ac:dyDescent="0.3">
      <c r="CA1054" s="18"/>
    </row>
    <row r="1055" spans="79:79" x14ac:dyDescent="0.3">
      <c r="CA1055" s="18"/>
    </row>
    <row r="1056" spans="79:79" x14ac:dyDescent="0.3">
      <c r="CA1056" s="18"/>
    </row>
    <row r="1057" spans="79:79" x14ac:dyDescent="0.3">
      <c r="CA1057" s="18"/>
    </row>
    <row r="1058" spans="79:79" x14ac:dyDescent="0.3">
      <c r="CA1058" s="18"/>
    </row>
    <row r="1059" spans="79:79" x14ac:dyDescent="0.3">
      <c r="CA1059" s="18"/>
    </row>
    <row r="1060" spans="79:79" x14ac:dyDescent="0.3">
      <c r="CA1060" s="18"/>
    </row>
    <row r="1061" spans="79:79" x14ac:dyDescent="0.3">
      <c r="CA1061" s="18"/>
    </row>
    <row r="1062" spans="79:79" x14ac:dyDescent="0.3">
      <c r="CA1062" s="18"/>
    </row>
    <row r="1063" spans="79:79" x14ac:dyDescent="0.3">
      <c r="CA1063" s="18"/>
    </row>
    <row r="1064" spans="79:79" x14ac:dyDescent="0.3">
      <c r="CA1064" s="18"/>
    </row>
    <row r="1065" spans="79:79" x14ac:dyDescent="0.3">
      <c r="CA1065" s="18"/>
    </row>
    <row r="1066" spans="79:79" x14ac:dyDescent="0.3">
      <c r="CA1066" s="18"/>
    </row>
    <row r="1067" spans="79:79" x14ac:dyDescent="0.3">
      <c r="CA1067" s="18"/>
    </row>
    <row r="1068" spans="79:79" x14ac:dyDescent="0.3">
      <c r="CA1068" s="18"/>
    </row>
    <row r="1069" spans="79:79" x14ac:dyDescent="0.3">
      <c r="CA1069" s="18"/>
    </row>
    <row r="1070" spans="79:79" x14ac:dyDescent="0.3">
      <c r="CA1070" s="18"/>
    </row>
    <row r="1071" spans="79:79" x14ac:dyDescent="0.3">
      <c r="CA1071" s="18"/>
    </row>
    <row r="1072" spans="79:79" x14ac:dyDescent="0.3">
      <c r="CA1072" s="18"/>
    </row>
    <row r="1073" spans="79:79" x14ac:dyDescent="0.3">
      <c r="CA1073" s="18"/>
    </row>
    <row r="1074" spans="79:79" x14ac:dyDescent="0.3">
      <c r="CA1074" s="18"/>
    </row>
    <row r="1075" spans="79:79" x14ac:dyDescent="0.3">
      <c r="CA1075" s="18"/>
    </row>
    <row r="1076" spans="79:79" x14ac:dyDescent="0.3">
      <c r="CA1076" s="18"/>
    </row>
    <row r="1077" spans="79:79" x14ac:dyDescent="0.3">
      <c r="CA1077" s="18"/>
    </row>
    <row r="1078" spans="79:79" x14ac:dyDescent="0.3">
      <c r="CA1078" s="18"/>
    </row>
    <row r="1079" spans="79:79" x14ac:dyDescent="0.3">
      <c r="CA1079" s="18"/>
    </row>
    <row r="1080" spans="79:79" x14ac:dyDescent="0.3">
      <c r="CA1080" s="18"/>
    </row>
    <row r="1081" spans="79:79" x14ac:dyDescent="0.3">
      <c r="CA1081" s="18"/>
    </row>
    <row r="1082" spans="79:79" x14ac:dyDescent="0.3">
      <c r="CA1082" s="18"/>
    </row>
    <row r="1083" spans="79:79" x14ac:dyDescent="0.3">
      <c r="CA1083" s="18"/>
    </row>
    <row r="1084" spans="79:79" x14ac:dyDescent="0.3">
      <c r="CA1084" s="18"/>
    </row>
    <row r="1085" spans="79:79" x14ac:dyDescent="0.3">
      <c r="CA1085" s="18"/>
    </row>
    <row r="1086" spans="79:79" x14ac:dyDescent="0.3">
      <c r="CA1086" s="18"/>
    </row>
    <row r="1087" spans="79:79" x14ac:dyDescent="0.3">
      <c r="CA1087" s="18"/>
    </row>
    <row r="1088" spans="79:79" x14ac:dyDescent="0.3">
      <c r="CA1088" s="18"/>
    </row>
    <row r="1089" spans="79:79" x14ac:dyDescent="0.3">
      <c r="CA1089" s="18"/>
    </row>
    <row r="1090" spans="79:79" x14ac:dyDescent="0.3">
      <c r="CA1090" s="18"/>
    </row>
    <row r="1091" spans="79:79" x14ac:dyDescent="0.3">
      <c r="CA1091" s="18"/>
    </row>
    <row r="1092" spans="79:79" x14ac:dyDescent="0.3">
      <c r="CA1092" s="18"/>
    </row>
    <row r="1093" spans="79:79" x14ac:dyDescent="0.3">
      <c r="CA1093" s="18"/>
    </row>
    <row r="1094" spans="79:79" x14ac:dyDescent="0.3">
      <c r="CA1094" s="18"/>
    </row>
    <row r="1095" spans="79:79" x14ac:dyDescent="0.3">
      <c r="CA1095" s="18"/>
    </row>
    <row r="1096" spans="79:79" x14ac:dyDescent="0.3">
      <c r="CA1096" s="18"/>
    </row>
    <row r="1097" spans="79:79" x14ac:dyDescent="0.3">
      <c r="CA1097" s="18"/>
    </row>
    <row r="1098" spans="79:79" x14ac:dyDescent="0.3">
      <c r="CA1098" s="18"/>
    </row>
    <row r="1099" spans="79:79" x14ac:dyDescent="0.3">
      <c r="CA1099" s="18"/>
    </row>
    <row r="1100" spans="79:79" x14ac:dyDescent="0.3">
      <c r="CA1100" s="18"/>
    </row>
    <row r="1101" spans="79:79" x14ac:dyDescent="0.3">
      <c r="CA1101" s="18"/>
    </row>
    <row r="1102" spans="79:79" x14ac:dyDescent="0.3">
      <c r="CA1102" s="18"/>
    </row>
    <row r="1103" spans="79:79" x14ac:dyDescent="0.3">
      <c r="CA1103" s="18"/>
    </row>
    <row r="1104" spans="79:79" x14ac:dyDescent="0.3">
      <c r="CA1104" s="18"/>
    </row>
    <row r="1105" spans="79:79" x14ac:dyDescent="0.3">
      <c r="CA1105" s="18"/>
    </row>
    <row r="1106" spans="79:79" x14ac:dyDescent="0.3">
      <c r="CA1106" s="18"/>
    </row>
    <row r="1107" spans="79:79" x14ac:dyDescent="0.3">
      <c r="CA1107" s="18"/>
    </row>
    <row r="1108" spans="79:79" x14ac:dyDescent="0.3">
      <c r="CA1108" s="18"/>
    </row>
    <row r="1109" spans="79:79" x14ac:dyDescent="0.3">
      <c r="CA1109" s="18"/>
    </row>
    <row r="1110" spans="79:79" x14ac:dyDescent="0.3">
      <c r="CA1110" s="18"/>
    </row>
    <row r="1111" spans="79:79" x14ac:dyDescent="0.3">
      <c r="CA1111" s="18"/>
    </row>
    <row r="1112" spans="79:79" x14ac:dyDescent="0.3">
      <c r="CA1112" s="18"/>
    </row>
    <row r="1113" spans="79:79" x14ac:dyDescent="0.3">
      <c r="CA1113" s="18"/>
    </row>
    <row r="1114" spans="79:79" x14ac:dyDescent="0.3">
      <c r="CA1114" s="18"/>
    </row>
    <row r="1115" spans="79:79" x14ac:dyDescent="0.3">
      <c r="CA1115" s="18"/>
    </row>
    <row r="1116" spans="79:79" x14ac:dyDescent="0.3">
      <c r="CA1116" s="18"/>
    </row>
    <row r="1117" spans="79:79" x14ac:dyDescent="0.3">
      <c r="CA1117" s="18"/>
    </row>
    <row r="1118" spans="79:79" x14ac:dyDescent="0.3">
      <c r="CA1118" s="18"/>
    </row>
    <row r="1119" spans="79:79" x14ac:dyDescent="0.3">
      <c r="CA1119" s="18"/>
    </row>
    <row r="1120" spans="79:79" x14ac:dyDescent="0.3">
      <c r="CA1120" s="18"/>
    </row>
    <row r="1121" spans="79:79" x14ac:dyDescent="0.3">
      <c r="CA1121" s="18"/>
    </row>
    <row r="1122" spans="79:79" x14ac:dyDescent="0.3">
      <c r="CA1122" s="18"/>
    </row>
    <row r="1123" spans="79:79" x14ac:dyDescent="0.3">
      <c r="CA1123" s="18"/>
    </row>
    <row r="1124" spans="79:79" x14ac:dyDescent="0.3">
      <c r="CA1124" s="18"/>
    </row>
    <row r="1125" spans="79:79" x14ac:dyDescent="0.3">
      <c r="CA1125" s="18"/>
    </row>
    <row r="1126" spans="79:79" x14ac:dyDescent="0.3">
      <c r="CA1126" s="18"/>
    </row>
    <row r="1127" spans="79:79" x14ac:dyDescent="0.3">
      <c r="CA1127" s="18"/>
    </row>
    <row r="1128" spans="79:79" x14ac:dyDescent="0.3">
      <c r="CA1128" s="18"/>
    </row>
    <row r="1129" spans="79:79" x14ac:dyDescent="0.3">
      <c r="CA1129" s="18"/>
    </row>
    <row r="1130" spans="79:79" x14ac:dyDescent="0.3">
      <c r="CA1130" s="18"/>
    </row>
    <row r="1131" spans="79:79" x14ac:dyDescent="0.3">
      <c r="CA1131" s="18"/>
    </row>
    <row r="1132" spans="79:79" x14ac:dyDescent="0.3">
      <c r="CA1132" s="18"/>
    </row>
    <row r="1133" spans="79:79" x14ac:dyDescent="0.3">
      <c r="CA1133" s="18"/>
    </row>
    <row r="1134" spans="79:79" x14ac:dyDescent="0.3">
      <c r="CA1134" s="18"/>
    </row>
    <row r="1135" spans="79:79" x14ac:dyDescent="0.3">
      <c r="CA1135" s="18"/>
    </row>
    <row r="1136" spans="79:79" x14ac:dyDescent="0.3">
      <c r="CA1136" s="18"/>
    </row>
    <row r="1137" spans="79:79" x14ac:dyDescent="0.3">
      <c r="CA1137" s="18"/>
    </row>
    <row r="1138" spans="79:79" x14ac:dyDescent="0.3">
      <c r="CA1138" s="18"/>
    </row>
    <row r="1139" spans="79:79" x14ac:dyDescent="0.3">
      <c r="CA1139" s="18"/>
    </row>
    <row r="1140" spans="79:79" x14ac:dyDescent="0.3">
      <c r="CA1140" s="18"/>
    </row>
    <row r="1141" spans="79:79" x14ac:dyDescent="0.3">
      <c r="CA1141" s="18"/>
    </row>
    <row r="1142" spans="79:79" x14ac:dyDescent="0.3">
      <c r="CA1142" s="18"/>
    </row>
    <row r="1143" spans="79:79" x14ac:dyDescent="0.3">
      <c r="CA1143" s="18"/>
    </row>
    <row r="1144" spans="79:79" x14ac:dyDescent="0.3">
      <c r="CA1144" s="18"/>
    </row>
    <row r="1145" spans="79:79" x14ac:dyDescent="0.3">
      <c r="CA1145" s="18"/>
    </row>
    <row r="1146" spans="79:79" x14ac:dyDescent="0.3">
      <c r="CA1146" s="18"/>
    </row>
    <row r="1147" spans="79:79" x14ac:dyDescent="0.3">
      <c r="CA1147" s="18"/>
    </row>
    <row r="1148" spans="79:79" x14ac:dyDescent="0.3">
      <c r="CA1148" s="18"/>
    </row>
    <row r="1149" spans="79:79" x14ac:dyDescent="0.3">
      <c r="CA1149" s="18"/>
    </row>
    <row r="1150" spans="79:79" x14ac:dyDescent="0.3">
      <c r="CA1150" s="18"/>
    </row>
    <row r="1151" spans="79:79" x14ac:dyDescent="0.3">
      <c r="CA1151" s="18"/>
    </row>
    <row r="1152" spans="79:79" x14ac:dyDescent="0.3">
      <c r="CA1152" s="18"/>
    </row>
    <row r="1153" spans="79:79" x14ac:dyDescent="0.3">
      <c r="CA1153" s="18"/>
    </row>
    <row r="1154" spans="79:79" x14ac:dyDescent="0.3">
      <c r="CA1154" s="18"/>
    </row>
    <row r="1155" spans="79:79" x14ac:dyDescent="0.3">
      <c r="CA1155" s="18"/>
    </row>
    <row r="1156" spans="79:79" x14ac:dyDescent="0.3">
      <c r="CA1156" s="18"/>
    </row>
    <row r="1157" spans="79:79" x14ac:dyDescent="0.3">
      <c r="CA1157" s="18"/>
    </row>
    <row r="1158" spans="79:79" x14ac:dyDescent="0.3">
      <c r="CA1158" s="18"/>
    </row>
    <row r="1159" spans="79:79" x14ac:dyDescent="0.3">
      <c r="CA1159" s="18"/>
    </row>
    <row r="1160" spans="79:79" x14ac:dyDescent="0.3">
      <c r="CA1160" s="18"/>
    </row>
    <row r="1161" spans="79:79" x14ac:dyDescent="0.3">
      <c r="CA1161" s="18"/>
    </row>
    <row r="1162" spans="79:79" x14ac:dyDescent="0.3">
      <c r="CA1162" s="18"/>
    </row>
    <row r="1163" spans="79:79" x14ac:dyDescent="0.3">
      <c r="CA1163" s="18"/>
    </row>
    <row r="1164" spans="79:79" x14ac:dyDescent="0.3">
      <c r="CA1164" s="18"/>
    </row>
    <row r="1165" spans="79:79" x14ac:dyDescent="0.3">
      <c r="CA1165" s="18"/>
    </row>
    <row r="1166" spans="79:79" x14ac:dyDescent="0.3">
      <c r="CA1166" s="18"/>
    </row>
    <row r="1167" spans="79:79" x14ac:dyDescent="0.3">
      <c r="CA1167" s="18"/>
    </row>
    <row r="1168" spans="79:79" x14ac:dyDescent="0.3">
      <c r="CA1168" s="18"/>
    </row>
    <row r="1169" spans="79:79" x14ac:dyDescent="0.3">
      <c r="CA1169" s="18"/>
    </row>
    <row r="1170" spans="79:79" x14ac:dyDescent="0.3">
      <c r="CA1170" s="18"/>
    </row>
    <row r="1171" spans="79:79" x14ac:dyDescent="0.3">
      <c r="CA1171" s="18"/>
    </row>
    <row r="1172" spans="79:79" x14ac:dyDescent="0.3">
      <c r="CA1172" s="18"/>
    </row>
    <row r="1173" spans="79:79" x14ac:dyDescent="0.3">
      <c r="CA1173" s="18"/>
    </row>
    <row r="1174" spans="79:79" x14ac:dyDescent="0.3">
      <c r="CA1174" s="18"/>
    </row>
    <row r="1175" spans="79:79" x14ac:dyDescent="0.3">
      <c r="CA1175" s="18"/>
    </row>
    <row r="1176" spans="79:79" x14ac:dyDescent="0.3">
      <c r="CA1176" s="18"/>
    </row>
    <row r="1177" spans="79:79" x14ac:dyDescent="0.3">
      <c r="CA1177" s="18"/>
    </row>
    <row r="1178" spans="79:79" x14ac:dyDescent="0.3">
      <c r="CA1178" s="18"/>
    </row>
    <row r="1179" spans="79:79" x14ac:dyDescent="0.3">
      <c r="CA1179" s="18"/>
    </row>
    <row r="1180" spans="79:79" x14ac:dyDescent="0.3">
      <c r="CA1180" s="18"/>
    </row>
    <row r="1181" spans="79:79" x14ac:dyDescent="0.3">
      <c r="CA1181" s="18"/>
    </row>
    <row r="1182" spans="79:79" x14ac:dyDescent="0.3">
      <c r="CA1182" s="18"/>
    </row>
    <row r="1183" spans="79:79" x14ac:dyDescent="0.3">
      <c r="CA1183" s="18"/>
    </row>
    <row r="1184" spans="79:79" x14ac:dyDescent="0.3">
      <c r="CA1184" s="18"/>
    </row>
    <row r="1185" spans="79:79" x14ac:dyDescent="0.3">
      <c r="CA1185" s="18"/>
    </row>
    <row r="1186" spans="79:79" x14ac:dyDescent="0.3">
      <c r="CA1186" s="18"/>
    </row>
    <row r="1187" spans="79:79" x14ac:dyDescent="0.3">
      <c r="CA1187" s="18"/>
    </row>
    <row r="1188" spans="79:79" x14ac:dyDescent="0.3">
      <c r="CA1188" s="18"/>
    </row>
    <row r="1189" spans="79:79" x14ac:dyDescent="0.3">
      <c r="CA1189" s="18"/>
    </row>
    <row r="1190" spans="79:79" x14ac:dyDescent="0.3">
      <c r="CA1190" s="18"/>
    </row>
    <row r="1191" spans="79:79" x14ac:dyDescent="0.3">
      <c r="CA1191" s="18"/>
    </row>
    <row r="1192" spans="79:79" x14ac:dyDescent="0.3">
      <c r="CA1192" s="18"/>
    </row>
    <row r="1193" spans="79:79" x14ac:dyDescent="0.3">
      <c r="CA1193" s="18"/>
    </row>
    <row r="1194" spans="79:79" x14ac:dyDescent="0.3">
      <c r="CA1194" s="18"/>
    </row>
    <row r="1195" spans="79:79" x14ac:dyDescent="0.3">
      <c r="CA1195" s="18"/>
    </row>
    <row r="1196" spans="79:79" x14ac:dyDescent="0.3">
      <c r="CA1196" s="18"/>
    </row>
    <row r="1197" spans="79:79" x14ac:dyDescent="0.3">
      <c r="CA1197" s="18"/>
    </row>
    <row r="1198" spans="79:79" x14ac:dyDescent="0.3">
      <c r="CA1198" s="18"/>
    </row>
    <row r="1199" spans="79:79" x14ac:dyDescent="0.3">
      <c r="CA1199" s="18"/>
    </row>
    <row r="1200" spans="79:79" x14ac:dyDescent="0.3">
      <c r="CA1200" s="18"/>
    </row>
    <row r="1201" spans="79:79" x14ac:dyDescent="0.3">
      <c r="CA1201" s="18"/>
    </row>
    <row r="1202" spans="79:79" x14ac:dyDescent="0.3">
      <c r="CA1202" s="18"/>
    </row>
    <row r="1203" spans="79:79" x14ac:dyDescent="0.3">
      <c r="CA1203" s="18"/>
    </row>
    <row r="1204" spans="79:79" x14ac:dyDescent="0.3">
      <c r="CA1204" s="18"/>
    </row>
    <row r="1205" spans="79:79" x14ac:dyDescent="0.3">
      <c r="CA1205" s="18"/>
    </row>
    <row r="1206" spans="79:79" x14ac:dyDescent="0.3">
      <c r="CA1206" s="18"/>
    </row>
    <row r="1207" spans="79:79" x14ac:dyDescent="0.3">
      <c r="CA1207" s="18"/>
    </row>
    <row r="1208" spans="79:79" x14ac:dyDescent="0.3">
      <c r="CA1208" s="18"/>
    </row>
    <row r="1209" spans="79:79" x14ac:dyDescent="0.3">
      <c r="CA1209" s="18"/>
    </row>
    <row r="1210" spans="79:79" x14ac:dyDescent="0.3">
      <c r="CA1210" s="18"/>
    </row>
    <row r="1211" spans="79:79" x14ac:dyDescent="0.3">
      <c r="CA1211" s="18"/>
    </row>
    <row r="1212" spans="79:79" x14ac:dyDescent="0.3">
      <c r="CA1212" s="18"/>
    </row>
    <row r="1213" spans="79:79" x14ac:dyDescent="0.3">
      <c r="CA1213" s="18"/>
    </row>
    <row r="1214" spans="79:79" x14ac:dyDescent="0.3">
      <c r="CA1214" s="18"/>
    </row>
    <row r="1215" spans="79:79" x14ac:dyDescent="0.3">
      <c r="CA1215" s="18"/>
    </row>
    <row r="1216" spans="79:79" x14ac:dyDescent="0.3">
      <c r="CA1216" s="18"/>
    </row>
    <row r="1217" spans="79:79" x14ac:dyDescent="0.3">
      <c r="CA1217" s="18"/>
    </row>
    <row r="1218" spans="79:79" x14ac:dyDescent="0.3">
      <c r="CA1218" s="18"/>
    </row>
    <row r="1219" spans="79:79" x14ac:dyDescent="0.3">
      <c r="CA1219" s="18"/>
    </row>
    <row r="1220" spans="79:79" x14ac:dyDescent="0.3">
      <c r="CA1220" s="18"/>
    </row>
    <row r="1221" spans="79:79" x14ac:dyDescent="0.3">
      <c r="CA1221" s="18"/>
    </row>
    <row r="1222" spans="79:79" x14ac:dyDescent="0.3">
      <c r="CA1222" s="18"/>
    </row>
    <row r="1223" spans="79:79" x14ac:dyDescent="0.3">
      <c r="CA1223" s="18"/>
    </row>
    <row r="1224" spans="79:79" x14ac:dyDescent="0.3">
      <c r="CA1224" s="18"/>
    </row>
    <row r="1225" spans="79:79" x14ac:dyDescent="0.3">
      <c r="CA1225" s="18"/>
    </row>
    <row r="1226" spans="79:79" x14ac:dyDescent="0.3">
      <c r="CA1226" s="18"/>
    </row>
    <row r="1227" spans="79:79" x14ac:dyDescent="0.3">
      <c r="CA1227" s="18"/>
    </row>
    <row r="1228" spans="79:79" x14ac:dyDescent="0.3">
      <c r="CA1228" s="18"/>
    </row>
    <row r="1229" spans="79:79" x14ac:dyDescent="0.3">
      <c r="CA1229" s="18"/>
    </row>
    <row r="1230" spans="79:79" x14ac:dyDescent="0.3">
      <c r="CA1230" s="18"/>
    </row>
    <row r="1231" spans="79:79" x14ac:dyDescent="0.3">
      <c r="CA1231" s="18"/>
    </row>
    <row r="1232" spans="79:79" x14ac:dyDescent="0.3">
      <c r="CA1232" s="18"/>
    </row>
    <row r="1233" spans="79:79" x14ac:dyDescent="0.3">
      <c r="CA1233" s="18"/>
    </row>
    <row r="1234" spans="79:79" x14ac:dyDescent="0.3">
      <c r="CA1234" s="18"/>
    </row>
    <row r="1235" spans="79:79" x14ac:dyDescent="0.3">
      <c r="CA1235" s="18"/>
    </row>
    <row r="1236" spans="79:79" x14ac:dyDescent="0.3">
      <c r="CA1236" s="18"/>
    </row>
    <row r="1237" spans="79:79" x14ac:dyDescent="0.3">
      <c r="CA1237" s="18"/>
    </row>
    <row r="1238" spans="79:79" x14ac:dyDescent="0.3">
      <c r="CA1238" s="18"/>
    </row>
    <row r="1239" spans="79:79" x14ac:dyDescent="0.3">
      <c r="CA1239" s="18"/>
    </row>
    <row r="1240" spans="79:79" x14ac:dyDescent="0.3">
      <c r="CA1240" s="18"/>
    </row>
    <row r="1241" spans="79:79" x14ac:dyDescent="0.3">
      <c r="CA1241" s="18"/>
    </row>
    <row r="1242" spans="79:79" x14ac:dyDescent="0.3">
      <c r="CA1242" s="18"/>
    </row>
    <row r="1243" spans="79:79" x14ac:dyDescent="0.3">
      <c r="CA1243" s="18"/>
    </row>
    <row r="1244" spans="79:79" x14ac:dyDescent="0.3">
      <c r="CA1244" s="18"/>
    </row>
    <row r="1245" spans="79:79" x14ac:dyDescent="0.3">
      <c r="CA1245" s="18"/>
    </row>
    <row r="1246" spans="79:79" x14ac:dyDescent="0.3">
      <c r="CA1246" s="18"/>
    </row>
    <row r="1247" spans="79:79" x14ac:dyDescent="0.3">
      <c r="CA1247" s="18"/>
    </row>
    <row r="1248" spans="79:79" x14ac:dyDescent="0.3">
      <c r="CA1248" s="18"/>
    </row>
    <row r="1249" spans="79:79" x14ac:dyDescent="0.3">
      <c r="CA1249" s="18"/>
    </row>
    <row r="1250" spans="79:79" x14ac:dyDescent="0.3">
      <c r="CA1250" s="18"/>
    </row>
    <row r="1251" spans="79:79" x14ac:dyDescent="0.3">
      <c r="CA1251" s="18"/>
    </row>
    <row r="1252" spans="79:79" x14ac:dyDescent="0.3">
      <c r="CA1252" s="18"/>
    </row>
    <row r="1253" spans="79:79" x14ac:dyDescent="0.3">
      <c r="CA1253" s="18"/>
    </row>
    <row r="1254" spans="79:79" x14ac:dyDescent="0.3">
      <c r="CA1254" s="18"/>
    </row>
    <row r="1255" spans="79:79" x14ac:dyDescent="0.3">
      <c r="CA1255" s="18"/>
    </row>
    <row r="1256" spans="79:79" x14ac:dyDescent="0.3">
      <c r="CA1256" s="18"/>
    </row>
    <row r="1257" spans="79:79" x14ac:dyDescent="0.3">
      <c r="CA1257" s="18"/>
    </row>
    <row r="1258" spans="79:79" x14ac:dyDescent="0.3">
      <c r="CA1258" s="18"/>
    </row>
    <row r="1259" spans="79:79" x14ac:dyDescent="0.3">
      <c r="CA1259" s="18"/>
    </row>
    <row r="1260" spans="79:79" x14ac:dyDescent="0.3">
      <c r="CA1260" s="18"/>
    </row>
    <row r="1261" spans="79:79" x14ac:dyDescent="0.3">
      <c r="CA1261" s="18"/>
    </row>
    <row r="1262" spans="79:79" x14ac:dyDescent="0.3">
      <c r="CA1262" s="18"/>
    </row>
    <row r="1263" spans="79:79" x14ac:dyDescent="0.3">
      <c r="CA1263" s="18"/>
    </row>
    <row r="1264" spans="79:79" x14ac:dyDescent="0.3">
      <c r="CA1264" s="18"/>
    </row>
    <row r="1265" spans="79:79" x14ac:dyDescent="0.3">
      <c r="CA1265" s="18"/>
    </row>
    <row r="1266" spans="79:79" x14ac:dyDescent="0.3">
      <c r="CA1266" s="18"/>
    </row>
    <row r="1267" spans="79:79" x14ac:dyDescent="0.3">
      <c r="CA1267" s="18"/>
    </row>
    <row r="1268" spans="79:79" x14ac:dyDescent="0.3">
      <c r="CA1268" s="18"/>
    </row>
    <row r="1269" spans="79:79" x14ac:dyDescent="0.3">
      <c r="CA1269" s="18"/>
    </row>
    <row r="1270" spans="79:79" x14ac:dyDescent="0.3">
      <c r="CA1270" s="18"/>
    </row>
    <row r="1271" spans="79:79" x14ac:dyDescent="0.3">
      <c r="CA1271" s="18"/>
    </row>
    <row r="1272" spans="79:79" x14ac:dyDescent="0.3">
      <c r="CA1272" s="18"/>
    </row>
    <row r="1273" spans="79:79" x14ac:dyDescent="0.3">
      <c r="CA1273" s="18"/>
    </row>
    <row r="1274" spans="79:79" x14ac:dyDescent="0.3">
      <c r="CA1274" s="18"/>
    </row>
    <row r="1275" spans="79:79" x14ac:dyDescent="0.3">
      <c r="CA1275" s="18"/>
    </row>
    <row r="1276" spans="79:79" x14ac:dyDescent="0.3">
      <c r="CA1276" s="18"/>
    </row>
    <row r="1277" spans="79:79" x14ac:dyDescent="0.3">
      <c r="CA1277" s="18"/>
    </row>
    <row r="1278" spans="79:79" x14ac:dyDescent="0.3">
      <c r="CA1278" s="18"/>
    </row>
    <row r="1279" spans="79:79" x14ac:dyDescent="0.3">
      <c r="CA1279" s="18"/>
    </row>
    <row r="1280" spans="79:79" x14ac:dyDescent="0.3">
      <c r="CA1280" s="18"/>
    </row>
    <row r="1281" spans="79:79" x14ac:dyDescent="0.3">
      <c r="CA1281" s="18"/>
    </row>
    <row r="1282" spans="79:79" x14ac:dyDescent="0.3">
      <c r="CA1282" s="18"/>
    </row>
    <row r="1283" spans="79:79" x14ac:dyDescent="0.3">
      <c r="CA1283" s="18"/>
    </row>
    <row r="1284" spans="79:79" x14ac:dyDescent="0.3">
      <c r="CA1284" s="18"/>
    </row>
    <row r="1285" spans="79:79" x14ac:dyDescent="0.3">
      <c r="CA1285" s="18"/>
    </row>
    <row r="1286" spans="79:79" x14ac:dyDescent="0.3">
      <c r="CA1286" s="18"/>
    </row>
    <row r="1287" spans="79:79" x14ac:dyDescent="0.3">
      <c r="CA1287" s="18"/>
    </row>
    <row r="1288" spans="79:79" x14ac:dyDescent="0.3">
      <c r="CA1288" s="18"/>
    </row>
    <row r="1289" spans="79:79" x14ac:dyDescent="0.3">
      <c r="CA1289" s="18"/>
    </row>
    <row r="1290" spans="79:79" x14ac:dyDescent="0.3">
      <c r="CA1290" s="18"/>
    </row>
    <row r="1291" spans="79:79" x14ac:dyDescent="0.3">
      <c r="CA1291" s="18"/>
    </row>
    <row r="1292" spans="79:79" x14ac:dyDescent="0.3">
      <c r="CA1292" s="18"/>
    </row>
    <row r="1293" spans="79:79" x14ac:dyDescent="0.3">
      <c r="CA1293" s="18"/>
    </row>
  </sheetData>
  <mergeCells count="47">
    <mergeCell ref="CH1:CI1"/>
    <mergeCell ref="CH2:CI2"/>
    <mergeCell ref="BZ1:CC1"/>
    <mergeCell ref="BZ2:CC2"/>
    <mergeCell ref="CD1:CG1"/>
    <mergeCell ref="CD2:CG2"/>
    <mergeCell ref="BU1:BY1"/>
    <mergeCell ref="BU2:BY2"/>
    <mergeCell ref="BK1:BM1"/>
    <mergeCell ref="BI2:BJ2"/>
    <mergeCell ref="BK2:BM2"/>
    <mergeCell ref="BS1:BT1"/>
    <mergeCell ref="BS2:BT2"/>
    <mergeCell ref="BI1:BJ1"/>
    <mergeCell ref="BN1:BR1"/>
    <mergeCell ref="BN2:BR2"/>
    <mergeCell ref="AV2:AZ2"/>
    <mergeCell ref="BA2:BC2"/>
    <mergeCell ref="BD2:BG2"/>
    <mergeCell ref="A1:E2"/>
    <mergeCell ref="AJ1:AL1"/>
    <mergeCell ref="AM1:AP1"/>
    <mergeCell ref="N1:R1"/>
    <mergeCell ref="F1:J1"/>
    <mergeCell ref="N2:R2"/>
    <mergeCell ref="K1:M1"/>
    <mergeCell ref="S1:V1"/>
    <mergeCell ref="W1:Z1"/>
    <mergeCell ref="AA2:AB2"/>
    <mergeCell ref="AH1:AI1"/>
    <mergeCell ref="AA1:AB1"/>
    <mergeCell ref="AQ1:AR1"/>
    <mergeCell ref="AC1:AF1"/>
    <mergeCell ref="BD1:BH1"/>
    <mergeCell ref="BA1:BC1"/>
    <mergeCell ref="AS1:AU1"/>
    <mergeCell ref="AV1:AZ1"/>
    <mergeCell ref="F2:J2"/>
    <mergeCell ref="AJ2:AL2"/>
    <mergeCell ref="AS2:AU2"/>
    <mergeCell ref="K2:L2"/>
    <mergeCell ref="S2:V2"/>
    <mergeCell ref="AQ2:AR2"/>
    <mergeCell ref="AM2:AP2"/>
    <mergeCell ref="AH2:AI2"/>
    <mergeCell ref="AC2:AF2"/>
    <mergeCell ref="W2:Z2"/>
  </mergeCells>
  <phoneticPr fontId="10" type="noConversion"/>
  <pageMargins left="0.75" right="0.75" top="1" bottom="1" header="0.5" footer="0.5"/>
  <pageSetup paperSize="5" orientation="landscape" r:id="rId1"/>
  <headerFooter alignWithMargins="0">
    <oddFooter>&amp;C&amp;"Californian FB,Italic"(Pg. &amp;P of &amp;N)</oddFooter>
  </headerFooter>
  <ignoredErrors>
    <ignoredError sqref="BT682 C645:C646 E664:E669 AK665 D687:D688 D645:D646 BC665 BC684:BC687 J685:J688 J667 J671:J679 J681:J682 BS682 C570:D615 G681:G682 F683:G684 G671:G679 G667 F668:G668 F665:G665 F680:G680 G685 N665 F571:J597 C617:D630 C657:C663 D657:D663 AK671:AK675 AK667:AK668 C616:D616 F598:J599 F600:CI616 K598:CI599 F632:CI649 W631:CI631" formulaRange="1"/>
    <ignoredError sqref="R566 AF665 AR676:AR688 AR665 AU668 AZ682:AZ688 AZ566:BA566 BM676:BM677 BR665 BT684:BT688 N678:N688 N566 AI566:AJ566 AU566:AV566 AU685:AV688 BM566:BN566 BM672:BN675 BN665 BT566:BU566 BU675:BU677 CG675:CG677 CI566 F566 AF566:AG566 AB566:AC566 AC665 BM679:BM688 AV682:AV684 K566 K685:K688 K667:K668 R678:S688 Z665 Z678:Z688 Z566:AA566 AP566:AQ566 AQ665 AQ676:AQ688 BI566 BJ566:BK566 BR566:BS566 BS684:BS688 AL566:AM566 BY566:BZ566 BY675:BZ677 CC566:CD566 CC675:CD677 V566:W566 V678:W688 W665 AH566 AS685:AS688 AR566:AS566 AS668 CG566:CH566 AF671:AF688 AR671:AR672 AU671:AU673 BR671:BR675 BN671 AC671:AC688 AQ671:AQ672 AS671:AS673 K671:K673 AF667:AF668 AR667:AR668 BR667:BR668 BN667:BN668 AC667:AC668 AQ667:AQ668" emptyCellReference="1"/>
    <ignoredError sqref="AI676:AJ682 AR673:AR674 AU665 AU678:AV680 BA665 BD665 BJ665 BM665 BR676:BR688 BT683 BT665 CG678:CG688 BN676:BN688 BU678:BU683 BU665 CC678:CD682 CC665 AB665 AG665 AJ665 V665 N671:N676 AI665 AG673:AG677 AH673:AH677 AH672 AH679 AH678 AG679 AG681:AG682 AH681:AH682 AH680 AG684:AG688 AI672:AI675 AI684:AJ688 AJ683 AL677:AL678 AP679:AP688 AP665 AU675:AU676 AV665 AZ668 AV675:AV677 AV668 AZ665 AZ675:AZ681 BA672:BA673 BA675:BA678 BA681:BA688 BJ679:BJ688 BU673:BU674 CC671:CD674 CC684:CD688 BU685:BU688 BY683 CD683 CD665 CG665 CI665 F685:F688 F681:F682 F671:F679 N667 BD679:BD688 AV681 AS678:AS684 AU681:AU684 BT672:BT681 K674:K684 S665 R667 S668 R671:S676 Z667:Z668 AA665 AQ673:AQ674 BI679 BI680:BI688 BI665 BS672:BS681 BS665 BS683 AL665:AM665 AL679:AM688 BZ684 BY685:BZ688 BZ671:BZ672 BY673:BZ674 BY665:BZ665 BY678:BZ682 W667 AH684:AH688 AH665 AS675:AS676 AS665 CH665 AA671:AA688 BD671:BD677 BJ671:BJ677 AB671:AB688 AG671 AJ671:AJ675 AP671:AP676 AZ671:AZ673 AV671:AV673 CG671:CG674 CI671:CI688 BI671:BI677 AL671:AM676 CH671:CH688 V671:V676 Z671:Z677 W671:W677 AU667 BA667:BA668 BD667:BD668 BJ667:BJ668 BM667:BM668 BT667:BT668 BU667:BU668 CC667:CC668 AB667:AB668 AG667:AG668 AJ667:AJ668 V667:V668 AI667:AI668 AP667:AP668 CD667:CD668 CG667:CG668 CI667:CI668 AA667:AA668 BI667:BI668 BS667:BS668 AL667:AM668 BY667:BZ668 AH667:AH668 AS667 CH667:CH668" formulaRange="1" emptyCellReference="1"/>
    <ignoredError sqref="E670:E688 E652:E663 E570:E630" formula="1" formulaRange="1"/>
    <ignoredError sqref="C631:D644 F617:V631 W617:CI630" formulaRange="1" unlockedFormula="1"/>
    <ignoredError sqref="E631:E651" formula="1" formulaRange="1" unlockedFormula="1"/>
    <ignoredError sqref="E566:E567" formula="1"/>
    <ignoredError sqref="BD566" formula="1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664"/>
  <sheetViews>
    <sheetView zoomScaleNormal="100" workbookViewId="0">
      <pane xSplit="7070" ySplit="3160" topLeftCell="F4"/>
      <selection sqref="A1:E2"/>
      <selection pane="topRight" activeCell="Q1" sqref="Q1"/>
      <selection pane="bottomLeft" activeCell="B662" sqref="B662"/>
      <selection pane="bottomRight" activeCell="AG566" sqref="AG566"/>
    </sheetView>
  </sheetViews>
  <sheetFormatPr defaultColWidth="9.1796875" defaultRowHeight="12.5" x14ac:dyDescent="0.25"/>
  <cols>
    <col min="1" max="1" width="5.54296875" style="1" bestFit="1" customWidth="1"/>
    <col min="2" max="2" width="24.26953125" style="1" bestFit="1" customWidth="1"/>
    <col min="3" max="4" width="10.81640625" style="1" customWidth="1"/>
    <col min="5" max="5" width="9.1796875" style="1"/>
    <col min="6" max="7" width="11.54296875" style="1" customWidth="1"/>
    <col min="8" max="48" width="9.54296875" style="1" customWidth="1"/>
    <col min="49" max="16384" width="9.1796875" style="1"/>
  </cols>
  <sheetData>
    <row r="1" spans="1:63" ht="84.75" customHeight="1" thickTop="1" thickBot="1" x14ac:dyDescent="0.3">
      <c r="A1" s="888" t="s">
        <v>850</v>
      </c>
      <c r="B1" s="889"/>
      <c r="C1" s="889"/>
      <c r="D1" s="889"/>
      <c r="E1" s="890"/>
      <c r="F1" s="884" t="s">
        <v>1293</v>
      </c>
      <c r="G1" s="885"/>
      <c r="H1" s="884" t="s">
        <v>1294</v>
      </c>
      <c r="I1" s="885"/>
      <c r="J1" s="884" t="s">
        <v>1311</v>
      </c>
      <c r="K1" s="885"/>
      <c r="L1" s="884" t="s">
        <v>1295</v>
      </c>
      <c r="M1" s="885"/>
      <c r="N1" s="884" t="s">
        <v>1296</v>
      </c>
      <c r="O1" s="885"/>
      <c r="P1" s="884" t="s">
        <v>1312</v>
      </c>
      <c r="Q1" s="885"/>
      <c r="R1" s="884" t="s">
        <v>1297</v>
      </c>
      <c r="S1" s="885"/>
      <c r="T1" s="884" t="s">
        <v>1298</v>
      </c>
      <c r="U1" s="885"/>
      <c r="V1" s="884" t="s">
        <v>1299</v>
      </c>
      <c r="W1" s="885"/>
      <c r="X1" s="884" t="s">
        <v>1300</v>
      </c>
      <c r="Y1" s="885"/>
      <c r="Z1" s="884" t="s">
        <v>1301</v>
      </c>
      <c r="AA1" s="885"/>
      <c r="AB1" s="884" t="s">
        <v>1308</v>
      </c>
      <c r="AC1" s="885"/>
      <c r="AD1" s="884" t="s">
        <v>1309</v>
      </c>
      <c r="AE1" s="885"/>
      <c r="AF1" s="884" t="s">
        <v>1302</v>
      </c>
      <c r="AG1" s="885"/>
      <c r="AH1" s="884" t="s">
        <v>1303</v>
      </c>
      <c r="AI1" s="885"/>
      <c r="AJ1" s="884" t="s">
        <v>1304</v>
      </c>
      <c r="AK1" s="885"/>
      <c r="AL1" s="884" t="s">
        <v>1305</v>
      </c>
      <c r="AM1" s="885"/>
      <c r="AN1" s="884" t="s">
        <v>1306</v>
      </c>
      <c r="AO1" s="885"/>
      <c r="AP1" s="884" t="s">
        <v>1310</v>
      </c>
      <c r="AQ1" s="885"/>
      <c r="AR1" s="884" t="s">
        <v>1307</v>
      </c>
      <c r="AS1" s="885"/>
      <c r="AT1" s="884" t="s">
        <v>1313</v>
      </c>
      <c r="AU1" s="885"/>
      <c r="AV1" s="884" t="s">
        <v>1314</v>
      </c>
      <c r="AW1" s="885"/>
      <c r="AX1" s="884" t="s">
        <v>1316</v>
      </c>
      <c r="AY1" s="885"/>
      <c r="AZ1" s="884" t="s">
        <v>1315</v>
      </c>
      <c r="BA1" s="885"/>
      <c r="BB1" s="884" t="s">
        <v>1317</v>
      </c>
      <c r="BC1" s="885"/>
      <c r="BD1" s="884" t="s">
        <v>1318</v>
      </c>
      <c r="BE1" s="885"/>
      <c r="BF1" s="884" t="s">
        <v>1319</v>
      </c>
      <c r="BG1" s="885"/>
      <c r="BH1" s="884" t="s">
        <v>1320</v>
      </c>
      <c r="BI1" s="885"/>
      <c r="BJ1" s="884" t="s">
        <v>1321</v>
      </c>
      <c r="BK1" s="885"/>
    </row>
    <row r="2" spans="1:63" ht="21.75" customHeight="1" thickBot="1" x14ac:dyDescent="0.3">
      <c r="A2" s="891"/>
      <c r="B2" s="892"/>
      <c r="C2" s="892"/>
      <c r="D2" s="892"/>
      <c r="E2" s="893"/>
      <c r="F2" s="886"/>
      <c r="G2" s="887"/>
      <c r="H2" s="886"/>
      <c r="I2" s="887"/>
      <c r="J2" s="886"/>
      <c r="K2" s="887"/>
      <c r="L2" s="886"/>
      <c r="M2" s="887"/>
      <c r="N2" s="886"/>
      <c r="O2" s="887"/>
      <c r="P2" s="886"/>
      <c r="Q2" s="887"/>
      <c r="R2" s="886"/>
      <c r="S2" s="887"/>
      <c r="T2" s="886"/>
      <c r="U2" s="887"/>
      <c r="V2" s="886"/>
      <c r="W2" s="887"/>
      <c r="X2" s="886"/>
      <c r="Y2" s="887"/>
      <c r="Z2" s="886"/>
      <c r="AA2" s="887"/>
      <c r="AB2" s="886"/>
      <c r="AC2" s="887"/>
      <c r="AD2" s="886"/>
      <c r="AE2" s="887"/>
      <c r="AF2" s="886"/>
      <c r="AG2" s="887"/>
      <c r="AH2" s="886"/>
      <c r="AI2" s="887"/>
      <c r="AJ2" s="886"/>
      <c r="AK2" s="887"/>
      <c r="AL2" s="886"/>
      <c r="AM2" s="887"/>
      <c r="AN2" s="886"/>
      <c r="AO2" s="887"/>
      <c r="AP2" s="886"/>
      <c r="AQ2" s="887"/>
      <c r="AR2" s="886"/>
      <c r="AS2" s="887"/>
      <c r="AT2" s="886"/>
      <c r="AU2" s="887"/>
      <c r="AV2" s="886"/>
      <c r="AW2" s="887"/>
      <c r="AX2" s="886"/>
      <c r="AY2" s="887"/>
      <c r="AZ2" s="886"/>
      <c r="BA2" s="887"/>
      <c r="BB2" s="886"/>
      <c r="BC2" s="887"/>
      <c r="BD2" s="886"/>
      <c r="BE2" s="887"/>
      <c r="BF2" s="886"/>
      <c r="BG2" s="887"/>
      <c r="BH2" s="886"/>
      <c r="BI2" s="887"/>
      <c r="BJ2" s="886"/>
      <c r="BK2" s="887"/>
    </row>
    <row r="3" spans="1:63" s="6" customFormat="1" ht="39.75" customHeight="1" thickTop="1" thickBot="1" x14ac:dyDescent="0.25">
      <c r="A3" s="35" t="s">
        <v>106</v>
      </c>
      <c r="B3" s="38" t="s">
        <v>107</v>
      </c>
      <c r="C3" s="38" t="s">
        <v>108</v>
      </c>
      <c r="D3" s="38" t="s">
        <v>109</v>
      </c>
      <c r="E3" s="34" t="s">
        <v>110</v>
      </c>
      <c r="F3" s="108" t="s">
        <v>111</v>
      </c>
      <c r="G3" s="111" t="s">
        <v>112</v>
      </c>
      <c r="H3" s="108" t="s">
        <v>111</v>
      </c>
      <c r="I3" s="110" t="s">
        <v>112</v>
      </c>
      <c r="J3" s="358" t="s">
        <v>113</v>
      </c>
      <c r="K3" s="111" t="s">
        <v>114</v>
      </c>
      <c r="L3" s="108" t="s">
        <v>111</v>
      </c>
      <c r="M3" s="110" t="s">
        <v>112</v>
      </c>
      <c r="N3" s="358" t="s">
        <v>111</v>
      </c>
      <c r="O3" s="111" t="s">
        <v>112</v>
      </c>
      <c r="P3" s="108" t="s">
        <v>113</v>
      </c>
      <c r="Q3" s="111" t="s">
        <v>114</v>
      </c>
      <c r="R3" s="108" t="s">
        <v>111</v>
      </c>
      <c r="S3" s="110" t="s">
        <v>112</v>
      </c>
      <c r="T3" s="358" t="s">
        <v>111</v>
      </c>
      <c r="U3" s="110" t="s">
        <v>112</v>
      </c>
      <c r="V3" s="358" t="s">
        <v>111</v>
      </c>
      <c r="W3" s="111" t="s">
        <v>112</v>
      </c>
      <c r="X3" s="108" t="s">
        <v>113</v>
      </c>
      <c r="Y3" s="110" t="s">
        <v>114</v>
      </c>
      <c r="Z3" s="358" t="s">
        <v>113</v>
      </c>
      <c r="AA3" s="109" t="s">
        <v>114</v>
      </c>
      <c r="AB3" s="109" t="s">
        <v>113</v>
      </c>
      <c r="AC3" s="109" t="s">
        <v>114</v>
      </c>
      <c r="AD3" s="109" t="s">
        <v>113</v>
      </c>
      <c r="AE3" s="109" t="s">
        <v>114</v>
      </c>
      <c r="AF3" s="109" t="s">
        <v>113</v>
      </c>
      <c r="AG3" s="109" t="s">
        <v>114</v>
      </c>
      <c r="AH3" s="109" t="s">
        <v>113</v>
      </c>
      <c r="AI3" s="109" t="s">
        <v>114</v>
      </c>
      <c r="AJ3" s="109" t="s">
        <v>113</v>
      </c>
      <c r="AK3" s="109" t="s">
        <v>114</v>
      </c>
      <c r="AL3" s="109" t="s">
        <v>113</v>
      </c>
      <c r="AM3" s="109" t="s">
        <v>114</v>
      </c>
      <c r="AN3" s="109" t="s">
        <v>113</v>
      </c>
      <c r="AO3" s="109" t="s">
        <v>114</v>
      </c>
      <c r="AP3" s="109" t="s">
        <v>113</v>
      </c>
      <c r="AQ3" s="110" t="s">
        <v>114</v>
      </c>
      <c r="AR3" s="109" t="s">
        <v>113</v>
      </c>
      <c r="AS3" s="109" t="s">
        <v>114</v>
      </c>
      <c r="AT3" s="109" t="s">
        <v>113</v>
      </c>
      <c r="AU3" s="109" t="s">
        <v>114</v>
      </c>
      <c r="AV3" s="109" t="s">
        <v>111</v>
      </c>
      <c r="AW3" s="109" t="s">
        <v>112</v>
      </c>
      <c r="AX3" s="109" t="s">
        <v>111</v>
      </c>
      <c r="AY3" s="109" t="s">
        <v>112</v>
      </c>
      <c r="AZ3" s="109" t="s">
        <v>111</v>
      </c>
      <c r="BA3" s="109" t="s">
        <v>112</v>
      </c>
      <c r="BB3" s="109" t="s">
        <v>113</v>
      </c>
      <c r="BC3" s="109" t="s">
        <v>114</v>
      </c>
      <c r="BD3" s="109" t="s">
        <v>111</v>
      </c>
      <c r="BE3" s="109" t="s">
        <v>112</v>
      </c>
      <c r="BF3" s="109" t="s">
        <v>111</v>
      </c>
      <c r="BG3" s="109" t="s">
        <v>112</v>
      </c>
      <c r="BH3" s="109" t="s">
        <v>113</v>
      </c>
      <c r="BI3" s="109" t="s">
        <v>114</v>
      </c>
      <c r="BJ3" s="109" t="s">
        <v>111</v>
      </c>
      <c r="BK3" s="109" t="s">
        <v>112</v>
      </c>
    </row>
    <row r="4" spans="1:63" ht="13.5" thickTop="1" x14ac:dyDescent="0.25">
      <c r="A4" s="370">
        <v>101</v>
      </c>
      <c r="B4" s="371" t="s">
        <v>145</v>
      </c>
      <c r="C4" s="359">
        <v>330</v>
      </c>
      <c r="D4" s="56">
        <v>169</v>
      </c>
      <c r="E4" s="366">
        <v>0.54179566563467496</v>
      </c>
      <c r="F4" s="51">
        <v>88</v>
      </c>
      <c r="G4" s="96">
        <v>78</v>
      </c>
      <c r="H4" s="51">
        <v>102</v>
      </c>
      <c r="I4" s="94">
        <v>65</v>
      </c>
      <c r="J4" s="95"/>
      <c r="K4" s="96"/>
      <c r="L4" s="51"/>
      <c r="M4" s="94"/>
      <c r="N4" s="95"/>
      <c r="O4" s="96"/>
      <c r="P4" s="191"/>
      <c r="Q4" s="195"/>
      <c r="R4" s="205"/>
      <c r="S4" s="197"/>
      <c r="T4" s="191"/>
      <c r="U4" s="195"/>
      <c r="V4" s="205"/>
      <c r="W4" s="197"/>
      <c r="X4" s="191"/>
      <c r="Y4" s="195"/>
      <c r="Z4" s="205"/>
      <c r="AA4" s="197"/>
      <c r="AB4" s="191"/>
      <c r="AC4" s="195"/>
      <c r="AD4" s="205"/>
      <c r="AE4" s="197"/>
      <c r="AF4" s="191"/>
      <c r="AG4" s="195"/>
      <c r="AH4" s="205"/>
      <c r="AI4" s="197"/>
      <c r="AJ4" s="191"/>
      <c r="AK4" s="195"/>
      <c r="AL4" s="205"/>
      <c r="AM4" s="197"/>
      <c r="AN4" s="191"/>
      <c r="AO4" s="195"/>
      <c r="AP4" s="205">
        <v>85</v>
      </c>
      <c r="AQ4" s="197">
        <v>77</v>
      </c>
      <c r="AR4" s="191">
        <v>58</v>
      </c>
      <c r="AS4" s="195">
        <v>99</v>
      </c>
      <c r="AT4" s="205"/>
      <c r="AU4" s="197"/>
      <c r="AV4" s="194">
        <v>70</v>
      </c>
      <c r="AW4" s="195">
        <v>96</v>
      </c>
      <c r="AX4" s="206">
        <v>82</v>
      </c>
      <c r="AY4" s="197">
        <v>61</v>
      </c>
      <c r="AZ4" s="51">
        <v>15</v>
      </c>
      <c r="BA4" s="96">
        <v>136</v>
      </c>
      <c r="BB4" s="194"/>
      <c r="BC4" s="192"/>
      <c r="BD4" s="194"/>
      <c r="BE4" s="192"/>
      <c r="BF4" s="194"/>
      <c r="BG4" s="192"/>
      <c r="BH4" s="194"/>
      <c r="BI4" s="192"/>
      <c r="BJ4" s="194"/>
      <c r="BK4" s="192"/>
    </row>
    <row r="5" spans="1:63" ht="13" x14ac:dyDescent="0.25">
      <c r="A5" s="372">
        <v>102</v>
      </c>
      <c r="B5" s="373" t="s">
        <v>146</v>
      </c>
      <c r="C5" s="360">
        <v>1320</v>
      </c>
      <c r="D5" s="54">
        <v>826</v>
      </c>
      <c r="E5" s="367">
        <v>0.63086232980332824</v>
      </c>
      <c r="F5" s="45">
        <v>579</v>
      </c>
      <c r="G5" s="58">
        <v>241</v>
      </c>
      <c r="H5" s="45">
        <v>554</v>
      </c>
      <c r="I5" s="57">
        <v>262</v>
      </c>
      <c r="J5" s="97"/>
      <c r="K5" s="58"/>
      <c r="L5" s="45"/>
      <c r="M5" s="57"/>
      <c r="N5" s="97"/>
      <c r="O5" s="58"/>
      <c r="P5" s="165"/>
      <c r="Q5" s="166"/>
      <c r="R5" s="207"/>
      <c r="S5" s="170"/>
      <c r="T5" s="165"/>
      <c r="U5" s="166"/>
      <c r="V5" s="207"/>
      <c r="W5" s="170"/>
      <c r="X5" s="165"/>
      <c r="Y5" s="166"/>
      <c r="Z5" s="207"/>
      <c r="AA5" s="170"/>
      <c r="AB5" s="165"/>
      <c r="AC5" s="166"/>
      <c r="AD5" s="207"/>
      <c r="AE5" s="170"/>
      <c r="AF5" s="165"/>
      <c r="AG5" s="166"/>
      <c r="AH5" s="207"/>
      <c r="AI5" s="170"/>
      <c r="AJ5" s="165"/>
      <c r="AK5" s="166"/>
      <c r="AL5" s="207"/>
      <c r="AM5" s="170"/>
      <c r="AN5" s="165"/>
      <c r="AO5" s="166"/>
      <c r="AP5" s="207">
        <v>649</v>
      </c>
      <c r="AQ5" s="170">
        <v>170</v>
      </c>
      <c r="AR5" s="165">
        <v>556</v>
      </c>
      <c r="AS5" s="166">
        <v>251</v>
      </c>
      <c r="AT5" s="207"/>
      <c r="AU5" s="170"/>
      <c r="AV5" s="190">
        <v>449</v>
      </c>
      <c r="AW5" s="166">
        <v>359</v>
      </c>
      <c r="AX5" s="208">
        <v>465</v>
      </c>
      <c r="AY5" s="170">
        <v>252</v>
      </c>
      <c r="AZ5" s="45">
        <v>161</v>
      </c>
      <c r="BA5" s="58">
        <v>604</v>
      </c>
      <c r="BB5" s="190"/>
      <c r="BC5" s="167"/>
      <c r="BD5" s="190"/>
      <c r="BE5" s="167"/>
      <c r="BF5" s="190"/>
      <c r="BG5" s="167"/>
      <c r="BH5" s="190"/>
      <c r="BI5" s="167"/>
      <c r="BJ5" s="190"/>
      <c r="BK5" s="167"/>
    </row>
    <row r="6" spans="1:63" ht="13" x14ac:dyDescent="0.25">
      <c r="A6" s="372">
        <v>103</v>
      </c>
      <c r="B6" s="373" t="s">
        <v>147</v>
      </c>
      <c r="C6" s="360">
        <v>1201</v>
      </c>
      <c r="D6" s="54">
        <v>586</v>
      </c>
      <c r="E6" s="367">
        <v>0.48890714872637636</v>
      </c>
      <c r="F6" s="45">
        <v>454</v>
      </c>
      <c r="G6" s="58">
        <v>127</v>
      </c>
      <c r="H6" s="45">
        <v>456</v>
      </c>
      <c r="I6" s="57">
        <v>124</v>
      </c>
      <c r="J6" s="97"/>
      <c r="K6" s="58"/>
      <c r="L6" s="45"/>
      <c r="M6" s="57"/>
      <c r="N6" s="97"/>
      <c r="O6" s="58"/>
      <c r="P6" s="165"/>
      <c r="Q6" s="166"/>
      <c r="R6" s="207"/>
      <c r="S6" s="170"/>
      <c r="T6" s="165"/>
      <c r="U6" s="166"/>
      <c r="V6" s="207"/>
      <c r="W6" s="170"/>
      <c r="X6" s="165"/>
      <c r="Y6" s="166"/>
      <c r="Z6" s="207"/>
      <c r="AA6" s="170"/>
      <c r="AB6" s="165"/>
      <c r="AC6" s="166"/>
      <c r="AD6" s="207"/>
      <c r="AE6" s="170"/>
      <c r="AF6" s="165"/>
      <c r="AG6" s="166"/>
      <c r="AH6" s="207"/>
      <c r="AI6" s="170"/>
      <c r="AJ6" s="165"/>
      <c r="AK6" s="166"/>
      <c r="AL6" s="207"/>
      <c r="AM6" s="170"/>
      <c r="AN6" s="165"/>
      <c r="AO6" s="166"/>
      <c r="AP6" s="207">
        <v>454</v>
      </c>
      <c r="AQ6" s="170">
        <v>123</v>
      </c>
      <c r="AR6" s="165">
        <v>390</v>
      </c>
      <c r="AS6" s="166">
        <v>180</v>
      </c>
      <c r="AT6" s="207"/>
      <c r="AU6" s="170"/>
      <c r="AV6" s="190">
        <v>294</v>
      </c>
      <c r="AW6" s="166">
        <v>280</v>
      </c>
      <c r="AX6" s="208">
        <v>332</v>
      </c>
      <c r="AY6" s="170">
        <v>176</v>
      </c>
      <c r="AZ6" s="45">
        <v>162</v>
      </c>
      <c r="BA6" s="58">
        <v>381</v>
      </c>
      <c r="BB6" s="190"/>
      <c r="BC6" s="167"/>
      <c r="BD6" s="190"/>
      <c r="BE6" s="167"/>
      <c r="BF6" s="190"/>
      <c r="BG6" s="167"/>
      <c r="BH6" s="190"/>
      <c r="BI6" s="167"/>
      <c r="BJ6" s="190"/>
      <c r="BK6" s="167"/>
    </row>
    <row r="7" spans="1:63" ht="13" x14ac:dyDescent="0.25">
      <c r="A7" s="372">
        <v>104</v>
      </c>
      <c r="B7" s="373" t="s">
        <v>148</v>
      </c>
      <c r="C7" s="360">
        <v>822</v>
      </c>
      <c r="D7" s="54">
        <v>423</v>
      </c>
      <c r="E7" s="367">
        <v>0.49246231155778897</v>
      </c>
      <c r="F7" s="45">
        <v>327</v>
      </c>
      <c r="G7" s="58">
        <v>94</v>
      </c>
      <c r="H7" s="45">
        <v>318</v>
      </c>
      <c r="I7" s="57">
        <v>102</v>
      </c>
      <c r="J7" s="97"/>
      <c r="K7" s="58"/>
      <c r="L7" s="45"/>
      <c r="M7" s="57"/>
      <c r="N7" s="97"/>
      <c r="O7" s="58"/>
      <c r="P7" s="165"/>
      <c r="Q7" s="166"/>
      <c r="R7" s="207"/>
      <c r="S7" s="170"/>
      <c r="T7" s="165"/>
      <c r="U7" s="166"/>
      <c r="V7" s="207"/>
      <c r="W7" s="170"/>
      <c r="X7" s="165"/>
      <c r="Y7" s="166"/>
      <c r="Z7" s="207"/>
      <c r="AA7" s="170"/>
      <c r="AB7" s="165"/>
      <c r="AC7" s="166"/>
      <c r="AD7" s="207"/>
      <c r="AE7" s="170"/>
      <c r="AF7" s="165"/>
      <c r="AG7" s="166"/>
      <c r="AH7" s="207"/>
      <c r="AI7" s="170"/>
      <c r="AJ7" s="165"/>
      <c r="AK7" s="166"/>
      <c r="AL7" s="207"/>
      <c r="AM7" s="170"/>
      <c r="AN7" s="165"/>
      <c r="AO7" s="166"/>
      <c r="AP7" s="207">
        <v>289</v>
      </c>
      <c r="AQ7" s="170">
        <v>124</v>
      </c>
      <c r="AR7" s="165">
        <v>226</v>
      </c>
      <c r="AS7" s="166">
        <v>181</v>
      </c>
      <c r="AT7" s="207"/>
      <c r="AU7" s="170"/>
      <c r="AV7" s="190">
        <v>235</v>
      </c>
      <c r="AW7" s="166">
        <v>180</v>
      </c>
      <c r="AX7" s="208">
        <v>239</v>
      </c>
      <c r="AY7" s="170">
        <v>131</v>
      </c>
      <c r="AZ7" s="45">
        <v>80</v>
      </c>
      <c r="BA7" s="58">
        <v>320</v>
      </c>
      <c r="BB7" s="190"/>
      <c r="BC7" s="167"/>
      <c r="BD7" s="190"/>
      <c r="BE7" s="167"/>
      <c r="BF7" s="190"/>
      <c r="BG7" s="167"/>
      <c r="BH7" s="190"/>
      <c r="BI7" s="167"/>
      <c r="BJ7" s="190"/>
      <c r="BK7" s="167"/>
    </row>
    <row r="8" spans="1:63" ht="13" x14ac:dyDescent="0.25">
      <c r="A8" s="372">
        <v>105</v>
      </c>
      <c r="B8" s="373" t="s">
        <v>149</v>
      </c>
      <c r="C8" s="360">
        <v>1311</v>
      </c>
      <c r="D8" s="54">
        <v>610</v>
      </c>
      <c r="E8" s="367">
        <v>0.46882043576258453</v>
      </c>
      <c r="F8" s="45">
        <v>458</v>
      </c>
      <c r="G8" s="58">
        <v>150</v>
      </c>
      <c r="H8" s="45">
        <v>454</v>
      </c>
      <c r="I8" s="57">
        <v>155</v>
      </c>
      <c r="J8" s="97"/>
      <c r="K8" s="58"/>
      <c r="L8" s="45"/>
      <c r="M8" s="57"/>
      <c r="N8" s="97"/>
      <c r="O8" s="58"/>
      <c r="P8" s="165"/>
      <c r="Q8" s="166"/>
      <c r="R8" s="207"/>
      <c r="S8" s="170"/>
      <c r="T8" s="165"/>
      <c r="U8" s="166"/>
      <c r="V8" s="207"/>
      <c r="W8" s="170"/>
      <c r="X8" s="165"/>
      <c r="Y8" s="166"/>
      <c r="Z8" s="207"/>
      <c r="AA8" s="170"/>
      <c r="AB8" s="165"/>
      <c r="AC8" s="166"/>
      <c r="AD8" s="207"/>
      <c r="AE8" s="170"/>
      <c r="AF8" s="165"/>
      <c r="AG8" s="166"/>
      <c r="AH8" s="207"/>
      <c r="AI8" s="170"/>
      <c r="AJ8" s="165"/>
      <c r="AK8" s="166"/>
      <c r="AL8" s="207"/>
      <c r="AM8" s="170"/>
      <c r="AN8" s="165"/>
      <c r="AO8" s="166"/>
      <c r="AP8" s="207">
        <v>472</v>
      </c>
      <c r="AQ8" s="170">
        <v>128</v>
      </c>
      <c r="AR8" s="165">
        <v>407</v>
      </c>
      <c r="AS8" s="166">
        <v>190</v>
      </c>
      <c r="AT8" s="207"/>
      <c r="AU8" s="170"/>
      <c r="AV8" s="190">
        <v>323</v>
      </c>
      <c r="AW8" s="166">
        <v>271</v>
      </c>
      <c r="AX8" s="208">
        <v>333</v>
      </c>
      <c r="AY8" s="170">
        <v>198</v>
      </c>
      <c r="AZ8" s="45">
        <v>157</v>
      </c>
      <c r="BA8" s="58">
        <v>415</v>
      </c>
      <c r="BB8" s="190"/>
      <c r="BC8" s="167"/>
      <c r="BD8" s="190"/>
      <c r="BE8" s="167"/>
      <c r="BF8" s="190"/>
      <c r="BG8" s="167"/>
      <c r="BH8" s="190"/>
      <c r="BI8" s="167"/>
      <c r="BJ8" s="190"/>
      <c r="BK8" s="167"/>
    </row>
    <row r="9" spans="1:63" ht="13" x14ac:dyDescent="0.25">
      <c r="A9" s="372">
        <v>106</v>
      </c>
      <c r="B9" s="373" t="s">
        <v>150</v>
      </c>
      <c r="C9" s="360">
        <v>1204</v>
      </c>
      <c r="D9" s="54">
        <v>749</v>
      </c>
      <c r="E9" s="367">
        <v>0.61231281198003329</v>
      </c>
      <c r="F9" s="45">
        <v>525</v>
      </c>
      <c r="G9" s="58">
        <v>217</v>
      </c>
      <c r="H9" s="45">
        <v>519</v>
      </c>
      <c r="I9" s="57">
        <v>221</v>
      </c>
      <c r="J9" s="97"/>
      <c r="K9" s="58"/>
      <c r="L9" s="45"/>
      <c r="M9" s="57"/>
      <c r="N9" s="97"/>
      <c r="O9" s="58"/>
      <c r="P9" s="165"/>
      <c r="Q9" s="166"/>
      <c r="R9" s="207"/>
      <c r="S9" s="170"/>
      <c r="T9" s="165"/>
      <c r="U9" s="166"/>
      <c r="V9" s="207"/>
      <c r="W9" s="170"/>
      <c r="X9" s="165"/>
      <c r="Y9" s="166"/>
      <c r="Z9" s="207"/>
      <c r="AA9" s="170"/>
      <c r="AB9" s="165"/>
      <c r="AC9" s="166"/>
      <c r="AD9" s="207"/>
      <c r="AE9" s="170"/>
      <c r="AF9" s="165"/>
      <c r="AG9" s="166"/>
      <c r="AH9" s="207"/>
      <c r="AI9" s="170"/>
      <c r="AJ9" s="165"/>
      <c r="AK9" s="166"/>
      <c r="AL9" s="207"/>
      <c r="AM9" s="170"/>
      <c r="AN9" s="165"/>
      <c r="AO9" s="166"/>
      <c r="AP9" s="207">
        <v>534</v>
      </c>
      <c r="AQ9" s="170">
        <v>197</v>
      </c>
      <c r="AR9" s="165">
        <v>414</v>
      </c>
      <c r="AS9" s="166">
        <v>309</v>
      </c>
      <c r="AT9" s="207"/>
      <c r="AU9" s="170"/>
      <c r="AV9" s="190">
        <v>367</v>
      </c>
      <c r="AW9" s="166">
        <v>357</v>
      </c>
      <c r="AX9" s="208">
        <v>409</v>
      </c>
      <c r="AY9" s="170">
        <v>233</v>
      </c>
      <c r="AZ9" s="45">
        <v>147</v>
      </c>
      <c r="BA9" s="58">
        <v>532</v>
      </c>
      <c r="BB9" s="190"/>
      <c r="BC9" s="167"/>
      <c r="BD9" s="190"/>
      <c r="BE9" s="167"/>
      <c r="BF9" s="190"/>
      <c r="BG9" s="167"/>
      <c r="BH9" s="190"/>
      <c r="BI9" s="167"/>
      <c r="BJ9" s="190"/>
      <c r="BK9" s="167"/>
    </row>
    <row r="10" spans="1:63" ht="13" x14ac:dyDescent="0.25">
      <c r="A10" s="372">
        <v>107</v>
      </c>
      <c r="B10" s="373" t="s">
        <v>151</v>
      </c>
      <c r="C10" s="360">
        <v>979</v>
      </c>
      <c r="D10" s="54">
        <v>540</v>
      </c>
      <c r="E10" s="367">
        <v>0.57656731757451185</v>
      </c>
      <c r="F10" s="45">
        <v>372</v>
      </c>
      <c r="G10" s="58">
        <v>168</v>
      </c>
      <c r="H10" s="45">
        <v>377</v>
      </c>
      <c r="I10" s="57">
        <v>155</v>
      </c>
      <c r="J10" s="97"/>
      <c r="K10" s="58"/>
      <c r="L10" s="45"/>
      <c r="M10" s="57"/>
      <c r="N10" s="97"/>
      <c r="O10" s="58"/>
      <c r="P10" s="165"/>
      <c r="Q10" s="166"/>
      <c r="R10" s="207"/>
      <c r="S10" s="170"/>
      <c r="T10" s="165"/>
      <c r="U10" s="166"/>
      <c r="V10" s="207"/>
      <c r="W10" s="170"/>
      <c r="X10" s="165"/>
      <c r="Y10" s="166"/>
      <c r="Z10" s="207"/>
      <c r="AA10" s="170"/>
      <c r="AB10" s="165"/>
      <c r="AC10" s="166"/>
      <c r="AD10" s="207"/>
      <c r="AE10" s="170"/>
      <c r="AF10" s="165"/>
      <c r="AG10" s="166"/>
      <c r="AH10" s="207"/>
      <c r="AI10" s="170"/>
      <c r="AJ10" s="165"/>
      <c r="AK10" s="166"/>
      <c r="AL10" s="207"/>
      <c r="AM10" s="170"/>
      <c r="AN10" s="165"/>
      <c r="AO10" s="166"/>
      <c r="AP10" s="207">
        <v>387</v>
      </c>
      <c r="AQ10" s="170">
        <v>140</v>
      </c>
      <c r="AR10" s="165">
        <v>333</v>
      </c>
      <c r="AS10" s="166">
        <v>191</v>
      </c>
      <c r="AT10" s="207"/>
      <c r="AU10" s="170"/>
      <c r="AV10" s="190">
        <v>245</v>
      </c>
      <c r="AW10" s="166">
        <v>275</v>
      </c>
      <c r="AX10" s="208">
        <v>290</v>
      </c>
      <c r="AY10" s="170">
        <v>179</v>
      </c>
      <c r="AZ10" s="45">
        <v>130</v>
      </c>
      <c r="BA10" s="58">
        <v>371</v>
      </c>
      <c r="BB10" s="190"/>
      <c r="BC10" s="167"/>
      <c r="BD10" s="190"/>
      <c r="BE10" s="167"/>
      <c r="BF10" s="190"/>
      <c r="BG10" s="167"/>
      <c r="BH10" s="190"/>
      <c r="BI10" s="167"/>
      <c r="BJ10" s="190"/>
      <c r="BK10" s="167"/>
    </row>
    <row r="11" spans="1:63" ht="13" x14ac:dyDescent="0.25">
      <c r="A11" s="372">
        <v>108</v>
      </c>
      <c r="B11" s="373" t="s">
        <v>152</v>
      </c>
      <c r="C11" s="360">
        <v>706</v>
      </c>
      <c r="D11" s="54">
        <v>398</v>
      </c>
      <c r="E11" s="367">
        <v>0.61272475795297376</v>
      </c>
      <c r="F11" s="45">
        <v>286</v>
      </c>
      <c r="G11" s="58">
        <v>109</v>
      </c>
      <c r="H11" s="45">
        <v>285</v>
      </c>
      <c r="I11" s="57">
        <v>111</v>
      </c>
      <c r="J11" s="97"/>
      <c r="K11" s="58"/>
      <c r="L11" s="45"/>
      <c r="M11" s="57"/>
      <c r="N11" s="97"/>
      <c r="O11" s="58"/>
      <c r="P11" s="165"/>
      <c r="Q11" s="166"/>
      <c r="R11" s="207"/>
      <c r="S11" s="170"/>
      <c r="T11" s="165"/>
      <c r="U11" s="166"/>
      <c r="V11" s="207"/>
      <c r="W11" s="170"/>
      <c r="X11" s="165"/>
      <c r="Y11" s="166"/>
      <c r="Z11" s="207"/>
      <c r="AA11" s="170"/>
      <c r="AB11" s="165"/>
      <c r="AC11" s="166"/>
      <c r="AD11" s="207"/>
      <c r="AE11" s="170"/>
      <c r="AF11" s="165"/>
      <c r="AG11" s="166"/>
      <c r="AH11" s="207"/>
      <c r="AI11" s="170"/>
      <c r="AJ11" s="165"/>
      <c r="AK11" s="166"/>
      <c r="AL11" s="207"/>
      <c r="AM11" s="170"/>
      <c r="AN11" s="165"/>
      <c r="AO11" s="166"/>
      <c r="AP11" s="207">
        <v>294</v>
      </c>
      <c r="AQ11" s="170">
        <v>96</v>
      </c>
      <c r="AR11" s="165">
        <v>234</v>
      </c>
      <c r="AS11" s="166">
        <v>156</v>
      </c>
      <c r="AT11" s="207"/>
      <c r="AU11" s="170"/>
      <c r="AV11" s="190">
        <v>205</v>
      </c>
      <c r="AW11" s="166">
        <v>183</v>
      </c>
      <c r="AX11" s="208">
        <v>246</v>
      </c>
      <c r="AY11" s="170">
        <v>102</v>
      </c>
      <c r="AZ11" s="45">
        <v>82</v>
      </c>
      <c r="BA11" s="58">
        <v>291</v>
      </c>
      <c r="BB11" s="190"/>
      <c r="BC11" s="167"/>
      <c r="BD11" s="190"/>
      <c r="BE11" s="167"/>
      <c r="BF11" s="190"/>
      <c r="BG11" s="167"/>
      <c r="BH11" s="190"/>
      <c r="BI11" s="167"/>
      <c r="BJ11" s="190"/>
      <c r="BK11" s="167"/>
    </row>
    <row r="12" spans="1:63" ht="13" x14ac:dyDescent="0.25">
      <c r="A12" s="372">
        <v>109</v>
      </c>
      <c r="B12" s="373" t="s">
        <v>153</v>
      </c>
      <c r="C12" s="360">
        <v>1162</v>
      </c>
      <c r="D12" s="54">
        <v>674</v>
      </c>
      <c r="E12" s="367">
        <v>0.58318890814558055</v>
      </c>
      <c r="F12" s="45">
        <v>456</v>
      </c>
      <c r="G12" s="58">
        <v>216</v>
      </c>
      <c r="H12" s="45">
        <v>488</v>
      </c>
      <c r="I12" s="57">
        <v>181</v>
      </c>
      <c r="J12" s="97"/>
      <c r="K12" s="58"/>
      <c r="L12" s="45"/>
      <c r="M12" s="57"/>
      <c r="N12" s="97"/>
      <c r="O12" s="58"/>
      <c r="P12" s="165"/>
      <c r="Q12" s="166"/>
      <c r="R12" s="207"/>
      <c r="S12" s="170"/>
      <c r="T12" s="165"/>
      <c r="U12" s="166"/>
      <c r="V12" s="207"/>
      <c r="W12" s="170"/>
      <c r="X12" s="165"/>
      <c r="Y12" s="166"/>
      <c r="Z12" s="207"/>
      <c r="AA12" s="170"/>
      <c r="AB12" s="165"/>
      <c r="AC12" s="166"/>
      <c r="AD12" s="207"/>
      <c r="AE12" s="170"/>
      <c r="AF12" s="165"/>
      <c r="AG12" s="166"/>
      <c r="AH12" s="207"/>
      <c r="AI12" s="170"/>
      <c r="AJ12" s="165"/>
      <c r="AK12" s="166"/>
      <c r="AL12" s="207"/>
      <c r="AM12" s="170"/>
      <c r="AN12" s="165"/>
      <c r="AO12" s="166"/>
      <c r="AP12" s="207">
        <v>492</v>
      </c>
      <c r="AQ12" s="170">
        <v>170</v>
      </c>
      <c r="AR12" s="165">
        <v>399</v>
      </c>
      <c r="AS12" s="166">
        <v>256</v>
      </c>
      <c r="AT12" s="207"/>
      <c r="AU12" s="170"/>
      <c r="AV12" s="190">
        <v>327</v>
      </c>
      <c r="AW12" s="166">
        <v>324</v>
      </c>
      <c r="AX12" s="208">
        <v>388</v>
      </c>
      <c r="AY12" s="170">
        <v>200</v>
      </c>
      <c r="AZ12" s="45">
        <v>129</v>
      </c>
      <c r="BA12" s="58">
        <v>486</v>
      </c>
      <c r="BB12" s="190"/>
      <c r="BC12" s="167"/>
      <c r="BD12" s="190"/>
      <c r="BE12" s="167"/>
      <c r="BF12" s="190"/>
      <c r="BG12" s="167"/>
      <c r="BH12" s="190"/>
      <c r="BI12" s="167"/>
      <c r="BJ12" s="190"/>
      <c r="BK12" s="167"/>
    </row>
    <row r="13" spans="1:63" ht="13" x14ac:dyDescent="0.25">
      <c r="A13" s="372">
        <v>110</v>
      </c>
      <c r="B13" s="373" t="s">
        <v>154</v>
      </c>
      <c r="C13" s="360">
        <v>1224</v>
      </c>
      <c r="D13" s="54">
        <v>656</v>
      </c>
      <c r="E13" s="367">
        <v>0.54663422546634222</v>
      </c>
      <c r="F13" s="45">
        <v>487</v>
      </c>
      <c r="G13" s="58">
        <v>162</v>
      </c>
      <c r="H13" s="45">
        <v>480</v>
      </c>
      <c r="I13" s="57">
        <v>168</v>
      </c>
      <c r="J13" s="97"/>
      <c r="K13" s="58"/>
      <c r="L13" s="45"/>
      <c r="M13" s="57"/>
      <c r="N13" s="97"/>
      <c r="O13" s="58"/>
      <c r="P13" s="165"/>
      <c r="Q13" s="166"/>
      <c r="R13" s="207"/>
      <c r="S13" s="170"/>
      <c r="T13" s="165"/>
      <c r="U13" s="166"/>
      <c r="V13" s="207"/>
      <c r="W13" s="170"/>
      <c r="X13" s="165"/>
      <c r="Y13" s="166"/>
      <c r="Z13" s="207"/>
      <c r="AA13" s="170"/>
      <c r="AB13" s="165"/>
      <c r="AC13" s="166"/>
      <c r="AD13" s="207"/>
      <c r="AE13" s="170"/>
      <c r="AF13" s="165"/>
      <c r="AG13" s="166"/>
      <c r="AH13" s="207"/>
      <c r="AI13" s="170"/>
      <c r="AJ13" s="165"/>
      <c r="AK13" s="166"/>
      <c r="AL13" s="207"/>
      <c r="AM13" s="170"/>
      <c r="AN13" s="165"/>
      <c r="AO13" s="166"/>
      <c r="AP13" s="207">
        <v>459</v>
      </c>
      <c r="AQ13" s="170">
        <v>178</v>
      </c>
      <c r="AR13" s="165">
        <v>376</v>
      </c>
      <c r="AS13" s="166">
        <v>251</v>
      </c>
      <c r="AT13" s="207"/>
      <c r="AU13" s="170"/>
      <c r="AV13" s="190">
        <v>339</v>
      </c>
      <c r="AW13" s="166">
        <v>298</v>
      </c>
      <c r="AX13" s="208">
        <v>365</v>
      </c>
      <c r="AY13" s="170">
        <v>184</v>
      </c>
      <c r="AZ13" s="45">
        <v>120</v>
      </c>
      <c r="BA13" s="58">
        <v>476</v>
      </c>
      <c r="BB13" s="190"/>
      <c r="BC13" s="167"/>
      <c r="BD13" s="190"/>
      <c r="BE13" s="167"/>
      <c r="BF13" s="190"/>
      <c r="BG13" s="167"/>
      <c r="BH13" s="190"/>
      <c r="BI13" s="167"/>
      <c r="BJ13" s="190"/>
      <c r="BK13" s="167"/>
    </row>
    <row r="14" spans="1:63" ht="13" x14ac:dyDescent="0.25">
      <c r="A14" s="372">
        <v>111</v>
      </c>
      <c r="B14" s="373" t="s">
        <v>155</v>
      </c>
      <c r="C14" s="360">
        <v>1212</v>
      </c>
      <c r="D14" s="54">
        <v>545</v>
      </c>
      <c r="E14" s="367">
        <v>0.46068376068376066</v>
      </c>
      <c r="F14" s="45">
        <v>415</v>
      </c>
      <c r="G14" s="58">
        <v>125</v>
      </c>
      <c r="H14" s="45">
        <v>423</v>
      </c>
      <c r="I14" s="57">
        <v>118</v>
      </c>
      <c r="J14" s="97"/>
      <c r="K14" s="58"/>
      <c r="L14" s="45"/>
      <c r="M14" s="57"/>
      <c r="N14" s="97"/>
      <c r="O14" s="58"/>
      <c r="P14" s="165"/>
      <c r="Q14" s="166"/>
      <c r="R14" s="207"/>
      <c r="S14" s="170"/>
      <c r="T14" s="165"/>
      <c r="U14" s="166"/>
      <c r="V14" s="207"/>
      <c r="W14" s="170"/>
      <c r="X14" s="165"/>
      <c r="Y14" s="166"/>
      <c r="Z14" s="207"/>
      <c r="AA14" s="170"/>
      <c r="AB14" s="165"/>
      <c r="AC14" s="166"/>
      <c r="AD14" s="207"/>
      <c r="AE14" s="170"/>
      <c r="AF14" s="165"/>
      <c r="AG14" s="166"/>
      <c r="AH14" s="207"/>
      <c r="AI14" s="170"/>
      <c r="AJ14" s="165"/>
      <c r="AK14" s="166"/>
      <c r="AL14" s="207"/>
      <c r="AM14" s="170"/>
      <c r="AN14" s="165"/>
      <c r="AO14" s="166"/>
      <c r="AP14" s="207">
        <v>404</v>
      </c>
      <c r="AQ14" s="170">
        <v>125</v>
      </c>
      <c r="AR14" s="165">
        <v>350</v>
      </c>
      <c r="AS14" s="166">
        <v>177</v>
      </c>
      <c r="AT14" s="207"/>
      <c r="AU14" s="170"/>
      <c r="AV14" s="190">
        <v>285</v>
      </c>
      <c r="AW14" s="166">
        <v>243</v>
      </c>
      <c r="AX14" s="208">
        <v>300</v>
      </c>
      <c r="AY14" s="170">
        <v>176</v>
      </c>
      <c r="AZ14" s="45">
        <v>114</v>
      </c>
      <c r="BA14" s="58">
        <v>387</v>
      </c>
      <c r="BB14" s="190"/>
      <c r="BC14" s="167"/>
      <c r="BD14" s="190"/>
      <c r="BE14" s="167"/>
      <c r="BF14" s="190"/>
      <c r="BG14" s="167"/>
      <c r="BH14" s="190"/>
      <c r="BI14" s="167"/>
      <c r="BJ14" s="190"/>
      <c r="BK14" s="167"/>
    </row>
    <row r="15" spans="1:63" ht="13" x14ac:dyDescent="0.25">
      <c r="A15" s="372">
        <v>112</v>
      </c>
      <c r="B15" s="373" t="s">
        <v>156</v>
      </c>
      <c r="C15" s="360">
        <v>685</v>
      </c>
      <c r="D15" s="54">
        <v>421</v>
      </c>
      <c r="E15" s="367">
        <v>0.65153733528550517</v>
      </c>
      <c r="F15" s="45">
        <v>269</v>
      </c>
      <c r="G15" s="58">
        <v>147</v>
      </c>
      <c r="H15" s="45">
        <v>270</v>
      </c>
      <c r="I15" s="57">
        <v>146</v>
      </c>
      <c r="J15" s="97"/>
      <c r="K15" s="58"/>
      <c r="L15" s="45"/>
      <c r="M15" s="57"/>
      <c r="N15" s="97"/>
      <c r="O15" s="58"/>
      <c r="P15" s="165"/>
      <c r="Q15" s="166"/>
      <c r="R15" s="207"/>
      <c r="S15" s="170"/>
      <c r="T15" s="165"/>
      <c r="U15" s="166"/>
      <c r="V15" s="207"/>
      <c r="W15" s="170"/>
      <c r="X15" s="165"/>
      <c r="Y15" s="166"/>
      <c r="Z15" s="207"/>
      <c r="AA15" s="170"/>
      <c r="AB15" s="165"/>
      <c r="AC15" s="166"/>
      <c r="AD15" s="207"/>
      <c r="AE15" s="170"/>
      <c r="AF15" s="165"/>
      <c r="AG15" s="166"/>
      <c r="AH15" s="207"/>
      <c r="AI15" s="170"/>
      <c r="AJ15" s="165"/>
      <c r="AK15" s="166"/>
      <c r="AL15" s="207"/>
      <c r="AM15" s="170"/>
      <c r="AN15" s="165"/>
      <c r="AO15" s="166"/>
      <c r="AP15" s="207">
        <v>293</v>
      </c>
      <c r="AQ15" s="170">
        <v>120</v>
      </c>
      <c r="AR15" s="165">
        <v>230</v>
      </c>
      <c r="AS15" s="166">
        <v>180</v>
      </c>
      <c r="AT15" s="207"/>
      <c r="AU15" s="170"/>
      <c r="AV15" s="190">
        <v>246</v>
      </c>
      <c r="AW15" s="166">
        <v>168</v>
      </c>
      <c r="AX15" s="208">
        <v>218</v>
      </c>
      <c r="AY15" s="170">
        <v>151</v>
      </c>
      <c r="AZ15" s="45">
        <v>59</v>
      </c>
      <c r="BA15" s="58">
        <v>340</v>
      </c>
      <c r="BB15" s="190"/>
      <c r="BC15" s="167"/>
      <c r="BD15" s="190"/>
      <c r="BE15" s="167"/>
      <c r="BF15" s="190"/>
      <c r="BG15" s="167"/>
      <c r="BH15" s="190"/>
      <c r="BI15" s="167"/>
      <c r="BJ15" s="190"/>
      <c r="BK15" s="167"/>
    </row>
    <row r="16" spans="1:63" ht="13" x14ac:dyDescent="0.25">
      <c r="A16" s="372">
        <v>113</v>
      </c>
      <c r="B16" s="373" t="s">
        <v>157</v>
      </c>
      <c r="C16" s="360">
        <v>998</v>
      </c>
      <c r="D16" s="54">
        <v>585</v>
      </c>
      <c r="E16" s="367">
        <v>0.62474849094567408</v>
      </c>
      <c r="F16" s="45">
        <v>424</v>
      </c>
      <c r="G16" s="58">
        <v>157</v>
      </c>
      <c r="H16" s="45">
        <v>393</v>
      </c>
      <c r="I16" s="57">
        <v>183</v>
      </c>
      <c r="J16" s="97"/>
      <c r="K16" s="58"/>
      <c r="L16" s="45"/>
      <c r="M16" s="57"/>
      <c r="N16" s="97"/>
      <c r="O16" s="58"/>
      <c r="P16" s="165"/>
      <c r="Q16" s="166"/>
      <c r="R16" s="207"/>
      <c r="S16" s="170"/>
      <c r="T16" s="165"/>
      <c r="U16" s="166"/>
      <c r="V16" s="207"/>
      <c r="W16" s="170"/>
      <c r="X16" s="165"/>
      <c r="Y16" s="166"/>
      <c r="Z16" s="207"/>
      <c r="AA16" s="170"/>
      <c r="AB16" s="165"/>
      <c r="AC16" s="166"/>
      <c r="AD16" s="207"/>
      <c r="AE16" s="170"/>
      <c r="AF16" s="165"/>
      <c r="AG16" s="166"/>
      <c r="AH16" s="207"/>
      <c r="AI16" s="170"/>
      <c r="AJ16" s="165"/>
      <c r="AK16" s="166"/>
      <c r="AL16" s="207"/>
      <c r="AM16" s="170"/>
      <c r="AN16" s="165"/>
      <c r="AO16" s="166"/>
      <c r="AP16" s="207">
        <v>421</v>
      </c>
      <c r="AQ16" s="170">
        <v>154</v>
      </c>
      <c r="AR16" s="165">
        <v>351</v>
      </c>
      <c r="AS16" s="166">
        <v>215</v>
      </c>
      <c r="AT16" s="207"/>
      <c r="AU16" s="170"/>
      <c r="AV16" s="190">
        <v>307</v>
      </c>
      <c r="AW16" s="166">
        <v>256</v>
      </c>
      <c r="AX16" s="208">
        <v>319</v>
      </c>
      <c r="AY16" s="170">
        <v>165</v>
      </c>
      <c r="AZ16" s="45">
        <v>107</v>
      </c>
      <c r="BA16" s="58">
        <v>425</v>
      </c>
      <c r="BB16" s="190"/>
      <c r="BC16" s="167"/>
      <c r="BD16" s="190"/>
      <c r="BE16" s="167"/>
      <c r="BF16" s="190"/>
      <c r="BG16" s="167"/>
      <c r="BH16" s="190"/>
      <c r="BI16" s="167"/>
      <c r="BJ16" s="190"/>
      <c r="BK16" s="167"/>
    </row>
    <row r="17" spans="1:63" ht="13" x14ac:dyDescent="0.25">
      <c r="A17" s="372">
        <v>201</v>
      </c>
      <c r="B17" s="373" t="s">
        <v>158</v>
      </c>
      <c r="C17" s="360">
        <v>1437</v>
      </c>
      <c r="D17" s="54">
        <v>606</v>
      </c>
      <c r="E17" s="367">
        <v>0.44571428571428573</v>
      </c>
      <c r="F17" s="45">
        <v>479</v>
      </c>
      <c r="G17" s="58">
        <v>115</v>
      </c>
      <c r="H17" s="45">
        <v>457</v>
      </c>
      <c r="I17" s="57">
        <v>135</v>
      </c>
      <c r="J17" s="97"/>
      <c r="K17" s="58"/>
      <c r="L17" s="45"/>
      <c r="M17" s="57"/>
      <c r="N17" s="97"/>
      <c r="O17" s="58"/>
      <c r="P17" s="165"/>
      <c r="Q17" s="166"/>
      <c r="R17" s="207"/>
      <c r="S17" s="170"/>
      <c r="T17" s="165"/>
      <c r="U17" s="166"/>
      <c r="V17" s="207"/>
      <c r="W17" s="170"/>
      <c r="X17" s="165"/>
      <c r="Y17" s="166"/>
      <c r="Z17" s="207"/>
      <c r="AA17" s="170"/>
      <c r="AB17" s="165"/>
      <c r="AC17" s="166"/>
      <c r="AD17" s="207"/>
      <c r="AE17" s="170"/>
      <c r="AF17" s="165"/>
      <c r="AG17" s="166"/>
      <c r="AH17" s="207"/>
      <c r="AI17" s="170"/>
      <c r="AJ17" s="165"/>
      <c r="AK17" s="166"/>
      <c r="AL17" s="207"/>
      <c r="AM17" s="170"/>
      <c r="AN17" s="165"/>
      <c r="AO17" s="166"/>
      <c r="AP17" s="207">
        <v>439</v>
      </c>
      <c r="AQ17" s="170">
        <v>148</v>
      </c>
      <c r="AR17" s="165">
        <v>392</v>
      </c>
      <c r="AS17" s="166">
        <v>188</v>
      </c>
      <c r="AT17" s="207"/>
      <c r="AU17" s="170"/>
      <c r="AV17" s="190">
        <v>316</v>
      </c>
      <c r="AW17" s="166">
        <v>267</v>
      </c>
      <c r="AX17" s="208">
        <v>342</v>
      </c>
      <c r="AY17" s="170">
        <v>162</v>
      </c>
      <c r="AZ17" s="45">
        <v>164</v>
      </c>
      <c r="BA17" s="58">
        <v>384</v>
      </c>
      <c r="BB17" s="190"/>
      <c r="BC17" s="167"/>
      <c r="BD17" s="190"/>
      <c r="BE17" s="167"/>
      <c r="BF17" s="190"/>
      <c r="BG17" s="167"/>
      <c r="BH17" s="190"/>
      <c r="BI17" s="167"/>
      <c r="BJ17" s="190"/>
      <c r="BK17" s="167"/>
    </row>
    <row r="18" spans="1:63" ht="13" x14ac:dyDescent="0.25">
      <c r="A18" s="372">
        <v>202</v>
      </c>
      <c r="B18" s="373" t="s">
        <v>159</v>
      </c>
      <c r="C18" s="360">
        <v>1689</v>
      </c>
      <c r="D18" s="54">
        <v>720</v>
      </c>
      <c r="E18" s="367">
        <v>0.44728633811603241</v>
      </c>
      <c r="F18" s="45">
        <v>588</v>
      </c>
      <c r="G18" s="58">
        <v>118</v>
      </c>
      <c r="H18" s="45">
        <v>524</v>
      </c>
      <c r="I18" s="57">
        <v>185</v>
      </c>
      <c r="J18" s="97"/>
      <c r="K18" s="58"/>
      <c r="L18" s="45"/>
      <c r="M18" s="57"/>
      <c r="N18" s="97"/>
      <c r="O18" s="58"/>
      <c r="P18" s="165"/>
      <c r="Q18" s="166"/>
      <c r="R18" s="207"/>
      <c r="S18" s="170"/>
      <c r="T18" s="165"/>
      <c r="U18" s="166"/>
      <c r="V18" s="207"/>
      <c r="W18" s="170"/>
      <c r="X18" s="165"/>
      <c r="Y18" s="166"/>
      <c r="Z18" s="207"/>
      <c r="AA18" s="170"/>
      <c r="AB18" s="165"/>
      <c r="AC18" s="166"/>
      <c r="AD18" s="207"/>
      <c r="AE18" s="170"/>
      <c r="AF18" s="165"/>
      <c r="AG18" s="166"/>
      <c r="AH18" s="207"/>
      <c r="AI18" s="170"/>
      <c r="AJ18" s="165"/>
      <c r="AK18" s="166"/>
      <c r="AL18" s="207"/>
      <c r="AM18" s="170"/>
      <c r="AN18" s="165"/>
      <c r="AO18" s="166"/>
      <c r="AP18" s="207">
        <v>509</v>
      </c>
      <c r="AQ18" s="170">
        <v>183</v>
      </c>
      <c r="AR18" s="165">
        <v>446</v>
      </c>
      <c r="AS18" s="166">
        <v>248</v>
      </c>
      <c r="AT18" s="207"/>
      <c r="AU18" s="170"/>
      <c r="AV18" s="190">
        <v>397</v>
      </c>
      <c r="AW18" s="166">
        <v>301</v>
      </c>
      <c r="AX18" s="208">
        <v>406</v>
      </c>
      <c r="AY18" s="170">
        <v>215</v>
      </c>
      <c r="AZ18" s="45">
        <v>237</v>
      </c>
      <c r="BA18" s="58">
        <v>432</v>
      </c>
      <c r="BB18" s="190"/>
      <c r="BC18" s="167"/>
      <c r="BD18" s="190"/>
      <c r="BE18" s="167"/>
      <c r="BF18" s="190"/>
      <c r="BG18" s="167"/>
      <c r="BH18" s="190"/>
      <c r="BI18" s="167"/>
      <c r="BJ18" s="190"/>
      <c r="BK18" s="167"/>
    </row>
    <row r="19" spans="1:63" ht="13" x14ac:dyDescent="0.25">
      <c r="A19" s="372">
        <v>203</v>
      </c>
      <c r="B19" s="373" t="s">
        <v>160</v>
      </c>
      <c r="C19" s="360">
        <v>1255</v>
      </c>
      <c r="D19" s="54">
        <v>450</v>
      </c>
      <c r="E19" s="367">
        <v>0.38538461538461538</v>
      </c>
      <c r="F19" s="45">
        <v>378</v>
      </c>
      <c r="G19" s="58">
        <v>70</v>
      </c>
      <c r="H19" s="45">
        <v>355</v>
      </c>
      <c r="I19" s="57">
        <v>92</v>
      </c>
      <c r="J19" s="97"/>
      <c r="K19" s="58"/>
      <c r="L19" s="45"/>
      <c r="M19" s="57"/>
      <c r="N19" s="97"/>
      <c r="O19" s="58"/>
      <c r="P19" s="165"/>
      <c r="Q19" s="166"/>
      <c r="R19" s="207"/>
      <c r="S19" s="170"/>
      <c r="T19" s="165"/>
      <c r="U19" s="166"/>
      <c r="V19" s="207"/>
      <c r="W19" s="170"/>
      <c r="X19" s="165"/>
      <c r="Y19" s="166"/>
      <c r="Z19" s="207"/>
      <c r="AA19" s="170"/>
      <c r="AB19" s="165"/>
      <c r="AC19" s="166"/>
      <c r="AD19" s="207"/>
      <c r="AE19" s="170"/>
      <c r="AF19" s="165"/>
      <c r="AG19" s="166"/>
      <c r="AH19" s="207"/>
      <c r="AI19" s="170"/>
      <c r="AJ19" s="165"/>
      <c r="AK19" s="166"/>
      <c r="AL19" s="207"/>
      <c r="AM19" s="170"/>
      <c r="AN19" s="165"/>
      <c r="AO19" s="166"/>
      <c r="AP19" s="207">
        <v>352</v>
      </c>
      <c r="AQ19" s="170">
        <v>86</v>
      </c>
      <c r="AR19" s="165">
        <v>303</v>
      </c>
      <c r="AS19" s="166">
        <v>129</v>
      </c>
      <c r="AT19" s="207"/>
      <c r="AU19" s="170"/>
      <c r="AV19" s="190">
        <v>255</v>
      </c>
      <c r="AW19" s="166">
        <v>174</v>
      </c>
      <c r="AX19" s="208">
        <v>232</v>
      </c>
      <c r="AY19" s="170">
        <v>133</v>
      </c>
      <c r="AZ19" s="45">
        <v>126</v>
      </c>
      <c r="BA19" s="58">
        <v>282</v>
      </c>
      <c r="BB19" s="190"/>
      <c r="BC19" s="167"/>
      <c r="BD19" s="190"/>
      <c r="BE19" s="167"/>
      <c r="BF19" s="190"/>
      <c r="BG19" s="167"/>
      <c r="BH19" s="190"/>
      <c r="BI19" s="167"/>
      <c r="BJ19" s="190"/>
      <c r="BK19" s="167"/>
    </row>
    <row r="20" spans="1:63" ht="13" x14ac:dyDescent="0.25">
      <c r="A20" s="372">
        <v>204</v>
      </c>
      <c r="B20" s="373" t="s">
        <v>161</v>
      </c>
      <c r="C20" s="360">
        <v>1355</v>
      </c>
      <c r="D20" s="54">
        <v>692</v>
      </c>
      <c r="E20" s="367">
        <v>0.53338224504768894</v>
      </c>
      <c r="F20" s="45">
        <v>549</v>
      </c>
      <c r="G20" s="58">
        <v>140</v>
      </c>
      <c r="H20" s="45">
        <v>545</v>
      </c>
      <c r="I20" s="57">
        <v>139</v>
      </c>
      <c r="J20" s="97"/>
      <c r="K20" s="58"/>
      <c r="L20" s="45"/>
      <c r="M20" s="57"/>
      <c r="N20" s="97"/>
      <c r="O20" s="58"/>
      <c r="P20" s="165"/>
      <c r="Q20" s="166"/>
      <c r="R20" s="207"/>
      <c r="S20" s="170"/>
      <c r="T20" s="165"/>
      <c r="U20" s="166"/>
      <c r="V20" s="207"/>
      <c r="W20" s="170"/>
      <c r="X20" s="165"/>
      <c r="Y20" s="166"/>
      <c r="Z20" s="207"/>
      <c r="AA20" s="170"/>
      <c r="AB20" s="165"/>
      <c r="AC20" s="166"/>
      <c r="AD20" s="207"/>
      <c r="AE20" s="170"/>
      <c r="AF20" s="165"/>
      <c r="AG20" s="166"/>
      <c r="AH20" s="207"/>
      <c r="AI20" s="170"/>
      <c r="AJ20" s="165"/>
      <c r="AK20" s="166"/>
      <c r="AL20" s="207"/>
      <c r="AM20" s="170"/>
      <c r="AN20" s="165"/>
      <c r="AO20" s="166"/>
      <c r="AP20" s="207">
        <v>515</v>
      </c>
      <c r="AQ20" s="170">
        <v>166</v>
      </c>
      <c r="AR20" s="165">
        <v>455</v>
      </c>
      <c r="AS20" s="166">
        <v>221</v>
      </c>
      <c r="AT20" s="207"/>
      <c r="AU20" s="170"/>
      <c r="AV20" s="190">
        <v>353</v>
      </c>
      <c r="AW20" s="166">
        <v>325</v>
      </c>
      <c r="AX20" s="208">
        <v>388</v>
      </c>
      <c r="AY20" s="170">
        <v>221</v>
      </c>
      <c r="AZ20" s="45">
        <v>171</v>
      </c>
      <c r="BA20" s="58">
        <v>466</v>
      </c>
      <c r="BB20" s="190"/>
      <c r="BC20" s="167"/>
      <c r="BD20" s="190"/>
      <c r="BE20" s="167"/>
      <c r="BF20" s="190"/>
      <c r="BG20" s="167"/>
      <c r="BH20" s="190"/>
      <c r="BI20" s="167"/>
      <c r="BJ20" s="190"/>
      <c r="BK20" s="167"/>
    </row>
    <row r="21" spans="1:63" ht="13" x14ac:dyDescent="0.25">
      <c r="A21" s="372">
        <v>205</v>
      </c>
      <c r="B21" s="373" t="s">
        <v>162</v>
      </c>
      <c r="C21" s="360">
        <v>1293</v>
      </c>
      <c r="D21" s="54">
        <v>725</v>
      </c>
      <c r="E21" s="367">
        <v>0.58532695374800636</v>
      </c>
      <c r="F21" s="45">
        <v>539</v>
      </c>
      <c r="G21" s="58">
        <v>180</v>
      </c>
      <c r="H21" s="45">
        <v>508</v>
      </c>
      <c r="I21" s="57">
        <v>209</v>
      </c>
      <c r="J21" s="97"/>
      <c r="K21" s="58"/>
      <c r="L21" s="45"/>
      <c r="M21" s="57"/>
      <c r="N21" s="97"/>
      <c r="O21" s="58"/>
      <c r="P21" s="165"/>
      <c r="Q21" s="166"/>
      <c r="R21" s="207"/>
      <c r="S21" s="170"/>
      <c r="T21" s="165"/>
      <c r="U21" s="166"/>
      <c r="V21" s="207"/>
      <c r="W21" s="170"/>
      <c r="X21" s="165"/>
      <c r="Y21" s="166"/>
      <c r="Z21" s="207"/>
      <c r="AA21" s="170"/>
      <c r="AB21" s="165"/>
      <c r="AC21" s="166"/>
      <c r="AD21" s="207"/>
      <c r="AE21" s="170"/>
      <c r="AF21" s="165"/>
      <c r="AG21" s="166"/>
      <c r="AH21" s="207"/>
      <c r="AI21" s="170"/>
      <c r="AJ21" s="165"/>
      <c r="AK21" s="166"/>
      <c r="AL21" s="207"/>
      <c r="AM21" s="170"/>
      <c r="AN21" s="165"/>
      <c r="AO21" s="166"/>
      <c r="AP21" s="207">
        <v>566</v>
      </c>
      <c r="AQ21" s="170">
        <v>149</v>
      </c>
      <c r="AR21" s="165">
        <v>452</v>
      </c>
      <c r="AS21" s="166">
        <v>259</v>
      </c>
      <c r="AT21" s="207"/>
      <c r="AU21" s="170"/>
      <c r="AV21" s="190">
        <v>402</v>
      </c>
      <c r="AW21" s="166">
        <v>298</v>
      </c>
      <c r="AX21" s="208">
        <v>440</v>
      </c>
      <c r="AY21" s="170">
        <v>197</v>
      </c>
      <c r="AZ21" s="45">
        <v>134</v>
      </c>
      <c r="BA21" s="58">
        <v>545</v>
      </c>
      <c r="BB21" s="190"/>
      <c r="BC21" s="167"/>
      <c r="BD21" s="190"/>
      <c r="BE21" s="167"/>
      <c r="BF21" s="190"/>
      <c r="BG21" s="167"/>
      <c r="BH21" s="190"/>
      <c r="BI21" s="167"/>
      <c r="BJ21" s="190"/>
      <c r="BK21" s="167"/>
    </row>
    <row r="22" spans="1:63" ht="13" x14ac:dyDescent="0.25">
      <c r="A22" s="372">
        <v>206</v>
      </c>
      <c r="B22" s="373" t="s">
        <v>163</v>
      </c>
      <c r="C22" s="360">
        <v>1407</v>
      </c>
      <c r="D22" s="54">
        <v>673</v>
      </c>
      <c r="E22" s="367">
        <v>0.48098434004474272</v>
      </c>
      <c r="F22" s="45">
        <v>575</v>
      </c>
      <c r="G22" s="58">
        <v>94</v>
      </c>
      <c r="H22" s="45">
        <v>564</v>
      </c>
      <c r="I22" s="57">
        <v>99</v>
      </c>
      <c r="J22" s="97"/>
      <c r="K22" s="58"/>
      <c r="L22" s="45"/>
      <c r="M22" s="57"/>
      <c r="N22" s="97"/>
      <c r="O22" s="58"/>
      <c r="P22" s="165"/>
      <c r="Q22" s="166"/>
      <c r="R22" s="207"/>
      <c r="S22" s="170"/>
      <c r="T22" s="165"/>
      <c r="U22" s="166"/>
      <c r="V22" s="207"/>
      <c r="W22" s="170"/>
      <c r="X22" s="165"/>
      <c r="Y22" s="166"/>
      <c r="Z22" s="207"/>
      <c r="AA22" s="170"/>
      <c r="AB22" s="165"/>
      <c r="AC22" s="166"/>
      <c r="AD22" s="207"/>
      <c r="AE22" s="170"/>
      <c r="AF22" s="165"/>
      <c r="AG22" s="166"/>
      <c r="AH22" s="207"/>
      <c r="AI22" s="170"/>
      <c r="AJ22" s="165"/>
      <c r="AK22" s="166"/>
      <c r="AL22" s="207"/>
      <c r="AM22" s="170"/>
      <c r="AN22" s="165"/>
      <c r="AO22" s="166"/>
      <c r="AP22" s="207">
        <v>505</v>
      </c>
      <c r="AQ22" s="170">
        <v>154</v>
      </c>
      <c r="AR22" s="165">
        <v>456</v>
      </c>
      <c r="AS22" s="166">
        <v>195</v>
      </c>
      <c r="AT22" s="207"/>
      <c r="AU22" s="170"/>
      <c r="AV22" s="190">
        <v>329</v>
      </c>
      <c r="AW22" s="166">
        <v>323</v>
      </c>
      <c r="AX22" s="208">
        <v>366</v>
      </c>
      <c r="AY22" s="170">
        <v>207</v>
      </c>
      <c r="AZ22" s="45">
        <v>194</v>
      </c>
      <c r="BA22" s="58">
        <v>439</v>
      </c>
      <c r="BB22" s="190"/>
      <c r="BC22" s="167"/>
      <c r="BD22" s="190"/>
      <c r="BE22" s="167"/>
      <c r="BF22" s="190"/>
      <c r="BG22" s="167"/>
      <c r="BH22" s="190"/>
      <c r="BI22" s="167"/>
      <c r="BJ22" s="190"/>
      <c r="BK22" s="167"/>
    </row>
    <row r="23" spans="1:63" ht="13" x14ac:dyDescent="0.25">
      <c r="A23" s="372">
        <v>207</v>
      </c>
      <c r="B23" s="373" t="s">
        <v>164</v>
      </c>
      <c r="C23" s="360">
        <v>1309</v>
      </c>
      <c r="D23" s="54">
        <v>709</v>
      </c>
      <c r="E23" s="367">
        <v>0.54894578313253017</v>
      </c>
      <c r="F23" s="45">
        <v>512</v>
      </c>
      <c r="G23" s="58">
        <v>187</v>
      </c>
      <c r="H23" s="45">
        <v>444</v>
      </c>
      <c r="I23" s="57">
        <v>248</v>
      </c>
      <c r="J23" s="97"/>
      <c r="K23" s="58"/>
      <c r="L23" s="45"/>
      <c r="M23" s="57"/>
      <c r="N23" s="97"/>
      <c r="O23" s="58"/>
      <c r="P23" s="165"/>
      <c r="Q23" s="166"/>
      <c r="R23" s="207"/>
      <c r="S23" s="170"/>
      <c r="T23" s="165"/>
      <c r="U23" s="166"/>
      <c r="V23" s="207"/>
      <c r="W23" s="170"/>
      <c r="X23" s="165"/>
      <c r="Y23" s="166"/>
      <c r="Z23" s="207"/>
      <c r="AA23" s="170"/>
      <c r="AB23" s="165"/>
      <c r="AC23" s="166"/>
      <c r="AD23" s="207"/>
      <c r="AE23" s="170"/>
      <c r="AF23" s="165"/>
      <c r="AG23" s="166"/>
      <c r="AH23" s="207"/>
      <c r="AI23" s="170"/>
      <c r="AJ23" s="165"/>
      <c r="AK23" s="166"/>
      <c r="AL23" s="207"/>
      <c r="AM23" s="170"/>
      <c r="AN23" s="165"/>
      <c r="AO23" s="166"/>
      <c r="AP23" s="207">
        <v>552</v>
      </c>
      <c r="AQ23" s="170">
        <v>141</v>
      </c>
      <c r="AR23" s="165">
        <v>465</v>
      </c>
      <c r="AS23" s="166">
        <v>219</v>
      </c>
      <c r="AT23" s="207"/>
      <c r="AU23" s="170"/>
      <c r="AV23" s="190">
        <v>426</v>
      </c>
      <c r="AW23" s="166">
        <v>265</v>
      </c>
      <c r="AX23" s="208">
        <v>422</v>
      </c>
      <c r="AY23" s="170">
        <v>187</v>
      </c>
      <c r="AZ23" s="45">
        <v>170</v>
      </c>
      <c r="BA23" s="58">
        <v>484</v>
      </c>
      <c r="BB23" s="190"/>
      <c r="BC23" s="167"/>
      <c r="BD23" s="190"/>
      <c r="BE23" s="167"/>
      <c r="BF23" s="190"/>
      <c r="BG23" s="167"/>
      <c r="BH23" s="190"/>
      <c r="BI23" s="167"/>
      <c r="BJ23" s="190"/>
      <c r="BK23" s="167"/>
    </row>
    <row r="24" spans="1:63" ht="13" x14ac:dyDescent="0.25">
      <c r="A24" s="372">
        <v>208</v>
      </c>
      <c r="B24" s="373" t="s">
        <v>165</v>
      </c>
      <c r="C24" s="360">
        <v>958</v>
      </c>
      <c r="D24" s="54">
        <v>422</v>
      </c>
      <c r="E24" s="367">
        <v>0.42784552845528456</v>
      </c>
      <c r="F24" s="45">
        <v>350</v>
      </c>
      <c r="G24" s="58">
        <v>69</v>
      </c>
      <c r="H24" s="45">
        <v>337</v>
      </c>
      <c r="I24" s="57">
        <v>80</v>
      </c>
      <c r="J24" s="97"/>
      <c r="K24" s="58"/>
      <c r="L24" s="45"/>
      <c r="M24" s="57"/>
      <c r="N24" s="97"/>
      <c r="O24" s="58"/>
      <c r="P24" s="165"/>
      <c r="Q24" s="166"/>
      <c r="R24" s="207"/>
      <c r="S24" s="170"/>
      <c r="T24" s="165"/>
      <c r="U24" s="166"/>
      <c r="V24" s="207"/>
      <c r="W24" s="170"/>
      <c r="X24" s="165"/>
      <c r="Y24" s="166"/>
      <c r="Z24" s="207"/>
      <c r="AA24" s="170"/>
      <c r="AB24" s="165"/>
      <c r="AC24" s="166"/>
      <c r="AD24" s="207"/>
      <c r="AE24" s="170"/>
      <c r="AF24" s="165"/>
      <c r="AG24" s="166"/>
      <c r="AH24" s="207"/>
      <c r="AI24" s="170"/>
      <c r="AJ24" s="165"/>
      <c r="AK24" s="166"/>
      <c r="AL24" s="207"/>
      <c r="AM24" s="170"/>
      <c r="AN24" s="165"/>
      <c r="AO24" s="166"/>
      <c r="AP24" s="207">
        <v>328</v>
      </c>
      <c r="AQ24" s="170">
        <v>81</v>
      </c>
      <c r="AR24" s="165">
        <v>293</v>
      </c>
      <c r="AS24" s="166">
        <v>112</v>
      </c>
      <c r="AT24" s="207"/>
      <c r="AU24" s="170"/>
      <c r="AV24" s="190">
        <v>239</v>
      </c>
      <c r="AW24" s="166">
        <v>166</v>
      </c>
      <c r="AX24" s="208">
        <v>241</v>
      </c>
      <c r="AY24" s="170">
        <v>113</v>
      </c>
      <c r="AZ24" s="45">
        <v>125</v>
      </c>
      <c r="BA24" s="58">
        <v>257</v>
      </c>
      <c r="BB24" s="190"/>
      <c r="BC24" s="167"/>
      <c r="BD24" s="190"/>
      <c r="BE24" s="167"/>
      <c r="BF24" s="190"/>
      <c r="BG24" s="167"/>
      <c r="BH24" s="190"/>
      <c r="BI24" s="167"/>
      <c r="BJ24" s="190"/>
      <c r="BK24" s="167"/>
    </row>
    <row r="25" spans="1:63" ht="13" x14ac:dyDescent="0.25">
      <c r="A25" s="372">
        <v>209</v>
      </c>
      <c r="B25" s="373" t="s">
        <v>166</v>
      </c>
      <c r="C25" s="360">
        <v>1172</v>
      </c>
      <c r="D25" s="54">
        <v>634</v>
      </c>
      <c r="E25" s="367">
        <v>0.52482876712328763</v>
      </c>
      <c r="F25" s="45">
        <v>508</v>
      </c>
      <c r="G25" s="58">
        <v>122</v>
      </c>
      <c r="H25" s="45">
        <v>506</v>
      </c>
      <c r="I25" s="57">
        <v>119</v>
      </c>
      <c r="J25" s="97"/>
      <c r="K25" s="58"/>
      <c r="L25" s="45"/>
      <c r="M25" s="57"/>
      <c r="N25" s="97"/>
      <c r="O25" s="58"/>
      <c r="P25" s="165"/>
      <c r="Q25" s="166"/>
      <c r="R25" s="207"/>
      <c r="S25" s="170"/>
      <c r="T25" s="165"/>
      <c r="U25" s="166"/>
      <c r="V25" s="207"/>
      <c r="W25" s="170"/>
      <c r="X25" s="165"/>
      <c r="Y25" s="166"/>
      <c r="Z25" s="207"/>
      <c r="AA25" s="170"/>
      <c r="AB25" s="165"/>
      <c r="AC25" s="166"/>
      <c r="AD25" s="207"/>
      <c r="AE25" s="170"/>
      <c r="AF25" s="165"/>
      <c r="AG25" s="166"/>
      <c r="AH25" s="207"/>
      <c r="AI25" s="170"/>
      <c r="AJ25" s="165"/>
      <c r="AK25" s="166"/>
      <c r="AL25" s="207"/>
      <c r="AM25" s="170"/>
      <c r="AN25" s="165"/>
      <c r="AO25" s="166"/>
      <c r="AP25" s="207">
        <v>482</v>
      </c>
      <c r="AQ25" s="170">
        <v>134</v>
      </c>
      <c r="AR25" s="165">
        <v>415</v>
      </c>
      <c r="AS25" s="166">
        <v>203</v>
      </c>
      <c r="AT25" s="207"/>
      <c r="AU25" s="170"/>
      <c r="AV25" s="190">
        <v>320</v>
      </c>
      <c r="AW25" s="166">
        <v>299</v>
      </c>
      <c r="AX25" s="208">
        <v>365</v>
      </c>
      <c r="AY25" s="170">
        <v>188</v>
      </c>
      <c r="AZ25" s="45">
        <v>176</v>
      </c>
      <c r="BA25" s="58">
        <v>415</v>
      </c>
      <c r="BB25" s="190"/>
      <c r="BC25" s="167"/>
      <c r="BD25" s="190"/>
      <c r="BE25" s="167"/>
      <c r="BF25" s="190"/>
      <c r="BG25" s="167"/>
      <c r="BH25" s="190"/>
      <c r="BI25" s="167"/>
      <c r="BJ25" s="190"/>
      <c r="BK25" s="167"/>
    </row>
    <row r="26" spans="1:63" ht="13" x14ac:dyDescent="0.25">
      <c r="A26" s="372">
        <v>210</v>
      </c>
      <c r="B26" s="373" t="s">
        <v>167</v>
      </c>
      <c r="C26" s="360">
        <v>1392</v>
      </c>
      <c r="D26" s="54">
        <v>726</v>
      </c>
      <c r="E26" s="367">
        <v>0.50671378091872787</v>
      </c>
      <c r="F26" s="45">
        <v>586</v>
      </c>
      <c r="G26" s="58">
        <v>136</v>
      </c>
      <c r="H26" s="45">
        <v>589</v>
      </c>
      <c r="I26" s="57">
        <v>129</v>
      </c>
      <c r="J26" s="97"/>
      <c r="K26" s="58"/>
      <c r="L26" s="45"/>
      <c r="M26" s="57"/>
      <c r="N26" s="97"/>
      <c r="O26" s="58"/>
      <c r="P26" s="165"/>
      <c r="Q26" s="166"/>
      <c r="R26" s="207"/>
      <c r="S26" s="170"/>
      <c r="T26" s="165"/>
      <c r="U26" s="166"/>
      <c r="V26" s="207"/>
      <c r="W26" s="170"/>
      <c r="X26" s="165"/>
      <c r="Y26" s="166"/>
      <c r="Z26" s="207"/>
      <c r="AA26" s="170"/>
      <c r="AB26" s="165"/>
      <c r="AC26" s="166"/>
      <c r="AD26" s="207"/>
      <c r="AE26" s="170"/>
      <c r="AF26" s="165"/>
      <c r="AG26" s="166"/>
      <c r="AH26" s="207"/>
      <c r="AI26" s="170"/>
      <c r="AJ26" s="165"/>
      <c r="AK26" s="166"/>
      <c r="AL26" s="207"/>
      <c r="AM26" s="170"/>
      <c r="AN26" s="165"/>
      <c r="AO26" s="166"/>
      <c r="AP26" s="207">
        <v>560</v>
      </c>
      <c r="AQ26" s="170">
        <v>146</v>
      </c>
      <c r="AR26" s="165">
        <v>501</v>
      </c>
      <c r="AS26" s="166">
        <v>198</v>
      </c>
      <c r="AT26" s="207"/>
      <c r="AU26" s="170"/>
      <c r="AV26" s="190">
        <v>360</v>
      </c>
      <c r="AW26" s="166">
        <v>337</v>
      </c>
      <c r="AX26" s="208">
        <v>408</v>
      </c>
      <c r="AY26" s="170">
        <v>200</v>
      </c>
      <c r="AZ26" s="45">
        <v>184</v>
      </c>
      <c r="BA26" s="58">
        <v>478</v>
      </c>
      <c r="BB26" s="190"/>
      <c r="BC26" s="167"/>
      <c r="BD26" s="190"/>
      <c r="BE26" s="167"/>
      <c r="BF26" s="190"/>
      <c r="BG26" s="167"/>
      <c r="BH26" s="190"/>
      <c r="BI26" s="167"/>
      <c r="BJ26" s="190"/>
      <c r="BK26" s="167"/>
    </row>
    <row r="27" spans="1:63" ht="13" x14ac:dyDescent="0.25">
      <c r="A27" s="372">
        <v>211</v>
      </c>
      <c r="B27" s="373" t="s">
        <v>168</v>
      </c>
      <c r="C27" s="360">
        <v>1479</v>
      </c>
      <c r="D27" s="54">
        <v>778</v>
      </c>
      <c r="E27" s="367">
        <v>0.55352303523035229</v>
      </c>
      <c r="F27" s="45">
        <v>620</v>
      </c>
      <c r="G27" s="58">
        <v>150</v>
      </c>
      <c r="H27" s="45">
        <v>610</v>
      </c>
      <c r="I27" s="57">
        <v>155</v>
      </c>
      <c r="J27" s="97"/>
      <c r="K27" s="58"/>
      <c r="L27" s="45"/>
      <c r="M27" s="57"/>
      <c r="N27" s="97"/>
      <c r="O27" s="58"/>
      <c r="P27" s="165"/>
      <c r="Q27" s="166"/>
      <c r="R27" s="207"/>
      <c r="S27" s="170"/>
      <c r="T27" s="165"/>
      <c r="U27" s="166"/>
      <c r="V27" s="207"/>
      <c r="W27" s="170"/>
      <c r="X27" s="165"/>
      <c r="Y27" s="166"/>
      <c r="Z27" s="207"/>
      <c r="AA27" s="170"/>
      <c r="AB27" s="165"/>
      <c r="AC27" s="166"/>
      <c r="AD27" s="207"/>
      <c r="AE27" s="170"/>
      <c r="AF27" s="165"/>
      <c r="AG27" s="166"/>
      <c r="AH27" s="207"/>
      <c r="AI27" s="170"/>
      <c r="AJ27" s="165"/>
      <c r="AK27" s="166"/>
      <c r="AL27" s="207"/>
      <c r="AM27" s="170"/>
      <c r="AN27" s="165"/>
      <c r="AO27" s="166"/>
      <c r="AP27" s="207">
        <v>605</v>
      </c>
      <c r="AQ27" s="170">
        <v>140</v>
      </c>
      <c r="AR27" s="165">
        <v>518</v>
      </c>
      <c r="AS27" s="166">
        <v>225</v>
      </c>
      <c r="AT27" s="207"/>
      <c r="AU27" s="170"/>
      <c r="AV27" s="190">
        <v>412</v>
      </c>
      <c r="AW27" s="166">
        <v>330</v>
      </c>
      <c r="AX27" s="208">
        <v>446</v>
      </c>
      <c r="AY27" s="170">
        <v>203</v>
      </c>
      <c r="AZ27" s="45">
        <v>191</v>
      </c>
      <c r="BA27" s="58">
        <v>524</v>
      </c>
      <c r="BB27" s="190"/>
      <c r="BC27" s="167"/>
      <c r="BD27" s="190"/>
      <c r="BE27" s="167"/>
      <c r="BF27" s="190"/>
      <c r="BG27" s="167"/>
      <c r="BH27" s="190"/>
      <c r="BI27" s="167"/>
      <c r="BJ27" s="190"/>
      <c r="BK27" s="167"/>
    </row>
    <row r="28" spans="1:63" ht="13" x14ac:dyDescent="0.25">
      <c r="A28" s="372">
        <v>301</v>
      </c>
      <c r="B28" s="373" t="s">
        <v>169</v>
      </c>
      <c r="C28" s="360">
        <v>1403</v>
      </c>
      <c r="D28" s="54">
        <v>479</v>
      </c>
      <c r="E28" s="367">
        <v>0.35959885386819485</v>
      </c>
      <c r="F28" s="45">
        <v>428</v>
      </c>
      <c r="G28" s="58">
        <v>46</v>
      </c>
      <c r="H28" s="45">
        <v>379</v>
      </c>
      <c r="I28" s="57">
        <v>94</v>
      </c>
      <c r="J28" s="97"/>
      <c r="K28" s="58"/>
      <c r="L28" s="45"/>
      <c r="M28" s="57"/>
      <c r="N28" s="97"/>
      <c r="O28" s="58"/>
      <c r="P28" s="165"/>
      <c r="Q28" s="166"/>
      <c r="R28" s="207"/>
      <c r="S28" s="170"/>
      <c r="T28" s="165"/>
      <c r="U28" s="166"/>
      <c r="V28" s="207"/>
      <c r="W28" s="170"/>
      <c r="X28" s="165"/>
      <c r="Y28" s="166"/>
      <c r="Z28" s="207"/>
      <c r="AA28" s="170"/>
      <c r="AB28" s="165"/>
      <c r="AC28" s="166"/>
      <c r="AD28" s="207"/>
      <c r="AE28" s="170"/>
      <c r="AF28" s="165"/>
      <c r="AG28" s="166"/>
      <c r="AH28" s="207"/>
      <c r="AI28" s="170"/>
      <c r="AJ28" s="165"/>
      <c r="AK28" s="166"/>
      <c r="AL28" s="207"/>
      <c r="AM28" s="170"/>
      <c r="AN28" s="165"/>
      <c r="AO28" s="166"/>
      <c r="AP28" s="207">
        <v>315</v>
      </c>
      <c r="AQ28" s="170">
        <v>154</v>
      </c>
      <c r="AR28" s="165">
        <v>312</v>
      </c>
      <c r="AS28" s="166">
        <v>147</v>
      </c>
      <c r="AT28" s="207"/>
      <c r="AU28" s="170"/>
      <c r="AV28" s="190">
        <v>251</v>
      </c>
      <c r="AW28" s="166">
        <v>214</v>
      </c>
      <c r="AX28" s="208">
        <v>271</v>
      </c>
      <c r="AY28" s="170">
        <v>155</v>
      </c>
      <c r="AZ28" s="45">
        <v>183</v>
      </c>
      <c r="BA28" s="58">
        <v>266</v>
      </c>
      <c r="BB28" s="190"/>
      <c r="BC28" s="167"/>
      <c r="BD28" s="190"/>
      <c r="BE28" s="167"/>
      <c r="BF28" s="190"/>
      <c r="BG28" s="167"/>
      <c r="BH28" s="190"/>
      <c r="BI28" s="167"/>
      <c r="BJ28" s="190"/>
      <c r="BK28" s="167"/>
    </row>
    <row r="29" spans="1:63" ht="13" x14ac:dyDescent="0.25">
      <c r="A29" s="372">
        <v>302</v>
      </c>
      <c r="B29" s="373" t="s">
        <v>170</v>
      </c>
      <c r="C29" s="360">
        <v>874</v>
      </c>
      <c r="D29" s="54">
        <v>465</v>
      </c>
      <c r="E29" s="367">
        <v>0.56453423120089785</v>
      </c>
      <c r="F29" s="45">
        <v>377</v>
      </c>
      <c r="G29" s="58">
        <v>80</v>
      </c>
      <c r="H29" s="45">
        <v>352</v>
      </c>
      <c r="I29" s="57">
        <v>102</v>
      </c>
      <c r="J29" s="97"/>
      <c r="K29" s="58"/>
      <c r="L29" s="45"/>
      <c r="M29" s="57"/>
      <c r="N29" s="97"/>
      <c r="O29" s="58"/>
      <c r="P29" s="165"/>
      <c r="Q29" s="166"/>
      <c r="R29" s="207"/>
      <c r="S29" s="170"/>
      <c r="T29" s="165"/>
      <c r="U29" s="166"/>
      <c r="V29" s="207"/>
      <c r="W29" s="170"/>
      <c r="X29" s="165"/>
      <c r="Y29" s="166"/>
      <c r="Z29" s="207"/>
      <c r="AA29" s="170"/>
      <c r="AB29" s="165"/>
      <c r="AC29" s="166"/>
      <c r="AD29" s="207"/>
      <c r="AE29" s="170"/>
      <c r="AF29" s="165"/>
      <c r="AG29" s="166"/>
      <c r="AH29" s="207"/>
      <c r="AI29" s="170"/>
      <c r="AJ29" s="165"/>
      <c r="AK29" s="166"/>
      <c r="AL29" s="207"/>
      <c r="AM29" s="170"/>
      <c r="AN29" s="165"/>
      <c r="AO29" s="166"/>
      <c r="AP29" s="207">
        <v>376</v>
      </c>
      <c r="AQ29" s="170">
        <v>81</v>
      </c>
      <c r="AR29" s="165">
        <v>325</v>
      </c>
      <c r="AS29" s="166">
        <v>129</v>
      </c>
      <c r="AT29" s="207"/>
      <c r="AU29" s="170"/>
      <c r="AV29" s="190">
        <v>245</v>
      </c>
      <c r="AW29" s="166">
        <v>210</v>
      </c>
      <c r="AX29" s="208">
        <v>278</v>
      </c>
      <c r="AY29" s="170">
        <v>125</v>
      </c>
      <c r="AZ29" s="45">
        <v>130</v>
      </c>
      <c r="BA29" s="58">
        <v>298</v>
      </c>
      <c r="BB29" s="190"/>
      <c r="BC29" s="167"/>
      <c r="BD29" s="190"/>
      <c r="BE29" s="167"/>
      <c r="BF29" s="190"/>
      <c r="BG29" s="167"/>
      <c r="BH29" s="190"/>
      <c r="BI29" s="167"/>
      <c r="BJ29" s="190"/>
      <c r="BK29" s="167"/>
    </row>
    <row r="30" spans="1:63" ht="13" x14ac:dyDescent="0.25">
      <c r="A30" s="372">
        <v>303</v>
      </c>
      <c r="B30" s="373" t="s">
        <v>171</v>
      </c>
      <c r="C30" s="360">
        <v>1140</v>
      </c>
      <c r="D30" s="54">
        <v>607</v>
      </c>
      <c r="E30" s="367">
        <v>0.58879310344827585</v>
      </c>
      <c r="F30" s="45">
        <v>476</v>
      </c>
      <c r="G30" s="58">
        <v>125</v>
      </c>
      <c r="H30" s="45">
        <v>425</v>
      </c>
      <c r="I30" s="57">
        <v>171</v>
      </c>
      <c r="J30" s="97"/>
      <c r="K30" s="58"/>
      <c r="L30" s="45"/>
      <c r="M30" s="57"/>
      <c r="N30" s="97"/>
      <c r="O30" s="58"/>
      <c r="P30" s="165"/>
      <c r="Q30" s="166"/>
      <c r="R30" s="207"/>
      <c r="S30" s="170"/>
      <c r="T30" s="165"/>
      <c r="U30" s="166"/>
      <c r="V30" s="207"/>
      <c r="W30" s="170"/>
      <c r="X30" s="165"/>
      <c r="Y30" s="166"/>
      <c r="Z30" s="207"/>
      <c r="AA30" s="170"/>
      <c r="AB30" s="165"/>
      <c r="AC30" s="166"/>
      <c r="AD30" s="207"/>
      <c r="AE30" s="170"/>
      <c r="AF30" s="165"/>
      <c r="AG30" s="166"/>
      <c r="AH30" s="207"/>
      <c r="AI30" s="170"/>
      <c r="AJ30" s="165"/>
      <c r="AK30" s="166"/>
      <c r="AL30" s="207"/>
      <c r="AM30" s="170"/>
      <c r="AN30" s="165"/>
      <c r="AO30" s="166"/>
      <c r="AP30" s="207">
        <v>427</v>
      </c>
      <c r="AQ30" s="170">
        <v>161</v>
      </c>
      <c r="AR30" s="165">
        <v>384</v>
      </c>
      <c r="AS30" s="166">
        <v>200</v>
      </c>
      <c r="AT30" s="207"/>
      <c r="AU30" s="170"/>
      <c r="AV30" s="190">
        <v>334</v>
      </c>
      <c r="AW30" s="166">
        <v>255</v>
      </c>
      <c r="AX30" s="208">
        <v>346</v>
      </c>
      <c r="AY30" s="170">
        <v>172</v>
      </c>
      <c r="AZ30" s="45">
        <v>183</v>
      </c>
      <c r="BA30" s="58">
        <v>381</v>
      </c>
      <c r="BB30" s="190"/>
      <c r="BC30" s="167"/>
      <c r="BD30" s="190"/>
      <c r="BE30" s="167"/>
      <c r="BF30" s="190"/>
      <c r="BG30" s="167"/>
      <c r="BH30" s="190"/>
      <c r="BI30" s="167"/>
      <c r="BJ30" s="190"/>
      <c r="BK30" s="167"/>
    </row>
    <row r="31" spans="1:63" ht="13" x14ac:dyDescent="0.25">
      <c r="A31" s="372">
        <v>304</v>
      </c>
      <c r="B31" s="373" t="s">
        <v>172</v>
      </c>
      <c r="C31" s="360">
        <v>1536</v>
      </c>
      <c r="D31" s="54">
        <v>520</v>
      </c>
      <c r="E31" s="367">
        <v>0.36021150033046928</v>
      </c>
      <c r="F31" s="45">
        <v>456</v>
      </c>
      <c r="G31" s="58">
        <v>54</v>
      </c>
      <c r="H31" s="45">
        <v>458</v>
      </c>
      <c r="I31" s="57">
        <v>53</v>
      </c>
      <c r="J31" s="97"/>
      <c r="K31" s="58"/>
      <c r="L31" s="45"/>
      <c r="M31" s="57"/>
      <c r="N31" s="97"/>
      <c r="O31" s="58"/>
      <c r="P31" s="165"/>
      <c r="Q31" s="166"/>
      <c r="R31" s="207"/>
      <c r="S31" s="170"/>
      <c r="T31" s="165"/>
      <c r="U31" s="166"/>
      <c r="V31" s="207"/>
      <c r="W31" s="170"/>
      <c r="X31" s="165"/>
      <c r="Y31" s="166"/>
      <c r="Z31" s="207"/>
      <c r="AA31" s="170"/>
      <c r="AB31" s="165"/>
      <c r="AC31" s="166"/>
      <c r="AD31" s="207"/>
      <c r="AE31" s="170"/>
      <c r="AF31" s="165"/>
      <c r="AG31" s="166"/>
      <c r="AH31" s="207"/>
      <c r="AI31" s="170"/>
      <c r="AJ31" s="165"/>
      <c r="AK31" s="166"/>
      <c r="AL31" s="207"/>
      <c r="AM31" s="170"/>
      <c r="AN31" s="165"/>
      <c r="AO31" s="166"/>
      <c r="AP31" s="207">
        <v>372</v>
      </c>
      <c r="AQ31" s="170">
        <v>128</v>
      </c>
      <c r="AR31" s="165">
        <v>352</v>
      </c>
      <c r="AS31" s="166">
        <v>149</v>
      </c>
      <c r="AT31" s="207"/>
      <c r="AU31" s="170"/>
      <c r="AV31" s="190">
        <v>284</v>
      </c>
      <c r="AW31" s="166">
        <v>225</v>
      </c>
      <c r="AX31" s="208">
        <v>286</v>
      </c>
      <c r="AY31" s="170">
        <v>160</v>
      </c>
      <c r="AZ31" s="45">
        <v>183</v>
      </c>
      <c r="BA31" s="58">
        <v>311</v>
      </c>
      <c r="BB31" s="190"/>
      <c r="BC31" s="167"/>
      <c r="BD31" s="190"/>
      <c r="BE31" s="167"/>
      <c r="BF31" s="190"/>
      <c r="BG31" s="167"/>
      <c r="BH31" s="190"/>
      <c r="BI31" s="167"/>
      <c r="BJ31" s="190"/>
      <c r="BK31" s="167"/>
    </row>
    <row r="32" spans="1:63" ht="13" x14ac:dyDescent="0.25">
      <c r="A32" s="372">
        <v>305</v>
      </c>
      <c r="B32" s="373" t="s">
        <v>173</v>
      </c>
      <c r="C32" s="360">
        <v>1414</v>
      </c>
      <c r="D32" s="54">
        <v>492</v>
      </c>
      <c r="E32" s="367">
        <v>0.36363636363636365</v>
      </c>
      <c r="F32" s="45">
        <v>429</v>
      </c>
      <c r="G32" s="58">
        <v>60</v>
      </c>
      <c r="H32" s="45">
        <v>400</v>
      </c>
      <c r="I32" s="57">
        <v>82</v>
      </c>
      <c r="J32" s="97"/>
      <c r="K32" s="58"/>
      <c r="L32" s="45"/>
      <c r="M32" s="57"/>
      <c r="N32" s="97"/>
      <c r="O32" s="58"/>
      <c r="P32" s="165"/>
      <c r="Q32" s="166"/>
      <c r="R32" s="207"/>
      <c r="S32" s="170"/>
      <c r="T32" s="165"/>
      <c r="U32" s="166"/>
      <c r="V32" s="207"/>
      <c r="W32" s="170"/>
      <c r="X32" s="165"/>
      <c r="Y32" s="166"/>
      <c r="Z32" s="207"/>
      <c r="AA32" s="170"/>
      <c r="AB32" s="165"/>
      <c r="AC32" s="166"/>
      <c r="AD32" s="207"/>
      <c r="AE32" s="170"/>
      <c r="AF32" s="165"/>
      <c r="AG32" s="166"/>
      <c r="AH32" s="207"/>
      <c r="AI32" s="170"/>
      <c r="AJ32" s="165"/>
      <c r="AK32" s="166"/>
      <c r="AL32" s="207"/>
      <c r="AM32" s="170"/>
      <c r="AN32" s="165"/>
      <c r="AO32" s="166"/>
      <c r="AP32" s="207">
        <v>350</v>
      </c>
      <c r="AQ32" s="170">
        <v>137</v>
      </c>
      <c r="AR32" s="165">
        <v>332</v>
      </c>
      <c r="AS32" s="166">
        <v>148</v>
      </c>
      <c r="AT32" s="207"/>
      <c r="AU32" s="170"/>
      <c r="AV32" s="190">
        <v>267</v>
      </c>
      <c r="AW32" s="166">
        <v>219</v>
      </c>
      <c r="AX32" s="208">
        <v>253</v>
      </c>
      <c r="AY32" s="170">
        <v>181</v>
      </c>
      <c r="AZ32" s="45">
        <v>177</v>
      </c>
      <c r="BA32" s="58">
        <v>290</v>
      </c>
      <c r="BB32" s="190"/>
      <c r="BC32" s="167"/>
      <c r="BD32" s="190"/>
      <c r="BE32" s="167"/>
      <c r="BF32" s="190"/>
      <c r="BG32" s="167"/>
      <c r="BH32" s="190"/>
      <c r="BI32" s="167"/>
      <c r="BJ32" s="190"/>
      <c r="BK32" s="167"/>
    </row>
    <row r="33" spans="1:63" ht="13" x14ac:dyDescent="0.25">
      <c r="A33" s="372">
        <v>401</v>
      </c>
      <c r="B33" s="373" t="s">
        <v>174</v>
      </c>
      <c r="C33" s="360">
        <v>957</v>
      </c>
      <c r="D33" s="54">
        <v>610</v>
      </c>
      <c r="E33" s="367">
        <v>0.67012448132780078</v>
      </c>
      <c r="F33" s="45">
        <v>479</v>
      </c>
      <c r="G33" s="58">
        <v>124</v>
      </c>
      <c r="H33" s="45">
        <v>413</v>
      </c>
      <c r="I33" s="57">
        <v>180</v>
      </c>
      <c r="J33" s="97"/>
      <c r="K33" s="58"/>
      <c r="L33" s="45"/>
      <c r="M33" s="57"/>
      <c r="N33" s="97"/>
      <c r="O33" s="58"/>
      <c r="P33" s="165"/>
      <c r="Q33" s="166"/>
      <c r="R33" s="207"/>
      <c r="S33" s="170"/>
      <c r="T33" s="165"/>
      <c r="U33" s="166"/>
      <c r="V33" s="207"/>
      <c r="W33" s="170"/>
      <c r="X33" s="165"/>
      <c r="Y33" s="166"/>
      <c r="Z33" s="207"/>
      <c r="AA33" s="170"/>
      <c r="AB33" s="165"/>
      <c r="AC33" s="166"/>
      <c r="AD33" s="207"/>
      <c r="AE33" s="170"/>
      <c r="AF33" s="165"/>
      <c r="AG33" s="166"/>
      <c r="AH33" s="207"/>
      <c r="AI33" s="170"/>
      <c r="AJ33" s="165"/>
      <c r="AK33" s="166"/>
      <c r="AL33" s="207"/>
      <c r="AM33" s="170"/>
      <c r="AN33" s="165"/>
      <c r="AO33" s="166"/>
      <c r="AP33" s="207">
        <v>477</v>
      </c>
      <c r="AQ33" s="170">
        <v>120</v>
      </c>
      <c r="AR33" s="165">
        <v>414</v>
      </c>
      <c r="AS33" s="166">
        <v>183</v>
      </c>
      <c r="AT33" s="207"/>
      <c r="AU33" s="170"/>
      <c r="AV33" s="190">
        <v>349</v>
      </c>
      <c r="AW33" s="166">
        <v>243</v>
      </c>
      <c r="AX33" s="208">
        <v>356</v>
      </c>
      <c r="AY33" s="170">
        <v>164</v>
      </c>
      <c r="AZ33" s="45">
        <v>134</v>
      </c>
      <c r="BA33" s="58">
        <v>428</v>
      </c>
      <c r="BB33" s="190"/>
      <c r="BC33" s="167"/>
      <c r="BD33" s="190"/>
      <c r="BE33" s="167"/>
      <c r="BF33" s="190"/>
      <c r="BG33" s="167"/>
      <c r="BH33" s="190"/>
      <c r="BI33" s="167"/>
      <c r="BJ33" s="190"/>
      <c r="BK33" s="167"/>
    </row>
    <row r="34" spans="1:63" ht="13" x14ac:dyDescent="0.25">
      <c r="A34" s="372">
        <v>402</v>
      </c>
      <c r="B34" s="373" t="s">
        <v>175</v>
      </c>
      <c r="C34" s="360">
        <v>1078</v>
      </c>
      <c r="D34" s="54">
        <v>673</v>
      </c>
      <c r="E34" s="367">
        <v>0.64211520302171865</v>
      </c>
      <c r="F34" s="45">
        <v>543</v>
      </c>
      <c r="G34" s="58">
        <v>124</v>
      </c>
      <c r="H34" s="45">
        <v>494</v>
      </c>
      <c r="I34" s="57">
        <v>172</v>
      </c>
      <c r="J34" s="97"/>
      <c r="K34" s="58"/>
      <c r="L34" s="45"/>
      <c r="M34" s="57"/>
      <c r="N34" s="97"/>
      <c r="O34" s="58"/>
      <c r="P34" s="165"/>
      <c r="Q34" s="166"/>
      <c r="R34" s="207"/>
      <c r="S34" s="170"/>
      <c r="T34" s="165"/>
      <c r="U34" s="166"/>
      <c r="V34" s="207"/>
      <c r="W34" s="170"/>
      <c r="X34" s="165"/>
      <c r="Y34" s="166"/>
      <c r="Z34" s="207"/>
      <c r="AA34" s="170"/>
      <c r="AB34" s="165"/>
      <c r="AC34" s="166"/>
      <c r="AD34" s="207"/>
      <c r="AE34" s="170"/>
      <c r="AF34" s="165"/>
      <c r="AG34" s="166"/>
      <c r="AH34" s="207"/>
      <c r="AI34" s="170"/>
      <c r="AJ34" s="165"/>
      <c r="AK34" s="166"/>
      <c r="AL34" s="207"/>
      <c r="AM34" s="170"/>
      <c r="AN34" s="165"/>
      <c r="AO34" s="166"/>
      <c r="AP34" s="207">
        <v>527</v>
      </c>
      <c r="AQ34" s="170">
        <v>131</v>
      </c>
      <c r="AR34" s="165">
        <v>460</v>
      </c>
      <c r="AS34" s="166">
        <v>198</v>
      </c>
      <c r="AT34" s="207"/>
      <c r="AU34" s="170"/>
      <c r="AV34" s="190">
        <v>362</v>
      </c>
      <c r="AW34" s="166">
        <v>293</v>
      </c>
      <c r="AX34" s="208">
        <v>409</v>
      </c>
      <c r="AY34" s="170">
        <v>160</v>
      </c>
      <c r="AZ34" s="45">
        <v>127</v>
      </c>
      <c r="BA34" s="58">
        <v>503</v>
      </c>
      <c r="BB34" s="190"/>
      <c r="BC34" s="167"/>
      <c r="BD34" s="190"/>
      <c r="BE34" s="167"/>
      <c r="BF34" s="190"/>
      <c r="BG34" s="167"/>
      <c r="BH34" s="190"/>
      <c r="BI34" s="167"/>
      <c r="BJ34" s="190"/>
      <c r="BK34" s="167"/>
    </row>
    <row r="35" spans="1:63" ht="13" x14ac:dyDescent="0.25">
      <c r="A35" s="372">
        <v>403</v>
      </c>
      <c r="B35" s="373" t="s">
        <v>176</v>
      </c>
      <c r="C35" s="360">
        <v>920</v>
      </c>
      <c r="D35" s="54">
        <v>507</v>
      </c>
      <c r="E35" s="367">
        <v>0.55841371918542337</v>
      </c>
      <c r="F35" s="45">
        <v>429</v>
      </c>
      <c r="G35" s="58">
        <v>75</v>
      </c>
      <c r="H35" s="45">
        <v>377</v>
      </c>
      <c r="I35" s="57">
        <v>125</v>
      </c>
      <c r="J35" s="97"/>
      <c r="K35" s="58"/>
      <c r="L35" s="45"/>
      <c r="M35" s="57"/>
      <c r="N35" s="97"/>
      <c r="O35" s="58"/>
      <c r="P35" s="165"/>
      <c r="Q35" s="166"/>
      <c r="R35" s="207"/>
      <c r="S35" s="170"/>
      <c r="T35" s="165"/>
      <c r="U35" s="166"/>
      <c r="V35" s="207"/>
      <c r="W35" s="170"/>
      <c r="X35" s="165"/>
      <c r="Y35" s="166"/>
      <c r="Z35" s="207"/>
      <c r="AA35" s="170"/>
      <c r="AB35" s="165"/>
      <c r="AC35" s="166"/>
      <c r="AD35" s="207"/>
      <c r="AE35" s="170"/>
      <c r="AF35" s="165"/>
      <c r="AG35" s="166"/>
      <c r="AH35" s="207"/>
      <c r="AI35" s="170"/>
      <c r="AJ35" s="165"/>
      <c r="AK35" s="166"/>
      <c r="AL35" s="207"/>
      <c r="AM35" s="170"/>
      <c r="AN35" s="165"/>
      <c r="AO35" s="166"/>
      <c r="AP35" s="207">
        <v>381</v>
      </c>
      <c r="AQ35" s="170">
        <v>113</v>
      </c>
      <c r="AR35" s="165">
        <v>353</v>
      </c>
      <c r="AS35" s="166">
        <v>138</v>
      </c>
      <c r="AT35" s="207"/>
      <c r="AU35" s="170"/>
      <c r="AV35" s="190">
        <v>271</v>
      </c>
      <c r="AW35" s="166">
        <v>218</v>
      </c>
      <c r="AX35" s="208">
        <v>292</v>
      </c>
      <c r="AY35" s="170">
        <v>141</v>
      </c>
      <c r="AZ35" s="45">
        <v>96</v>
      </c>
      <c r="BA35" s="58">
        <v>374</v>
      </c>
      <c r="BB35" s="190"/>
      <c r="BC35" s="167"/>
      <c r="BD35" s="190"/>
      <c r="BE35" s="167"/>
      <c r="BF35" s="190"/>
      <c r="BG35" s="167"/>
      <c r="BH35" s="190"/>
      <c r="BI35" s="167"/>
      <c r="BJ35" s="190"/>
      <c r="BK35" s="167"/>
    </row>
    <row r="36" spans="1:63" ht="13" x14ac:dyDescent="0.25">
      <c r="A36" s="372">
        <v>404</v>
      </c>
      <c r="B36" s="373" t="s">
        <v>177</v>
      </c>
      <c r="C36" s="360">
        <v>1225</v>
      </c>
      <c r="D36" s="54">
        <v>756</v>
      </c>
      <c r="E36" s="367">
        <v>0.59605911330049266</v>
      </c>
      <c r="F36" s="45">
        <v>597</v>
      </c>
      <c r="G36" s="58">
        <v>150</v>
      </c>
      <c r="H36" s="45">
        <v>568</v>
      </c>
      <c r="I36" s="57">
        <v>179</v>
      </c>
      <c r="J36" s="97"/>
      <c r="K36" s="58"/>
      <c r="L36" s="45"/>
      <c r="M36" s="57"/>
      <c r="N36" s="97"/>
      <c r="O36" s="58"/>
      <c r="P36" s="165"/>
      <c r="Q36" s="166"/>
      <c r="R36" s="207"/>
      <c r="S36" s="170"/>
      <c r="T36" s="165"/>
      <c r="U36" s="166"/>
      <c r="V36" s="207"/>
      <c r="W36" s="170"/>
      <c r="X36" s="165"/>
      <c r="Y36" s="166"/>
      <c r="Z36" s="207"/>
      <c r="AA36" s="170"/>
      <c r="AB36" s="165"/>
      <c r="AC36" s="166"/>
      <c r="AD36" s="207"/>
      <c r="AE36" s="170"/>
      <c r="AF36" s="165"/>
      <c r="AG36" s="166"/>
      <c r="AH36" s="207"/>
      <c r="AI36" s="170"/>
      <c r="AJ36" s="165"/>
      <c r="AK36" s="166"/>
      <c r="AL36" s="207"/>
      <c r="AM36" s="170"/>
      <c r="AN36" s="165"/>
      <c r="AO36" s="166"/>
      <c r="AP36" s="207">
        <v>614</v>
      </c>
      <c r="AQ36" s="170">
        <v>130</v>
      </c>
      <c r="AR36" s="165">
        <v>525</v>
      </c>
      <c r="AS36" s="166">
        <v>208</v>
      </c>
      <c r="AT36" s="207"/>
      <c r="AU36" s="170"/>
      <c r="AV36" s="190">
        <v>411</v>
      </c>
      <c r="AW36" s="166">
        <v>320</v>
      </c>
      <c r="AX36" s="208">
        <v>435</v>
      </c>
      <c r="AY36" s="170">
        <v>180</v>
      </c>
      <c r="AZ36" s="45">
        <v>161</v>
      </c>
      <c r="BA36" s="58">
        <v>545</v>
      </c>
      <c r="BB36" s="190"/>
      <c r="BC36" s="167"/>
      <c r="BD36" s="190"/>
      <c r="BE36" s="167"/>
      <c r="BF36" s="190"/>
      <c r="BG36" s="167"/>
      <c r="BH36" s="190"/>
      <c r="BI36" s="167"/>
      <c r="BJ36" s="190"/>
      <c r="BK36" s="167"/>
    </row>
    <row r="37" spans="1:63" ht="13" x14ac:dyDescent="0.25">
      <c r="A37" s="372">
        <v>405</v>
      </c>
      <c r="B37" s="373" t="s">
        <v>178</v>
      </c>
      <c r="C37" s="360">
        <v>1185</v>
      </c>
      <c r="D37" s="54">
        <v>679</v>
      </c>
      <c r="E37" s="367">
        <v>0.58978873239436624</v>
      </c>
      <c r="F37" s="45">
        <v>521</v>
      </c>
      <c r="G37" s="58">
        <v>153</v>
      </c>
      <c r="H37" s="45">
        <v>493</v>
      </c>
      <c r="I37" s="57">
        <v>176</v>
      </c>
      <c r="J37" s="97"/>
      <c r="K37" s="58"/>
      <c r="L37" s="45"/>
      <c r="M37" s="57"/>
      <c r="N37" s="97"/>
      <c r="O37" s="58"/>
      <c r="P37" s="165"/>
      <c r="Q37" s="166"/>
      <c r="R37" s="207"/>
      <c r="S37" s="170"/>
      <c r="T37" s="165"/>
      <c r="U37" s="166"/>
      <c r="V37" s="207"/>
      <c r="W37" s="170"/>
      <c r="X37" s="165"/>
      <c r="Y37" s="166"/>
      <c r="Z37" s="207"/>
      <c r="AA37" s="170"/>
      <c r="AB37" s="165"/>
      <c r="AC37" s="166"/>
      <c r="AD37" s="207"/>
      <c r="AE37" s="170"/>
      <c r="AF37" s="165"/>
      <c r="AG37" s="166"/>
      <c r="AH37" s="207"/>
      <c r="AI37" s="170"/>
      <c r="AJ37" s="165"/>
      <c r="AK37" s="166"/>
      <c r="AL37" s="207"/>
      <c r="AM37" s="170"/>
      <c r="AN37" s="165"/>
      <c r="AO37" s="166"/>
      <c r="AP37" s="207">
        <v>506</v>
      </c>
      <c r="AQ37" s="170">
        <v>151</v>
      </c>
      <c r="AR37" s="165">
        <v>437</v>
      </c>
      <c r="AS37" s="166">
        <v>210</v>
      </c>
      <c r="AT37" s="207"/>
      <c r="AU37" s="170"/>
      <c r="AV37" s="190">
        <v>335</v>
      </c>
      <c r="AW37" s="166">
        <v>320</v>
      </c>
      <c r="AX37" s="208">
        <v>403</v>
      </c>
      <c r="AY37" s="170">
        <v>172</v>
      </c>
      <c r="AZ37" s="45">
        <v>151</v>
      </c>
      <c r="BA37" s="58">
        <v>470</v>
      </c>
      <c r="BB37" s="190"/>
      <c r="BC37" s="167"/>
      <c r="BD37" s="190"/>
      <c r="BE37" s="167"/>
      <c r="BF37" s="190"/>
      <c r="BG37" s="167"/>
      <c r="BH37" s="190"/>
      <c r="BI37" s="167"/>
      <c r="BJ37" s="190"/>
      <c r="BK37" s="167"/>
    </row>
    <row r="38" spans="1:63" ht="13" x14ac:dyDescent="0.25">
      <c r="A38" s="372">
        <v>406</v>
      </c>
      <c r="B38" s="373" t="s">
        <v>179</v>
      </c>
      <c r="C38" s="360">
        <v>1070</v>
      </c>
      <c r="D38" s="54">
        <v>632</v>
      </c>
      <c r="E38" s="367">
        <v>0.60447761194029848</v>
      </c>
      <c r="F38" s="45">
        <v>487</v>
      </c>
      <c r="G38" s="58">
        <v>142</v>
      </c>
      <c r="H38" s="45">
        <v>432</v>
      </c>
      <c r="I38" s="57">
        <v>192</v>
      </c>
      <c r="J38" s="97"/>
      <c r="K38" s="58"/>
      <c r="L38" s="45"/>
      <c r="M38" s="57"/>
      <c r="N38" s="97"/>
      <c r="O38" s="58"/>
      <c r="P38" s="165"/>
      <c r="Q38" s="166"/>
      <c r="R38" s="207"/>
      <c r="S38" s="170"/>
      <c r="T38" s="165"/>
      <c r="U38" s="166"/>
      <c r="V38" s="207"/>
      <c r="W38" s="170"/>
      <c r="X38" s="165"/>
      <c r="Y38" s="166"/>
      <c r="Z38" s="207"/>
      <c r="AA38" s="170"/>
      <c r="AB38" s="165"/>
      <c r="AC38" s="166"/>
      <c r="AD38" s="207"/>
      <c r="AE38" s="170"/>
      <c r="AF38" s="165"/>
      <c r="AG38" s="166"/>
      <c r="AH38" s="207"/>
      <c r="AI38" s="170"/>
      <c r="AJ38" s="165"/>
      <c r="AK38" s="166"/>
      <c r="AL38" s="207"/>
      <c r="AM38" s="170"/>
      <c r="AN38" s="165"/>
      <c r="AO38" s="166"/>
      <c r="AP38" s="207">
        <v>488</v>
      </c>
      <c r="AQ38" s="170">
        <v>126</v>
      </c>
      <c r="AR38" s="165">
        <v>426</v>
      </c>
      <c r="AS38" s="166">
        <v>185</v>
      </c>
      <c r="AT38" s="207"/>
      <c r="AU38" s="170"/>
      <c r="AV38" s="190">
        <v>339</v>
      </c>
      <c r="AW38" s="166">
        <v>271</v>
      </c>
      <c r="AX38" s="208">
        <v>368</v>
      </c>
      <c r="AY38" s="170">
        <v>166</v>
      </c>
      <c r="AZ38" s="45">
        <v>141</v>
      </c>
      <c r="BA38" s="58">
        <v>437</v>
      </c>
      <c r="BB38" s="190"/>
      <c r="BC38" s="167"/>
      <c r="BD38" s="190"/>
      <c r="BE38" s="167"/>
      <c r="BF38" s="190"/>
      <c r="BG38" s="167"/>
      <c r="BH38" s="190"/>
      <c r="BI38" s="167"/>
      <c r="BJ38" s="190"/>
      <c r="BK38" s="167"/>
    </row>
    <row r="39" spans="1:63" ht="13" x14ac:dyDescent="0.25">
      <c r="A39" s="372">
        <v>407</v>
      </c>
      <c r="B39" s="373" t="s">
        <v>180</v>
      </c>
      <c r="C39" s="360">
        <v>1243</v>
      </c>
      <c r="D39" s="54">
        <v>815</v>
      </c>
      <c r="E39" s="367">
        <v>0.66314935064935066</v>
      </c>
      <c r="F39" s="45">
        <v>554</v>
      </c>
      <c r="G39" s="58">
        <v>251</v>
      </c>
      <c r="H39" s="45">
        <v>492</v>
      </c>
      <c r="I39" s="57">
        <v>311</v>
      </c>
      <c r="J39" s="97"/>
      <c r="K39" s="58"/>
      <c r="L39" s="45"/>
      <c r="M39" s="57"/>
      <c r="N39" s="97"/>
      <c r="O39" s="58"/>
      <c r="P39" s="165"/>
      <c r="Q39" s="166"/>
      <c r="R39" s="207"/>
      <c r="S39" s="170"/>
      <c r="T39" s="165"/>
      <c r="U39" s="166"/>
      <c r="V39" s="207"/>
      <c r="W39" s="170"/>
      <c r="X39" s="165"/>
      <c r="Y39" s="166"/>
      <c r="Z39" s="207"/>
      <c r="AA39" s="170"/>
      <c r="AB39" s="165"/>
      <c r="AC39" s="166"/>
      <c r="AD39" s="207"/>
      <c r="AE39" s="170"/>
      <c r="AF39" s="165"/>
      <c r="AG39" s="166"/>
      <c r="AH39" s="207"/>
      <c r="AI39" s="170"/>
      <c r="AJ39" s="165"/>
      <c r="AK39" s="166"/>
      <c r="AL39" s="207"/>
      <c r="AM39" s="170"/>
      <c r="AN39" s="165"/>
      <c r="AO39" s="166"/>
      <c r="AP39" s="207">
        <v>568</v>
      </c>
      <c r="AQ39" s="170">
        <v>229</v>
      </c>
      <c r="AR39" s="165">
        <v>436</v>
      </c>
      <c r="AS39" s="166">
        <v>354</v>
      </c>
      <c r="AT39" s="207"/>
      <c r="AU39" s="170"/>
      <c r="AV39" s="190">
        <v>439</v>
      </c>
      <c r="AW39" s="166">
        <v>357</v>
      </c>
      <c r="AX39" s="208">
        <v>499</v>
      </c>
      <c r="AY39" s="170">
        <v>215</v>
      </c>
      <c r="AZ39" s="45">
        <v>121</v>
      </c>
      <c r="BA39" s="58">
        <v>651</v>
      </c>
      <c r="BB39" s="190"/>
      <c r="BC39" s="167"/>
      <c r="BD39" s="190"/>
      <c r="BE39" s="167"/>
      <c r="BF39" s="190"/>
      <c r="BG39" s="167"/>
      <c r="BH39" s="190"/>
      <c r="BI39" s="167"/>
      <c r="BJ39" s="190"/>
      <c r="BK39" s="167"/>
    </row>
    <row r="40" spans="1:63" ht="13" x14ac:dyDescent="0.25">
      <c r="A40" s="372">
        <v>408</v>
      </c>
      <c r="B40" s="373" t="s">
        <v>181</v>
      </c>
      <c r="C40" s="360">
        <v>1450</v>
      </c>
      <c r="D40" s="54">
        <v>825</v>
      </c>
      <c r="E40" s="367">
        <v>0.56856187290969895</v>
      </c>
      <c r="F40" s="45">
        <v>640</v>
      </c>
      <c r="G40" s="58">
        <v>176</v>
      </c>
      <c r="H40" s="45">
        <v>636</v>
      </c>
      <c r="I40" s="57">
        <v>180</v>
      </c>
      <c r="J40" s="97"/>
      <c r="K40" s="58"/>
      <c r="L40" s="45"/>
      <c r="M40" s="57"/>
      <c r="N40" s="97"/>
      <c r="O40" s="58"/>
      <c r="P40" s="165"/>
      <c r="Q40" s="166"/>
      <c r="R40" s="207"/>
      <c r="S40" s="170"/>
      <c r="T40" s="165"/>
      <c r="U40" s="166"/>
      <c r="V40" s="207"/>
      <c r="W40" s="170"/>
      <c r="X40" s="165"/>
      <c r="Y40" s="166"/>
      <c r="Z40" s="207"/>
      <c r="AA40" s="170"/>
      <c r="AB40" s="165"/>
      <c r="AC40" s="166"/>
      <c r="AD40" s="207"/>
      <c r="AE40" s="170"/>
      <c r="AF40" s="165"/>
      <c r="AG40" s="166"/>
      <c r="AH40" s="207"/>
      <c r="AI40" s="170"/>
      <c r="AJ40" s="165"/>
      <c r="AK40" s="166"/>
      <c r="AL40" s="207"/>
      <c r="AM40" s="170"/>
      <c r="AN40" s="165"/>
      <c r="AO40" s="166"/>
      <c r="AP40" s="207">
        <v>650</v>
      </c>
      <c r="AQ40" s="170">
        <v>155</v>
      </c>
      <c r="AR40" s="165">
        <v>542</v>
      </c>
      <c r="AS40" s="166">
        <v>252</v>
      </c>
      <c r="AT40" s="207"/>
      <c r="AU40" s="170"/>
      <c r="AV40" s="190">
        <v>407</v>
      </c>
      <c r="AW40" s="166">
        <v>378</v>
      </c>
      <c r="AX40" s="208">
        <v>476</v>
      </c>
      <c r="AY40" s="170">
        <v>200</v>
      </c>
      <c r="AZ40" s="45">
        <v>209</v>
      </c>
      <c r="BA40" s="58">
        <v>544</v>
      </c>
      <c r="BB40" s="190"/>
      <c r="BC40" s="167"/>
      <c r="BD40" s="190"/>
      <c r="BE40" s="167"/>
      <c r="BF40" s="190"/>
      <c r="BG40" s="167"/>
      <c r="BH40" s="190"/>
      <c r="BI40" s="167"/>
      <c r="BJ40" s="190"/>
      <c r="BK40" s="167"/>
    </row>
    <row r="41" spans="1:63" ht="12.75" customHeight="1" x14ac:dyDescent="0.25">
      <c r="A41" s="372">
        <v>501</v>
      </c>
      <c r="B41" s="373" t="s">
        <v>182</v>
      </c>
      <c r="C41" s="360">
        <v>1242</v>
      </c>
      <c r="D41" s="54">
        <v>718</v>
      </c>
      <c r="E41" s="367">
        <v>0.61939690301548489</v>
      </c>
      <c r="F41" s="45">
        <v>550</v>
      </c>
      <c r="G41" s="58">
        <v>160</v>
      </c>
      <c r="H41" s="45">
        <v>470</v>
      </c>
      <c r="I41" s="57">
        <v>236</v>
      </c>
      <c r="J41" s="97"/>
      <c r="K41" s="58"/>
      <c r="L41" s="45"/>
      <c r="M41" s="57"/>
      <c r="N41" s="97"/>
      <c r="O41" s="58"/>
      <c r="P41" s="165"/>
      <c r="Q41" s="166"/>
      <c r="R41" s="207"/>
      <c r="S41" s="170"/>
      <c r="T41" s="165"/>
      <c r="U41" s="166"/>
      <c r="V41" s="207"/>
      <c r="W41" s="170"/>
      <c r="X41" s="165"/>
      <c r="Y41" s="166"/>
      <c r="Z41" s="207"/>
      <c r="AA41" s="170"/>
      <c r="AB41" s="165"/>
      <c r="AC41" s="166"/>
      <c r="AD41" s="207"/>
      <c r="AE41" s="170"/>
      <c r="AF41" s="165"/>
      <c r="AG41" s="166"/>
      <c r="AH41" s="207"/>
      <c r="AI41" s="170"/>
      <c r="AJ41" s="165"/>
      <c r="AK41" s="166"/>
      <c r="AL41" s="207"/>
      <c r="AM41" s="170"/>
      <c r="AN41" s="165"/>
      <c r="AO41" s="166"/>
      <c r="AP41" s="207">
        <v>516</v>
      </c>
      <c r="AQ41" s="170">
        <v>188</v>
      </c>
      <c r="AR41" s="165">
        <v>407</v>
      </c>
      <c r="AS41" s="166">
        <v>297</v>
      </c>
      <c r="AT41" s="207"/>
      <c r="AU41" s="170"/>
      <c r="AV41" s="190">
        <v>413</v>
      </c>
      <c r="AW41" s="166">
        <v>291</v>
      </c>
      <c r="AX41" s="208">
        <v>437</v>
      </c>
      <c r="AY41" s="170">
        <v>188</v>
      </c>
      <c r="AZ41" s="45">
        <v>115</v>
      </c>
      <c r="BA41" s="58">
        <v>565</v>
      </c>
      <c r="BB41" s="190"/>
      <c r="BC41" s="167"/>
      <c r="BD41" s="190"/>
      <c r="BE41" s="167"/>
      <c r="BF41" s="190"/>
      <c r="BG41" s="167"/>
      <c r="BH41" s="190"/>
      <c r="BI41" s="167"/>
      <c r="BJ41" s="190"/>
      <c r="BK41" s="167"/>
    </row>
    <row r="42" spans="1:63" ht="12.75" customHeight="1" x14ac:dyDescent="0.25">
      <c r="A42" s="372">
        <v>502</v>
      </c>
      <c r="B42" s="373" t="s">
        <v>183</v>
      </c>
      <c r="C42" s="360">
        <v>1130</v>
      </c>
      <c r="D42" s="54">
        <v>739</v>
      </c>
      <c r="E42" s="367">
        <v>0.67502160760587726</v>
      </c>
      <c r="F42" s="45">
        <v>552</v>
      </c>
      <c r="G42" s="58">
        <v>176</v>
      </c>
      <c r="H42" s="45">
        <v>509</v>
      </c>
      <c r="I42" s="57">
        <v>221</v>
      </c>
      <c r="J42" s="97"/>
      <c r="K42" s="58"/>
      <c r="L42" s="45"/>
      <c r="M42" s="57"/>
      <c r="N42" s="97"/>
      <c r="O42" s="58"/>
      <c r="P42" s="165"/>
      <c r="Q42" s="166"/>
      <c r="R42" s="207"/>
      <c r="S42" s="170"/>
      <c r="T42" s="165"/>
      <c r="U42" s="166"/>
      <c r="V42" s="207"/>
      <c r="W42" s="170"/>
      <c r="X42" s="165"/>
      <c r="Y42" s="166"/>
      <c r="Z42" s="207"/>
      <c r="AA42" s="170"/>
      <c r="AB42" s="165"/>
      <c r="AC42" s="166"/>
      <c r="AD42" s="207"/>
      <c r="AE42" s="170"/>
      <c r="AF42" s="165"/>
      <c r="AG42" s="166"/>
      <c r="AH42" s="207"/>
      <c r="AI42" s="170"/>
      <c r="AJ42" s="165"/>
      <c r="AK42" s="166"/>
      <c r="AL42" s="207"/>
      <c r="AM42" s="170"/>
      <c r="AN42" s="165"/>
      <c r="AO42" s="166"/>
      <c r="AP42" s="207">
        <v>575</v>
      </c>
      <c r="AQ42" s="170">
        <v>153</v>
      </c>
      <c r="AR42" s="165">
        <v>469</v>
      </c>
      <c r="AS42" s="166">
        <v>250</v>
      </c>
      <c r="AT42" s="207"/>
      <c r="AU42" s="170"/>
      <c r="AV42" s="190">
        <v>383</v>
      </c>
      <c r="AW42" s="166">
        <v>335</v>
      </c>
      <c r="AX42" s="208">
        <v>441</v>
      </c>
      <c r="AY42" s="170">
        <v>191</v>
      </c>
      <c r="AZ42" s="45">
        <v>139</v>
      </c>
      <c r="BA42" s="58">
        <v>556</v>
      </c>
      <c r="BB42" s="190"/>
      <c r="BC42" s="167"/>
      <c r="BD42" s="190"/>
      <c r="BE42" s="167"/>
      <c r="BF42" s="190"/>
      <c r="BG42" s="167"/>
      <c r="BH42" s="190"/>
      <c r="BI42" s="167"/>
      <c r="BJ42" s="190"/>
      <c r="BK42" s="167"/>
    </row>
    <row r="43" spans="1:63" ht="12.75" customHeight="1" x14ac:dyDescent="0.25">
      <c r="A43" s="372">
        <v>503</v>
      </c>
      <c r="B43" s="373" t="s">
        <v>184</v>
      </c>
      <c r="C43" s="360">
        <v>843</v>
      </c>
      <c r="D43" s="54">
        <v>522</v>
      </c>
      <c r="E43" s="367">
        <v>0.65776699029126218</v>
      </c>
      <c r="F43" s="45">
        <v>401</v>
      </c>
      <c r="G43" s="58">
        <v>119</v>
      </c>
      <c r="H43" s="45">
        <v>356</v>
      </c>
      <c r="I43" s="57">
        <v>158</v>
      </c>
      <c r="J43" s="97"/>
      <c r="K43" s="58"/>
      <c r="L43" s="45"/>
      <c r="M43" s="57"/>
      <c r="N43" s="97"/>
      <c r="O43" s="58"/>
      <c r="P43" s="165"/>
      <c r="Q43" s="166"/>
      <c r="R43" s="207"/>
      <c r="S43" s="170"/>
      <c r="T43" s="165"/>
      <c r="U43" s="166"/>
      <c r="V43" s="207"/>
      <c r="W43" s="170"/>
      <c r="X43" s="165"/>
      <c r="Y43" s="166"/>
      <c r="Z43" s="207"/>
      <c r="AA43" s="170"/>
      <c r="AB43" s="165"/>
      <c r="AC43" s="166"/>
      <c r="AD43" s="207"/>
      <c r="AE43" s="170"/>
      <c r="AF43" s="165"/>
      <c r="AG43" s="166"/>
      <c r="AH43" s="207"/>
      <c r="AI43" s="170"/>
      <c r="AJ43" s="165"/>
      <c r="AK43" s="166"/>
      <c r="AL43" s="207"/>
      <c r="AM43" s="170"/>
      <c r="AN43" s="165"/>
      <c r="AO43" s="166"/>
      <c r="AP43" s="207">
        <v>406</v>
      </c>
      <c r="AQ43" s="170">
        <v>108</v>
      </c>
      <c r="AR43" s="165">
        <v>336</v>
      </c>
      <c r="AS43" s="166">
        <v>173</v>
      </c>
      <c r="AT43" s="207"/>
      <c r="AU43" s="170"/>
      <c r="AV43" s="190">
        <v>294</v>
      </c>
      <c r="AW43" s="166">
        <v>218</v>
      </c>
      <c r="AX43" s="208">
        <v>312</v>
      </c>
      <c r="AY43" s="170">
        <v>147</v>
      </c>
      <c r="AZ43" s="45">
        <v>133</v>
      </c>
      <c r="BA43" s="58">
        <v>354</v>
      </c>
      <c r="BB43" s="190"/>
      <c r="BC43" s="167"/>
      <c r="BD43" s="190"/>
      <c r="BE43" s="167"/>
      <c r="BF43" s="190"/>
      <c r="BG43" s="167"/>
      <c r="BH43" s="190"/>
      <c r="BI43" s="167"/>
      <c r="BJ43" s="190"/>
      <c r="BK43" s="167"/>
    </row>
    <row r="44" spans="1:63" ht="13" x14ac:dyDescent="0.25">
      <c r="A44" s="372">
        <v>504</v>
      </c>
      <c r="B44" s="373" t="s">
        <v>185</v>
      </c>
      <c r="C44" s="360">
        <v>1334</v>
      </c>
      <c r="D44" s="54">
        <v>920</v>
      </c>
      <c r="E44" s="367">
        <v>0.72447447447447444</v>
      </c>
      <c r="F44" s="45">
        <v>710</v>
      </c>
      <c r="G44" s="58">
        <v>200</v>
      </c>
      <c r="H44" s="45">
        <v>632</v>
      </c>
      <c r="I44" s="57">
        <v>278</v>
      </c>
      <c r="J44" s="97"/>
      <c r="K44" s="58"/>
      <c r="L44" s="45"/>
      <c r="M44" s="57"/>
      <c r="N44" s="97"/>
      <c r="O44" s="58"/>
      <c r="P44" s="165"/>
      <c r="Q44" s="166"/>
      <c r="R44" s="207"/>
      <c r="S44" s="170"/>
      <c r="T44" s="165"/>
      <c r="U44" s="166"/>
      <c r="V44" s="207"/>
      <c r="W44" s="170"/>
      <c r="X44" s="165"/>
      <c r="Y44" s="166"/>
      <c r="Z44" s="207"/>
      <c r="AA44" s="170"/>
      <c r="AB44" s="165"/>
      <c r="AC44" s="166"/>
      <c r="AD44" s="207"/>
      <c r="AE44" s="170"/>
      <c r="AF44" s="165"/>
      <c r="AG44" s="166"/>
      <c r="AH44" s="207"/>
      <c r="AI44" s="170"/>
      <c r="AJ44" s="165"/>
      <c r="AK44" s="166"/>
      <c r="AL44" s="207"/>
      <c r="AM44" s="170"/>
      <c r="AN44" s="165"/>
      <c r="AO44" s="166"/>
      <c r="AP44" s="207">
        <v>737</v>
      </c>
      <c r="AQ44" s="170">
        <v>174</v>
      </c>
      <c r="AR44" s="165">
        <v>597</v>
      </c>
      <c r="AS44" s="166">
        <v>309</v>
      </c>
      <c r="AT44" s="207"/>
      <c r="AU44" s="170"/>
      <c r="AV44" s="190">
        <v>543</v>
      </c>
      <c r="AW44" s="166">
        <v>349</v>
      </c>
      <c r="AX44" s="208">
        <v>561</v>
      </c>
      <c r="AY44" s="170">
        <v>232</v>
      </c>
      <c r="AZ44" s="45">
        <v>147</v>
      </c>
      <c r="BA44" s="58">
        <v>709</v>
      </c>
      <c r="BB44" s="190"/>
      <c r="BC44" s="167"/>
      <c r="BD44" s="190"/>
      <c r="BE44" s="167"/>
      <c r="BF44" s="190"/>
      <c r="BG44" s="167"/>
      <c r="BH44" s="190"/>
      <c r="BI44" s="167"/>
      <c r="BJ44" s="190"/>
      <c r="BK44" s="167"/>
    </row>
    <row r="45" spans="1:63" ht="13" x14ac:dyDescent="0.25">
      <c r="A45" s="372">
        <v>505</v>
      </c>
      <c r="B45" s="373" t="s">
        <v>186</v>
      </c>
      <c r="C45" s="360">
        <v>1427</v>
      </c>
      <c r="D45" s="54">
        <v>881</v>
      </c>
      <c r="E45" s="367">
        <v>0.64851485148514854</v>
      </c>
      <c r="F45" s="45">
        <v>691</v>
      </c>
      <c r="G45" s="58">
        <v>183</v>
      </c>
      <c r="H45" s="45">
        <v>665</v>
      </c>
      <c r="I45" s="57">
        <v>210</v>
      </c>
      <c r="J45" s="97"/>
      <c r="K45" s="58"/>
      <c r="L45" s="45"/>
      <c r="M45" s="57"/>
      <c r="N45" s="97"/>
      <c r="O45" s="58"/>
      <c r="P45" s="165"/>
      <c r="Q45" s="166"/>
      <c r="R45" s="207"/>
      <c r="S45" s="170"/>
      <c r="T45" s="165"/>
      <c r="U45" s="166"/>
      <c r="V45" s="207"/>
      <c r="W45" s="170"/>
      <c r="X45" s="165"/>
      <c r="Y45" s="166"/>
      <c r="Z45" s="207"/>
      <c r="AA45" s="170"/>
      <c r="AB45" s="165"/>
      <c r="AC45" s="166"/>
      <c r="AD45" s="207"/>
      <c r="AE45" s="170"/>
      <c r="AF45" s="165"/>
      <c r="AG45" s="166"/>
      <c r="AH45" s="207"/>
      <c r="AI45" s="170"/>
      <c r="AJ45" s="165"/>
      <c r="AK45" s="166"/>
      <c r="AL45" s="207"/>
      <c r="AM45" s="170"/>
      <c r="AN45" s="165"/>
      <c r="AO45" s="166"/>
      <c r="AP45" s="207">
        <v>649</v>
      </c>
      <c r="AQ45" s="170">
        <v>215</v>
      </c>
      <c r="AR45" s="165">
        <v>564</v>
      </c>
      <c r="AS45" s="166">
        <v>295</v>
      </c>
      <c r="AT45" s="207"/>
      <c r="AU45" s="170"/>
      <c r="AV45" s="190">
        <v>480</v>
      </c>
      <c r="AW45" s="166">
        <v>370</v>
      </c>
      <c r="AX45" s="208">
        <v>501</v>
      </c>
      <c r="AY45" s="170">
        <v>251</v>
      </c>
      <c r="AZ45" s="45">
        <v>150</v>
      </c>
      <c r="BA45" s="58">
        <v>670</v>
      </c>
      <c r="BB45" s="190"/>
      <c r="BC45" s="167"/>
      <c r="BD45" s="190"/>
      <c r="BE45" s="167"/>
      <c r="BF45" s="190"/>
      <c r="BG45" s="167"/>
      <c r="BH45" s="190"/>
      <c r="BI45" s="167"/>
      <c r="BJ45" s="190"/>
      <c r="BK45" s="167"/>
    </row>
    <row r="46" spans="1:63" ht="13" x14ac:dyDescent="0.25">
      <c r="A46" s="372">
        <v>506</v>
      </c>
      <c r="B46" s="373" t="s">
        <v>187</v>
      </c>
      <c r="C46" s="360">
        <v>919</v>
      </c>
      <c r="D46" s="54">
        <v>526</v>
      </c>
      <c r="E46" s="367">
        <v>0.58725182863113901</v>
      </c>
      <c r="F46" s="45">
        <v>409</v>
      </c>
      <c r="G46" s="58">
        <v>114</v>
      </c>
      <c r="H46" s="45">
        <v>390</v>
      </c>
      <c r="I46" s="57">
        <v>130</v>
      </c>
      <c r="J46" s="97"/>
      <c r="K46" s="58"/>
      <c r="L46" s="45"/>
      <c r="M46" s="57"/>
      <c r="N46" s="97"/>
      <c r="O46" s="58"/>
      <c r="P46" s="165"/>
      <c r="Q46" s="166"/>
      <c r="R46" s="207"/>
      <c r="S46" s="170"/>
      <c r="T46" s="165"/>
      <c r="U46" s="166"/>
      <c r="V46" s="207"/>
      <c r="W46" s="170"/>
      <c r="X46" s="165"/>
      <c r="Y46" s="166"/>
      <c r="Z46" s="207"/>
      <c r="AA46" s="170"/>
      <c r="AB46" s="165"/>
      <c r="AC46" s="166"/>
      <c r="AD46" s="207"/>
      <c r="AE46" s="170"/>
      <c r="AF46" s="165"/>
      <c r="AG46" s="166"/>
      <c r="AH46" s="207"/>
      <c r="AI46" s="170"/>
      <c r="AJ46" s="165"/>
      <c r="AK46" s="166"/>
      <c r="AL46" s="207"/>
      <c r="AM46" s="170"/>
      <c r="AN46" s="165"/>
      <c r="AO46" s="166"/>
      <c r="AP46" s="207">
        <v>385</v>
      </c>
      <c r="AQ46" s="170">
        <v>133</v>
      </c>
      <c r="AR46" s="165">
        <v>306</v>
      </c>
      <c r="AS46" s="166">
        <v>203</v>
      </c>
      <c r="AT46" s="207"/>
      <c r="AU46" s="170"/>
      <c r="AV46" s="190">
        <v>257</v>
      </c>
      <c r="AW46" s="166">
        <v>261</v>
      </c>
      <c r="AX46" s="208">
        <v>301</v>
      </c>
      <c r="AY46" s="170">
        <v>145</v>
      </c>
      <c r="AZ46" s="45">
        <v>89</v>
      </c>
      <c r="BA46" s="58">
        <v>406</v>
      </c>
      <c r="BB46" s="190"/>
      <c r="BC46" s="167"/>
      <c r="BD46" s="190"/>
      <c r="BE46" s="167"/>
      <c r="BF46" s="190"/>
      <c r="BG46" s="167"/>
      <c r="BH46" s="190"/>
      <c r="BI46" s="167"/>
      <c r="BJ46" s="190"/>
      <c r="BK46" s="167"/>
    </row>
    <row r="47" spans="1:63" ht="13" x14ac:dyDescent="0.25">
      <c r="A47" s="372">
        <v>507</v>
      </c>
      <c r="B47" s="373" t="s">
        <v>188</v>
      </c>
      <c r="C47" s="360">
        <v>1522</v>
      </c>
      <c r="D47" s="54">
        <v>826</v>
      </c>
      <c r="E47" s="367">
        <v>0.5818540433925049</v>
      </c>
      <c r="F47" s="45">
        <v>636</v>
      </c>
      <c r="G47" s="58">
        <v>183</v>
      </c>
      <c r="H47" s="45">
        <v>559</v>
      </c>
      <c r="I47" s="57">
        <v>253</v>
      </c>
      <c r="J47" s="97"/>
      <c r="K47" s="58"/>
      <c r="L47" s="45"/>
      <c r="M47" s="57"/>
      <c r="N47" s="97"/>
      <c r="O47" s="58"/>
      <c r="P47" s="165"/>
      <c r="Q47" s="166"/>
      <c r="R47" s="207"/>
      <c r="S47" s="170"/>
      <c r="T47" s="165"/>
      <c r="U47" s="166"/>
      <c r="V47" s="207"/>
      <c r="W47" s="170"/>
      <c r="X47" s="165"/>
      <c r="Y47" s="166"/>
      <c r="Z47" s="207"/>
      <c r="AA47" s="170"/>
      <c r="AB47" s="165"/>
      <c r="AC47" s="166"/>
      <c r="AD47" s="207"/>
      <c r="AE47" s="170"/>
      <c r="AF47" s="165"/>
      <c r="AG47" s="166"/>
      <c r="AH47" s="207"/>
      <c r="AI47" s="170"/>
      <c r="AJ47" s="165"/>
      <c r="AK47" s="166"/>
      <c r="AL47" s="207"/>
      <c r="AM47" s="170"/>
      <c r="AN47" s="165"/>
      <c r="AO47" s="166"/>
      <c r="AP47" s="207">
        <v>608</v>
      </c>
      <c r="AQ47" s="170">
        <v>198</v>
      </c>
      <c r="AR47" s="165">
        <v>512</v>
      </c>
      <c r="AS47" s="166">
        <v>290</v>
      </c>
      <c r="AT47" s="207"/>
      <c r="AU47" s="170"/>
      <c r="AV47" s="190">
        <v>496</v>
      </c>
      <c r="AW47" s="166">
        <v>298</v>
      </c>
      <c r="AX47" s="208">
        <v>483</v>
      </c>
      <c r="AY47" s="170">
        <v>224</v>
      </c>
      <c r="AZ47" s="45">
        <v>188</v>
      </c>
      <c r="BA47" s="58">
        <v>587</v>
      </c>
      <c r="BB47" s="190"/>
      <c r="BC47" s="167"/>
      <c r="BD47" s="190"/>
      <c r="BE47" s="167"/>
      <c r="BF47" s="190"/>
      <c r="BG47" s="167"/>
      <c r="BH47" s="190"/>
      <c r="BI47" s="167"/>
      <c r="BJ47" s="190"/>
      <c r="BK47" s="167"/>
    </row>
    <row r="48" spans="1:63" ht="13" x14ac:dyDescent="0.25">
      <c r="A48" s="372">
        <v>508</v>
      </c>
      <c r="B48" s="373" t="s">
        <v>189</v>
      </c>
      <c r="C48" s="360">
        <v>966</v>
      </c>
      <c r="D48" s="54">
        <v>454</v>
      </c>
      <c r="E48" s="367">
        <v>0.45943204868154158</v>
      </c>
      <c r="F48" s="45">
        <v>404</v>
      </c>
      <c r="G48" s="58">
        <v>49</v>
      </c>
      <c r="H48" s="45">
        <v>399</v>
      </c>
      <c r="I48" s="57">
        <v>54</v>
      </c>
      <c r="J48" s="97"/>
      <c r="K48" s="58"/>
      <c r="L48" s="45"/>
      <c r="M48" s="57"/>
      <c r="N48" s="97"/>
      <c r="O48" s="58"/>
      <c r="P48" s="165"/>
      <c r="Q48" s="166"/>
      <c r="R48" s="207"/>
      <c r="S48" s="170"/>
      <c r="T48" s="165"/>
      <c r="U48" s="166"/>
      <c r="V48" s="207"/>
      <c r="W48" s="170"/>
      <c r="X48" s="165"/>
      <c r="Y48" s="166"/>
      <c r="Z48" s="207"/>
      <c r="AA48" s="170"/>
      <c r="AB48" s="165"/>
      <c r="AC48" s="166"/>
      <c r="AD48" s="207"/>
      <c r="AE48" s="170"/>
      <c r="AF48" s="165"/>
      <c r="AG48" s="166"/>
      <c r="AH48" s="207"/>
      <c r="AI48" s="170"/>
      <c r="AJ48" s="165"/>
      <c r="AK48" s="166"/>
      <c r="AL48" s="207"/>
      <c r="AM48" s="170"/>
      <c r="AN48" s="165"/>
      <c r="AO48" s="166"/>
      <c r="AP48" s="207">
        <v>351</v>
      </c>
      <c r="AQ48" s="170">
        <v>88</v>
      </c>
      <c r="AR48" s="165">
        <v>348</v>
      </c>
      <c r="AS48" s="166">
        <v>90</v>
      </c>
      <c r="AT48" s="207"/>
      <c r="AU48" s="170"/>
      <c r="AV48" s="190">
        <v>227</v>
      </c>
      <c r="AW48" s="166">
        <v>217</v>
      </c>
      <c r="AX48" s="208">
        <v>276</v>
      </c>
      <c r="AY48" s="170">
        <v>119</v>
      </c>
      <c r="AZ48" s="45">
        <v>169</v>
      </c>
      <c r="BA48" s="58">
        <v>258</v>
      </c>
      <c r="BB48" s="190"/>
      <c r="BC48" s="167"/>
      <c r="BD48" s="190"/>
      <c r="BE48" s="167"/>
      <c r="BF48" s="190"/>
      <c r="BG48" s="167"/>
      <c r="BH48" s="190"/>
      <c r="BI48" s="167"/>
      <c r="BJ48" s="190"/>
      <c r="BK48" s="167"/>
    </row>
    <row r="49" spans="1:63" ht="13" x14ac:dyDescent="0.25">
      <c r="A49" s="372">
        <v>509</v>
      </c>
      <c r="B49" s="373" t="s">
        <v>190</v>
      </c>
      <c r="C49" s="360">
        <v>1319</v>
      </c>
      <c r="D49" s="54">
        <v>786</v>
      </c>
      <c r="E49" s="367">
        <v>0.63754789272030654</v>
      </c>
      <c r="F49" s="45">
        <v>524</v>
      </c>
      <c r="G49" s="58">
        <v>257</v>
      </c>
      <c r="H49" s="45">
        <v>472</v>
      </c>
      <c r="I49" s="57">
        <v>302</v>
      </c>
      <c r="J49" s="97"/>
      <c r="K49" s="58"/>
      <c r="L49" s="45"/>
      <c r="M49" s="57"/>
      <c r="N49" s="97"/>
      <c r="O49" s="58"/>
      <c r="P49" s="165"/>
      <c r="Q49" s="166"/>
      <c r="R49" s="207"/>
      <c r="S49" s="170"/>
      <c r="T49" s="165"/>
      <c r="U49" s="166"/>
      <c r="V49" s="207"/>
      <c r="W49" s="170"/>
      <c r="X49" s="165"/>
      <c r="Y49" s="166"/>
      <c r="Z49" s="207"/>
      <c r="AA49" s="170"/>
      <c r="AB49" s="165"/>
      <c r="AC49" s="166"/>
      <c r="AD49" s="207"/>
      <c r="AE49" s="170"/>
      <c r="AF49" s="165"/>
      <c r="AG49" s="166"/>
      <c r="AH49" s="207"/>
      <c r="AI49" s="170"/>
      <c r="AJ49" s="165"/>
      <c r="AK49" s="166"/>
      <c r="AL49" s="207"/>
      <c r="AM49" s="170"/>
      <c r="AN49" s="165"/>
      <c r="AO49" s="166"/>
      <c r="AP49" s="207">
        <v>561</v>
      </c>
      <c r="AQ49" s="170">
        <v>209</v>
      </c>
      <c r="AR49" s="165">
        <v>411</v>
      </c>
      <c r="AS49" s="166">
        <v>353</v>
      </c>
      <c r="AT49" s="207"/>
      <c r="AU49" s="170"/>
      <c r="AV49" s="190">
        <v>420</v>
      </c>
      <c r="AW49" s="166">
        <v>347</v>
      </c>
      <c r="AX49" s="208">
        <v>470</v>
      </c>
      <c r="AY49" s="170">
        <v>203</v>
      </c>
      <c r="AZ49" s="45">
        <v>145</v>
      </c>
      <c r="BA49" s="58">
        <v>588</v>
      </c>
      <c r="BB49" s="190"/>
      <c r="BC49" s="167"/>
      <c r="BD49" s="190"/>
      <c r="BE49" s="167"/>
      <c r="BF49" s="190"/>
      <c r="BG49" s="167"/>
      <c r="BH49" s="190"/>
      <c r="BI49" s="167"/>
      <c r="BJ49" s="190"/>
      <c r="BK49" s="167"/>
    </row>
    <row r="50" spans="1:63" ht="13" x14ac:dyDescent="0.25">
      <c r="A50" s="372">
        <v>601</v>
      </c>
      <c r="B50" s="373" t="s">
        <v>191</v>
      </c>
      <c r="C50" s="360">
        <v>2027</v>
      </c>
      <c r="D50" s="54">
        <v>738</v>
      </c>
      <c r="E50" s="367">
        <v>0.41688379364252215</v>
      </c>
      <c r="F50" s="45">
        <v>654</v>
      </c>
      <c r="G50" s="58">
        <v>76</v>
      </c>
      <c r="H50" s="45">
        <v>640</v>
      </c>
      <c r="I50" s="57">
        <v>93</v>
      </c>
      <c r="J50" s="97"/>
      <c r="K50" s="58"/>
      <c r="L50" s="45"/>
      <c r="M50" s="57"/>
      <c r="N50" s="97"/>
      <c r="O50" s="58"/>
      <c r="P50" s="165"/>
      <c r="Q50" s="166"/>
      <c r="R50" s="207"/>
      <c r="S50" s="170"/>
      <c r="T50" s="165"/>
      <c r="U50" s="166"/>
      <c r="V50" s="207"/>
      <c r="W50" s="170"/>
      <c r="X50" s="165"/>
      <c r="Y50" s="166"/>
      <c r="Z50" s="207"/>
      <c r="AA50" s="170"/>
      <c r="AB50" s="165"/>
      <c r="AC50" s="166"/>
      <c r="AD50" s="207"/>
      <c r="AE50" s="170"/>
      <c r="AF50" s="165"/>
      <c r="AG50" s="166"/>
      <c r="AH50" s="207"/>
      <c r="AI50" s="170"/>
      <c r="AJ50" s="165"/>
      <c r="AK50" s="166"/>
      <c r="AL50" s="207"/>
      <c r="AM50" s="170"/>
      <c r="AN50" s="165"/>
      <c r="AO50" s="166"/>
      <c r="AP50" s="207">
        <v>613</v>
      </c>
      <c r="AQ50" s="170">
        <v>109</v>
      </c>
      <c r="AR50" s="165">
        <v>549</v>
      </c>
      <c r="AS50" s="166">
        <v>164</v>
      </c>
      <c r="AT50" s="207"/>
      <c r="AU50" s="170"/>
      <c r="AV50" s="190">
        <v>436</v>
      </c>
      <c r="AW50" s="166">
        <v>281</v>
      </c>
      <c r="AX50" s="208">
        <v>441</v>
      </c>
      <c r="AY50" s="170">
        <v>197</v>
      </c>
      <c r="AZ50" s="45">
        <v>255</v>
      </c>
      <c r="BA50" s="58">
        <v>445</v>
      </c>
      <c r="BB50" s="190"/>
      <c r="BC50" s="167"/>
      <c r="BD50" s="190"/>
      <c r="BE50" s="167"/>
      <c r="BF50" s="190"/>
      <c r="BG50" s="167"/>
      <c r="BH50" s="190"/>
      <c r="BI50" s="167"/>
      <c r="BJ50" s="190"/>
      <c r="BK50" s="167"/>
    </row>
    <row r="51" spans="1:63" ht="13" x14ac:dyDescent="0.25">
      <c r="A51" s="372">
        <v>602</v>
      </c>
      <c r="B51" s="373" t="s">
        <v>192</v>
      </c>
      <c r="C51" s="360">
        <v>1304</v>
      </c>
      <c r="D51" s="54">
        <v>411</v>
      </c>
      <c r="E51" s="367">
        <v>0.34512578616352202</v>
      </c>
      <c r="F51" s="45">
        <v>348</v>
      </c>
      <c r="G51" s="58">
        <v>59</v>
      </c>
      <c r="H51" s="45">
        <v>341</v>
      </c>
      <c r="I51" s="57">
        <v>66</v>
      </c>
      <c r="J51" s="97"/>
      <c r="K51" s="58"/>
      <c r="L51" s="45"/>
      <c r="M51" s="57"/>
      <c r="N51" s="97"/>
      <c r="O51" s="58"/>
      <c r="P51" s="165"/>
      <c r="Q51" s="166"/>
      <c r="R51" s="207"/>
      <c r="S51" s="170"/>
      <c r="T51" s="165"/>
      <c r="U51" s="166"/>
      <c r="V51" s="207"/>
      <c r="W51" s="170"/>
      <c r="X51" s="165"/>
      <c r="Y51" s="166"/>
      <c r="Z51" s="207"/>
      <c r="AA51" s="170"/>
      <c r="AB51" s="165"/>
      <c r="AC51" s="166"/>
      <c r="AD51" s="207"/>
      <c r="AE51" s="170"/>
      <c r="AF51" s="165"/>
      <c r="AG51" s="166"/>
      <c r="AH51" s="207"/>
      <c r="AI51" s="170"/>
      <c r="AJ51" s="165"/>
      <c r="AK51" s="166"/>
      <c r="AL51" s="207"/>
      <c r="AM51" s="170"/>
      <c r="AN51" s="165"/>
      <c r="AO51" s="166"/>
      <c r="AP51" s="207">
        <v>339</v>
      </c>
      <c r="AQ51" s="170">
        <v>59</v>
      </c>
      <c r="AR51" s="165">
        <v>291</v>
      </c>
      <c r="AS51" s="166">
        <v>102</v>
      </c>
      <c r="AT51" s="207"/>
      <c r="AU51" s="170"/>
      <c r="AV51" s="190">
        <v>217</v>
      </c>
      <c r="AW51" s="166">
        <v>173</v>
      </c>
      <c r="AX51" s="208">
        <v>272</v>
      </c>
      <c r="AY51" s="170">
        <v>85</v>
      </c>
      <c r="AZ51" s="45">
        <v>133</v>
      </c>
      <c r="BA51" s="58">
        <v>243</v>
      </c>
      <c r="BB51" s="190"/>
      <c r="BC51" s="167"/>
      <c r="BD51" s="190"/>
      <c r="BE51" s="167"/>
      <c r="BF51" s="190"/>
      <c r="BG51" s="167"/>
      <c r="BH51" s="190"/>
      <c r="BI51" s="167"/>
      <c r="BJ51" s="190"/>
      <c r="BK51" s="167"/>
    </row>
    <row r="52" spans="1:63" ht="13" x14ac:dyDescent="0.25">
      <c r="A52" s="372">
        <v>603</v>
      </c>
      <c r="B52" s="373" t="s">
        <v>193</v>
      </c>
      <c r="C52" s="360">
        <v>1884</v>
      </c>
      <c r="D52" s="54">
        <v>546</v>
      </c>
      <c r="E52" s="367">
        <v>0.305852417302799</v>
      </c>
      <c r="F52" s="45">
        <v>492</v>
      </c>
      <c r="G52" s="58">
        <v>51</v>
      </c>
      <c r="H52" s="45">
        <v>476</v>
      </c>
      <c r="I52" s="57">
        <v>65</v>
      </c>
      <c r="J52" s="97"/>
      <c r="K52" s="58"/>
      <c r="L52" s="45"/>
      <c r="M52" s="57"/>
      <c r="N52" s="97"/>
      <c r="O52" s="58"/>
      <c r="P52" s="165"/>
      <c r="Q52" s="166"/>
      <c r="R52" s="207"/>
      <c r="S52" s="170"/>
      <c r="T52" s="165"/>
      <c r="U52" s="166"/>
      <c r="V52" s="207"/>
      <c r="W52" s="170"/>
      <c r="X52" s="165"/>
      <c r="Y52" s="166"/>
      <c r="Z52" s="207"/>
      <c r="AA52" s="170"/>
      <c r="AB52" s="165"/>
      <c r="AC52" s="166"/>
      <c r="AD52" s="207"/>
      <c r="AE52" s="170"/>
      <c r="AF52" s="165"/>
      <c r="AG52" s="166"/>
      <c r="AH52" s="207"/>
      <c r="AI52" s="170"/>
      <c r="AJ52" s="165"/>
      <c r="AK52" s="166"/>
      <c r="AL52" s="207"/>
      <c r="AM52" s="170"/>
      <c r="AN52" s="165"/>
      <c r="AO52" s="166"/>
      <c r="AP52" s="207">
        <v>450</v>
      </c>
      <c r="AQ52" s="170">
        <v>86</v>
      </c>
      <c r="AR52" s="165">
        <v>407</v>
      </c>
      <c r="AS52" s="166">
        <v>122</v>
      </c>
      <c r="AT52" s="207"/>
      <c r="AU52" s="170"/>
      <c r="AV52" s="190">
        <v>278</v>
      </c>
      <c r="AW52" s="166">
        <v>252</v>
      </c>
      <c r="AX52" s="208">
        <v>329</v>
      </c>
      <c r="AY52" s="170">
        <v>124</v>
      </c>
      <c r="AZ52" s="45">
        <v>213</v>
      </c>
      <c r="BA52" s="58">
        <v>299</v>
      </c>
      <c r="BB52" s="190"/>
      <c r="BC52" s="167"/>
      <c r="BD52" s="190"/>
      <c r="BE52" s="167"/>
      <c r="BF52" s="190"/>
      <c r="BG52" s="167"/>
      <c r="BH52" s="190"/>
      <c r="BI52" s="167"/>
      <c r="BJ52" s="190"/>
      <c r="BK52" s="167"/>
    </row>
    <row r="53" spans="1:63" ht="13" x14ac:dyDescent="0.25">
      <c r="A53" s="372">
        <v>604</v>
      </c>
      <c r="B53" s="373" t="s">
        <v>194</v>
      </c>
      <c r="C53" s="360">
        <v>1715</v>
      </c>
      <c r="D53" s="54">
        <v>660</v>
      </c>
      <c r="E53" s="367">
        <v>0.39547349612864802</v>
      </c>
      <c r="F53" s="45">
        <v>610</v>
      </c>
      <c r="G53" s="58">
        <v>43</v>
      </c>
      <c r="H53" s="45">
        <v>598</v>
      </c>
      <c r="I53" s="57">
        <v>59</v>
      </c>
      <c r="J53" s="97"/>
      <c r="K53" s="58"/>
      <c r="L53" s="45"/>
      <c r="M53" s="57"/>
      <c r="N53" s="97"/>
      <c r="O53" s="58"/>
      <c r="P53" s="165"/>
      <c r="Q53" s="166"/>
      <c r="R53" s="207"/>
      <c r="S53" s="170"/>
      <c r="T53" s="165"/>
      <c r="U53" s="166"/>
      <c r="V53" s="207"/>
      <c r="W53" s="170"/>
      <c r="X53" s="165"/>
      <c r="Y53" s="166"/>
      <c r="Z53" s="207"/>
      <c r="AA53" s="170"/>
      <c r="AB53" s="165"/>
      <c r="AC53" s="166"/>
      <c r="AD53" s="207"/>
      <c r="AE53" s="170"/>
      <c r="AF53" s="165"/>
      <c r="AG53" s="166"/>
      <c r="AH53" s="207"/>
      <c r="AI53" s="170"/>
      <c r="AJ53" s="165"/>
      <c r="AK53" s="166"/>
      <c r="AL53" s="207"/>
      <c r="AM53" s="170"/>
      <c r="AN53" s="165"/>
      <c r="AO53" s="166"/>
      <c r="AP53" s="207">
        <v>558</v>
      </c>
      <c r="AQ53" s="170">
        <v>87</v>
      </c>
      <c r="AR53" s="165">
        <v>525</v>
      </c>
      <c r="AS53" s="166">
        <v>116</v>
      </c>
      <c r="AT53" s="207"/>
      <c r="AU53" s="170"/>
      <c r="AV53" s="190">
        <v>330</v>
      </c>
      <c r="AW53" s="166">
        <v>308</v>
      </c>
      <c r="AX53" s="208">
        <v>413</v>
      </c>
      <c r="AY53" s="170">
        <v>149</v>
      </c>
      <c r="AZ53" s="45">
        <v>238</v>
      </c>
      <c r="BA53" s="58">
        <v>383</v>
      </c>
      <c r="BB53" s="190"/>
      <c r="BC53" s="167"/>
      <c r="BD53" s="190"/>
      <c r="BE53" s="167"/>
      <c r="BF53" s="190"/>
      <c r="BG53" s="167"/>
      <c r="BH53" s="190"/>
      <c r="BI53" s="167"/>
      <c r="BJ53" s="190"/>
      <c r="BK53" s="167"/>
    </row>
    <row r="54" spans="1:63" ht="13" x14ac:dyDescent="0.25">
      <c r="A54" s="372">
        <v>605</v>
      </c>
      <c r="B54" s="373" t="s">
        <v>781</v>
      </c>
      <c r="C54" s="360">
        <v>1382</v>
      </c>
      <c r="D54" s="54">
        <v>569</v>
      </c>
      <c r="E54" s="367">
        <v>0.46319018404907975</v>
      </c>
      <c r="F54" s="45">
        <v>468</v>
      </c>
      <c r="G54" s="58">
        <v>99</v>
      </c>
      <c r="H54" s="45">
        <v>450</v>
      </c>
      <c r="I54" s="57">
        <v>112</v>
      </c>
      <c r="J54" s="97"/>
      <c r="K54" s="58"/>
      <c r="L54" s="45"/>
      <c r="M54" s="57"/>
      <c r="N54" s="97"/>
      <c r="O54" s="58"/>
      <c r="P54" s="165"/>
      <c r="Q54" s="166"/>
      <c r="R54" s="207"/>
      <c r="S54" s="170"/>
      <c r="T54" s="165"/>
      <c r="U54" s="166"/>
      <c r="V54" s="207"/>
      <c r="W54" s="170"/>
      <c r="X54" s="165"/>
      <c r="Y54" s="166"/>
      <c r="Z54" s="207"/>
      <c r="AA54" s="170"/>
      <c r="AB54" s="165"/>
      <c r="AC54" s="166"/>
      <c r="AD54" s="207"/>
      <c r="AE54" s="170"/>
      <c r="AF54" s="165"/>
      <c r="AG54" s="166"/>
      <c r="AH54" s="207"/>
      <c r="AI54" s="170"/>
      <c r="AJ54" s="165"/>
      <c r="AK54" s="166"/>
      <c r="AL54" s="207"/>
      <c r="AM54" s="170"/>
      <c r="AN54" s="165"/>
      <c r="AO54" s="166"/>
      <c r="AP54" s="207">
        <v>444</v>
      </c>
      <c r="AQ54" s="170">
        <v>105</v>
      </c>
      <c r="AR54" s="165">
        <v>397</v>
      </c>
      <c r="AS54" s="166">
        <v>151</v>
      </c>
      <c r="AT54" s="207"/>
      <c r="AU54" s="170"/>
      <c r="AV54" s="190">
        <v>364</v>
      </c>
      <c r="AW54" s="166">
        <v>181</v>
      </c>
      <c r="AX54" s="208">
        <v>359</v>
      </c>
      <c r="AY54" s="170">
        <v>135</v>
      </c>
      <c r="AZ54" s="45">
        <v>153</v>
      </c>
      <c r="BA54" s="58">
        <v>360</v>
      </c>
      <c r="BB54" s="190"/>
      <c r="BC54" s="167"/>
      <c r="BD54" s="190"/>
      <c r="BE54" s="167"/>
      <c r="BF54" s="190"/>
      <c r="BG54" s="167"/>
      <c r="BH54" s="190"/>
      <c r="BI54" s="167"/>
      <c r="BJ54" s="190"/>
      <c r="BK54" s="167"/>
    </row>
    <row r="55" spans="1:63" ht="13" x14ac:dyDescent="0.25">
      <c r="A55" s="372">
        <v>701</v>
      </c>
      <c r="B55" s="373" t="s">
        <v>195</v>
      </c>
      <c r="C55" s="360">
        <v>1268</v>
      </c>
      <c r="D55" s="54">
        <v>569</v>
      </c>
      <c r="E55" s="367">
        <v>0.4802839116719243</v>
      </c>
      <c r="F55" s="45">
        <v>493</v>
      </c>
      <c r="G55" s="58">
        <v>69</v>
      </c>
      <c r="H55" s="45">
        <v>446</v>
      </c>
      <c r="I55" s="57">
        <v>114</v>
      </c>
      <c r="J55" s="97"/>
      <c r="K55" s="58"/>
      <c r="L55" s="45"/>
      <c r="M55" s="57"/>
      <c r="N55" s="97"/>
      <c r="O55" s="58"/>
      <c r="P55" s="165"/>
      <c r="Q55" s="166"/>
      <c r="R55" s="207"/>
      <c r="S55" s="170"/>
      <c r="T55" s="165"/>
      <c r="U55" s="166"/>
      <c r="V55" s="207"/>
      <c r="W55" s="170"/>
      <c r="X55" s="165"/>
      <c r="Y55" s="166"/>
      <c r="Z55" s="207"/>
      <c r="AA55" s="170"/>
      <c r="AB55" s="165"/>
      <c r="AC55" s="166"/>
      <c r="AD55" s="207"/>
      <c r="AE55" s="170"/>
      <c r="AF55" s="165"/>
      <c r="AG55" s="166"/>
      <c r="AH55" s="207"/>
      <c r="AI55" s="170"/>
      <c r="AJ55" s="165"/>
      <c r="AK55" s="166"/>
      <c r="AL55" s="207"/>
      <c r="AM55" s="170"/>
      <c r="AN55" s="165"/>
      <c r="AO55" s="166"/>
      <c r="AP55" s="207">
        <v>411</v>
      </c>
      <c r="AQ55" s="170">
        <v>145</v>
      </c>
      <c r="AR55" s="165">
        <v>379</v>
      </c>
      <c r="AS55" s="166">
        <v>171</v>
      </c>
      <c r="AT55" s="207"/>
      <c r="AU55" s="170"/>
      <c r="AV55" s="190">
        <v>265</v>
      </c>
      <c r="AW55" s="166">
        <v>298</v>
      </c>
      <c r="AX55" s="208">
        <v>318</v>
      </c>
      <c r="AY55" s="170">
        <v>191</v>
      </c>
      <c r="AZ55" s="45">
        <v>215</v>
      </c>
      <c r="BA55" s="58">
        <v>324</v>
      </c>
      <c r="BB55" s="190"/>
      <c r="BC55" s="167"/>
      <c r="BD55" s="190"/>
      <c r="BE55" s="167"/>
      <c r="BF55" s="190"/>
      <c r="BG55" s="167"/>
      <c r="BH55" s="190"/>
      <c r="BI55" s="167"/>
      <c r="BJ55" s="190"/>
      <c r="BK55" s="167"/>
    </row>
    <row r="56" spans="1:63" ht="13" x14ac:dyDescent="0.25">
      <c r="A56" s="372">
        <v>702</v>
      </c>
      <c r="B56" s="373" t="s">
        <v>196</v>
      </c>
      <c r="C56" s="360">
        <v>767</v>
      </c>
      <c r="D56" s="54">
        <v>171</v>
      </c>
      <c r="E56" s="367">
        <v>0.28608923884514437</v>
      </c>
      <c r="F56" s="45">
        <v>144</v>
      </c>
      <c r="G56" s="58">
        <v>25</v>
      </c>
      <c r="H56" s="45">
        <v>131</v>
      </c>
      <c r="I56" s="57">
        <v>34</v>
      </c>
      <c r="J56" s="97"/>
      <c r="K56" s="58"/>
      <c r="L56" s="45"/>
      <c r="M56" s="57"/>
      <c r="N56" s="97"/>
      <c r="O56" s="58"/>
      <c r="P56" s="165"/>
      <c r="Q56" s="166"/>
      <c r="R56" s="207"/>
      <c r="S56" s="170"/>
      <c r="T56" s="165"/>
      <c r="U56" s="166"/>
      <c r="V56" s="207"/>
      <c r="W56" s="170"/>
      <c r="X56" s="165"/>
      <c r="Y56" s="166"/>
      <c r="Z56" s="207"/>
      <c r="AA56" s="170"/>
      <c r="AB56" s="165"/>
      <c r="AC56" s="166"/>
      <c r="AD56" s="207"/>
      <c r="AE56" s="170"/>
      <c r="AF56" s="165"/>
      <c r="AG56" s="166"/>
      <c r="AH56" s="207"/>
      <c r="AI56" s="170"/>
      <c r="AJ56" s="165"/>
      <c r="AK56" s="166"/>
      <c r="AL56" s="207"/>
      <c r="AM56" s="170"/>
      <c r="AN56" s="165"/>
      <c r="AO56" s="166"/>
      <c r="AP56" s="207">
        <v>111</v>
      </c>
      <c r="AQ56" s="170">
        <v>50</v>
      </c>
      <c r="AR56" s="165">
        <v>124</v>
      </c>
      <c r="AS56" s="166">
        <v>41</v>
      </c>
      <c r="AT56" s="207"/>
      <c r="AU56" s="170"/>
      <c r="AV56" s="190">
        <v>104</v>
      </c>
      <c r="AW56" s="166">
        <v>65</v>
      </c>
      <c r="AX56" s="208">
        <v>103</v>
      </c>
      <c r="AY56" s="170">
        <v>52</v>
      </c>
      <c r="AZ56" s="45">
        <v>77</v>
      </c>
      <c r="BA56" s="58">
        <v>80</v>
      </c>
      <c r="BB56" s="190"/>
      <c r="BC56" s="167"/>
      <c r="BD56" s="190"/>
      <c r="BE56" s="167"/>
      <c r="BF56" s="190"/>
      <c r="BG56" s="167"/>
      <c r="BH56" s="190"/>
      <c r="BI56" s="167"/>
      <c r="BJ56" s="190"/>
      <c r="BK56" s="167"/>
    </row>
    <row r="57" spans="1:63" ht="13" x14ac:dyDescent="0.25">
      <c r="A57" s="372">
        <v>703</v>
      </c>
      <c r="B57" s="373" t="s">
        <v>197</v>
      </c>
      <c r="C57" s="360">
        <v>1162</v>
      </c>
      <c r="D57" s="54">
        <v>525</v>
      </c>
      <c r="E57" s="367">
        <v>0.47700170357751276</v>
      </c>
      <c r="F57" s="45">
        <v>469</v>
      </c>
      <c r="G57" s="58">
        <v>49</v>
      </c>
      <c r="H57" s="45">
        <v>428</v>
      </c>
      <c r="I57" s="57">
        <v>89</v>
      </c>
      <c r="J57" s="97"/>
      <c r="K57" s="58"/>
      <c r="L57" s="45"/>
      <c r="M57" s="57"/>
      <c r="N57" s="97"/>
      <c r="O57" s="58"/>
      <c r="P57" s="165"/>
      <c r="Q57" s="166"/>
      <c r="R57" s="207"/>
      <c r="S57" s="170"/>
      <c r="T57" s="165"/>
      <c r="U57" s="166"/>
      <c r="V57" s="207"/>
      <c r="W57" s="170"/>
      <c r="X57" s="165"/>
      <c r="Y57" s="166"/>
      <c r="Z57" s="207"/>
      <c r="AA57" s="170"/>
      <c r="AB57" s="165"/>
      <c r="AC57" s="166"/>
      <c r="AD57" s="207"/>
      <c r="AE57" s="170"/>
      <c r="AF57" s="165"/>
      <c r="AG57" s="166"/>
      <c r="AH57" s="207"/>
      <c r="AI57" s="170"/>
      <c r="AJ57" s="165"/>
      <c r="AK57" s="166"/>
      <c r="AL57" s="207"/>
      <c r="AM57" s="170"/>
      <c r="AN57" s="165"/>
      <c r="AO57" s="166"/>
      <c r="AP57" s="207">
        <v>334</v>
      </c>
      <c r="AQ57" s="170">
        <v>180</v>
      </c>
      <c r="AR57" s="165">
        <v>337</v>
      </c>
      <c r="AS57" s="166">
        <v>175</v>
      </c>
      <c r="AT57" s="207"/>
      <c r="AU57" s="170"/>
      <c r="AV57" s="190">
        <v>267</v>
      </c>
      <c r="AW57" s="166">
        <v>250</v>
      </c>
      <c r="AX57" s="208">
        <v>286</v>
      </c>
      <c r="AY57" s="170">
        <v>184</v>
      </c>
      <c r="AZ57" s="45">
        <v>151</v>
      </c>
      <c r="BA57" s="58">
        <v>354</v>
      </c>
      <c r="BB57" s="190"/>
      <c r="BC57" s="167"/>
      <c r="BD57" s="190"/>
      <c r="BE57" s="167"/>
      <c r="BF57" s="190"/>
      <c r="BG57" s="167"/>
      <c r="BH57" s="190"/>
      <c r="BI57" s="167"/>
      <c r="BJ57" s="190"/>
      <c r="BK57" s="167"/>
    </row>
    <row r="58" spans="1:63" ht="13" x14ac:dyDescent="0.25">
      <c r="A58" s="372">
        <v>704</v>
      </c>
      <c r="B58" s="373" t="s">
        <v>198</v>
      </c>
      <c r="C58" s="360">
        <v>1193</v>
      </c>
      <c r="D58" s="54">
        <v>403</v>
      </c>
      <c r="E58" s="367">
        <v>0.40185341196293178</v>
      </c>
      <c r="F58" s="45">
        <v>331</v>
      </c>
      <c r="G58" s="58">
        <v>64</v>
      </c>
      <c r="H58" s="45">
        <v>320</v>
      </c>
      <c r="I58" s="57">
        <v>77</v>
      </c>
      <c r="J58" s="97"/>
      <c r="K58" s="58"/>
      <c r="L58" s="45"/>
      <c r="M58" s="57"/>
      <c r="N58" s="97"/>
      <c r="O58" s="58"/>
      <c r="P58" s="165"/>
      <c r="Q58" s="166"/>
      <c r="R58" s="207"/>
      <c r="S58" s="170"/>
      <c r="T58" s="165"/>
      <c r="U58" s="166"/>
      <c r="V58" s="207"/>
      <c r="W58" s="170"/>
      <c r="X58" s="165"/>
      <c r="Y58" s="166"/>
      <c r="Z58" s="207"/>
      <c r="AA58" s="170"/>
      <c r="AB58" s="165"/>
      <c r="AC58" s="166"/>
      <c r="AD58" s="207"/>
      <c r="AE58" s="170"/>
      <c r="AF58" s="165"/>
      <c r="AG58" s="166"/>
      <c r="AH58" s="207"/>
      <c r="AI58" s="170"/>
      <c r="AJ58" s="165"/>
      <c r="AK58" s="166"/>
      <c r="AL58" s="207"/>
      <c r="AM58" s="170"/>
      <c r="AN58" s="165"/>
      <c r="AO58" s="166"/>
      <c r="AP58" s="207">
        <v>251</v>
      </c>
      <c r="AQ58" s="170">
        <v>137</v>
      </c>
      <c r="AR58" s="165">
        <v>255</v>
      </c>
      <c r="AS58" s="166">
        <v>135</v>
      </c>
      <c r="AT58" s="207"/>
      <c r="AU58" s="170"/>
      <c r="AV58" s="190">
        <v>198</v>
      </c>
      <c r="AW58" s="166">
        <v>197</v>
      </c>
      <c r="AX58" s="208">
        <v>230</v>
      </c>
      <c r="AY58" s="170">
        <v>131</v>
      </c>
      <c r="AZ58" s="45">
        <v>132</v>
      </c>
      <c r="BA58" s="58">
        <v>249</v>
      </c>
      <c r="BB58" s="190"/>
      <c r="BC58" s="167"/>
      <c r="BD58" s="190"/>
      <c r="BE58" s="167"/>
      <c r="BF58" s="190"/>
      <c r="BG58" s="167"/>
      <c r="BH58" s="190"/>
      <c r="BI58" s="167"/>
      <c r="BJ58" s="190"/>
      <c r="BK58" s="167"/>
    </row>
    <row r="59" spans="1:63" ht="13" x14ac:dyDescent="0.25">
      <c r="A59" s="372">
        <v>705</v>
      </c>
      <c r="B59" s="373" t="s">
        <v>199</v>
      </c>
      <c r="C59" s="360">
        <v>609</v>
      </c>
      <c r="D59" s="54">
        <v>274</v>
      </c>
      <c r="E59" s="367">
        <v>0.4885245901639344</v>
      </c>
      <c r="F59" s="45">
        <v>234</v>
      </c>
      <c r="G59" s="58">
        <v>37</v>
      </c>
      <c r="H59" s="45">
        <v>214</v>
      </c>
      <c r="I59" s="57">
        <v>52</v>
      </c>
      <c r="J59" s="97"/>
      <c r="K59" s="58"/>
      <c r="L59" s="45"/>
      <c r="M59" s="57"/>
      <c r="N59" s="97"/>
      <c r="O59" s="58"/>
      <c r="P59" s="165"/>
      <c r="Q59" s="166"/>
      <c r="R59" s="207"/>
      <c r="S59" s="170"/>
      <c r="T59" s="165"/>
      <c r="U59" s="166"/>
      <c r="V59" s="207"/>
      <c r="W59" s="170"/>
      <c r="X59" s="165"/>
      <c r="Y59" s="166"/>
      <c r="Z59" s="207"/>
      <c r="AA59" s="170"/>
      <c r="AB59" s="165"/>
      <c r="AC59" s="166"/>
      <c r="AD59" s="207"/>
      <c r="AE59" s="170"/>
      <c r="AF59" s="165"/>
      <c r="AG59" s="166"/>
      <c r="AH59" s="207"/>
      <c r="AI59" s="170"/>
      <c r="AJ59" s="165"/>
      <c r="AK59" s="166"/>
      <c r="AL59" s="207"/>
      <c r="AM59" s="170"/>
      <c r="AN59" s="165"/>
      <c r="AO59" s="166"/>
      <c r="AP59" s="207">
        <v>142</v>
      </c>
      <c r="AQ59" s="170">
        <v>120</v>
      </c>
      <c r="AR59" s="165">
        <v>154</v>
      </c>
      <c r="AS59" s="166">
        <v>111</v>
      </c>
      <c r="AT59" s="207"/>
      <c r="AU59" s="170"/>
      <c r="AV59" s="190">
        <v>121</v>
      </c>
      <c r="AW59" s="166">
        <v>143</v>
      </c>
      <c r="AX59" s="208">
        <v>133</v>
      </c>
      <c r="AY59" s="170">
        <v>113</v>
      </c>
      <c r="AZ59" s="45">
        <v>109</v>
      </c>
      <c r="BA59" s="58">
        <v>153</v>
      </c>
      <c r="BB59" s="190"/>
      <c r="BC59" s="167"/>
      <c r="BD59" s="190"/>
      <c r="BE59" s="167"/>
      <c r="BF59" s="190"/>
      <c r="BG59" s="167"/>
      <c r="BH59" s="190"/>
      <c r="BI59" s="167"/>
      <c r="BJ59" s="190"/>
      <c r="BK59" s="167"/>
    </row>
    <row r="60" spans="1:63" ht="13" x14ac:dyDescent="0.25">
      <c r="A60" s="372">
        <v>706</v>
      </c>
      <c r="B60" s="373" t="s">
        <v>200</v>
      </c>
      <c r="C60" s="360">
        <v>898</v>
      </c>
      <c r="D60" s="54">
        <v>309</v>
      </c>
      <c r="E60" s="367">
        <v>0.37694013303769403</v>
      </c>
      <c r="F60" s="45">
        <v>255</v>
      </c>
      <c r="G60" s="58">
        <v>45</v>
      </c>
      <c r="H60" s="45">
        <v>231</v>
      </c>
      <c r="I60" s="57">
        <v>74</v>
      </c>
      <c r="J60" s="97"/>
      <c r="K60" s="58"/>
      <c r="L60" s="45"/>
      <c r="M60" s="57"/>
      <c r="N60" s="97"/>
      <c r="O60" s="58"/>
      <c r="P60" s="165"/>
      <c r="Q60" s="166"/>
      <c r="R60" s="207"/>
      <c r="S60" s="170"/>
      <c r="T60" s="165"/>
      <c r="U60" s="166"/>
      <c r="V60" s="207"/>
      <c r="W60" s="170"/>
      <c r="X60" s="165"/>
      <c r="Y60" s="166"/>
      <c r="Z60" s="207"/>
      <c r="AA60" s="170"/>
      <c r="AB60" s="165"/>
      <c r="AC60" s="166"/>
      <c r="AD60" s="207"/>
      <c r="AE60" s="170"/>
      <c r="AF60" s="165"/>
      <c r="AG60" s="166"/>
      <c r="AH60" s="207"/>
      <c r="AI60" s="170"/>
      <c r="AJ60" s="165"/>
      <c r="AK60" s="166"/>
      <c r="AL60" s="207"/>
      <c r="AM60" s="170"/>
      <c r="AN60" s="165"/>
      <c r="AO60" s="166"/>
      <c r="AP60" s="207">
        <v>189</v>
      </c>
      <c r="AQ60" s="170">
        <v>110</v>
      </c>
      <c r="AR60" s="165">
        <v>195</v>
      </c>
      <c r="AS60" s="166">
        <v>106</v>
      </c>
      <c r="AT60" s="207"/>
      <c r="AU60" s="170"/>
      <c r="AV60" s="190">
        <v>137</v>
      </c>
      <c r="AW60" s="166">
        <v>165</v>
      </c>
      <c r="AX60" s="208">
        <v>153</v>
      </c>
      <c r="AY60" s="170">
        <v>128</v>
      </c>
      <c r="AZ60" s="45">
        <v>122</v>
      </c>
      <c r="BA60" s="58">
        <v>179</v>
      </c>
      <c r="BB60" s="190"/>
      <c r="BC60" s="167"/>
      <c r="BD60" s="190"/>
      <c r="BE60" s="167"/>
      <c r="BF60" s="190"/>
      <c r="BG60" s="167"/>
      <c r="BH60" s="190"/>
      <c r="BI60" s="167"/>
      <c r="BJ60" s="190"/>
      <c r="BK60" s="167"/>
    </row>
    <row r="61" spans="1:63" ht="13" x14ac:dyDescent="0.25">
      <c r="A61" s="372">
        <v>707</v>
      </c>
      <c r="B61" s="373" t="s">
        <v>201</v>
      </c>
      <c r="C61" s="360">
        <v>1306</v>
      </c>
      <c r="D61" s="54">
        <v>469</v>
      </c>
      <c r="E61" s="367">
        <v>0.40061162079510704</v>
      </c>
      <c r="F61" s="45">
        <v>403</v>
      </c>
      <c r="G61" s="58">
        <v>59</v>
      </c>
      <c r="H61" s="45">
        <v>354</v>
      </c>
      <c r="I61" s="57">
        <v>107</v>
      </c>
      <c r="J61" s="97"/>
      <c r="K61" s="58"/>
      <c r="L61" s="45"/>
      <c r="M61" s="57"/>
      <c r="N61" s="97"/>
      <c r="O61" s="58"/>
      <c r="P61" s="165"/>
      <c r="Q61" s="166"/>
      <c r="R61" s="207"/>
      <c r="S61" s="170"/>
      <c r="T61" s="165"/>
      <c r="U61" s="166"/>
      <c r="V61" s="207"/>
      <c r="W61" s="170"/>
      <c r="X61" s="165"/>
      <c r="Y61" s="166"/>
      <c r="Z61" s="207"/>
      <c r="AA61" s="170"/>
      <c r="AB61" s="165"/>
      <c r="AC61" s="166"/>
      <c r="AD61" s="207"/>
      <c r="AE61" s="170"/>
      <c r="AF61" s="165"/>
      <c r="AG61" s="166"/>
      <c r="AH61" s="207"/>
      <c r="AI61" s="170"/>
      <c r="AJ61" s="165"/>
      <c r="AK61" s="166"/>
      <c r="AL61" s="207"/>
      <c r="AM61" s="170"/>
      <c r="AN61" s="165"/>
      <c r="AO61" s="166"/>
      <c r="AP61" s="207">
        <v>287</v>
      </c>
      <c r="AQ61" s="170">
        <v>170</v>
      </c>
      <c r="AR61" s="165">
        <v>266</v>
      </c>
      <c r="AS61" s="166">
        <v>194</v>
      </c>
      <c r="AT61" s="207"/>
      <c r="AU61" s="170"/>
      <c r="AV61" s="190">
        <v>244</v>
      </c>
      <c r="AW61" s="166">
        <v>214</v>
      </c>
      <c r="AX61" s="208">
        <v>243</v>
      </c>
      <c r="AY61" s="170">
        <v>175</v>
      </c>
      <c r="AZ61" s="45">
        <v>196</v>
      </c>
      <c r="BA61" s="58">
        <v>253</v>
      </c>
      <c r="BB61" s="190"/>
      <c r="BC61" s="167"/>
      <c r="BD61" s="190"/>
      <c r="BE61" s="167"/>
      <c r="BF61" s="190"/>
      <c r="BG61" s="167"/>
      <c r="BH61" s="190"/>
      <c r="BI61" s="167"/>
      <c r="BJ61" s="190"/>
      <c r="BK61" s="167"/>
    </row>
    <row r="62" spans="1:63" ht="13" x14ac:dyDescent="0.25">
      <c r="A62" s="372">
        <v>708</v>
      </c>
      <c r="B62" s="373" t="s">
        <v>202</v>
      </c>
      <c r="C62" s="360">
        <v>1140</v>
      </c>
      <c r="D62" s="54">
        <v>352</v>
      </c>
      <c r="E62" s="367">
        <v>0.34503424657534248</v>
      </c>
      <c r="F62" s="45">
        <v>311</v>
      </c>
      <c r="G62" s="58">
        <v>35</v>
      </c>
      <c r="H62" s="45">
        <v>274</v>
      </c>
      <c r="I62" s="57">
        <v>68</v>
      </c>
      <c r="J62" s="97"/>
      <c r="K62" s="58"/>
      <c r="L62" s="45"/>
      <c r="M62" s="57"/>
      <c r="N62" s="97"/>
      <c r="O62" s="58"/>
      <c r="P62" s="165"/>
      <c r="Q62" s="166"/>
      <c r="R62" s="207"/>
      <c r="S62" s="170"/>
      <c r="T62" s="165"/>
      <c r="U62" s="166"/>
      <c r="V62" s="207"/>
      <c r="W62" s="170"/>
      <c r="X62" s="165"/>
      <c r="Y62" s="166"/>
      <c r="Z62" s="207"/>
      <c r="AA62" s="170"/>
      <c r="AB62" s="165"/>
      <c r="AC62" s="166"/>
      <c r="AD62" s="207"/>
      <c r="AE62" s="170"/>
      <c r="AF62" s="165"/>
      <c r="AG62" s="166"/>
      <c r="AH62" s="207"/>
      <c r="AI62" s="170"/>
      <c r="AJ62" s="165"/>
      <c r="AK62" s="166"/>
      <c r="AL62" s="207"/>
      <c r="AM62" s="170"/>
      <c r="AN62" s="165"/>
      <c r="AO62" s="166"/>
      <c r="AP62" s="207">
        <v>211</v>
      </c>
      <c r="AQ62" s="170">
        <v>132</v>
      </c>
      <c r="AR62" s="165">
        <v>213</v>
      </c>
      <c r="AS62" s="166">
        <v>126</v>
      </c>
      <c r="AT62" s="207"/>
      <c r="AU62" s="170"/>
      <c r="AV62" s="190">
        <v>182</v>
      </c>
      <c r="AW62" s="166">
        <v>166</v>
      </c>
      <c r="AX62" s="208">
        <v>194</v>
      </c>
      <c r="AY62" s="170">
        <v>128</v>
      </c>
      <c r="AZ62" s="45">
        <v>127</v>
      </c>
      <c r="BA62" s="58">
        <v>213</v>
      </c>
      <c r="BB62" s="190"/>
      <c r="BC62" s="167"/>
      <c r="BD62" s="190"/>
      <c r="BE62" s="167"/>
      <c r="BF62" s="190"/>
      <c r="BG62" s="167"/>
      <c r="BH62" s="190"/>
      <c r="BI62" s="167"/>
      <c r="BJ62" s="190"/>
      <c r="BK62" s="167"/>
    </row>
    <row r="63" spans="1:63" ht="13" x14ac:dyDescent="0.25">
      <c r="A63" s="372">
        <v>709</v>
      </c>
      <c r="B63" s="373" t="s">
        <v>203</v>
      </c>
      <c r="C63" s="360">
        <v>1138</v>
      </c>
      <c r="D63" s="54">
        <v>485</v>
      </c>
      <c r="E63" s="367">
        <v>0.47938144329896909</v>
      </c>
      <c r="F63" s="45">
        <v>414</v>
      </c>
      <c r="G63" s="58">
        <v>64</v>
      </c>
      <c r="H63" s="45">
        <v>360</v>
      </c>
      <c r="I63" s="57">
        <v>118</v>
      </c>
      <c r="J63" s="97"/>
      <c r="K63" s="58"/>
      <c r="L63" s="45"/>
      <c r="M63" s="57"/>
      <c r="N63" s="97"/>
      <c r="O63" s="58"/>
      <c r="P63" s="165"/>
      <c r="Q63" s="166"/>
      <c r="R63" s="207"/>
      <c r="S63" s="170"/>
      <c r="T63" s="165"/>
      <c r="U63" s="166"/>
      <c r="V63" s="207"/>
      <c r="W63" s="170"/>
      <c r="X63" s="165"/>
      <c r="Y63" s="166"/>
      <c r="Z63" s="207"/>
      <c r="AA63" s="170"/>
      <c r="AB63" s="165"/>
      <c r="AC63" s="166"/>
      <c r="AD63" s="207"/>
      <c r="AE63" s="170"/>
      <c r="AF63" s="165"/>
      <c r="AG63" s="166"/>
      <c r="AH63" s="207"/>
      <c r="AI63" s="170"/>
      <c r="AJ63" s="165"/>
      <c r="AK63" s="166"/>
      <c r="AL63" s="207"/>
      <c r="AM63" s="170"/>
      <c r="AN63" s="165"/>
      <c r="AO63" s="166"/>
      <c r="AP63" s="207">
        <v>327</v>
      </c>
      <c r="AQ63" s="170">
        <v>148</v>
      </c>
      <c r="AR63" s="165">
        <v>305</v>
      </c>
      <c r="AS63" s="166">
        <v>165</v>
      </c>
      <c r="AT63" s="207"/>
      <c r="AU63" s="170"/>
      <c r="AV63" s="190">
        <v>268</v>
      </c>
      <c r="AW63" s="166">
        <v>207</v>
      </c>
      <c r="AX63" s="208">
        <v>256</v>
      </c>
      <c r="AY63" s="170">
        <v>161</v>
      </c>
      <c r="AZ63" s="45">
        <v>135</v>
      </c>
      <c r="BA63" s="58">
        <v>328</v>
      </c>
      <c r="BB63" s="190"/>
      <c r="BC63" s="167"/>
      <c r="BD63" s="190"/>
      <c r="BE63" s="167"/>
      <c r="BF63" s="190"/>
      <c r="BG63" s="167"/>
      <c r="BH63" s="190"/>
      <c r="BI63" s="167"/>
      <c r="BJ63" s="190"/>
      <c r="BK63" s="167"/>
    </row>
    <row r="64" spans="1:63" ht="13" x14ac:dyDescent="0.25">
      <c r="A64" s="372">
        <v>710</v>
      </c>
      <c r="B64" s="373" t="s">
        <v>204</v>
      </c>
      <c r="C64" s="360">
        <v>513</v>
      </c>
      <c r="D64" s="54">
        <v>138</v>
      </c>
      <c r="E64" s="367">
        <v>0.31749049429657794</v>
      </c>
      <c r="F64" s="45">
        <v>107</v>
      </c>
      <c r="G64" s="58">
        <v>27</v>
      </c>
      <c r="H64" s="45">
        <v>99</v>
      </c>
      <c r="I64" s="57">
        <v>37</v>
      </c>
      <c r="J64" s="97"/>
      <c r="K64" s="58"/>
      <c r="L64" s="45"/>
      <c r="M64" s="57"/>
      <c r="N64" s="97"/>
      <c r="O64" s="58"/>
      <c r="P64" s="165"/>
      <c r="Q64" s="166"/>
      <c r="R64" s="207"/>
      <c r="S64" s="170"/>
      <c r="T64" s="165"/>
      <c r="U64" s="166"/>
      <c r="V64" s="207"/>
      <c r="W64" s="170"/>
      <c r="X64" s="165"/>
      <c r="Y64" s="166"/>
      <c r="Z64" s="207"/>
      <c r="AA64" s="170"/>
      <c r="AB64" s="165"/>
      <c r="AC64" s="166"/>
      <c r="AD64" s="207"/>
      <c r="AE64" s="170"/>
      <c r="AF64" s="165"/>
      <c r="AG64" s="166"/>
      <c r="AH64" s="207"/>
      <c r="AI64" s="170"/>
      <c r="AJ64" s="165"/>
      <c r="AK64" s="166"/>
      <c r="AL64" s="207"/>
      <c r="AM64" s="170"/>
      <c r="AN64" s="165"/>
      <c r="AO64" s="166"/>
      <c r="AP64" s="207">
        <v>86</v>
      </c>
      <c r="AQ64" s="170">
        <v>52</v>
      </c>
      <c r="AR64" s="165">
        <v>73</v>
      </c>
      <c r="AS64" s="166">
        <v>63</v>
      </c>
      <c r="AT64" s="207"/>
      <c r="AU64" s="170"/>
      <c r="AV64" s="190">
        <v>63</v>
      </c>
      <c r="AW64" s="166">
        <v>74</v>
      </c>
      <c r="AX64" s="208">
        <v>79</v>
      </c>
      <c r="AY64" s="170">
        <v>48</v>
      </c>
      <c r="AZ64" s="45">
        <v>53</v>
      </c>
      <c r="BA64" s="58">
        <v>81</v>
      </c>
      <c r="BB64" s="190"/>
      <c r="BC64" s="167"/>
      <c r="BD64" s="190"/>
      <c r="BE64" s="167"/>
      <c r="BF64" s="190"/>
      <c r="BG64" s="167"/>
      <c r="BH64" s="190"/>
      <c r="BI64" s="167"/>
      <c r="BJ64" s="190"/>
      <c r="BK64" s="167"/>
    </row>
    <row r="65" spans="1:63" ht="13" x14ac:dyDescent="0.25">
      <c r="A65" s="372">
        <v>711</v>
      </c>
      <c r="B65" s="373" t="s">
        <v>743</v>
      </c>
      <c r="C65" s="360">
        <v>1059</v>
      </c>
      <c r="D65" s="54">
        <v>393</v>
      </c>
      <c r="E65" s="367">
        <v>0.43495145631067961</v>
      </c>
      <c r="F65" s="45">
        <v>325</v>
      </c>
      <c r="G65" s="58">
        <v>62</v>
      </c>
      <c r="H65" s="45">
        <v>290</v>
      </c>
      <c r="I65" s="57">
        <v>96</v>
      </c>
      <c r="J65" s="97"/>
      <c r="K65" s="58"/>
      <c r="L65" s="45"/>
      <c r="M65" s="57"/>
      <c r="N65" s="97"/>
      <c r="O65" s="58"/>
      <c r="P65" s="165"/>
      <c r="Q65" s="166"/>
      <c r="R65" s="207"/>
      <c r="S65" s="170"/>
      <c r="T65" s="165"/>
      <c r="U65" s="166"/>
      <c r="V65" s="207"/>
      <c r="W65" s="170"/>
      <c r="X65" s="165"/>
      <c r="Y65" s="166"/>
      <c r="Z65" s="207"/>
      <c r="AA65" s="170"/>
      <c r="AB65" s="165"/>
      <c r="AC65" s="166"/>
      <c r="AD65" s="207"/>
      <c r="AE65" s="170"/>
      <c r="AF65" s="165"/>
      <c r="AG65" s="166"/>
      <c r="AH65" s="207"/>
      <c r="AI65" s="170"/>
      <c r="AJ65" s="165"/>
      <c r="AK65" s="166"/>
      <c r="AL65" s="207"/>
      <c r="AM65" s="170"/>
      <c r="AN65" s="165"/>
      <c r="AO65" s="166"/>
      <c r="AP65" s="207">
        <v>247</v>
      </c>
      <c r="AQ65" s="170">
        <v>135</v>
      </c>
      <c r="AR65" s="165">
        <v>240</v>
      </c>
      <c r="AS65" s="166">
        <v>141</v>
      </c>
      <c r="AT65" s="207"/>
      <c r="AU65" s="170"/>
      <c r="AV65" s="190">
        <v>169</v>
      </c>
      <c r="AW65" s="166">
        <v>221</v>
      </c>
      <c r="AX65" s="208">
        <v>199</v>
      </c>
      <c r="AY65" s="170">
        <v>152</v>
      </c>
      <c r="AZ65" s="45">
        <v>144</v>
      </c>
      <c r="BA65" s="58">
        <v>233</v>
      </c>
      <c r="BB65" s="190"/>
      <c r="BC65" s="167"/>
      <c r="BD65" s="190"/>
      <c r="BE65" s="167"/>
      <c r="BF65" s="190"/>
      <c r="BG65" s="167"/>
      <c r="BH65" s="190"/>
      <c r="BI65" s="167"/>
      <c r="BJ65" s="190"/>
      <c r="BK65" s="167"/>
    </row>
    <row r="66" spans="1:63" ht="13" x14ac:dyDescent="0.25">
      <c r="A66" s="372">
        <v>801</v>
      </c>
      <c r="B66" s="373" t="s">
        <v>205</v>
      </c>
      <c r="C66" s="360">
        <v>1564</v>
      </c>
      <c r="D66" s="54">
        <v>476</v>
      </c>
      <c r="E66" s="367">
        <v>0.32700822264389628</v>
      </c>
      <c r="F66" s="45">
        <v>411</v>
      </c>
      <c r="G66" s="58">
        <v>61</v>
      </c>
      <c r="H66" s="45">
        <v>397</v>
      </c>
      <c r="I66" s="57">
        <v>75</v>
      </c>
      <c r="J66" s="97"/>
      <c r="K66" s="58"/>
      <c r="L66" s="45"/>
      <c r="M66" s="57"/>
      <c r="N66" s="97"/>
      <c r="O66" s="58"/>
      <c r="P66" s="165"/>
      <c r="Q66" s="166"/>
      <c r="R66" s="207"/>
      <c r="S66" s="170"/>
      <c r="T66" s="165"/>
      <c r="U66" s="166"/>
      <c r="V66" s="207"/>
      <c r="W66" s="170"/>
      <c r="X66" s="165"/>
      <c r="Y66" s="166"/>
      <c r="Z66" s="207"/>
      <c r="AA66" s="170"/>
      <c r="AB66" s="165"/>
      <c r="AC66" s="166"/>
      <c r="AD66" s="207"/>
      <c r="AE66" s="170"/>
      <c r="AF66" s="165"/>
      <c r="AG66" s="166"/>
      <c r="AH66" s="207"/>
      <c r="AI66" s="170"/>
      <c r="AJ66" s="165"/>
      <c r="AK66" s="166"/>
      <c r="AL66" s="207"/>
      <c r="AM66" s="170"/>
      <c r="AN66" s="165"/>
      <c r="AO66" s="166"/>
      <c r="AP66" s="207">
        <v>342</v>
      </c>
      <c r="AQ66" s="170">
        <v>123</v>
      </c>
      <c r="AR66" s="165">
        <v>326</v>
      </c>
      <c r="AS66" s="166">
        <v>141</v>
      </c>
      <c r="AT66" s="207"/>
      <c r="AU66" s="170"/>
      <c r="AV66" s="190">
        <v>225</v>
      </c>
      <c r="AW66" s="166">
        <v>236</v>
      </c>
      <c r="AX66" s="208">
        <v>282</v>
      </c>
      <c r="AY66" s="170">
        <v>143</v>
      </c>
      <c r="AZ66" s="45">
        <v>197</v>
      </c>
      <c r="BA66" s="58">
        <v>251</v>
      </c>
      <c r="BB66" s="190"/>
      <c r="BC66" s="167"/>
      <c r="BD66" s="190"/>
      <c r="BE66" s="167"/>
      <c r="BF66" s="190"/>
      <c r="BG66" s="167"/>
      <c r="BH66" s="190"/>
      <c r="BI66" s="167"/>
      <c r="BJ66" s="190"/>
      <c r="BK66" s="167"/>
    </row>
    <row r="67" spans="1:63" ht="13" x14ac:dyDescent="0.25">
      <c r="A67" s="372">
        <v>802</v>
      </c>
      <c r="B67" s="373" t="s">
        <v>206</v>
      </c>
      <c r="C67" s="360">
        <v>1379</v>
      </c>
      <c r="D67" s="54">
        <v>647</v>
      </c>
      <c r="E67" s="367">
        <v>0.48521989906272528</v>
      </c>
      <c r="F67" s="45">
        <v>562</v>
      </c>
      <c r="G67" s="58">
        <v>80</v>
      </c>
      <c r="H67" s="45">
        <v>552</v>
      </c>
      <c r="I67" s="57">
        <v>88</v>
      </c>
      <c r="J67" s="97"/>
      <c r="K67" s="58"/>
      <c r="L67" s="45"/>
      <c r="M67" s="57"/>
      <c r="N67" s="97"/>
      <c r="O67" s="58"/>
      <c r="P67" s="165"/>
      <c r="Q67" s="166"/>
      <c r="R67" s="207"/>
      <c r="S67" s="170"/>
      <c r="T67" s="165"/>
      <c r="U67" s="166"/>
      <c r="V67" s="207"/>
      <c r="W67" s="170"/>
      <c r="X67" s="165"/>
      <c r="Y67" s="166"/>
      <c r="Z67" s="207"/>
      <c r="AA67" s="170"/>
      <c r="AB67" s="165"/>
      <c r="AC67" s="166"/>
      <c r="AD67" s="207"/>
      <c r="AE67" s="170"/>
      <c r="AF67" s="165"/>
      <c r="AG67" s="166"/>
      <c r="AH67" s="207"/>
      <c r="AI67" s="170"/>
      <c r="AJ67" s="165"/>
      <c r="AK67" s="166"/>
      <c r="AL67" s="207"/>
      <c r="AM67" s="170"/>
      <c r="AN67" s="165"/>
      <c r="AO67" s="166"/>
      <c r="AP67" s="207">
        <v>525</v>
      </c>
      <c r="AQ67" s="170">
        <v>102</v>
      </c>
      <c r="AR67" s="165">
        <v>484</v>
      </c>
      <c r="AS67" s="166">
        <v>143</v>
      </c>
      <c r="AT67" s="207"/>
      <c r="AU67" s="170"/>
      <c r="AV67" s="190">
        <v>395</v>
      </c>
      <c r="AW67" s="166">
        <v>232</v>
      </c>
      <c r="AX67" s="208">
        <v>392</v>
      </c>
      <c r="AY67" s="170">
        <v>174</v>
      </c>
      <c r="AZ67" s="45">
        <v>167</v>
      </c>
      <c r="BA67" s="58">
        <v>438</v>
      </c>
      <c r="BB67" s="190"/>
      <c r="BC67" s="167"/>
      <c r="BD67" s="190"/>
      <c r="BE67" s="167"/>
      <c r="BF67" s="190"/>
      <c r="BG67" s="167"/>
      <c r="BH67" s="190"/>
      <c r="BI67" s="167"/>
      <c r="BJ67" s="190"/>
      <c r="BK67" s="167"/>
    </row>
    <row r="68" spans="1:63" ht="13" x14ac:dyDescent="0.25">
      <c r="A68" s="372">
        <v>803</v>
      </c>
      <c r="B68" s="373" t="s">
        <v>207</v>
      </c>
      <c r="C68" s="360">
        <v>1540</v>
      </c>
      <c r="D68" s="54">
        <v>857</v>
      </c>
      <c r="E68" s="367">
        <v>0.5814249363867684</v>
      </c>
      <c r="F68" s="45">
        <v>633</v>
      </c>
      <c r="G68" s="58">
        <v>217</v>
      </c>
      <c r="H68" s="45">
        <v>606</v>
      </c>
      <c r="I68" s="57">
        <v>243</v>
      </c>
      <c r="J68" s="97"/>
      <c r="K68" s="58"/>
      <c r="L68" s="45"/>
      <c r="M68" s="57"/>
      <c r="N68" s="97"/>
      <c r="O68" s="58"/>
      <c r="P68" s="165"/>
      <c r="Q68" s="166"/>
      <c r="R68" s="207"/>
      <c r="S68" s="170"/>
      <c r="T68" s="165"/>
      <c r="U68" s="166"/>
      <c r="V68" s="207"/>
      <c r="W68" s="170"/>
      <c r="X68" s="165"/>
      <c r="Y68" s="166"/>
      <c r="Z68" s="207"/>
      <c r="AA68" s="170"/>
      <c r="AB68" s="165"/>
      <c r="AC68" s="166"/>
      <c r="AD68" s="207"/>
      <c r="AE68" s="170"/>
      <c r="AF68" s="165"/>
      <c r="AG68" s="166"/>
      <c r="AH68" s="207"/>
      <c r="AI68" s="170"/>
      <c r="AJ68" s="165"/>
      <c r="AK68" s="166"/>
      <c r="AL68" s="207"/>
      <c r="AM68" s="170"/>
      <c r="AN68" s="165"/>
      <c r="AO68" s="166"/>
      <c r="AP68" s="207">
        <v>645</v>
      </c>
      <c r="AQ68" s="170">
        <v>200</v>
      </c>
      <c r="AR68" s="165">
        <v>525</v>
      </c>
      <c r="AS68" s="166">
        <v>316</v>
      </c>
      <c r="AT68" s="207"/>
      <c r="AU68" s="170"/>
      <c r="AV68" s="190">
        <v>498</v>
      </c>
      <c r="AW68" s="166">
        <v>339</v>
      </c>
      <c r="AX68" s="208">
        <v>524</v>
      </c>
      <c r="AY68" s="170">
        <v>232</v>
      </c>
      <c r="AZ68" s="45">
        <v>156</v>
      </c>
      <c r="BA68" s="58">
        <v>647</v>
      </c>
      <c r="BB68" s="190"/>
      <c r="BC68" s="167"/>
      <c r="BD68" s="190"/>
      <c r="BE68" s="167"/>
      <c r="BF68" s="190"/>
      <c r="BG68" s="167"/>
      <c r="BH68" s="190"/>
      <c r="BI68" s="167"/>
      <c r="BJ68" s="190"/>
      <c r="BK68" s="167"/>
    </row>
    <row r="69" spans="1:63" ht="13" x14ac:dyDescent="0.25">
      <c r="A69" s="372">
        <v>804</v>
      </c>
      <c r="B69" s="373" t="s">
        <v>208</v>
      </c>
      <c r="C69" s="360">
        <v>1625</v>
      </c>
      <c r="D69" s="54">
        <v>493</v>
      </c>
      <c r="E69" s="367">
        <v>0.3125</v>
      </c>
      <c r="F69" s="45">
        <v>457</v>
      </c>
      <c r="G69" s="58">
        <v>33</v>
      </c>
      <c r="H69" s="45">
        <v>434</v>
      </c>
      <c r="I69" s="57">
        <v>54</v>
      </c>
      <c r="J69" s="97"/>
      <c r="K69" s="58"/>
      <c r="L69" s="45"/>
      <c r="M69" s="57"/>
      <c r="N69" s="97"/>
      <c r="O69" s="58"/>
      <c r="P69" s="165"/>
      <c r="Q69" s="166"/>
      <c r="R69" s="207"/>
      <c r="S69" s="170"/>
      <c r="T69" s="165"/>
      <c r="U69" s="166"/>
      <c r="V69" s="207"/>
      <c r="W69" s="170"/>
      <c r="X69" s="165"/>
      <c r="Y69" s="166"/>
      <c r="Z69" s="207"/>
      <c r="AA69" s="170"/>
      <c r="AB69" s="165"/>
      <c r="AC69" s="166"/>
      <c r="AD69" s="207"/>
      <c r="AE69" s="170"/>
      <c r="AF69" s="165"/>
      <c r="AG69" s="166"/>
      <c r="AH69" s="207"/>
      <c r="AI69" s="170"/>
      <c r="AJ69" s="165"/>
      <c r="AK69" s="166"/>
      <c r="AL69" s="207"/>
      <c r="AM69" s="170"/>
      <c r="AN69" s="165"/>
      <c r="AO69" s="166"/>
      <c r="AP69" s="207">
        <v>391</v>
      </c>
      <c r="AQ69" s="170">
        <v>95</v>
      </c>
      <c r="AR69" s="165">
        <v>377</v>
      </c>
      <c r="AS69" s="166">
        <v>101</v>
      </c>
      <c r="AT69" s="207"/>
      <c r="AU69" s="170"/>
      <c r="AV69" s="190">
        <v>254</v>
      </c>
      <c r="AW69" s="166">
        <v>222</v>
      </c>
      <c r="AX69" s="208">
        <v>285</v>
      </c>
      <c r="AY69" s="170">
        <v>140</v>
      </c>
      <c r="AZ69" s="45">
        <v>192</v>
      </c>
      <c r="BA69" s="58">
        <v>275</v>
      </c>
      <c r="BB69" s="190"/>
      <c r="BC69" s="167"/>
      <c r="BD69" s="190"/>
      <c r="BE69" s="167"/>
      <c r="BF69" s="190"/>
      <c r="BG69" s="167"/>
      <c r="BH69" s="190"/>
      <c r="BI69" s="167"/>
      <c r="BJ69" s="190"/>
      <c r="BK69" s="167"/>
    </row>
    <row r="70" spans="1:63" ht="13" x14ac:dyDescent="0.25">
      <c r="A70" s="372">
        <v>901</v>
      </c>
      <c r="B70" s="373" t="s">
        <v>209</v>
      </c>
      <c r="C70" s="360">
        <v>896</v>
      </c>
      <c r="D70" s="54">
        <v>189</v>
      </c>
      <c r="E70" s="367">
        <v>0.24524076147816348</v>
      </c>
      <c r="F70" s="45">
        <v>167</v>
      </c>
      <c r="G70" s="58">
        <v>17</v>
      </c>
      <c r="H70" s="45">
        <v>164</v>
      </c>
      <c r="I70" s="57">
        <v>21</v>
      </c>
      <c r="J70" s="97"/>
      <c r="K70" s="58"/>
      <c r="L70" s="45"/>
      <c r="M70" s="57"/>
      <c r="N70" s="97"/>
      <c r="O70" s="58"/>
      <c r="P70" s="165"/>
      <c r="Q70" s="166"/>
      <c r="R70" s="207"/>
      <c r="S70" s="170"/>
      <c r="T70" s="165"/>
      <c r="U70" s="166"/>
      <c r="V70" s="207"/>
      <c r="W70" s="170"/>
      <c r="X70" s="165"/>
      <c r="Y70" s="166"/>
      <c r="Z70" s="207"/>
      <c r="AA70" s="170"/>
      <c r="AB70" s="165"/>
      <c r="AC70" s="166"/>
      <c r="AD70" s="207"/>
      <c r="AE70" s="170"/>
      <c r="AF70" s="165"/>
      <c r="AG70" s="166"/>
      <c r="AH70" s="207"/>
      <c r="AI70" s="170"/>
      <c r="AJ70" s="165"/>
      <c r="AK70" s="166"/>
      <c r="AL70" s="207"/>
      <c r="AM70" s="170"/>
      <c r="AN70" s="165"/>
      <c r="AO70" s="166"/>
      <c r="AP70" s="207">
        <v>143</v>
      </c>
      <c r="AQ70" s="170">
        <v>43</v>
      </c>
      <c r="AR70" s="165">
        <v>141</v>
      </c>
      <c r="AS70" s="166">
        <v>44</v>
      </c>
      <c r="AT70" s="207"/>
      <c r="AU70" s="170"/>
      <c r="AV70" s="190">
        <v>83</v>
      </c>
      <c r="AW70" s="166">
        <v>102</v>
      </c>
      <c r="AX70" s="208">
        <v>96</v>
      </c>
      <c r="AY70" s="170">
        <v>72</v>
      </c>
      <c r="AZ70" s="45">
        <v>74</v>
      </c>
      <c r="BA70" s="58">
        <v>103</v>
      </c>
      <c r="BB70" s="190"/>
      <c r="BC70" s="167"/>
      <c r="BD70" s="190"/>
      <c r="BE70" s="167"/>
      <c r="BF70" s="190"/>
      <c r="BG70" s="167"/>
      <c r="BH70" s="190"/>
      <c r="BI70" s="167"/>
      <c r="BJ70" s="190"/>
      <c r="BK70" s="167"/>
    </row>
    <row r="71" spans="1:63" ht="13" x14ac:dyDescent="0.25">
      <c r="A71" s="372">
        <v>902</v>
      </c>
      <c r="B71" s="373" t="s">
        <v>210</v>
      </c>
      <c r="C71" s="360">
        <v>1590</v>
      </c>
      <c r="D71" s="54">
        <v>818</v>
      </c>
      <c r="E71" s="367">
        <v>0.5173770491803279</v>
      </c>
      <c r="F71" s="45">
        <v>706</v>
      </c>
      <c r="G71" s="58">
        <v>105</v>
      </c>
      <c r="H71" s="45">
        <v>677</v>
      </c>
      <c r="I71" s="57">
        <v>139</v>
      </c>
      <c r="J71" s="97"/>
      <c r="K71" s="58"/>
      <c r="L71" s="45"/>
      <c r="M71" s="57"/>
      <c r="N71" s="97"/>
      <c r="O71" s="58"/>
      <c r="P71" s="165"/>
      <c r="Q71" s="166"/>
      <c r="R71" s="207"/>
      <c r="S71" s="170"/>
      <c r="T71" s="165"/>
      <c r="U71" s="166"/>
      <c r="V71" s="207"/>
      <c r="W71" s="170"/>
      <c r="X71" s="165"/>
      <c r="Y71" s="166"/>
      <c r="Z71" s="207"/>
      <c r="AA71" s="170"/>
      <c r="AB71" s="165"/>
      <c r="AC71" s="166"/>
      <c r="AD71" s="207"/>
      <c r="AE71" s="170"/>
      <c r="AF71" s="165"/>
      <c r="AG71" s="166"/>
      <c r="AH71" s="207"/>
      <c r="AI71" s="170"/>
      <c r="AJ71" s="165"/>
      <c r="AK71" s="166"/>
      <c r="AL71" s="207"/>
      <c r="AM71" s="170"/>
      <c r="AN71" s="165"/>
      <c r="AO71" s="166"/>
      <c r="AP71" s="207">
        <v>671</v>
      </c>
      <c r="AQ71" s="170">
        <v>129</v>
      </c>
      <c r="AR71" s="165">
        <v>621</v>
      </c>
      <c r="AS71" s="166">
        <v>174</v>
      </c>
      <c r="AT71" s="207"/>
      <c r="AU71" s="170"/>
      <c r="AV71" s="190">
        <v>464</v>
      </c>
      <c r="AW71" s="166">
        <v>330</v>
      </c>
      <c r="AX71" s="208">
        <v>494</v>
      </c>
      <c r="AY71" s="170">
        <v>222</v>
      </c>
      <c r="AZ71" s="45">
        <v>277</v>
      </c>
      <c r="BA71" s="58">
        <v>482</v>
      </c>
      <c r="BB71" s="190"/>
      <c r="BC71" s="167"/>
      <c r="BD71" s="190"/>
      <c r="BE71" s="167"/>
      <c r="BF71" s="190"/>
      <c r="BG71" s="167"/>
      <c r="BH71" s="190"/>
      <c r="BI71" s="167"/>
      <c r="BJ71" s="190"/>
      <c r="BK71" s="167"/>
    </row>
    <row r="72" spans="1:63" ht="13" x14ac:dyDescent="0.25">
      <c r="A72" s="372">
        <v>903</v>
      </c>
      <c r="B72" s="373" t="s">
        <v>211</v>
      </c>
      <c r="C72" s="360">
        <v>1369</v>
      </c>
      <c r="D72" s="54">
        <v>396</v>
      </c>
      <c r="E72" s="367">
        <v>0.31445603576751119</v>
      </c>
      <c r="F72" s="45">
        <v>337</v>
      </c>
      <c r="G72" s="58">
        <v>56</v>
      </c>
      <c r="H72" s="45">
        <v>331</v>
      </c>
      <c r="I72" s="57">
        <v>58</v>
      </c>
      <c r="J72" s="97"/>
      <c r="K72" s="58"/>
      <c r="L72" s="45"/>
      <c r="M72" s="57"/>
      <c r="N72" s="97"/>
      <c r="O72" s="58"/>
      <c r="P72" s="165"/>
      <c r="Q72" s="166"/>
      <c r="R72" s="207"/>
      <c r="S72" s="170"/>
      <c r="T72" s="165"/>
      <c r="U72" s="166"/>
      <c r="V72" s="207"/>
      <c r="W72" s="170"/>
      <c r="X72" s="165"/>
      <c r="Y72" s="166"/>
      <c r="Z72" s="207"/>
      <c r="AA72" s="170"/>
      <c r="AB72" s="165"/>
      <c r="AC72" s="166"/>
      <c r="AD72" s="207"/>
      <c r="AE72" s="170"/>
      <c r="AF72" s="165"/>
      <c r="AG72" s="166"/>
      <c r="AH72" s="207"/>
      <c r="AI72" s="170"/>
      <c r="AJ72" s="165"/>
      <c r="AK72" s="166"/>
      <c r="AL72" s="207"/>
      <c r="AM72" s="170"/>
      <c r="AN72" s="165"/>
      <c r="AO72" s="166"/>
      <c r="AP72" s="207">
        <v>310</v>
      </c>
      <c r="AQ72" s="170">
        <v>77</v>
      </c>
      <c r="AR72" s="165">
        <v>306</v>
      </c>
      <c r="AS72" s="166">
        <v>79</v>
      </c>
      <c r="AT72" s="207"/>
      <c r="AU72" s="170"/>
      <c r="AV72" s="190">
        <v>230</v>
      </c>
      <c r="AW72" s="166">
        <v>158</v>
      </c>
      <c r="AX72" s="208">
        <v>239</v>
      </c>
      <c r="AY72" s="170">
        <v>103</v>
      </c>
      <c r="AZ72" s="45">
        <v>145</v>
      </c>
      <c r="BA72" s="58">
        <v>235</v>
      </c>
      <c r="BB72" s="190"/>
      <c r="BC72" s="167"/>
      <c r="BD72" s="190"/>
      <c r="BE72" s="167"/>
      <c r="BF72" s="190"/>
      <c r="BG72" s="167"/>
      <c r="BH72" s="190"/>
      <c r="BI72" s="167"/>
      <c r="BJ72" s="190"/>
      <c r="BK72" s="167"/>
    </row>
    <row r="73" spans="1:63" ht="13" x14ac:dyDescent="0.25">
      <c r="A73" s="372">
        <v>904</v>
      </c>
      <c r="B73" s="373" t="s">
        <v>744</v>
      </c>
      <c r="C73" s="360">
        <v>1080</v>
      </c>
      <c r="D73" s="54">
        <v>267</v>
      </c>
      <c r="E73" s="367">
        <v>0.28558639212175468</v>
      </c>
      <c r="F73" s="45">
        <v>237</v>
      </c>
      <c r="G73" s="58">
        <v>28</v>
      </c>
      <c r="H73" s="45">
        <v>214</v>
      </c>
      <c r="I73" s="57">
        <v>48</v>
      </c>
      <c r="J73" s="97"/>
      <c r="K73" s="58"/>
      <c r="L73" s="45"/>
      <c r="M73" s="57"/>
      <c r="N73" s="97"/>
      <c r="O73" s="58"/>
      <c r="P73" s="165"/>
      <c r="Q73" s="166"/>
      <c r="R73" s="207"/>
      <c r="S73" s="170"/>
      <c r="T73" s="165"/>
      <c r="U73" s="166"/>
      <c r="V73" s="207"/>
      <c r="W73" s="170"/>
      <c r="X73" s="165"/>
      <c r="Y73" s="166"/>
      <c r="Z73" s="207"/>
      <c r="AA73" s="170"/>
      <c r="AB73" s="165"/>
      <c r="AC73" s="166"/>
      <c r="AD73" s="207"/>
      <c r="AE73" s="170"/>
      <c r="AF73" s="165"/>
      <c r="AG73" s="166"/>
      <c r="AH73" s="207"/>
      <c r="AI73" s="170"/>
      <c r="AJ73" s="165"/>
      <c r="AK73" s="166"/>
      <c r="AL73" s="207"/>
      <c r="AM73" s="170"/>
      <c r="AN73" s="165"/>
      <c r="AO73" s="166"/>
      <c r="AP73" s="207">
        <v>191</v>
      </c>
      <c r="AQ73" s="170">
        <v>64</v>
      </c>
      <c r="AR73" s="165">
        <v>194</v>
      </c>
      <c r="AS73" s="166">
        <v>67</v>
      </c>
      <c r="AT73" s="207"/>
      <c r="AU73" s="170"/>
      <c r="AV73" s="190">
        <v>143</v>
      </c>
      <c r="AW73" s="166">
        <v>119</v>
      </c>
      <c r="AX73" s="208">
        <v>152</v>
      </c>
      <c r="AY73" s="170">
        <v>93</v>
      </c>
      <c r="AZ73" s="45">
        <v>120</v>
      </c>
      <c r="BA73" s="58">
        <v>139</v>
      </c>
      <c r="BB73" s="190"/>
      <c r="BC73" s="167"/>
      <c r="BD73" s="190"/>
      <c r="BE73" s="167"/>
      <c r="BF73" s="190"/>
      <c r="BG73" s="167"/>
      <c r="BH73" s="190"/>
      <c r="BI73" s="167"/>
      <c r="BJ73" s="190"/>
      <c r="BK73" s="167"/>
    </row>
    <row r="74" spans="1:63" ht="13" x14ac:dyDescent="0.25">
      <c r="A74" s="372">
        <v>1001</v>
      </c>
      <c r="B74" s="373" t="s">
        <v>212</v>
      </c>
      <c r="C74" s="360">
        <v>1328</v>
      </c>
      <c r="D74" s="54">
        <v>619</v>
      </c>
      <c r="E74" s="367">
        <v>0.47760060744115412</v>
      </c>
      <c r="F74" s="45">
        <v>462</v>
      </c>
      <c r="G74" s="58">
        <v>154</v>
      </c>
      <c r="H74" s="45">
        <v>441</v>
      </c>
      <c r="I74" s="57">
        <v>173</v>
      </c>
      <c r="J74" s="97"/>
      <c r="K74" s="58"/>
      <c r="L74" s="45"/>
      <c r="M74" s="57"/>
      <c r="N74" s="97"/>
      <c r="O74" s="58"/>
      <c r="P74" s="165"/>
      <c r="Q74" s="166"/>
      <c r="R74" s="207"/>
      <c r="S74" s="170"/>
      <c r="T74" s="165"/>
      <c r="U74" s="166"/>
      <c r="V74" s="207"/>
      <c r="W74" s="170"/>
      <c r="X74" s="165"/>
      <c r="Y74" s="166"/>
      <c r="Z74" s="207"/>
      <c r="AA74" s="170"/>
      <c r="AB74" s="165"/>
      <c r="AC74" s="166"/>
      <c r="AD74" s="207"/>
      <c r="AE74" s="170"/>
      <c r="AF74" s="165"/>
      <c r="AG74" s="166"/>
      <c r="AH74" s="207"/>
      <c r="AI74" s="170"/>
      <c r="AJ74" s="165"/>
      <c r="AK74" s="166"/>
      <c r="AL74" s="207"/>
      <c r="AM74" s="170"/>
      <c r="AN74" s="165"/>
      <c r="AO74" s="166"/>
      <c r="AP74" s="207">
        <v>417</v>
      </c>
      <c r="AQ74" s="170">
        <v>185</v>
      </c>
      <c r="AR74" s="165">
        <v>387</v>
      </c>
      <c r="AS74" s="166">
        <v>218</v>
      </c>
      <c r="AT74" s="207"/>
      <c r="AU74" s="170"/>
      <c r="AV74" s="190">
        <v>316</v>
      </c>
      <c r="AW74" s="166">
        <v>277</v>
      </c>
      <c r="AX74" s="208">
        <v>375</v>
      </c>
      <c r="AY74" s="170">
        <v>164</v>
      </c>
      <c r="AZ74" s="45">
        <v>153</v>
      </c>
      <c r="BA74" s="58">
        <v>428</v>
      </c>
      <c r="BB74" s="190"/>
      <c r="BC74" s="167"/>
      <c r="BD74" s="190"/>
      <c r="BE74" s="167"/>
      <c r="BF74" s="190"/>
      <c r="BG74" s="167"/>
      <c r="BH74" s="190"/>
      <c r="BI74" s="167"/>
      <c r="BJ74" s="190"/>
      <c r="BK74" s="167"/>
    </row>
    <row r="75" spans="1:63" ht="13" x14ac:dyDescent="0.25">
      <c r="A75" s="372">
        <v>1002</v>
      </c>
      <c r="B75" s="373" t="s">
        <v>213</v>
      </c>
      <c r="C75" s="360">
        <v>1485</v>
      </c>
      <c r="D75" s="54">
        <v>320</v>
      </c>
      <c r="E75" s="367">
        <v>0.23690036900369005</v>
      </c>
      <c r="F75" s="45">
        <v>280</v>
      </c>
      <c r="G75" s="58">
        <v>35</v>
      </c>
      <c r="H75" s="45">
        <v>278</v>
      </c>
      <c r="I75" s="57">
        <v>39</v>
      </c>
      <c r="J75" s="97"/>
      <c r="K75" s="58"/>
      <c r="L75" s="45"/>
      <c r="M75" s="57"/>
      <c r="N75" s="97"/>
      <c r="O75" s="58"/>
      <c r="P75" s="165"/>
      <c r="Q75" s="166"/>
      <c r="R75" s="207"/>
      <c r="S75" s="170"/>
      <c r="T75" s="165"/>
      <c r="U75" s="166"/>
      <c r="V75" s="207"/>
      <c r="W75" s="170"/>
      <c r="X75" s="165"/>
      <c r="Y75" s="166"/>
      <c r="Z75" s="207"/>
      <c r="AA75" s="170"/>
      <c r="AB75" s="165"/>
      <c r="AC75" s="166"/>
      <c r="AD75" s="207"/>
      <c r="AE75" s="170"/>
      <c r="AF75" s="165"/>
      <c r="AG75" s="166"/>
      <c r="AH75" s="207"/>
      <c r="AI75" s="170"/>
      <c r="AJ75" s="165"/>
      <c r="AK75" s="166"/>
      <c r="AL75" s="207"/>
      <c r="AM75" s="170"/>
      <c r="AN75" s="165"/>
      <c r="AO75" s="166"/>
      <c r="AP75" s="207">
        <v>259</v>
      </c>
      <c r="AQ75" s="170">
        <v>49</v>
      </c>
      <c r="AR75" s="165">
        <v>247</v>
      </c>
      <c r="AS75" s="166">
        <v>57</v>
      </c>
      <c r="AT75" s="207"/>
      <c r="AU75" s="170"/>
      <c r="AV75" s="190">
        <v>158</v>
      </c>
      <c r="AW75" s="166">
        <v>149</v>
      </c>
      <c r="AX75" s="208">
        <v>198</v>
      </c>
      <c r="AY75" s="170">
        <v>81</v>
      </c>
      <c r="AZ75" s="45">
        <v>163</v>
      </c>
      <c r="BA75" s="58">
        <v>132</v>
      </c>
      <c r="BB75" s="190"/>
      <c r="BC75" s="167"/>
      <c r="BD75" s="190"/>
      <c r="BE75" s="167"/>
      <c r="BF75" s="190"/>
      <c r="BG75" s="167"/>
      <c r="BH75" s="190"/>
      <c r="BI75" s="167"/>
      <c r="BJ75" s="190"/>
      <c r="BK75" s="167"/>
    </row>
    <row r="76" spans="1:63" ht="13" x14ac:dyDescent="0.25">
      <c r="A76" s="372">
        <v>1003</v>
      </c>
      <c r="B76" s="373" t="s">
        <v>745</v>
      </c>
      <c r="C76" s="360">
        <v>1365</v>
      </c>
      <c r="D76" s="54">
        <v>459</v>
      </c>
      <c r="E76" s="367">
        <v>0.34670704012112036</v>
      </c>
      <c r="F76" s="45">
        <v>410</v>
      </c>
      <c r="G76" s="58">
        <v>47</v>
      </c>
      <c r="H76" s="45">
        <v>412</v>
      </c>
      <c r="I76" s="57">
        <v>44</v>
      </c>
      <c r="J76" s="97"/>
      <c r="K76" s="58"/>
      <c r="L76" s="45"/>
      <c r="M76" s="57"/>
      <c r="N76" s="97"/>
      <c r="O76" s="58"/>
      <c r="P76" s="165"/>
      <c r="Q76" s="166"/>
      <c r="R76" s="207"/>
      <c r="S76" s="170"/>
      <c r="T76" s="165"/>
      <c r="U76" s="166"/>
      <c r="V76" s="207"/>
      <c r="W76" s="170"/>
      <c r="X76" s="165"/>
      <c r="Y76" s="166"/>
      <c r="Z76" s="207"/>
      <c r="AA76" s="170"/>
      <c r="AB76" s="165"/>
      <c r="AC76" s="166"/>
      <c r="AD76" s="207"/>
      <c r="AE76" s="170"/>
      <c r="AF76" s="165"/>
      <c r="AG76" s="166"/>
      <c r="AH76" s="207"/>
      <c r="AI76" s="170"/>
      <c r="AJ76" s="165"/>
      <c r="AK76" s="166"/>
      <c r="AL76" s="207"/>
      <c r="AM76" s="170"/>
      <c r="AN76" s="165"/>
      <c r="AO76" s="166"/>
      <c r="AP76" s="207">
        <v>383</v>
      </c>
      <c r="AQ76" s="170">
        <v>68</v>
      </c>
      <c r="AR76" s="165">
        <v>351</v>
      </c>
      <c r="AS76" s="166">
        <v>102</v>
      </c>
      <c r="AT76" s="207"/>
      <c r="AU76" s="170"/>
      <c r="AV76" s="190">
        <v>200</v>
      </c>
      <c r="AW76" s="166">
        <v>249</v>
      </c>
      <c r="AX76" s="208">
        <v>264</v>
      </c>
      <c r="AY76" s="170">
        <v>139</v>
      </c>
      <c r="AZ76" s="45">
        <v>182</v>
      </c>
      <c r="BA76" s="58">
        <v>253</v>
      </c>
      <c r="BB76" s="190"/>
      <c r="BC76" s="167"/>
      <c r="BD76" s="190"/>
      <c r="BE76" s="167"/>
      <c r="BF76" s="190"/>
      <c r="BG76" s="167"/>
      <c r="BH76" s="190"/>
      <c r="BI76" s="167"/>
      <c r="BJ76" s="190"/>
      <c r="BK76" s="167"/>
    </row>
    <row r="77" spans="1:63" ht="13" x14ac:dyDescent="0.25">
      <c r="A77" s="372">
        <v>1101</v>
      </c>
      <c r="B77" s="373" t="s">
        <v>214</v>
      </c>
      <c r="C77" s="360">
        <v>1227</v>
      </c>
      <c r="D77" s="54">
        <v>461</v>
      </c>
      <c r="E77" s="367">
        <v>0.39049103663289164</v>
      </c>
      <c r="F77" s="45">
        <v>390</v>
      </c>
      <c r="G77" s="58">
        <v>68</v>
      </c>
      <c r="H77" s="45">
        <v>388</v>
      </c>
      <c r="I77" s="57">
        <v>69</v>
      </c>
      <c r="J77" s="97"/>
      <c r="K77" s="58"/>
      <c r="L77" s="45"/>
      <c r="M77" s="57"/>
      <c r="N77" s="97"/>
      <c r="O77" s="58"/>
      <c r="P77" s="165"/>
      <c r="Q77" s="166"/>
      <c r="R77" s="207"/>
      <c r="S77" s="170"/>
      <c r="T77" s="165"/>
      <c r="U77" s="166"/>
      <c r="V77" s="207"/>
      <c r="W77" s="170"/>
      <c r="X77" s="165"/>
      <c r="Y77" s="166"/>
      <c r="Z77" s="207"/>
      <c r="AA77" s="170"/>
      <c r="AB77" s="165"/>
      <c r="AC77" s="166"/>
      <c r="AD77" s="207"/>
      <c r="AE77" s="170"/>
      <c r="AF77" s="165"/>
      <c r="AG77" s="166"/>
      <c r="AH77" s="207"/>
      <c r="AI77" s="170"/>
      <c r="AJ77" s="165"/>
      <c r="AK77" s="166"/>
      <c r="AL77" s="207"/>
      <c r="AM77" s="170"/>
      <c r="AN77" s="165"/>
      <c r="AO77" s="166"/>
      <c r="AP77" s="207">
        <v>365</v>
      </c>
      <c r="AQ77" s="170">
        <v>90</v>
      </c>
      <c r="AR77" s="165">
        <v>348</v>
      </c>
      <c r="AS77" s="166">
        <v>104</v>
      </c>
      <c r="AT77" s="207"/>
      <c r="AU77" s="170"/>
      <c r="AV77" s="190">
        <v>194</v>
      </c>
      <c r="AW77" s="166">
        <v>251</v>
      </c>
      <c r="AX77" s="208">
        <v>262</v>
      </c>
      <c r="AY77" s="170">
        <v>135</v>
      </c>
      <c r="AZ77" s="45">
        <v>162</v>
      </c>
      <c r="BA77" s="58">
        <v>271</v>
      </c>
      <c r="BB77" s="190"/>
      <c r="BC77" s="167"/>
      <c r="BD77" s="190"/>
      <c r="BE77" s="167"/>
      <c r="BF77" s="190"/>
      <c r="BG77" s="167"/>
      <c r="BH77" s="190"/>
      <c r="BI77" s="167"/>
      <c r="BJ77" s="190"/>
      <c r="BK77" s="167"/>
    </row>
    <row r="78" spans="1:63" ht="13" x14ac:dyDescent="0.25">
      <c r="A78" s="372">
        <v>1102</v>
      </c>
      <c r="B78" s="373" t="s">
        <v>215</v>
      </c>
      <c r="C78" s="360">
        <v>1429</v>
      </c>
      <c r="D78" s="54">
        <v>315</v>
      </c>
      <c r="E78" s="367">
        <v>0.23675154852030283</v>
      </c>
      <c r="F78" s="45">
        <v>285</v>
      </c>
      <c r="G78" s="58">
        <v>27</v>
      </c>
      <c r="H78" s="45">
        <v>290</v>
      </c>
      <c r="I78" s="57">
        <v>25</v>
      </c>
      <c r="J78" s="97"/>
      <c r="K78" s="58"/>
      <c r="L78" s="45"/>
      <c r="M78" s="57"/>
      <c r="N78" s="97"/>
      <c r="O78" s="58"/>
      <c r="P78" s="165"/>
      <c r="Q78" s="166"/>
      <c r="R78" s="207"/>
      <c r="S78" s="170"/>
      <c r="T78" s="165"/>
      <c r="U78" s="166"/>
      <c r="V78" s="207"/>
      <c r="W78" s="170"/>
      <c r="X78" s="165"/>
      <c r="Y78" s="166"/>
      <c r="Z78" s="207"/>
      <c r="AA78" s="170"/>
      <c r="AB78" s="165"/>
      <c r="AC78" s="166"/>
      <c r="AD78" s="207"/>
      <c r="AE78" s="170"/>
      <c r="AF78" s="165"/>
      <c r="AG78" s="166"/>
      <c r="AH78" s="207"/>
      <c r="AI78" s="170"/>
      <c r="AJ78" s="165"/>
      <c r="AK78" s="166"/>
      <c r="AL78" s="207"/>
      <c r="AM78" s="170"/>
      <c r="AN78" s="165"/>
      <c r="AO78" s="166"/>
      <c r="AP78" s="207">
        <v>241</v>
      </c>
      <c r="AQ78" s="170">
        <v>60</v>
      </c>
      <c r="AR78" s="165">
        <v>237</v>
      </c>
      <c r="AS78" s="166">
        <v>62</v>
      </c>
      <c r="AT78" s="207"/>
      <c r="AU78" s="170"/>
      <c r="AV78" s="190">
        <v>170</v>
      </c>
      <c r="AW78" s="166">
        <v>127</v>
      </c>
      <c r="AX78" s="208">
        <v>175</v>
      </c>
      <c r="AY78" s="170">
        <v>83</v>
      </c>
      <c r="AZ78" s="45">
        <v>136</v>
      </c>
      <c r="BA78" s="58">
        <v>152</v>
      </c>
      <c r="BB78" s="190"/>
      <c r="BC78" s="167"/>
      <c r="BD78" s="190"/>
      <c r="BE78" s="167"/>
      <c r="BF78" s="190"/>
      <c r="BG78" s="167"/>
      <c r="BH78" s="190"/>
      <c r="BI78" s="167"/>
      <c r="BJ78" s="190"/>
      <c r="BK78" s="167"/>
    </row>
    <row r="79" spans="1:63" ht="13" x14ac:dyDescent="0.25">
      <c r="A79" s="372">
        <v>1103</v>
      </c>
      <c r="B79" s="373" t="s">
        <v>216</v>
      </c>
      <c r="C79" s="360">
        <v>964</v>
      </c>
      <c r="D79" s="54">
        <v>216</v>
      </c>
      <c r="E79" s="367">
        <v>0.20038535645472061</v>
      </c>
      <c r="F79" s="45">
        <v>188</v>
      </c>
      <c r="G79" s="58">
        <v>26</v>
      </c>
      <c r="H79" s="45">
        <v>191</v>
      </c>
      <c r="I79" s="57">
        <v>23</v>
      </c>
      <c r="J79" s="97"/>
      <c r="K79" s="58"/>
      <c r="L79" s="45"/>
      <c r="M79" s="57"/>
      <c r="N79" s="97"/>
      <c r="O79" s="58"/>
      <c r="P79" s="165"/>
      <c r="Q79" s="166"/>
      <c r="R79" s="207"/>
      <c r="S79" s="170"/>
      <c r="T79" s="165"/>
      <c r="U79" s="166"/>
      <c r="V79" s="207"/>
      <c r="W79" s="170"/>
      <c r="X79" s="165"/>
      <c r="Y79" s="166"/>
      <c r="Z79" s="207"/>
      <c r="AA79" s="170"/>
      <c r="AB79" s="165"/>
      <c r="AC79" s="166"/>
      <c r="AD79" s="207"/>
      <c r="AE79" s="170"/>
      <c r="AF79" s="165"/>
      <c r="AG79" s="166"/>
      <c r="AH79" s="207"/>
      <c r="AI79" s="170"/>
      <c r="AJ79" s="165"/>
      <c r="AK79" s="166"/>
      <c r="AL79" s="207"/>
      <c r="AM79" s="170"/>
      <c r="AN79" s="165"/>
      <c r="AO79" s="166"/>
      <c r="AP79" s="207">
        <v>174</v>
      </c>
      <c r="AQ79" s="170">
        <v>27</v>
      </c>
      <c r="AR79" s="165">
        <v>161</v>
      </c>
      <c r="AS79" s="166">
        <v>38</v>
      </c>
      <c r="AT79" s="207"/>
      <c r="AU79" s="170"/>
      <c r="AV79" s="190">
        <v>93</v>
      </c>
      <c r="AW79" s="166">
        <v>111</v>
      </c>
      <c r="AX79" s="208">
        <v>120</v>
      </c>
      <c r="AY79" s="170">
        <v>62</v>
      </c>
      <c r="AZ79" s="45">
        <v>102</v>
      </c>
      <c r="BA79" s="58">
        <v>95</v>
      </c>
      <c r="BB79" s="190"/>
      <c r="BC79" s="167"/>
      <c r="BD79" s="190"/>
      <c r="BE79" s="167"/>
      <c r="BF79" s="190"/>
      <c r="BG79" s="167"/>
      <c r="BH79" s="190"/>
      <c r="BI79" s="167"/>
      <c r="BJ79" s="190"/>
      <c r="BK79" s="167"/>
    </row>
    <row r="80" spans="1:63" ht="13" x14ac:dyDescent="0.25">
      <c r="A80" s="372">
        <v>1104</v>
      </c>
      <c r="B80" s="373" t="s">
        <v>772</v>
      </c>
      <c r="C80" s="360">
        <v>1121</v>
      </c>
      <c r="D80" s="54">
        <v>333</v>
      </c>
      <c r="E80" s="367">
        <v>0.29225352112676056</v>
      </c>
      <c r="F80" s="45">
        <v>309</v>
      </c>
      <c r="G80" s="58">
        <v>24</v>
      </c>
      <c r="H80" s="45">
        <v>308</v>
      </c>
      <c r="I80" s="57">
        <v>25</v>
      </c>
      <c r="J80" s="97"/>
      <c r="K80" s="58"/>
      <c r="L80" s="45"/>
      <c r="M80" s="57"/>
      <c r="N80" s="97"/>
      <c r="O80" s="58"/>
      <c r="P80" s="165"/>
      <c r="Q80" s="166"/>
      <c r="R80" s="207"/>
      <c r="S80" s="170"/>
      <c r="T80" s="165"/>
      <c r="U80" s="166"/>
      <c r="V80" s="207"/>
      <c r="W80" s="170"/>
      <c r="X80" s="165"/>
      <c r="Y80" s="166"/>
      <c r="Z80" s="207"/>
      <c r="AA80" s="170"/>
      <c r="AB80" s="165"/>
      <c r="AC80" s="166"/>
      <c r="AD80" s="207"/>
      <c r="AE80" s="170"/>
      <c r="AF80" s="165"/>
      <c r="AG80" s="166"/>
      <c r="AH80" s="207"/>
      <c r="AI80" s="170"/>
      <c r="AJ80" s="165"/>
      <c r="AK80" s="166"/>
      <c r="AL80" s="207"/>
      <c r="AM80" s="170"/>
      <c r="AN80" s="165"/>
      <c r="AO80" s="166"/>
      <c r="AP80" s="207">
        <v>266</v>
      </c>
      <c r="AQ80" s="170">
        <v>59</v>
      </c>
      <c r="AR80" s="165">
        <v>250</v>
      </c>
      <c r="AS80" s="166">
        <v>74</v>
      </c>
      <c r="AT80" s="207"/>
      <c r="AU80" s="170"/>
      <c r="AV80" s="190">
        <v>124</v>
      </c>
      <c r="AW80" s="166">
        <v>201</v>
      </c>
      <c r="AX80" s="208">
        <v>198</v>
      </c>
      <c r="AY80" s="170">
        <v>91</v>
      </c>
      <c r="AZ80" s="45">
        <v>150</v>
      </c>
      <c r="BA80" s="58">
        <v>167</v>
      </c>
      <c r="BB80" s="190"/>
      <c r="BC80" s="167"/>
      <c r="BD80" s="190"/>
      <c r="BE80" s="167"/>
      <c r="BF80" s="190"/>
      <c r="BG80" s="167"/>
      <c r="BH80" s="190"/>
      <c r="BI80" s="167"/>
      <c r="BJ80" s="190"/>
      <c r="BK80" s="167"/>
    </row>
    <row r="81" spans="1:63" ht="13" x14ac:dyDescent="0.25">
      <c r="A81" s="372">
        <v>1201</v>
      </c>
      <c r="B81" s="373" t="s">
        <v>217</v>
      </c>
      <c r="C81" s="360">
        <v>868</v>
      </c>
      <c r="D81" s="54">
        <v>191</v>
      </c>
      <c r="E81" s="367">
        <v>0.21428571428571427</v>
      </c>
      <c r="F81" s="45">
        <v>162</v>
      </c>
      <c r="G81" s="58">
        <v>28</v>
      </c>
      <c r="H81" s="45">
        <v>170</v>
      </c>
      <c r="I81" s="57">
        <v>20</v>
      </c>
      <c r="J81" s="97"/>
      <c r="K81" s="58"/>
      <c r="L81" s="45"/>
      <c r="M81" s="57"/>
      <c r="N81" s="97"/>
      <c r="O81" s="58"/>
      <c r="P81" s="165"/>
      <c r="Q81" s="166"/>
      <c r="R81" s="207"/>
      <c r="S81" s="170"/>
      <c r="T81" s="165"/>
      <c r="U81" s="166"/>
      <c r="V81" s="207"/>
      <c r="W81" s="170"/>
      <c r="X81" s="165"/>
      <c r="Y81" s="166"/>
      <c r="Z81" s="207"/>
      <c r="AA81" s="170"/>
      <c r="AB81" s="165"/>
      <c r="AC81" s="166"/>
      <c r="AD81" s="207"/>
      <c r="AE81" s="170"/>
      <c r="AF81" s="165"/>
      <c r="AG81" s="166"/>
      <c r="AH81" s="207"/>
      <c r="AI81" s="170"/>
      <c r="AJ81" s="165"/>
      <c r="AK81" s="166"/>
      <c r="AL81" s="207"/>
      <c r="AM81" s="170"/>
      <c r="AN81" s="165"/>
      <c r="AO81" s="166"/>
      <c r="AP81" s="207">
        <v>151</v>
      </c>
      <c r="AQ81" s="170">
        <v>34</v>
      </c>
      <c r="AR81" s="165">
        <v>138</v>
      </c>
      <c r="AS81" s="166">
        <v>42</v>
      </c>
      <c r="AT81" s="207"/>
      <c r="AU81" s="170"/>
      <c r="AV81" s="190">
        <v>90</v>
      </c>
      <c r="AW81" s="166">
        <v>86</v>
      </c>
      <c r="AX81" s="208">
        <v>119</v>
      </c>
      <c r="AY81" s="170">
        <v>47</v>
      </c>
      <c r="AZ81" s="45">
        <v>67</v>
      </c>
      <c r="BA81" s="58">
        <v>102</v>
      </c>
      <c r="BB81" s="190"/>
      <c r="BC81" s="167"/>
      <c r="BD81" s="190"/>
      <c r="BE81" s="167"/>
      <c r="BF81" s="190"/>
      <c r="BG81" s="167"/>
      <c r="BH81" s="190"/>
      <c r="BI81" s="167"/>
      <c r="BJ81" s="190"/>
      <c r="BK81" s="167"/>
    </row>
    <row r="82" spans="1:63" ht="13" x14ac:dyDescent="0.25">
      <c r="A82" s="372">
        <v>1202</v>
      </c>
      <c r="B82" s="373" t="s">
        <v>218</v>
      </c>
      <c r="C82" s="360">
        <v>550</v>
      </c>
      <c r="D82" s="54">
        <v>44</v>
      </c>
      <c r="E82" s="367">
        <v>4.6357615894039736E-2</v>
      </c>
      <c r="F82" s="45">
        <v>39</v>
      </c>
      <c r="G82" s="58">
        <v>5</v>
      </c>
      <c r="H82" s="45">
        <v>39</v>
      </c>
      <c r="I82" s="57">
        <v>3</v>
      </c>
      <c r="J82" s="97"/>
      <c r="K82" s="58"/>
      <c r="L82" s="45"/>
      <c r="M82" s="57"/>
      <c r="N82" s="97"/>
      <c r="O82" s="58"/>
      <c r="P82" s="165"/>
      <c r="Q82" s="166"/>
      <c r="R82" s="207"/>
      <c r="S82" s="170"/>
      <c r="T82" s="165"/>
      <c r="U82" s="166"/>
      <c r="V82" s="207"/>
      <c r="W82" s="170"/>
      <c r="X82" s="165"/>
      <c r="Y82" s="166"/>
      <c r="Z82" s="207"/>
      <c r="AA82" s="170"/>
      <c r="AB82" s="165"/>
      <c r="AC82" s="166"/>
      <c r="AD82" s="207"/>
      <c r="AE82" s="170"/>
      <c r="AF82" s="165"/>
      <c r="AG82" s="166"/>
      <c r="AH82" s="207"/>
      <c r="AI82" s="170"/>
      <c r="AJ82" s="165"/>
      <c r="AK82" s="166"/>
      <c r="AL82" s="207"/>
      <c r="AM82" s="170"/>
      <c r="AN82" s="165"/>
      <c r="AO82" s="166"/>
      <c r="AP82" s="207">
        <v>33</v>
      </c>
      <c r="AQ82" s="170">
        <v>5</v>
      </c>
      <c r="AR82" s="165">
        <v>28</v>
      </c>
      <c r="AS82" s="166">
        <v>9</v>
      </c>
      <c r="AT82" s="207"/>
      <c r="AU82" s="170"/>
      <c r="AV82" s="190">
        <v>23</v>
      </c>
      <c r="AW82" s="166">
        <v>13</v>
      </c>
      <c r="AX82" s="208">
        <v>22</v>
      </c>
      <c r="AY82" s="170">
        <v>11</v>
      </c>
      <c r="AZ82" s="45">
        <v>15</v>
      </c>
      <c r="BA82" s="58">
        <v>17</v>
      </c>
      <c r="BB82" s="190"/>
      <c r="BC82" s="167"/>
      <c r="BD82" s="190"/>
      <c r="BE82" s="167"/>
      <c r="BF82" s="190"/>
      <c r="BG82" s="167"/>
      <c r="BH82" s="190"/>
      <c r="BI82" s="167"/>
      <c r="BJ82" s="190"/>
      <c r="BK82" s="167"/>
    </row>
    <row r="83" spans="1:63" ht="13" x14ac:dyDescent="0.25">
      <c r="A83" s="372">
        <v>1203</v>
      </c>
      <c r="B83" s="373" t="s">
        <v>219</v>
      </c>
      <c r="C83" s="360">
        <v>1263</v>
      </c>
      <c r="D83" s="54">
        <v>309</v>
      </c>
      <c r="E83" s="367">
        <v>0.2686108979278588</v>
      </c>
      <c r="F83" s="45">
        <v>282</v>
      </c>
      <c r="G83" s="58">
        <v>26</v>
      </c>
      <c r="H83" s="45">
        <v>267</v>
      </c>
      <c r="I83" s="57">
        <v>40</v>
      </c>
      <c r="J83" s="97"/>
      <c r="K83" s="58"/>
      <c r="L83" s="45"/>
      <c r="M83" s="57"/>
      <c r="N83" s="97"/>
      <c r="O83" s="58"/>
      <c r="P83" s="165"/>
      <c r="Q83" s="166"/>
      <c r="R83" s="207"/>
      <c r="S83" s="170"/>
      <c r="T83" s="165"/>
      <c r="U83" s="166"/>
      <c r="V83" s="207"/>
      <c r="W83" s="170"/>
      <c r="X83" s="165"/>
      <c r="Y83" s="166"/>
      <c r="Z83" s="207"/>
      <c r="AA83" s="170"/>
      <c r="AB83" s="165"/>
      <c r="AC83" s="166"/>
      <c r="AD83" s="207"/>
      <c r="AE83" s="170"/>
      <c r="AF83" s="165"/>
      <c r="AG83" s="166"/>
      <c r="AH83" s="207"/>
      <c r="AI83" s="170"/>
      <c r="AJ83" s="165"/>
      <c r="AK83" s="166"/>
      <c r="AL83" s="207"/>
      <c r="AM83" s="170"/>
      <c r="AN83" s="165"/>
      <c r="AO83" s="166"/>
      <c r="AP83" s="207">
        <v>244</v>
      </c>
      <c r="AQ83" s="170">
        <v>51</v>
      </c>
      <c r="AR83" s="165">
        <v>247</v>
      </c>
      <c r="AS83" s="166">
        <v>41</v>
      </c>
      <c r="AT83" s="207"/>
      <c r="AU83" s="170"/>
      <c r="AV83" s="190">
        <v>163</v>
      </c>
      <c r="AW83" s="166">
        <v>125</v>
      </c>
      <c r="AX83" s="208">
        <v>174</v>
      </c>
      <c r="AY83" s="170">
        <v>74</v>
      </c>
      <c r="AZ83" s="45">
        <v>144</v>
      </c>
      <c r="BA83" s="58">
        <v>126</v>
      </c>
      <c r="BB83" s="190"/>
      <c r="BC83" s="167"/>
      <c r="BD83" s="190"/>
      <c r="BE83" s="167"/>
      <c r="BF83" s="190"/>
      <c r="BG83" s="167"/>
      <c r="BH83" s="190"/>
      <c r="BI83" s="167"/>
      <c r="BJ83" s="190"/>
      <c r="BK83" s="167"/>
    </row>
    <row r="84" spans="1:63" ht="13" x14ac:dyDescent="0.25">
      <c r="A84" s="372">
        <v>1204</v>
      </c>
      <c r="B84" s="373" t="s">
        <v>739</v>
      </c>
      <c r="C84" s="360">
        <v>1521</v>
      </c>
      <c r="D84" s="54">
        <v>386</v>
      </c>
      <c r="E84" s="367">
        <v>0.2734375</v>
      </c>
      <c r="F84" s="45">
        <v>324</v>
      </c>
      <c r="G84" s="58">
        <v>56</v>
      </c>
      <c r="H84" s="45">
        <v>310</v>
      </c>
      <c r="I84" s="57">
        <v>69</v>
      </c>
      <c r="J84" s="97"/>
      <c r="K84" s="58"/>
      <c r="L84" s="45"/>
      <c r="M84" s="57"/>
      <c r="N84" s="97"/>
      <c r="O84" s="58"/>
      <c r="P84" s="165"/>
      <c r="Q84" s="166"/>
      <c r="R84" s="207"/>
      <c r="S84" s="170"/>
      <c r="T84" s="165"/>
      <c r="U84" s="166"/>
      <c r="V84" s="207"/>
      <c r="W84" s="170"/>
      <c r="X84" s="165"/>
      <c r="Y84" s="166"/>
      <c r="Z84" s="207"/>
      <c r="AA84" s="170"/>
      <c r="AB84" s="165"/>
      <c r="AC84" s="166"/>
      <c r="AD84" s="207"/>
      <c r="AE84" s="170"/>
      <c r="AF84" s="165"/>
      <c r="AG84" s="166"/>
      <c r="AH84" s="207"/>
      <c r="AI84" s="170"/>
      <c r="AJ84" s="165"/>
      <c r="AK84" s="166"/>
      <c r="AL84" s="207"/>
      <c r="AM84" s="170"/>
      <c r="AN84" s="165"/>
      <c r="AO84" s="166"/>
      <c r="AP84" s="207">
        <v>313</v>
      </c>
      <c r="AQ84" s="170">
        <v>59</v>
      </c>
      <c r="AR84" s="165">
        <v>301</v>
      </c>
      <c r="AS84" s="166">
        <v>74</v>
      </c>
      <c r="AT84" s="207"/>
      <c r="AU84" s="170"/>
      <c r="AV84" s="190">
        <v>199</v>
      </c>
      <c r="AW84" s="166">
        <v>171</v>
      </c>
      <c r="AX84" s="208">
        <v>243</v>
      </c>
      <c r="AY84" s="170">
        <v>88</v>
      </c>
      <c r="AZ84" s="45">
        <v>182</v>
      </c>
      <c r="BA84" s="58">
        <v>172</v>
      </c>
      <c r="BB84" s="190"/>
      <c r="BC84" s="167"/>
      <c r="BD84" s="190"/>
      <c r="BE84" s="167"/>
      <c r="BF84" s="190"/>
      <c r="BG84" s="167"/>
      <c r="BH84" s="190"/>
      <c r="BI84" s="167"/>
      <c r="BJ84" s="190"/>
      <c r="BK84" s="167"/>
    </row>
    <row r="85" spans="1:63" ht="13" x14ac:dyDescent="0.25">
      <c r="A85" s="372">
        <v>1205</v>
      </c>
      <c r="B85" s="373" t="s">
        <v>740</v>
      </c>
      <c r="C85" s="360">
        <v>1250</v>
      </c>
      <c r="D85" s="54">
        <v>265</v>
      </c>
      <c r="E85" s="367">
        <v>0.19486404833836857</v>
      </c>
      <c r="F85" s="45">
        <v>227</v>
      </c>
      <c r="G85" s="58">
        <v>35</v>
      </c>
      <c r="H85" s="45">
        <v>222</v>
      </c>
      <c r="I85" s="57">
        <v>38</v>
      </c>
      <c r="J85" s="97"/>
      <c r="K85" s="58"/>
      <c r="L85" s="45"/>
      <c r="M85" s="57"/>
      <c r="N85" s="97"/>
      <c r="O85" s="58"/>
      <c r="P85" s="165"/>
      <c r="Q85" s="166"/>
      <c r="R85" s="207"/>
      <c r="S85" s="170"/>
      <c r="T85" s="165"/>
      <c r="U85" s="166"/>
      <c r="V85" s="207"/>
      <c r="W85" s="170"/>
      <c r="X85" s="165"/>
      <c r="Y85" s="166"/>
      <c r="Z85" s="207"/>
      <c r="AA85" s="170"/>
      <c r="AB85" s="165"/>
      <c r="AC85" s="166"/>
      <c r="AD85" s="207"/>
      <c r="AE85" s="170"/>
      <c r="AF85" s="165"/>
      <c r="AG85" s="166"/>
      <c r="AH85" s="207"/>
      <c r="AI85" s="170"/>
      <c r="AJ85" s="165"/>
      <c r="AK85" s="166"/>
      <c r="AL85" s="207"/>
      <c r="AM85" s="170"/>
      <c r="AN85" s="165"/>
      <c r="AO85" s="166"/>
      <c r="AP85" s="207">
        <v>191</v>
      </c>
      <c r="AQ85" s="170">
        <v>52</v>
      </c>
      <c r="AR85" s="165">
        <v>184</v>
      </c>
      <c r="AS85" s="166">
        <v>60</v>
      </c>
      <c r="AT85" s="207"/>
      <c r="AU85" s="170"/>
      <c r="AV85" s="190">
        <v>149</v>
      </c>
      <c r="AW85" s="166">
        <v>100</v>
      </c>
      <c r="AX85" s="208">
        <v>147</v>
      </c>
      <c r="AY85" s="170">
        <v>68</v>
      </c>
      <c r="AZ85" s="45">
        <v>110</v>
      </c>
      <c r="BA85" s="58">
        <v>122</v>
      </c>
      <c r="BB85" s="190"/>
      <c r="BC85" s="167"/>
      <c r="BD85" s="190"/>
      <c r="BE85" s="167"/>
      <c r="BF85" s="190"/>
      <c r="BG85" s="167"/>
      <c r="BH85" s="190"/>
      <c r="BI85" s="167"/>
      <c r="BJ85" s="190"/>
      <c r="BK85" s="167"/>
    </row>
    <row r="86" spans="1:63" ht="13" x14ac:dyDescent="0.25">
      <c r="A86" s="372">
        <v>1301</v>
      </c>
      <c r="B86" s="373" t="s">
        <v>220</v>
      </c>
      <c r="C86" s="360">
        <v>1237</v>
      </c>
      <c r="D86" s="54">
        <v>229</v>
      </c>
      <c r="E86" s="367">
        <v>0.20614389652384801</v>
      </c>
      <c r="F86" s="45">
        <v>194</v>
      </c>
      <c r="G86" s="58">
        <v>25</v>
      </c>
      <c r="H86" s="45">
        <v>193</v>
      </c>
      <c r="I86" s="57">
        <v>34</v>
      </c>
      <c r="J86" s="97"/>
      <c r="K86" s="58"/>
      <c r="L86" s="45"/>
      <c r="M86" s="57"/>
      <c r="N86" s="97"/>
      <c r="O86" s="58"/>
      <c r="P86" s="165"/>
      <c r="Q86" s="166"/>
      <c r="R86" s="207"/>
      <c r="S86" s="170"/>
      <c r="T86" s="165"/>
      <c r="U86" s="166"/>
      <c r="V86" s="207"/>
      <c r="W86" s="170"/>
      <c r="X86" s="165"/>
      <c r="Y86" s="166"/>
      <c r="Z86" s="207"/>
      <c r="AA86" s="170"/>
      <c r="AB86" s="165"/>
      <c r="AC86" s="166"/>
      <c r="AD86" s="207"/>
      <c r="AE86" s="170"/>
      <c r="AF86" s="165"/>
      <c r="AG86" s="166"/>
      <c r="AH86" s="207"/>
      <c r="AI86" s="170"/>
      <c r="AJ86" s="165"/>
      <c r="AK86" s="166"/>
      <c r="AL86" s="207"/>
      <c r="AM86" s="170"/>
      <c r="AN86" s="165"/>
      <c r="AO86" s="166"/>
      <c r="AP86" s="207">
        <v>147</v>
      </c>
      <c r="AQ86" s="170">
        <v>76</v>
      </c>
      <c r="AR86" s="165">
        <v>156</v>
      </c>
      <c r="AS86" s="166">
        <v>69</v>
      </c>
      <c r="AT86" s="207"/>
      <c r="AU86" s="170"/>
      <c r="AV86" s="190">
        <v>142</v>
      </c>
      <c r="AW86" s="166">
        <v>83</v>
      </c>
      <c r="AX86" s="208">
        <v>130</v>
      </c>
      <c r="AY86" s="170">
        <v>88</v>
      </c>
      <c r="AZ86" s="45">
        <v>93</v>
      </c>
      <c r="BA86" s="58">
        <v>127</v>
      </c>
      <c r="BB86" s="190"/>
      <c r="BC86" s="167"/>
      <c r="BD86" s="190"/>
      <c r="BE86" s="167"/>
      <c r="BF86" s="190"/>
      <c r="BG86" s="167"/>
      <c r="BH86" s="190"/>
      <c r="BI86" s="167"/>
      <c r="BJ86" s="190"/>
      <c r="BK86" s="167"/>
    </row>
    <row r="87" spans="1:63" ht="13" x14ac:dyDescent="0.25">
      <c r="A87" s="372">
        <v>1302</v>
      </c>
      <c r="B87" s="373" t="s">
        <v>221</v>
      </c>
      <c r="C87" s="360">
        <v>858</v>
      </c>
      <c r="D87" s="54">
        <v>407</v>
      </c>
      <c r="E87" s="367">
        <v>0.51216685979142529</v>
      </c>
      <c r="F87" s="45">
        <v>350</v>
      </c>
      <c r="G87" s="58">
        <v>52</v>
      </c>
      <c r="H87" s="45">
        <v>321</v>
      </c>
      <c r="I87" s="57">
        <v>81</v>
      </c>
      <c r="J87" s="97"/>
      <c r="K87" s="58"/>
      <c r="L87" s="45"/>
      <c r="M87" s="57"/>
      <c r="N87" s="97"/>
      <c r="O87" s="58"/>
      <c r="P87" s="165"/>
      <c r="Q87" s="166"/>
      <c r="R87" s="207"/>
      <c r="S87" s="170"/>
      <c r="T87" s="165"/>
      <c r="U87" s="166"/>
      <c r="V87" s="207"/>
      <c r="W87" s="170"/>
      <c r="X87" s="165"/>
      <c r="Y87" s="166"/>
      <c r="Z87" s="207"/>
      <c r="AA87" s="170"/>
      <c r="AB87" s="165"/>
      <c r="AC87" s="166"/>
      <c r="AD87" s="207"/>
      <c r="AE87" s="170"/>
      <c r="AF87" s="165"/>
      <c r="AG87" s="166"/>
      <c r="AH87" s="207"/>
      <c r="AI87" s="170"/>
      <c r="AJ87" s="165"/>
      <c r="AK87" s="166"/>
      <c r="AL87" s="207"/>
      <c r="AM87" s="170"/>
      <c r="AN87" s="165"/>
      <c r="AO87" s="166"/>
      <c r="AP87" s="207">
        <v>319</v>
      </c>
      <c r="AQ87" s="170">
        <v>78</v>
      </c>
      <c r="AR87" s="165">
        <v>292</v>
      </c>
      <c r="AS87" s="166">
        <v>103</v>
      </c>
      <c r="AT87" s="207"/>
      <c r="AU87" s="170"/>
      <c r="AV87" s="190">
        <v>184</v>
      </c>
      <c r="AW87" s="166">
        <v>217</v>
      </c>
      <c r="AX87" s="208">
        <v>226</v>
      </c>
      <c r="AY87" s="170">
        <v>124</v>
      </c>
      <c r="AZ87" s="45">
        <v>119</v>
      </c>
      <c r="BA87" s="58">
        <v>267</v>
      </c>
      <c r="BB87" s="190"/>
      <c r="BC87" s="167"/>
      <c r="BD87" s="190"/>
      <c r="BE87" s="167"/>
      <c r="BF87" s="190"/>
      <c r="BG87" s="167"/>
      <c r="BH87" s="190"/>
      <c r="BI87" s="167"/>
      <c r="BJ87" s="190"/>
      <c r="BK87" s="167"/>
    </row>
    <row r="88" spans="1:63" ht="13" x14ac:dyDescent="0.25">
      <c r="A88" s="372">
        <v>1303</v>
      </c>
      <c r="B88" s="373" t="s">
        <v>222</v>
      </c>
      <c r="C88" s="360">
        <v>1298</v>
      </c>
      <c r="D88" s="54">
        <v>244</v>
      </c>
      <c r="E88" s="367">
        <v>0.21521906225980014</v>
      </c>
      <c r="F88" s="45">
        <v>199</v>
      </c>
      <c r="G88" s="58">
        <v>38</v>
      </c>
      <c r="H88" s="45">
        <v>208</v>
      </c>
      <c r="I88" s="57">
        <v>30</v>
      </c>
      <c r="J88" s="97"/>
      <c r="K88" s="58"/>
      <c r="L88" s="45"/>
      <c r="M88" s="57"/>
      <c r="N88" s="97"/>
      <c r="O88" s="58"/>
      <c r="P88" s="165"/>
      <c r="Q88" s="166"/>
      <c r="R88" s="207"/>
      <c r="S88" s="170"/>
      <c r="T88" s="165"/>
      <c r="U88" s="166"/>
      <c r="V88" s="207"/>
      <c r="W88" s="170"/>
      <c r="X88" s="165"/>
      <c r="Y88" s="166"/>
      <c r="Z88" s="207"/>
      <c r="AA88" s="170"/>
      <c r="AB88" s="165"/>
      <c r="AC88" s="166"/>
      <c r="AD88" s="207"/>
      <c r="AE88" s="170"/>
      <c r="AF88" s="165"/>
      <c r="AG88" s="166"/>
      <c r="AH88" s="207"/>
      <c r="AI88" s="170"/>
      <c r="AJ88" s="165"/>
      <c r="AK88" s="166"/>
      <c r="AL88" s="207"/>
      <c r="AM88" s="170"/>
      <c r="AN88" s="165"/>
      <c r="AO88" s="166"/>
      <c r="AP88" s="207">
        <v>160</v>
      </c>
      <c r="AQ88" s="170">
        <v>78</v>
      </c>
      <c r="AR88" s="165">
        <v>147</v>
      </c>
      <c r="AS88" s="166">
        <v>85</v>
      </c>
      <c r="AT88" s="207"/>
      <c r="AU88" s="170"/>
      <c r="AV88" s="190">
        <v>147</v>
      </c>
      <c r="AW88" s="166">
        <v>95</v>
      </c>
      <c r="AX88" s="208">
        <v>133</v>
      </c>
      <c r="AY88" s="170">
        <v>89</v>
      </c>
      <c r="AZ88" s="45">
        <v>102</v>
      </c>
      <c r="BA88" s="58">
        <v>130</v>
      </c>
      <c r="BB88" s="190"/>
      <c r="BC88" s="167"/>
      <c r="BD88" s="190"/>
      <c r="BE88" s="167"/>
      <c r="BF88" s="190"/>
      <c r="BG88" s="167"/>
      <c r="BH88" s="190"/>
      <c r="BI88" s="167"/>
      <c r="BJ88" s="190"/>
      <c r="BK88" s="167"/>
    </row>
    <row r="89" spans="1:63" ht="13" x14ac:dyDescent="0.25">
      <c r="A89" s="372">
        <v>1304</v>
      </c>
      <c r="B89" s="373" t="s">
        <v>223</v>
      </c>
      <c r="C89" s="360">
        <v>1230</v>
      </c>
      <c r="D89" s="54">
        <v>353</v>
      </c>
      <c r="E89" s="367">
        <v>0.31168831168831168</v>
      </c>
      <c r="F89" s="45">
        <v>304</v>
      </c>
      <c r="G89" s="58">
        <v>44</v>
      </c>
      <c r="H89" s="45">
        <v>284</v>
      </c>
      <c r="I89" s="57">
        <v>63</v>
      </c>
      <c r="J89" s="97"/>
      <c r="K89" s="58"/>
      <c r="L89" s="45"/>
      <c r="M89" s="57"/>
      <c r="N89" s="97"/>
      <c r="O89" s="58"/>
      <c r="P89" s="165"/>
      <c r="Q89" s="166"/>
      <c r="R89" s="207"/>
      <c r="S89" s="170"/>
      <c r="T89" s="165"/>
      <c r="U89" s="166"/>
      <c r="V89" s="207"/>
      <c r="W89" s="170"/>
      <c r="X89" s="165"/>
      <c r="Y89" s="166"/>
      <c r="Z89" s="207"/>
      <c r="AA89" s="170"/>
      <c r="AB89" s="165"/>
      <c r="AC89" s="166"/>
      <c r="AD89" s="207"/>
      <c r="AE89" s="170"/>
      <c r="AF89" s="165"/>
      <c r="AG89" s="166"/>
      <c r="AH89" s="207"/>
      <c r="AI89" s="170"/>
      <c r="AJ89" s="165"/>
      <c r="AK89" s="166"/>
      <c r="AL89" s="207"/>
      <c r="AM89" s="170"/>
      <c r="AN89" s="165"/>
      <c r="AO89" s="166"/>
      <c r="AP89" s="207">
        <v>235</v>
      </c>
      <c r="AQ89" s="170">
        <v>111</v>
      </c>
      <c r="AR89" s="165">
        <v>235</v>
      </c>
      <c r="AS89" s="166">
        <v>110</v>
      </c>
      <c r="AT89" s="207"/>
      <c r="AU89" s="170"/>
      <c r="AV89" s="190">
        <v>169</v>
      </c>
      <c r="AW89" s="166">
        <v>175</v>
      </c>
      <c r="AX89" s="208">
        <v>197</v>
      </c>
      <c r="AY89" s="170">
        <v>117</v>
      </c>
      <c r="AZ89" s="45">
        <v>121</v>
      </c>
      <c r="BA89" s="58">
        <v>214</v>
      </c>
      <c r="BB89" s="190"/>
      <c r="BC89" s="167"/>
      <c r="BD89" s="190"/>
      <c r="BE89" s="167"/>
      <c r="BF89" s="190"/>
      <c r="BG89" s="167"/>
      <c r="BH89" s="190"/>
      <c r="BI89" s="167"/>
      <c r="BJ89" s="190"/>
      <c r="BK89" s="167"/>
    </row>
    <row r="90" spans="1:63" ht="13" x14ac:dyDescent="0.25">
      <c r="A90" s="372">
        <v>1305</v>
      </c>
      <c r="B90" s="373" t="s">
        <v>224</v>
      </c>
      <c r="C90" s="360">
        <v>1344</v>
      </c>
      <c r="D90" s="54">
        <v>735</v>
      </c>
      <c r="E90" s="367">
        <v>0.58139534883720934</v>
      </c>
      <c r="F90" s="45">
        <v>638</v>
      </c>
      <c r="G90" s="58">
        <v>92</v>
      </c>
      <c r="H90" s="45">
        <v>560</v>
      </c>
      <c r="I90" s="57">
        <v>161</v>
      </c>
      <c r="J90" s="97"/>
      <c r="K90" s="58"/>
      <c r="L90" s="45"/>
      <c r="M90" s="57"/>
      <c r="N90" s="97"/>
      <c r="O90" s="58"/>
      <c r="P90" s="165"/>
      <c r="Q90" s="166"/>
      <c r="R90" s="207"/>
      <c r="S90" s="170"/>
      <c r="T90" s="165"/>
      <c r="U90" s="166"/>
      <c r="V90" s="207"/>
      <c r="W90" s="170"/>
      <c r="X90" s="165"/>
      <c r="Y90" s="166"/>
      <c r="Z90" s="207"/>
      <c r="AA90" s="170"/>
      <c r="AB90" s="165"/>
      <c r="AC90" s="166"/>
      <c r="AD90" s="207"/>
      <c r="AE90" s="170"/>
      <c r="AF90" s="165"/>
      <c r="AG90" s="166"/>
      <c r="AH90" s="207"/>
      <c r="AI90" s="170"/>
      <c r="AJ90" s="165"/>
      <c r="AK90" s="166"/>
      <c r="AL90" s="207"/>
      <c r="AM90" s="170"/>
      <c r="AN90" s="165"/>
      <c r="AO90" s="166"/>
      <c r="AP90" s="207">
        <v>583</v>
      </c>
      <c r="AQ90" s="170">
        <v>134</v>
      </c>
      <c r="AR90" s="165">
        <v>520</v>
      </c>
      <c r="AS90" s="166">
        <v>193</v>
      </c>
      <c r="AT90" s="207"/>
      <c r="AU90" s="170"/>
      <c r="AV90" s="190">
        <v>413</v>
      </c>
      <c r="AW90" s="166">
        <v>308</v>
      </c>
      <c r="AX90" s="208">
        <v>441</v>
      </c>
      <c r="AY90" s="170">
        <v>211</v>
      </c>
      <c r="AZ90" s="45">
        <v>227</v>
      </c>
      <c r="BA90" s="58">
        <v>477</v>
      </c>
      <c r="BB90" s="190"/>
      <c r="BC90" s="167"/>
      <c r="BD90" s="190"/>
      <c r="BE90" s="167"/>
      <c r="BF90" s="190"/>
      <c r="BG90" s="167"/>
      <c r="BH90" s="190"/>
      <c r="BI90" s="167"/>
      <c r="BJ90" s="190"/>
      <c r="BK90" s="167"/>
    </row>
    <row r="91" spans="1:63" ht="13" x14ac:dyDescent="0.25">
      <c r="A91" s="372">
        <v>1306</v>
      </c>
      <c r="B91" s="373" t="s">
        <v>225</v>
      </c>
      <c r="C91" s="360">
        <v>966</v>
      </c>
      <c r="D91" s="54">
        <v>519</v>
      </c>
      <c r="E91" s="367">
        <v>0.56980351602895551</v>
      </c>
      <c r="F91" s="45">
        <v>462</v>
      </c>
      <c r="G91" s="58">
        <v>54</v>
      </c>
      <c r="H91" s="45">
        <v>419</v>
      </c>
      <c r="I91" s="57">
        <v>96</v>
      </c>
      <c r="J91" s="97"/>
      <c r="K91" s="58"/>
      <c r="L91" s="45"/>
      <c r="M91" s="57"/>
      <c r="N91" s="97"/>
      <c r="O91" s="58"/>
      <c r="P91" s="165"/>
      <c r="Q91" s="166"/>
      <c r="R91" s="207"/>
      <c r="S91" s="170"/>
      <c r="T91" s="165"/>
      <c r="U91" s="166"/>
      <c r="V91" s="207"/>
      <c r="W91" s="170"/>
      <c r="X91" s="165"/>
      <c r="Y91" s="166"/>
      <c r="Z91" s="207"/>
      <c r="AA91" s="170"/>
      <c r="AB91" s="165"/>
      <c r="AC91" s="166"/>
      <c r="AD91" s="207"/>
      <c r="AE91" s="170"/>
      <c r="AF91" s="165"/>
      <c r="AG91" s="166"/>
      <c r="AH91" s="207"/>
      <c r="AI91" s="170"/>
      <c r="AJ91" s="165"/>
      <c r="AK91" s="166"/>
      <c r="AL91" s="207"/>
      <c r="AM91" s="170"/>
      <c r="AN91" s="165"/>
      <c r="AO91" s="166"/>
      <c r="AP91" s="207">
        <v>393</v>
      </c>
      <c r="AQ91" s="170">
        <v>120</v>
      </c>
      <c r="AR91" s="165">
        <v>379</v>
      </c>
      <c r="AS91" s="166">
        <v>134</v>
      </c>
      <c r="AT91" s="207"/>
      <c r="AU91" s="170"/>
      <c r="AV91" s="190">
        <v>268</v>
      </c>
      <c r="AW91" s="166">
        <v>243</v>
      </c>
      <c r="AX91" s="208">
        <v>296</v>
      </c>
      <c r="AY91" s="170">
        <v>167</v>
      </c>
      <c r="AZ91" s="45">
        <v>146</v>
      </c>
      <c r="BA91" s="58">
        <v>348</v>
      </c>
      <c r="BB91" s="190"/>
      <c r="BC91" s="167"/>
      <c r="BD91" s="190"/>
      <c r="BE91" s="167"/>
      <c r="BF91" s="190"/>
      <c r="BG91" s="167"/>
      <c r="BH91" s="190"/>
      <c r="BI91" s="167"/>
      <c r="BJ91" s="190"/>
      <c r="BK91" s="167"/>
    </row>
    <row r="92" spans="1:63" ht="13" x14ac:dyDescent="0.25">
      <c r="A92" s="372">
        <v>1307</v>
      </c>
      <c r="B92" s="373" t="s">
        <v>741</v>
      </c>
      <c r="C92" s="360">
        <v>1550</v>
      </c>
      <c r="D92" s="54">
        <v>301</v>
      </c>
      <c r="E92" s="367">
        <v>0.22572347266881029</v>
      </c>
      <c r="F92" s="45">
        <v>257</v>
      </c>
      <c r="G92" s="58">
        <v>38</v>
      </c>
      <c r="H92" s="45">
        <v>241</v>
      </c>
      <c r="I92" s="57">
        <v>55</v>
      </c>
      <c r="J92" s="97"/>
      <c r="K92" s="58"/>
      <c r="L92" s="45"/>
      <c r="M92" s="57"/>
      <c r="N92" s="97"/>
      <c r="O92" s="58"/>
      <c r="P92" s="165"/>
      <c r="Q92" s="166"/>
      <c r="R92" s="207"/>
      <c r="S92" s="170"/>
      <c r="T92" s="165"/>
      <c r="U92" s="166"/>
      <c r="V92" s="207"/>
      <c r="W92" s="170"/>
      <c r="X92" s="165"/>
      <c r="Y92" s="166"/>
      <c r="Z92" s="207"/>
      <c r="AA92" s="170"/>
      <c r="AB92" s="165"/>
      <c r="AC92" s="166"/>
      <c r="AD92" s="207"/>
      <c r="AE92" s="170"/>
      <c r="AF92" s="165"/>
      <c r="AG92" s="166"/>
      <c r="AH92" s="207"/>
      <c r="AI92" s="170"/>
      <c r="AJ92" s="165"/>
      <c r="AK92" s="166"/>
      <c r="AL92" s="207"/>
      <c r="AM92" s="170"/>
      <c r="AN92" s="165"/>
      <c r="AO92" s="166"/>
      <c r="AP92" s="207">
        <v>192</v>
      </c>
      <c r="AQ92" s="170">
        <v>103</v>
      </c>
      <c r="AR92" s="165">
        <v>184</v>
      </c>
      <c r="AS92" s="166">
        <v>107</v>
      </c>
      <c r="AT92" s="207"/>
      <c r="AU92" s="170"/>
      <c r="AV92" s="190">
        <v>161</v>
      </c>
      <c r="AW92" s="166">
        <v>133</v>
      </c>
      <c r="AX92" s="208">
        <v>168</v>
      </c>
      <c r="AY92" s="170">
        <v>106</v>
      </c>
      <c r="AZ92" s="45">
        <v>105</v>
      </c>
      <c r="BA92" s="58">
        <v>186</v>
      </c>
      <c r="BB92" s="190"/>
      <c r="BC92" s="167"/>
      <c r="BD92" s="190"/>
      <c r="BE92" s="167"/>
      <c r="BF92" s="190"/>
      <c r="BG92" s="167"/>
      <c r="BH92" s="190"/>
      <c r="BI92" s="167"/>
      <c r="BJ92" s="190"/>
      <c r="BK92" s="167"/>
    </row>
    <row r="93" spans="1:63" ht="13" x14ac:dyDescent="0.25">
      <c r="A93" s="372">
        <v>1308</v>
      </c>
      <c r="B93" s="373" t="s">
        <v>742</v>
      </c>
      <c r="C93" s="360">
        <v>891</v>
      </c>
      <c r="D93" s="54">
        <v>64</v>
      </c>
      <c r="E93" s="367">
        <v>8.7389380530973448E-2</v>
      </c>
      <c r="F93" s="45">
        <v>40</v>
      </c>
      <c r="G93" s="58">
        <v>22</v>
      </c>
      <c r="H93" s="45">
        <v>48</v>
      </c>
      <c r="I93" s="57">
        <v>16</v>
      </c>
      <c r="J93" s="97"/>
      <c r="K93" s="58"/>
      <c r="L93" s="45"/>
      <c r="M93" s="57"/>
      <c r="N93" s="97"/>
      <c r="O93" s="58"/>
      <c r="P93" s="165"/>
      <c r="Q93" s="166"/>
      <c r="R93" s="207"/>
      <c r="S93" s="170"/>
      <c r="T93" s="165"/>
      <c r="U93" s="166"/>
      <c r="V93" s="207"/>
      <c r="W93" s="170"/>
      <c r="X93" s="165"/>
      <c r="Y93" s="166"/>
      <c r="Z93" s="207"/>
      <c r="AA93" s="170"/>
      <c r="AB93" s="165"/>
      <c r="AC93" s="166"/>
      <c r="AD93" s="207"/>
      <c r="AE93" s="170"/>
      <c r="AF93" s="165"/>
      <c r="AG93" s="166"/>
      <c r="AH93" s="207"/>
      <c r="AI93" s="170"/>
      <c r="AJ93" s="165"/>
      <c r="AK93" s="166"/>
      <c r="AL93" s="207"/>
      <c r="AM93" s="170"/>
      <c r="AN93" s="165"/>
      <c r="AO93" s="166"/>
      <c r="AP93" s="207">
        <v>46</v>
      </c>
      <c r="AQ93" s="170">
        <v>16</v>
      </c>
      <c r="AR93" s="165">
        <v>40</v>
      </c>
      <c r="AS93" s="166">
        <v>21</v>
      </c>
      <c r="AT93" s="207"/>
      <c r="AU93" s="170"/>
      <c r="AV93" s="190">
        <v>45</v>
      </c>
      <c r="AW93" s="166">
        <v>17</v>
      </c>
      <c r="AX93" s="208">
        <v>41</v>
      </c>
      <c r="AY93" s="170">
        <v>14</v>
      </c>
      <c r="AZ93" s="45">
        <v>34</v>
      </c>
      <c r="BA93" s="58">
        <v>26</v>
      </c>
      <c r="BB93" s="190"/>
      <c r="BC93" s="167"/>
      <c r="BD93" s="190"/>
      <c r="BE93" s="167"/>
      <c r="BF93" s="190"/>
      <c r="BG93" s="167"/>
      <c r="BH93" s="190"/>
      <c r="BI93" s="167"/>
      <c r="BJ93" s="190"/>
      <c r="BK93" s="167"/>
    </row>
    <row r="94" spans="1:63" ht="13" x14ac:dyDescent="0.25">
      <c r="A94" s="372">
        <v>1401</v>
      </c>
      <c r="B94" s="373" t="s">
        <v>226</v>
      </c>
      <c r="C94" s="360">
        <v>1284</v>
      </c>
      <c r="D94" s="54">
        <v>765</v>
      </c>
      <c r="E94" s="367">
        <v>0.59233176838810642</v>
      </c>
      <c r="F94" s="45">
        <v>650</v>
      </c>
      <c r="G94" s="58">
        <v>112</v>
      </c>
      <c r="H94" s="45">
        <v>612</v>
      </c>
      <c r="I94" s="57">
        <v>145</v>
      </c>
      <c r="J94" s="97"/>
      <c r="K94" s="58"/>
      <c r="L94" s="45"/>
      <c r="M94" s="57"/>
      <c r="N94" s="97"/>
      <c r="O94" s="58"/>
      <c r="P94" s="165"/>
      <c r="Q94" s="166"/>
      <c r="R94" s="207"/>
      <c r="S94" s="170"/>
      <c r="T94" s="165"/>
      <c r="U94" s="166"/>
      <c r="V94" s="207"/>
      <c r="W94" s="170"/>
      <c r="X94" s="165"/>
      <c r="Y94" s="166"/>
      <c r="Z94" s="207"/>
      <c r="AA94" s="170"/>
      <c r="AB94" s="165"/>
      <c r="AC94" s="166"/>
      <c r="AD94" s="207"/>
      <c r="AE94" s="170"/>
      <c r="AF94" s="165"/>
      <c r="AG94" s="166"/>
      <c r="AH94" s="207"/>
      <c r="AI94" s="170"/>
      <c r="AJ94" s="165"/>
      <c r="AK94" s="166"/>
      <c r="AL94" s="207"/>
      <c r="AM94" s="170"/>
      <c r="AN94" s="165"/>
      <c r="AO94" s="166"/>
      <c r="AP94" s="207">
        <v>624</v>
      </c>
      <c r="AQ94" s="170">
        <v>129</v>
      </c>
      <c r="AR94" s="165">
        <v>577</v>
      </c>
      <c r="AS94" s="166">
        <v>173</v>
      </c>
      <c r="AT94" s="207"/>
      <c r="AU94" s="170"/>
      <c r="AV94" s="190">
        <v>423</v>
      </c>
      <c r="AW94" s="166">
        <v>320</v>
      </c>
      <c r="AX94" s="208">
        <v>429</v>
      </c>
      <c r="AY94" s="170">
        <v>229</v>
      </c>
      <c r="AZ94" s="45">
        <v>241</v>
      </c>
      <c r="BA94" s="58">
        <v>487</v>
      </c>
      <c r="BB94" s="190"/>
      <c r="BC94" s="167"/>
      <c r="BD94" s="190"/>
      <c r="BE94" s="167"/>
      <c r="BF94" s="190"/>
      <c r="BG94" s="167"/>
      <c r="BH94" s="190"/>
      <c r="BI94" s="167"/>
      <c r="BJ94" s="190"/>
      <c r="BK94" s="167"/>
    </row>
    <row r="95" spans="1:63" ht="13" x14ac:dyDescent="0.25">
      <c r="A95" s="372">
        <v>1402</v>
      </c>
      <c r="B95" s="373" t="s">
        <v>227</v>
      </c>
      <c r="C95" s="360">
        <v>1222</v>
      </c>
      <c r="D95" s="54">
        <v>558</v>
      </c>
      <c r="E95" s="367">
        <v>0.46096959737058341</v>
      </c>
      <c r="F95" s="45">
        <v>490</v>
      </c>
      <c r="G95" s="58">
        <v>62</v>
      </c>
      <c r="H95" s="45">
        <v>458</v>
      </c>
      <c r="I95" s="57">
        <v>92</v>
      </c>
      <c r="J95" s="97"/>
      <c r="K95" s="58"/>
      <c r="L95" s="45"/>
      <c r="M95" s="57"/>
      <c r="N95" s="97"/>
      <c r="O95" s="58"/>
      <c r="P95" s="165"/>
      <c r="Q95" s="166"/>
      <c r="R95" s="207"/>
      <c r="S95" s="170"/>
      <c r="T95" s="165"/>
      <c r="U95" s="166"/>
      <c r="V95" s="207"/>
      <c r="W95" s="170"/>
      <c r="X95" s="165"/>
      <c r="Y95" s="166"/>
      <c r="Z95" s="207"/>
      <c r="AA95" s="170"/>
      <c r="AB95" s="165"/>
      <c r="AC95" s="166"/>
      <c r="AD95" s="207"/>
      <c r="AE95" s="170"/>
      <c r="AF95" s="165"/>
      <c r="AG95" s="166"/>
      <c r="AH95" s="207"/>
      <c r="AI95" s="170"/>
      <c r="AJ95" s="165"/>
      <c r="AK95" s="166"/>
      <c r="AL95" s="207"/>
      <c r="AM95" s="170"/>
      <c r="AN95" s="165"/>
      <c r="AO95" s="166"/>
      <c r="AP95" s="207">
        <v>370</v>
      </c>
      <c r="AQ95" s="170">
        <v>177</v>
      </c>
      <c r="AR95" s="165">
        <v>351</v>
      </c>
      <c r="AS95" s="166">
        <v>191</v>
      </c>
      <c r="AT95" s="207"/>
      <c r="AU95" s="170"/>
      <c r="AV95" s="190">
        <v>302</v>
      </c>
      <c r="AW95" s="166">
        <v>244</v>
      </c>
      <c r="AX95" s="208">
        <v>300</v>
      </c>
      <c r="AY95" s="170">
        <v>201</v>
      </c>
      <c r="AZ95" s="45">
        <v>176</v>
      </c>
      <c r="BA95" s="58">
        <v>360</v>
      </c>
      <c r="BB95" s="190"/>
      <c r="BC95" s="167"/>
      <c r="BD95" s="190"/>
      <c r="BE95" s="167"/>
      <c r="BF95" s="190"/>
      <c r="BG95" s="167"/>
      <c r="BH95" s="190"/>
      <c r="BI95" s="167"/>
      <c r="BJ95" s="190"/>
      <c r="BK95" s="167"/>
    </row>
    <row r="96" spans="1:63" ht="13" x14ac:dyDescent="0.25">
      <c r="A96" s="372">
        <v>1403</v>
      </c>
      <c r="B96" s="373" t="s">
        <v>228</v>
      </c>
      <c r="C96" s="360">
        <v>487</v>
      </c>
      <c r="D96" s="54">
        <v>351</v>
      </c>
      <c r="E96" s="367">
        <v>0.70143149284253581</v>
      </c>
      <c r="F96" s="45">
        <v>281</v>
      </c>
      <c r="G96" s="58">
        <v>66</v>
      </c>
      <c r="H96" s="45">
        <v>268</v>
      </c>
      <c r="I96" s="57">
        <v>75</v>
      </c>
      <c r="J96" s="97"/>
      <c r="K96" s="58"/>
      <c r="L96" s="45"/>
      <c r="M96" s="57"/>
      <c r="N96" s="97"/>
      <c r="O96" s="58"/>
      <c r="P96" s="165"/>
      <c r="Q96" s="166"/>
      <c r="R96" s="207"/>
      <c r="S96" s="170"/>
      <c r="T96" s="165"/>
      <c r="U96" s="166"/>
      <c r="V96" s="207"/>
      <c r="W96" s="170"/>
      <c r="X96" s="165"/>
      <c r="Y96" s="166"/>
      <c r="Z96" s="207"/>
      <c r="AA96" s="170"/>
      <c r="AB96" s="165"/>
      <c r="AC96" s="166"/>
      <c r="AD96" s="207"/>
      <c r="AE96" s="170"/>
      <c r="AF96" s="165"/>
      <c r="AG96" s="166"/>
      <c r="AH96" s="207"/>
      <c r="AI96" s="170"/>
      <c r="AJ96" s="165"/>
      <c r="AK96" s="166"/>
      <c r="AL96" s="207"/>
      <c r="AM96" s="170"/>
      <c r="AN96" s="165"/>
      <c r="AO96" s="166"/>
      <c r="AP96" s="207">
        <v>283</v>
      </c>
      <c r="AQ96" s="170">
        <v>61</v>
      </c>
      <c r="AR96" s="165">
        <v>257</v>
      </c>
      <c r="AS96" s="166">
        <v>86</v>
      </c>
      <c r="AT96" s="207"/>
      <c r="AU96" s="170"/>
      <c r="AV96" s="190">
        <v>190</v>
      </c>
      <c r="AW96" s="166">
        <v>153</v>
      </c>
      <c r="AX96" s="208">
        <v>220</v>
      </c>
      <c r="AY96" s="170">
        <v>80</v>
      </c>
      <c r="AZ96" s="45">
        <v>81</v>
      </c>
      <c r="BA96" s="58">
        <v>251</v>
      </c>
      <c r="BB96" s="190"/>
      <c r="BC96" s="167"/>
      <c r="BD96" s="190"/>
      <c r="BE96" s="167"/>
      <c r="BF96" s="190"/>
      <c r="BG96" s="167"/>
      <c r="BH96" s="190"/>
      <c r="BI96" s="167"/>
      <c r="BJ96" s="190"/>
      <c r="BK96" s="167"/>
    </row>
    <row r="97" spans="1:63" ht="13" x14ac:dyDescent="0.25">
      <c r="A97" s="372">
        <v>1404</v>
      </c>
      <c r="B97" s="373" t="s">
        <v>229</v>
      </c>
      <c r="C97" s="360">
        <v>1471</v>
      </c>
      <c r="D97" s="54">
        <v>843</v>
      </c>
      <c r="E97" s="367">
        <v>0.58327621658670326</v>
      </c>
      <c r="F97" s="45">
        <v>720</v>
      </c>
      <c r="G97" s="58">
        <v>112</v>
      </c>
      <c r="H97" s="45">
        <v>682</v>
      </c>
      <c r="I97" s="57">
        <v>142</v>
      </c>
      <c r="J97" s="97"/>
      <c r="K97" s="58"/>
      <c r="L97" s="45"/>
      <c r="M97" s="57"/>
      <c r="N97" s="97"/>
      <c r="O97" s="58"/>
      <c r="P97" s="165"/>
      <c r="Q97" s="166"/>
      <c r="R97" s="207"/>
      <c r="S97" s="170"/>
      <c r="T97" s="165"/>
      <c r="U97" s="166"/>
      <c r="V97" s="207"/>
      <c r="W97" s="170"/>
      <c r="X97" s="165"/>
      <c r="Y97" s="166"/>
      <c r="Z97" s="207"/>
      <c r="AA97" s="170"/>
      <c r="AB97" s="165"/>
      <c r="AC97" s="166"/>
      <c r="AD97" s="207"/>
      <c r="AE97" s="170"/>
      <c r="AF97" s="165"/>
      <c r="AG97" s="166"/>
      <c r="AH97" s="207"/>
      <c r="AI97" s="170"/>
      <c r="AJ97" s="165"/>
      <c r="AK97" s="166"/>
      <c r="AL97" s="207"/>
      <c r="AM97" s="170"/>
      <c r="AN97" s="165"/>
      <c r="AO97" s="166"/>
      <c r="AP97" s="207">
        <v>661</v>
      </c>
      <c r="AQ97" s="170">
        <v>160</v>
      </c>
      <c r="AR97" s="165">
        <v>618</v>
      </c>
      <c r="AS97" s="166">
        <v>199</v>
      </c>
      <c r="AT97" s="207"/>
      <c r="AU97" s="170"/>
      <c r="AV97" s="190">
        <v>478</v>
      </c>
      <c r="AW97" s="166">
        <v>332</v>
      </c>
      <c r="AX97" s="208">
        <v>477</v>
      </c>
      <c r="AY97" s="170">
        <v>239</v>
      </c>
      <c r="AZ97" s="45">
        <v>254</v>
      </c>
      <c r="BA97" s="58">
        <v>528</v>
      </c>
      <c r="BB97" s="190"/>
      <c r="BC97" s="167"/>
      <c r="BD97" s="190"/>
      <c r="BE97" s="167"/>
      <c r="BF97" s="190"/>
      <c r="BG97" s="167"/>
      <c r="BH97" s="190"/>
      <c r="BI97" s="167"/>
      <c r="BJ97" s="190"/>
      <c r="BK97" s="167"/>
    </row>
    <row r="98" spans="1:63" ht="13" x14ac:dyDescent="0.25">
      <c r="A98" s="372">
        <v>1405</v>
      </c>
      <c r="B98" s="373" t="s">
        <v>230</v>
      </c>
      <c r="C98" s="360">
        <v>1257</v>
      </c>
      <c r="D98" s="54">
        <v>683</v>
      </c>
      <c r="E98" s="367">
        <v>0.51866251944012443</v>
      </c>
      <c r="F98" s="45">
        <v>601</v>
      </c>
      <c r="G98" s="58">
        <v>76</v>
      </c>
      <c r="H98" s="45">
        <v>554</v>
      </c>
      <c r="I98" s="57">
        <v>117</v>
      </c>
      <c r="J98" s="97"/>
      <c r="K98" s="58"/>
      <c r="L98" s="45"/>
      <c r="M98" s="57"/>
      <c r="N98" s="97"/>
      <c r="O98" s="58"/>
      <c r="P98" s="165"/>
      <c r="Q98" s="166"/>
      <c r="R98" s="207"/>
      <c r="S98" s="170"/>
      <c r="T98" s="165"/>
      <c r="U98" s="166"/>
      <c r="V98" s="207"/>
      <c r="W98" s="170"/>
      <c r="X98" s="165"/>
      <c r="Y98" s="166"/>
      <c r="Z98" s="207"/>
      <c r="AA98" s="170"/>
      <c r="AB98" s="165"/>
      <c r="AC98" s="166"/>
      <c r="AD98" s="207"/>
      <c r="AE98" s="170"/>
      <c r="AF98" s="165"/>
      <c r="AG98" s="166"/>
      <c r="AH98" s="207"/>
      <c r="AI98" s="170"/>
      <c r="AJ98" s="165"/>
      <c r="AK98" s="166"/>
      <c r="AL98" s="207"/>
      <c r="AM98" s="170"/>
      <c r="AN98" s="165"/>
      <c r="AO98" s="166"/>
      <c r="AP98" s="207">
        <v>536</v>
      </c>
      <c r="AQ98" s="170">
        <v>132</v>
      </c>
      <c r="AR98" s="165">
        <v>508</v>
      </c>
      <c r="AS98" s="166">
        <v>162</v>
      </c>
      <c r="AT98" s="207"/>
      <c r="AU98" s="170"/>
      <c r="AV98" s="190">
        <v>418</v>
      </c>
      <c r="AW98" s="166">
        <v>257</v>
      </c>
      <c r="AX98" s="208">
        <v>412</v>
      </c>
      <c r="AY98" s="170">
        <v>191</v>
      </c>
      <c r="AZ98" s="45">
        <v>223</v>
      </c>
      <c r="BA98" s="58">
        <v>434</v>
      </c>
      <c r="BB98" s="190"/>
      <c r="BC98" s="167"/>
      <c r="BD98" s="190"/>
      <c r="BE98" s="167"/>
      <c r="BF98" s="190"/>
      <c r="BG98" s="167"/>
      <c r="BH98" s="190"/>
      <c r="BI98" s="167"/>
      <c r="BJ98" s="190"/>
      <c r="BK98" s="167"/>
    </row>
    <row r="99" spans="1:63" ht="13" x14ac:dyDescent="0.25">
      <c r="A99" s="372">
        <v>1406</v>
      </c>
      <c r="B99" s="373" t="s">
        <v>231</v>
      </c>
      <c r="C99" s="360">
        <v>990</v>
      </c>
      <c r="D99" s="54">
        <v>648</v>
      </c>
      <c r="E99" s="367">
        <v>0.65673175745118195</v>
      </c>
      <c r="F99" s="45">
        <v>563</v>
      </c>
      <c r="G99" s="58">
        <v>79</v>
      </c>
      <c r="H99" s="45">
        <v>489</v>
      </c>
      <c r="I99" s="57">
        <v>148</v>
      </c>
      <c r="J99" s="97"/>
      <c r="K99" s="58"/>
      <c r="L99" s="45"/>
      <c r="M99" s="57"/>
      <c r="N99" s="97"/>
      <c r="O99" s="58"/>
      <c r="P99" s="165"/>
      <c r="Q99" s="166"/>
      <c r="R99" s="207"/>
      <c r="S99" s="170"/>
      <c r="T99" s="165"/>
      <c r="U99" s="166"/>
      <c r="V99" s="207"/>
      <c r="W99" s="170"/>
      <c r="X99" s="165"/>
      <c r="Y99" s="166"/>
      <c r="Z99" s="207"/>
      <c r="AA99" s="170"/>
      <c r="AB99" s="165"/>
      <c r="AC99" s="166"/>
      <c r="AD99" s="207"/>
      <c r="AE99" s="170"/>
      <c r="AF99" s="165"/>
      <c r="AG99" s="166"/>
      <c r="AH99" s="207"/>
      <c r="AI99" s="170"/>
      <c r="AJ99" s="165"/>
      <c r="AK99" s="166"/>
      <c r="AL99" s="207"/>
      <c r="AM99" s="170"/>
      <c r="AN99" s="165"/>
      <c r="AO99" s="166"/>
      <c r="AP99" s="207">
        <v>486</v>
      </c>
      <c r="AQ99" s="170">
        <v>145</v>
      </c>
      <c r="AR99" s="165">
        <v>453</v>
      </c>
      <c r="AS99" s="166">
        <v>177</v>
      </c>
      <c r="AT99" s="207"/>
      <c r="AU99" s="170"/>
      <c r="AV99" s="190">
        <v>357</v>
      </c>
      <c r="AW99" s="166">
        <v>274</v>
      </c>
      <c r="AX99" s="208">
        <v>367</v>
      </c>
      <c r="AY99" s="170">
        <v>201</v>
      </c>
      <c r="AZ99" s="45">
        <v>200</v>
      </c>
      <c r="BA99" s="58">
        <v>421</v>
      </c>
      <c r="BB99" s="190"/>
      <c r="BC99" s="167"/>
      <c r="BD99" s="190"/>
      <c r="BE99" s="167"/>
      <c r="BF99" s="190"/>
      <c r="BG99" s="167"/>
      <c r="BH99" s="190"/>
      <c r="BI99" s="167"/>
      <c r="BJ99" s="190"/>
      <c r="BK99" s="167"/>
    </row>
    <row r="100" spans="1:63" ht="13" x14ac:dyDescent="0.25">
      <c r="A100" s="372">
        <v>1407</v>
      </c>
      <c r="B100" s="373" t="s">
        <v>232</v>
      </c>
      <c r="C100" s="360">
        <v>1042</v>
      </c>
      <c r="D100" s="54">
        <v>701</v>
      </c>
      <c r="E100" s="367">
        <v>0.6875</v>
      </c>
      <c r="F100" s="45">
        <v>569</v>
      </c>
      <c r="G100" s="58">
        <v>124</v>
      </c>
      <c r="H100" s="45">
        <v>557</v>
      </c>
      <c r="I100" s="57">
        <v>133</v>
      </c>
      <c r="J100" s="97"/>
      <c r="K100" s="58"/>
      <c r="L100" s="45"/>
      <c r="M100" s="57"/>
      <c r="N100" s="97"/>
      <c r="O100" s="58"/>
      <c r="P100" s="165"/>
      <c r="Q100" s="166"/>
      <c r="R100" s="207"/>
      <c r="S100" s="170"/>
      <c r="T100" s="165"/>
      <c r="U100" s="166"/>
      <c r="V100" s="207"/>
      <c r="W100" s="170"/>
      <c r="X100" s="165"/>
      <c r="Y100" s="166"/>
      <c r="Z100" s="207"/>
      <c r="AA100" s="170"/>
      <c r="AB100" s="165"/>
      <c r="AC100" s="166"/>
      <c r="AD100" s="207"/>
      <c r="AE100" s="170"/>
      <c r="AF100" s="165"/>
      <c r="AG100" s="166"/>
      <c r="AH100" s="207"/>
      <c r="AI100" s="170"/>
      <c r="AJ100" s="165"/>
      <c r="AK100" s="166"/>
      <c r="AL100" s="207"/>
      <c r="AM100" s="170"/>
      <c r="AN100" s="165"/>
      <c r="AO100" s="166"/>
      <c r="AP100" s="207">
        <v>581</v>
      </c>
      <c r="AQ100" s="170">
        <v>112</v>
      </c>
      <c r="AR100" s="165">
        <v>521</v>
      </c>
      <c r="AS100" s="166">
        <v>168</v>
      </c>
      <c r="AT100" s="207"/>
      <c r="AU100" s="170"/>
      <c r="AV100" s="190">
        <v>425</v>
      </c>
      <c r="AW100" s="166">
        <v>263</v>
      </c>
      <c r="AX100" s="208">
        <v>414</v>
      </c>
      <c r="AY100" s="170">
        <v>182</v>
      </c>
      <c r="AZ100" s="45">
        <v>196</v>
      </c>
      <c r="BA100" s="58">
        <v>472</v>
      </c>
      <c r="BB100" s="190"/>
      <c r="BC100" s="167"/>
      <c r="BD100" s="190"/>
      <c r="BE100" s="167"/>
      <c r="BF100" s="190"/>
      <c r="BG100" s="167"/>
      <c r="BH100" s="190"/>
      <c r="BI100" s="167"/>
      <c r="BJ100" s="190"/>
      <c r="BK100" s="167"/>
    </row>
    <row r="101" spans="1:63" ht="13" x14ac:dyDescent="0.25">
      <c r="A101" s="372">
        <v>1408</v>
      </c>
      <c r="B101" s="373" t="s">
        <v>233</v>
      </c>
      <c r="C101" s="360">
        <v>1296</v>
      </c>
      <c r="D101" s="54">
        <v>699</v>
      </c>
      <c r="E101" s="367">
        <v>0.56313725490196076</v>
      </c>
      <c r="F101" s="45">
        <v>590</v>
      </c>
      <c r="G101" s="58">
        <v>102</v>
      </c>
      <c r="H101" s="45">
        <v>575</v>
      </c>
      <c r="I101" s="57">
        <v>117</v>
      </c>
      <c r="J101" s="97"/>
      <c r="K101" s="58"/>
      <c r="L101" s="45"/>
      <c r="M101" s="57"/>
      <c r="N101" s="97"/>
      <c r="O101" s="58"/>
      <c r="P101" s="165"/>
      <c r="Q101" s="166"/>
      <c r="R101" s="207"/>
      <c r="S101" s="170"/>
      <c r="T101" s="165"/>
      <c r="U101" s="166"/>
      <c r="V101" s="207"/>
      <c r="W101" s="170"/>
      <c r="X101" s="165"/>
      <c r="Y101" s="166"/>
      <c r="Z101" s="207"/>
      <c r="AA101" s="170"/>
      <c r="AB101" s="165"/>
      <c r="AC101" s="166"/>
      <c r="AD101" s="207"/>
      <c r="AE101" s="170"/>
      <c r="AF101" s="165"/>
      <c r="AG101" s="166"/>
      <c r="AH101" s="207"/>
      <c r="AI101" s="170"/>
      <c r="AJ101" s="165"/>
      <c r="AK101" s="166"/>
      <c r="AL101" s="207"/>
      <c r="AM101" s="170"/>
      <c r="AN101" s="165"/>
      <c r="AO101" s="166"/>
      <c r="AP101" s="207">
        <v>587</v>
      </c>
      <c r="AQ101" s="170">
        <v>104</v>
      </c>
      <c r="AR101" s="165">
        <v>527</v>
      </c>
      <c r="AS101" s="166">
        <v>158</v>
      </c>
      <c r="AT101" s="207"/>
      <c r="AU101" s="170"/>
      <c r="AV101" s="190">
        <v>407</v>
      </c>
      <c r="AW101" s="166">
        <v>268</v>
      </c>
      <c r="AX101" s="208">
        <v>410</v>
      </c>
      <c r="AY101" s="170">
        <v>186</v>
      </c>
      <c r="AZ101" s="45">
        <v>227</v>
      </c>
      <c r="BA101" s="58">
        <v>430</v>
      </c>
      <c r="BB101" s="190"/>
      <c r="BC101" s="167"/>
      <c r="BD101" s="190"/>
      <c r="BE101" s="167"/>
      <c r="BF101" s="190"/>
      <c r="BG101" s="167"/>
      <c r="BH101" s="190"/>
      <c r="BI101" s="167"/>
      <c r="BJ101" s="190"/>
      <c r="BK101" s="167"/>
    </row>
    <row r="102" spans="1:63" ht="13" x14ac:dyDescent="0.25">
      <c r="A102" s="372">
        <v>1409</v>
      </c>
      <c r="B102" s="373" t="s">
        <v>234</v>
      </c>
      <c r="C102" s="360">
        <v>1410</v>
      </c>
      <c r="D102" s="54">
        <v>664</v>
      </c>
      <c r="E102" s="367">
        <v>0.52120776419841841</v>
      </c>
      <c r="F102" s="45">
        <v>572</v>
      </c>
      <c r="G102" s="58">
        <v>87</v>
      </c>
      <c r="H102" s="45">
        <v>545</v>
      </c>
      <c r="I102" s="57">
        <v>113</v>
      </c>
      <c r="J102" s="97"/>
      <c r="K102" s="58"/>
      <c r="L102" s="45"/>
      <c r="M102" s="57"/>
      <c r="N102" s="97"/>
      <c r="O102" s="58"/>
      <c r="P102" s="165"/>
      <c r="Q102" s="166"/>
      <c r="R102" s="207"/>
      <c r="S102" s="170"/>
      <c r="T102" s="165"/>
      <c r="U102" s="166"/>
      <c r="V102" s="207"/>
      <c r="W102" s="170"/>
      <c r="X102" s="165"/>
      <c r="Y102" s="166"/>
      <c r="Z102" s="207"/>
      <c r="AA102" s="170"/>
      <c r="AB102" s="165"/>
      <c r="AC102" s="166"/>
      <c r="AD102" s="207"/>
      <c r="AE102" s="170"/>
      <c r="AF102" s="165"/>
      <c r="AG102" s="166"/>
      <c r="AH102" s="207"/>
      <c r="AI102" s="170"/>
      <c r="AJ102" s="165"/>
      <c r="AK102" s="166"/>
      <c r="AL102" s="207"/>
      <c r="AM102" s="170"/>
      <c r="AN102" s="165"/>
      <c r="AO102" s="166"/>
      <c r="AP102" s="207">
        <v>523</v>
      </c>
      <c r="AQ102" s="170">
        <v>128</v>
      </c>
      <c r="AR102" s="165">
        <v>480</v>
      </c>
      <c r="AS102" s="166">
        <v>166</v>
      </c>
      <c r="AT102" s="207"/>
      <c r="AU102" s="170"/>
      <c r="AV102" s="190">
        <v>388</v>
      </c>
      <c r="AW102" s="166">
        <v>253</v>
      </c>
      <c r="AX102" s="208">
        <v>392</v>
      </c>
      <c r="AY102" s="170">
        <v>165</v>
      </c>
      <c r="AZ102" s="45">
        <v>220</v>
      </c>
      <c r="BA102" s="58">
        <v>414</v>
      </c>
      <c r="BB102" s="190"/>
      <c r="BC102" s="167"/>
      <c r="BD102" s="190"/>
      <c r="BE102" s="167"/>
      <c r="BF102" s="190"/>
      <c r="BG102" s="167"/>
      <c r="BH102" s="190"/>
      <c r="BI102" s="167"/>
      <c r="BJ102" s="190"/>
      <c r="BK102" s="167"/>
    </row>
    <row r="103" spans="1:63" ht="13" x14ac:dyDescent="0.25">
      <c r="A103" s="372">
        <v>1501</v>
      </c>
      <c r="B103" s="373" t="s">
        <v>235</v>
      </c>
      <c r="C103" s="360">
        <v>1221</v>
      </c>
      <c r="D103" s="54">
        <v>708</v>
      </c>
      <c r="E103" s="367">
        <v>0.56872427983539098</v>
      </c>
      <c r="F103" s="45">
        <v>660</v>
      </c>
      <c r="G103" s="58">
        <v>46</v>
      </c>
      <c r="H103" s="45">
        <v>664</v>
      </c>
      <c r="I103" s="57">
        <v>39</v>
      </c>
      <c r="J103" s="97"/>
      <c r="K103" s="58"/>
      <c r="L103" s="45"/>
      <c r="M103" s="57"/>
      <c r="N103" s="97"/>
      <c r="O103" s="58"/>
      <c r="P103" s="165"/>
      <c r="Q103" s="166"/>
      <c r="R103" s="207"/>
      <c r="S103" s="170"/>
      <c r="T103" s="165"/>
      <c r="U103" s="166"/>
      <c r="V103" s="207"/>
      <c r="W103" s="170"/>
      <c r="X103" s="165"/>
      <c r="Y103" s="166"/>
      <c r="Z103" s="207"/>
      <c r="AA103" s="170"/>
      <c r="AB103" s="165"/>
      <c r="AC103" s="166"/>
      <c r="AD103" s="207"/>
      <c r="AE103" s="170"/>
      <c r="AF103" s="165"/>
      <c r="AG103" s="166"/>
      <c r="AH103" s="207"/>
      <c r="AI103" s="170"/>
      <c r="AJ103" s="165"/>
      <c r="AK103" s="166"/>
      <c r="AL103" s="207"/>
      <c r="AM103" s="170"/>
      <c r="AN103" s="165"/>
      <c r="AO103" s="166"/>
      <c r="AP103" s="207">
        <v>625</v>
      </c>
      <c r="AQ103" s="170">
        <v>66</v>
      </c>
      <c r="AR103" s="165">
        <v>621</v>
      </c>
      <c r="AS103" s="166">
        <v>69</v>
      </c>
      <c r="AT103" s="207"/>
      <c r="AU103" s="170"/>
      <c r="AV103" s="190">
        <v>292</v>
      </c>
      <c r="AW103" s="166">
        <v>401</v>
      </c>
      <c r="AX103" s="208">
        <v>405</v>
      </c>
      <c r="AY103" s="170">
        <v>186</v>
      </c>
      <c r="AZ103" s="45">
        <v>320</v>
      </c>
      <c r="BA103" s="58">
        <v>360</v>
      </c>
      <c r="BB103" s="190"/>
      <c r="BC103" s="167"/>
      <c r="BD103" s="190"/>
      <c r="BE103" s="167"/>
      <c r="BF103" s="190"/>
      <c r="BG103" s="167"/>
      <c r="BH103" s="190"/>
      <c r="BI103" s="167"/>
      <c r="BJ103" s="190"/>
      <c r="BK103" s="167"/>
    </row>
    <row r="104" spans="1:63" ht="13" x14ac:dyDescent="0.25">
      <c r="A104" s="372">
        <v>1502</v>
      </c>
      <c r="B104" s="373" t="s">
        <v>236</v>
      </c>
      <c r="C104" s="360">
        <v>1488</v>
      </c>
      <c r="D104" s="54">
        <v>734</v>
      </c>
      <c r="E104" s="367">
        <v>0.50870147255689424</v>
      </c>
      <c r="F104" s="45">
        <v>644</v>
      </c>
      <c r="G104" s="58">
        <v>88</v>
      </c>
      <c r="H104" s="45">
        <v>605</v>
      </c>
      <c r="I104" s="57">
        <v>125</v>
      </c>
      <c r="J104" s="97"/>
      <c r="K104" s="58"/>
      <c r="L104" s="45"/>
      <c r="M104" s="57"/>
      <c r="N104" s="97"/>
      <c r="O104" s="58"/>
      <c r="P104" s="165"/>
      <c r="Q104" s="166"/>
      <c r="R104" s="207"/>
      <c r="S104" s="170"/>
      <c r="T104" s="165"/>
      <c r="U104" s="166"/>
      <c r="V104" s="207"/>
      <c r="W104" s="170"/>
      <c r="X104" s="165"/>
      <c r="Y104" s="166"/>
      <c r="Z104" s="207"/>
      <c r="AA104" s="170"/>
      <c r="AB104" s="165"/>
      <c r="AC104" s="166"/>
      <c r="AD104" s="207"/>
      <c r="AE104" s="170"/>
      <c r="AF104" s="165"/>
      <c r="AG104" s="166"/>
      <c r="AH104" s="207"/>
      <c r="AI104" s="170"/>
      <c r="AJ104" s="165"/>
      <c r="AK104" s="166"/>
      <c r="AL104" s="207"/>
      <c r="AM104" s="170"/>
      <c r="AN104" s="165"/>
      <c r="AO104" s="166"/>
      <c r="AP104" s="207">
        <v>588</v>
      </c>
      <c r="AQ104" s="170">
        <v>132</v>
      </c>
      <c r="AR104" s="165">
        <v>584</v>
      </c>
      <c r="AS104" s="166">
        <v>136</v>
      </c>
      <c r="AT104" s="207"/>
      <c r="AU104" s="170"/>
      <c r="AV104" s="190">
        <v>326</v>
      </c>
      <c r="AW104" s="166">
        <v>387</v>
      </c>
      <c r="AX104" s="208">
        <v>431</v>
      </c>
      <c r="AY104" s="170">
        <v>221</v>
      </c>
      <c r="AZ104" s="45">
        <v>273</v>
      </c>
      <c r="BA104" s="58">
        <v>428</v>
      </c>
      <c r="BB104" s="190"/>
      <c r="BC104" s="167"/>
      <c r="BD104" s="190"/>
      <c r="BE104" s="167"/>
      <c r="BF104" s="190"/>
      <c r="BG104" s="167"/>
      <c r="BH104" s="190"/>
      <c r="BI104" s="167"/>
      <c r="BJ104" s="190"/>
      <c r="BK104" s="167"/>
    </row>
    <row r="105" spans="1:63" ht="13" x14ac:dyDescent="0.25">
      <c r="A105" s="372">
        <v>1503</v>
      </c>
      <c r="B105" s="373" t="s">
        <v>237</v>
      </c>
      <c r="C105" s="360">
        <v>1018</v>
      </c>
      <c r="D105" s="54">
        <v>244</v>
      </c>
      <c r="E105" s="367">
        <v>0.25529767911200807</v>
      </c>
      <c r="F105" s="45">
        <v>212</v>
      </c>
      <c r="G105" s="58">
        <v>24</v>
      </c>
      <c r="H105" s="45">
        <v>207</v>
      </c>
      <c r="I105" s="57">
        <v>33</v>
      </c>
      <c r="J105" s="97"/>
      <c r="K105" s="58"/>
      <c r="L105" s="45"/>
      <c r="M105" s="57"/>
      <c r="N105" s="97"/>
      <c r="O105" s="58"/>
      <c r="P105" s="165"/>
      <c r="Q105" s="166"/>
      <c r="R105" s="207"/>
      <c r="S105" s="170"/>
      <c r="T105" s="165"/>
      <c r="U105" s="166"/>
      <c r="V105" s="207"/>
      <c r="W105" s="170"/>
      <c r="X105" s="165"/>
      <c r="Y105" s="166"/>
      <c r="Z105" s="207"/>
      <c r="AA105" s="170"/>
      <c r="AB105" s="165"/>
      <c r="AC105" s="166"/>
      <c r="AD105" s="207"/>
      <c r="AE105" s="170"/>
      <c r="AF105" s="165"/>
      <c r="AG105" s="166"/>
      <c r="AH105" s="207"/>
      <c r="AI105" s="170"/>
      <c r="AJ105" s="165"/>
      <c r="AK105" s="166"/>
      <c r="AL105" s="207"/>
      <c r="AM105" s="170"/>
      <c r="AN105" s="165"/>
      <c r="AO105" s="166"/>
      <c r="AP105" s="207">
        <v>167</v>
      </c>
      <c r="AQ105" s="170">
        <v>70</v>
      </c>
      <c r="AR105" s="165">
        <v>165</v>
      </c>
      <c r="AS105" s="166">
        <v>67</v>
      </c>
      <c r="AT105" s="207"/>
      <c r="AU105" s="170"/>
      <c r="AV105" s="190">
        <v>117</v>
      </c>
      <c r="AW105" s="166">
        <v>121</v>
      </c>
      <c r="AX105" s="208">
        <v>124</v>
      </c>
      <c r="AY105" s="170">
        <v>95</v>
      </c>
      <c r="AZ105" s="45">
        <v>71</v>
      </c>
      <c r="BA105" s="58">
        <v>156</v>
      </c>
      <c r="BB105" s="190"/>
      <c r="BC105" s="167"/>
      <c r="BD105" s="190"/>
      <c r="BE105" s="167"/>
      <c r="BF105" s="190"/>
      <c r="BG105" s="167"/>
      <c r="BH105" s="190"/>
      <c r="BI105" s="167"/>
      <c r="BJ105" s="190"/>
      <c r="BK105" s="167"/>
    </row>
    <row r="106" spans="1:63" ht="13" x14ac:dyDescent="0.25">
      <c r="A106" s="372">
        <v>1504</v>
      </c>
      <c r="B106" s="373" t="s">
        <v>238</v>
      </c>
      <c r="C106" s="360">
        <v>821</v>
      </c>
      <c r="D106" s="54">
        <v>321</v>
      </c>
      <c r="E106" s="367">
        <v>0.40887850467289721</v>
      </c>
      <c r="F106" s="45">
        <v>278</v>
      </c>
      <c r="G106" s="58">
        <v>37</v>
      </c>
      <c r="H106" s="45">
        <v>244</v>
      </c>
      <c r="I106" s="57">
        <v>69</v>
      </c>
      <c r="J106" s="97"/>
      <c r="K106" s="58"/>
      <c r="L106" s="45"/>
      <c r="M106" s="57"/>
      <c r="N106" s="97"/>
      <c r="O106" s="58"/>
      <c r="P106" s="165"/>
      <c r="Q106" s="166"/>
      <c r="R106" s="207"/>
      <c r="S106" s="170"/>
      <c r="T106" s="165"/>
      <c r="U106" s="166"/>
      <c r="V106" s="207"/>
      <c r="W106" s="170"/>
      <c r="X106" s="165"/>
      <c r="Y106" s="166"/>
      <c r="Z106" s="207"/>
      <c r="AA106" s="170"/>
      <c r="AB106" s="165"/>
      <c r="AC106" s="166"/>
      <c r="AD106" s="207"/>
      <c r="AE106" s="170"/>
      <c r="AF106" s="165"/>
      <c r="AG106" s="166"/>
      <c r="AH106" s="207"/>
      <c r="AI106" s="170"/>
      <c r="AJ106" s="165"/>
      <c r="AK106" s="166"/>
      <c r="AL106" s="207"/>
      <c r="AM106" s="170"/>
      <c r="AN106" s="165"/>
      <c r="AO106" s="166"/>
      <c r="AP106" s="207">
        <v>218</v>
      </c>
      <c r="AQ106" s="170">
        <v>94</v>
      </c>
      <c r="AR106" s="165">
        <v>195</v>
      </c>
      <c r="AS106" s="166">
        <v>117</v>
      </c>
      <c r="AT106" s="207"/>
      <c r="AU106" s="170"/>
      <c r="AV106" s="190">
        <v>153</v>
      </c>
      <c r="AW106" s="166">
        <v>160</v>
      </c>
      <c r="AX106" s="208">
        <v>179</v>
      </c>
      <c r="AY106" s="170">
        <v>112</v>
      </c>
      <c r="AZ106" s="45">
        <v>117</v>
      </c>
      <c r="BA106" s="58">
        <v>181</v>
      </c>
      <c r="BB106" s="190"/>
      <c r="BC106" s="167"/>
      <c r="BD106" s="190"/>
      <c r="BE106" s="167"/>
      <c r="BF106" s="190"/>
      <c r="BG106" s="167"/>
      <c r="BH106" s="190"/>
      <c r="BI106" s="167"/>
      <c r="BJ106" s="190"/>
      <c r="BK106" s="167"/>
    </row>
    <row r="107" spans="1:63" ht="13" x14ac:dyDescent="0.25">
      <c r="A107" s="372">
        <v>1505</v>
      </c>
      <c r="B107" s="373" t="s">
        <v>239</v>
      </c>
      <c r="C107" s="360">
        <v>1429</v>
      </c>
      <c r="D107" s="54">
        <v>731</v>
      </c>
      <c r="E107" s="367">
        <v>0.52676056338028165</v>
      </c>
      <c r="F107" s="45">
        <v>665</v>
      </c>
      <c r="G107" s="58">
        <v>64</v>
      </c>
      <c r="H107" s="45">
        <v>618</v>
      </c>
      <c r="I107" s="57">
        <v>103</v>
      </c>
      <c r="J107" s="97"/>
      <c r="K107" s="58"/>
      <c r="L107" s="45"/>
      <c r="M107" s="57"/>
      <c r="N107" s="97"/>
      <c r="O107" s="58"/>
      <c r="P107" s="165"/>
      <c r="Q107" s="166"/>
      <c r="R107" s="207"/>
      <c r="S107" s="170"/>
      <c r="T107" s="165"/>
      <c r="U107" s="166"/>
      <c r="V107" s="207"/>
      <c r="W107" s="170"/>
      <c r="X107" s="165"/>
      <c r="Y107" s="166"/>
      <c r="Z107" s="207"/>
      <c r="AA107" s="170"/>
      <c r="AB107" s="165"/>
      <c r="AC107" s="166"/>
      <c r="AD107" s="207"/>
      <c r="AE107" s="170"/>
      <c r="AF107" s="165"/>
      <c r="AG107" s="166"/>
      <c r="AH107" s="207"/>
      <c r="AI107" s="170"/>
      <c r="AJ107" s="165"/>
      <c r="AK107" s="166"/>
      <c r="AL107" s="207"/>
      <c r="AM107" s="170"/>
      <c r="AN107" s="165"/>
      <c r="AO107" s="166"/>
      <c r="AP107" s="207">
        <v>630</v>
      </c>
      <c r="AQ107" s="170">
        <v>84</v>
      </c>
      <c r="AR107" s="165">
        <v>596</v>
      </c>
      <c r="AS107" s="166">
        <v>107</v>
      </c>
      <c r="AT107" s="207"/>
      <c r="AU107" s="170"/>
      <c r="AV107" s="190">
        <v>344</v>
      </c>
      <c r="AW107" s="166">
        <v>368</v>
      </c>
      <c r="AX107" s="208">
        <v>452</v>
      </c>
      <c r="AY107" s="170">
        <v>167</v>
      </c>
      <c r="AZ107" s="45">
        <v>298</v>
      </c>
      <c r="BA107" s="58">
        <v>385</v>
      </c>
      <c r="BB107" s="190"/>
      <c r="BC107" s="167"/>
      <c r="BD107" s="190"/>
      <c r="BE107" s="167"/>
      <c r="BF107" s="190"/>
      <c r="BG107" s="167"/>
      <c r="BH107" s="190"/>
      <c r="BI107" s="167"/>
      <c r="BJ107" s="190"/>
      <c r="BK107" s="167"/>
    </row>
    <row r="108" spans="1:63" ht="13" x14ac:dyDescent="0.25">
      <c r="A108" s="372">
        <v>1506</v>
      </c>
      <c r="B108" s="373" t="s">
        <v>240</v>
      </c>
      <c r="C108" s="360">
        <v>1165</v>
      </c>
      <c r="D108" s="54">
        <v>519</v>
      </c>
      <c r="E108" s="367">
        <v>0.5013824884792627</v>
      </c>
      <c r="F108" s="45">
        <v>467</v>
      </c>
      <c r="G108" s="58">
        <v>49</v>
      </c>
      <c r="H108" s="45">
        <v>433</v>
      </c>
      <c r="I108" s="57">
        <v>81</v>
      </c>
      <c r="J108" s="97"/>
      <c r="K108" s="58"/>
      <c r="L108" s="45"/>
      <c r="M108" s="57"/>
      <c r="N108" s="97"/>
      <c r="O108" s="58"/>
      <c r="P108" s="165"/>
      <c r="Q108" s="166"/>
      <c r="R108" s="207"/>
      <c r="S108" s="170"/>
      <c r="T108" s="165"/>
      <c r="U108" s="166"/>
      <c r="V108" s="207"/>
      <c r="W108" s="170"/>
      <c r="X108" s="165"/>
      <c r="Y108" s="166"/>
      <c r="Z108" s="207"/>
      <c r="AA108" s="170"/>
      <c r="AB108" s="165"/>
      <c r="AC108" s="166"/>
      <c r="AD108" s="207"/>
      <c r="AE108" s="170"/>
      <c r="AF108" s="165"/>
      <c r="AG108" s="166"/>
      <c r="AH108" s="207"/>
      <c r="AI108" s="170"/>
      <c r="AJ108" s="165"/>
      <c r="AK108" s="166"/>
      <c r="AL108" s="207"/>
      <c r="AM108" s="170"/>
      <c r="AN108" s="165"/>
      <c r="AO108" s="166"/>
      <c r="AP108" s="207">
        <v>438</v>
      </c>
      <c r="AQ108" s="170">
        <v>76</v>
      </c>
      <c r="AR108" s="165">
        <v>416</v>
      </c>
      <c r="AS108" s="166">
        <v>94</v>
      </c>
      <c r="AT108" s="207"/>
      <c r="AU108" s="170"/>
      <c r="AV108" s="190">
        <v>279</v>
      </c>
      <c r="AW108" s="166">
        <v>234</v>
      </c>
      <c r="AX108" s="208">
        <v>311</v>
      </c>
      <c r="AY108" s="170">
        <v>147</v>
      </c>
      <c r="AZ108" s="45">
        <v>197</v>
      </c>
      <c r="BA108" s="58">
        <v>297</v>
      </c>
      <c r="BB108" s="190"/>
      <c r="BC108" s="167"/>
      <c r="BD108" s="190"/>
      <c r="BE108" s="167"/>
      <c r="BF108" s="190"/>
      <c r="BG108" s="167"/>
      <c r="BH108" s="190"/>
      <c r="BI108" s="167"/>
      <c r="BJ108" s="190"/>
      <c r="BK108" s="167"/>
    </row>
    <row r="109" spans="1:63" ht="13" x14ac:dyDescent="0.25">
      <c r="A109" s="372">
        <v>1507</v>
      </c>
      <c r="B109" s="373" t="s">
        <v>241</v>
      </c>
      <c r="C109" s="360">
        <v>705</v>
      </c>
      <c r="D109" s="54">
        <v>340</v>
      </c>
      <c r="E109" s="367">
        <v>0.51313969571230977</v>
      </c>
      <c r="F109" s="45">
        <v>304</v>
      </c>
      <c r="G109" s="58">
        <v>34</v>
      </c>
      <c r="H109" s="45">
        <v>279</v>
      </c>
      <c r="I109" s="57">
        <v>60</v>
      </c>
      <c r="J109" s="97"/>
      <c r="K109" s="58"/>
      <c r="L109" s="45"/>
      <c r="M109" s="57"/>
      <c r="N109" s="97"/>
      <c r="O109" s="58"/>
      <c r="P109" s="165"/>
      <c r="Q109" s="166"/>
      <c r="R109" s="207"/>
      <c r="S109" s="170"/>
      <c r="T109" s="165"/>
      <c r="U109" s="166"/>
      <c r="V109" s="207"/>
      <c r="W109" s="170"/>
      <c r="X109" s="165"/>
      <c r="Y109" s="166"/>
      <c r="Z109" s="207"/>
      <c r="AA109" s="170"/>
      <c r="AB109" s="165"/>
      <c r="AC109" s="166"/>
      <c r="AD109" s="207"/>
      <c r="AE109" s="170"/>
      <c r="AF109" s="165"/>
      <c r="AG109" s="166"/>
      <c r="AH109" s="207"/>
      <c r="AI109" s="170"/>
      <c r="AJ109" s="165"/>
      <c r="AK109" s="166"/>
      <c r="AL109" s="207"/>
      <c r="AM109" s="170"/>
      <c r="AN109" s="165"/>
      <c r="AO109" s="166"/>
      <c r="AP109" s="207">
        <v>266</v>
      </c>
      <c r="AQ109" s="170">
        <v>68</v>
      </c>
      <c r="AR109" s="165">
        <v>252</v>
      </c>
      <c r="AS109" s="166">
        <v>76</v>
      </c>
      <c r="AT109" s="207"/>
      <c r="AU109" s="170"/>
      <c r="AV109" s="190">
        <v>160</v>
      </c>
      <c r="AW109" s="166">
        <v>174</v>
      </c>
      <c r="AX109" s="208">
        <v>186</v>
      </c>
      <c r="AY109" s="170">
        <v>112</v>
      </c>
      <c r="AZ109" s="45">
        <v>121</v>
      </c>
      <c r="BA109" s="58">
        <v>205</v>
      </c>
      <c r="BB109" s="190"/>
      <c r="BC109" s="167"/>
      <c r="BD109" s="190"/>
      <c r="BE109" s="167"/>
      <c r="BF109" s="190"/>
      <c r="BG109" s="167"/>
      <c r="BH109" s="190"/>
      <c r="BI109" s="167"/>
      <c r="BJ109" s="190"/>
      <c r="BK109" s="167"/>
    </row>
    <row r="110" spans="1:63" ht="13" x14ac:dyDescent="0.25">
      <c r="A110" s="372">
        <v>1508</v>
      </c>
      <c r="B110" s="373" t="s">
        <v>242</v>
      </c>
      <c r="C110" s="360">
        <v>1183</v>
      </c>
      <c r="D110" s="54">
        <v>799</v>
      </c>
      <c r="E110" s="367">
        <v>0.6784810126582278</v>
      </c>
      <c r="F110" s="45">
        <v>694</v>
      </c>
      <c r="G110" s="58">
        <v>99</v>
      </c>
      <c r="H110" s="45">
        <v>599</v>
      </c>
      <c r="I110" s="57">
        <v>187</v>
      </c>
      <c r="J110" s="97"/>
      <c r="K110" s="58"/>
      <c r="L110" s="45"/>
      <c r="M110" s="57"/>
      <c r="N110" s="97"/>
      <c r="O110" s="58"/>
      <c r="P110" s="165"/>
      <c r="Q110" s="166"/>
      <c r="R110" s="207"/>
      <c r="S110" s="170"/>
      <c r="T110" s="165"/>
      <c r="U110" s="166"/>
      <c r="V110" s="207"/>
      <c r="W110" s="170"/>
      <c r="X110" s="165"/>
      <c r="Y110" s="166"/>
      <c r="Z110" s="207"/>
      <c r="AA110" s="170"/>
      <c r="AB110" s="165"/>
      <c r="AC110" s="166"/>
      <c r="AD110" s="207"/>
      <c r="AE110" s="170"/>
      <c r="AF110" s="165"/>
      <c r="AG110" s="166"/>
      <c r="AH110" s="207"/>
      <c r="AI110" s="170"/>
      <c r="AJ110" s="165"/>
      <c r="AK110" s="166"/>
      <c r="AL110" s="207"/>
      <c r="AM110" s="170"/>
      <c r="AN110" s="165"/>
      <c r="AO110" s="166"/>
      <c r="AP110" s="207">
        <v>675</v>
      </c>
      <c r="AQ110" s="170">
        <v>115</v>
      </c>
      <c r="AR110" s="165">
        <v>605</v>
      </c>
      <c r="AS110" s="166">
        <v>181</v>
      </c>
      <c r="AT110" s="207"/>
      <c r="AU110" s="170"/>
      <c r="AV110" s="190">
        <v>402</v>
      </c>
      <c r="AW110" s="166">
        <v>384</v>
      </c>
      <c r="AX110" s="208">
        <v>499</v>
      </c>
      <c r="AY110" s="170">
        <v>204</v>
      </c>
      <c r="AZ110" s="45">
        <v>237</v>
      </c>
      <c r="BA110" s="58">
        <v>525</v>
      </c>
      <c r="BB110" s="190"/>
      <c r="BC110" s="167"/>
      <c r="BD110" s="190"/>
      <c r="BE110" s="167"/>
      <c r="BF110" s="190"/>
      <c r="BG110" s="167"/>
      <c r="BH110" s="190"/>
      <c r="BI110" s="167"/>
      <c r="BJ110" s="190"/>
      <c r="BK110" s="167"/>
    </row>
    <row r="111" spans="1:63" ht="13" x14ac:dyDescent="0.25">
      <c r="A111" s="372">
        <v>1509</v>
      </c>
      <c r="B111" s="373" t="s">
        <v>243</v>
      </c>
      <c r="C111" s="360">
        <v>1050</v>
      </c>
      <c r="D111" s="54">
        <v>470</v>
      </c>
      <c r="E111" s="367">
        <v>0.46161137440758293</v>
      </c>
      <c r="F111" s="45">
        <v>417</v>
      </c>
      <c r="G111" s="58">
        <v>49</v>
      </c>
      <c r="H111" s="45">
        <v>375</v>
      </c>
      <c r="I111" s="57">
        <v>89</v>
      </c>
      <c r="J111" s="97"/>
      <c r="K111" s="58"/>
      <c r="L111" s="45"/>
      <c r="M111" s="57"/>
      <c r="N111" s="97"/>
      <c r="O111" s="58"/>
      <c r="P111" s="165"/>
      <c r="Q111" s="166"/>
      <c r="R111" s="207"/>
      <c r="S111" s="170"/>
      <c r="T111" s="165"/>
      <c r="U111" s="166"/>
      <c r="V111" s="207"/>
      <c r="W111" s="170"/>
      <c r="X111" s="165"/>
      <c r="Y111" s="166"/>
      <c r="Z111" s="207"/>
      <c r="AA111" s="170"/>
      <c r="AB111" s="165"/>
      <c r="AC111" s="166"/>
      <c r="AD111" s="207"/>
      <c r="AE111" s="170"/>
      <c r="AF111" s="165"/>
      <c r="AG111" s="166"/>
      <c r="AH111" s="207"/>
      <c r="AI111" s="170"/>
      <c r="AJ111" s="165"/>
      <c r="AK111" s="166"/>
      <c r="AL111" s="207"/>
      <c r="AM111" s="170"/>
      <c r="AN111" s="165"/>
      <c r="AO111" s="166"/>
      <c r="AP111" s="207">
        <v>416</v>
      </c>
      <c r="AQ111" s="170">
        <v>51</v>
      </c>
      <c r="AR111" s="165">
        <v>396</v>
      </c>
      <c r="AS111" s="166">
        <v>69</v>
      </c>
      <c r="AT111" s="207"/>
      <c r="AU111" s="170"/>
      <c r="AV111" s="190">
        <v>258</v>
      </c>
      <c r="AW111" s="166">
        <v>201</v>
      </c>
      <c r="AX111" s="208">
        <v>312</v>
      </c>
      <c r="AY111" s="170">
        <v>116</v>
      </c>
      <c r="AZ111" s="45">
        <v>157</v>
      </c>
      <c r="BA111" s="58">
        <v>291</v>
      </c>
      <c r="BB111" s="190"/>
      <c r="BC111" s="167"/>
      <c r="BD111" s="190"/>
      <c r="BE111" s="167"/>
      <c r="BF111" s="190"/>
      <c r="BG111" s="167"/>
      <c r="BH111" s="190"/>
      <c r="BI111" s="167"/>
      <c r="BJ111" s="190"/>
      <c r="BK111" s="167"/>
    </row>
    <row r="112" spans="1:63" ht="13" x14ac:dyDescent="0.25">
      <c r="A112" s="372">
        <v>1510</v>
      </c>
      <c r="B112" s="373" t="s">
        <v>244</v>
      </c>
      <c r="C112" s="360">
        <v>808</v>
      </c>
      <c r="D112" s="54">
        <v>210</v>
      </c>
      <c r="E112" s="367">
        <v>0.30024213075060535</v>
      </c>
      <c r="F112" s="45">
        <v>186</v>
      </c>
      <c r="G112" s="58">
        <v>20</v>
      </c>
      <c r="H112" s="45">
        <v>175</v>
      </c>
      <c r="I112" s="57">
        <v>32</v>
      </c>
      <c r="J112" s="97"/>
      <c r="K112" s="58"/>
      <c r="L112" s="45"/>
      <c r="M112" s="57"/>
      <c r="N112" s="97"/>
      <c r="O112" s="58"/>
      <c r="P112" s="165"/>
      <c r="Q112" s="166"/>
      <c r="R112" s="207"/>
      <c r="S112" s="170"/>
      <c r="T112" s="165"/>
      <c r="U112" s="166"/>
      <c r="V112" s="207"/>
      <c r="W112" s="170"/>
      <c r="X112" s="165"/>
      <c r="Y112" s="166"/>
      <c r="Z112" s="207"/>
      <c r="AA112" s="170"/>
      <c r="AB112" s="165"/>
      <c r="AC112" s="166"/>
      <c r="AD112" s="207"/>
      <c r="AE112" s="170"/>
      <c r="AF112" s="165"/>
      <c r="AG112" s="166"/>
      <c r="AH112" s="207"/>
      <c r="AI112" s="170"/>
      <c r="AJ112" s="165"/>
      <c r="AK112" s="166"/>
      <c r="AL112" s="207"/>
      <c r="AM112" s="170"/>
      <c r="AN112" s="165"/>
      <c r="AO112" s="166"/>
      <c r="AP112" s="207">
        <v>134</v>
      </c>
      <c r="AQ112" s="170">
        <v>70</v>
      </c>
      <c r="AR112" s="165">
        <v>136</v>
      </c>
      <c r="AS112" s="166">
        <v>68</v>
      </c>
      <c r="AT112" s="207"/>
      <c r="AU112" s="170"/>
      <c r="AV112" s="190">
        <v>99</v>
      </c>
      <c r="AW112" s="166">
        <v>105</v>
      </c>
      <c r="AX112" s="208">
        <v>111</v>
      </c>
      <c r="AY112" s="170">
        <v>68</v>
      </c>
      <c r="AZ112" s="45">
        <v>64</v>
      </c>
      <c r="BA112" s="58">
        <v>136</v>
      </c>
      <c r="BB112" s="190"/>
      <c r="BC112" s="167"/>
      <c r="BD112" s="190"/>
      <c r="BE112" s="167"/>
      <c r="BF112" s="190"/>
      <c r="BG112" s="167"/>
      <c r="BH112" s="190"/>
      <c r="BI112" s="167"/>
      <c r="BJ112" s="190"/>
      <c r="BK112" s="167"/>
    </row>
    <row r="113" spans="1:63" ht="13" x14ac:dyDescent="0.25">
      <c r="A113" s="372">
        <v>1601</v>
      </c>
      <c r="B113" s="373" t="s">
        <v>245</v>
      </c>
      <c r="C113" s="360">
        <v>1451</v>
      </c>
      <c r="D113" s="54">
        <v>280</v>
      </c>
      <c r="E113" s="367">
        <v>0.21352313167259787</v>
      </c>
      <c r="F113" s="45">
        <v>238</v>
      </c>
      <c r="G113" s="58">
        <v>39</v>
      </c>
      <c r="H113" s="45">
        <v>240</v>
      </c>
      <c r="I113" s="57">
        <v>38</v>
      </c>
      <c r="J113" s="97"/>
      <c r="K113" s="58"/>
      <c r="L113" s="45"/>
      <c r="M113" s="57"/>
      <c r="N113" s="97"/>
      <c r="O113" s="58"/>
      <c r="P113" s="165"/>
      <c r="Q113" s="166"/>
      <c r="R113" s="207"/>
      <c r="S113" s="170"/>
      <c r="T113" s="165"/>
      <c r="U113" s="166"/>
      <c r="V113" s="207"/>
      <c r="W113" s="170"/>
      <c r="X113" s="165"/>
      <c r="Y113" s="166"/>
      <c r="Z113" s="207"/>
      <c r="AA113" s="170"/>
      <c r="AB113" s="165"/>
      <c r="AC113" s="166"/>
      <c r="AD113" s="207"/>
      <c r="AE113" s="170"/>
      <c r="AF113" s="165"/>
      <c r="AG113" s="166"/>
      <c r="AH113" s="207"/>
      <c r="AI113" s="170"/>
      <c r="AJ113" s="165"/>
      <c r="AK113" s="166"/>
      <c r="AL113" s="207"/>
      <c r="AM113" s="170"/>
      <c r="AN113" s="165"/>
      <c r="AO113" s="166"/>
      <c r="AP113" s="207">
        <v>202</v>
      </c>
      <c r="AQ113" s="170">
        <v>68</v>
      </c>
      <c r="AR113" s="165">
        <v>180</v>
      </c>
      <c r="AS113" s="166">
        <v>84</v>
      </c>
      <c r="AT113" s="207"/>
      <c r="AU113" s="170"/>
      <c r="AV113" s="190">
        <v>171</v>
      </c>
      <c r="AW113" s="166">
        <v>100</v>
      </c>
      <c r="AX113" s="208">
        <v>161</v>
      </c>
      <c r="AY113" s="170">
        <v>80</v>
      </c>
      <c r="AZ113" s="45">
        <v>85</v>
      </c>
      <c r="BA113" s="58">
        <v>171</v>
      </c>
      <c r="BB113" s="190"/>
      <c r="BC113" s="167"/>
      <c r="BD113" s="190"/>
      <c r="BE113" s="167"/>
      <c r="BF113" s="190"/>
      <c r="BG113" s="167"/>
      <c r="BH113" s="190"/>
      <c r="BI113" s="167"/>
      <c r="BJ113" s="190"/>
      <c r="BK113" s="167"/>
    </row>
    <row r="114" spans="1:63" ht="13" x14ac:dyDescent="0.25">
      <c r="A114" s="372">
        <v>1701</v>
      </c>
      <c r="B114" s="373" t="s">
        <v>246</v>
      </c>
      <c r="C114" s="360">
        <v>1596</v>
      </c>
      <c r="D114" s="54">
        <v>385</v>
      </c>
      <c r="E114" s="367">
        <v>0.27869897959183676</v>
      </c>
      <c r="F114" s="45">
        <v>331</v>
      </c>
      <c r="G114" s="58">
        <v>44</v>
      </c>
      <c r="H114" s="45">
        <v>322</v>
      </c>
      <c r="I114" s="57">
        <v>56</v>
      </c>
      <c r="J114" s="97"/>
      <c r="K114" s="58"/>
      <c r="L114" s="45"/>
      <c r="M114" s="57"/>
      <c r="N114" s="97"/>
      <c r="O114" s="58"/>
      <c r="P114" s="165"/>
      <c r="Q114" s="166"/>
      <c r="R114" s="207"/>
      <c r="S114" s="170"/>
      <c r="T114" s="165"/>
      <c r="U114" s="166"/>
      <c r="V114" s="207"/>
      <c r="W114" s="170"/>
      <c r="X114" s="165"/>
      <c r="Y114" s="166"/>
      <c r="Z114" s="207"/>
      <c r="AA114" s="170"/>
      <c r="AB114" s="165"/>
      <c r="AC114" s="166"/>
      <c r="AD114" s="207"/>
      <c r="AE114" s="170"/>
      <c r="AF114" s="165"/>
      <c r="AG114" s="166"/>
      <c r="AH114" s="207"/>
      <c r="AI114" s="170"/>
      <c r="AJ114" s="165"/>
      <c r="AK114" s="166"/>
      <c r="AL114" s="207"/>
      <c r="AM114" s="170"/>
      <c r="AN114" s="165"/>
      <c r="AO114" s="166"/>
      <c r="AP114" s="207">
        <v>248</v>
      </c>
      <c r="AQ114" s="170">
        <v>119</v>
      </c>
      <c r="AR114" s="165">
        <v>262</v>
      </c>
      <c r="AS114" s="166">
        <v>109</v>
      </c>
      <c r="AT114" s="207"/>
      <c r="AU114" s="170"/>
      <c r="AV114" s="190">
        <v>218</v>
      </c>
      <c r="AW114" s="166">
        <v>157</v>
      </c>
      <c r="AX114" s="208">
        <v>223</v>
      </c>
      <c r="AY114" s="170">
        <v>117</v>
      </c>
      <c r="AZ114" s="45">
        <v>149</v>
      </c>
      <c r="BA114" s="58">
        <v>214</v>
      </c>
      <c r="BB114" s="190"/>
      <c r="BC114" s="167"/>
      <c r="BD114" s="190"/>
      <c r="BE114" s="167"/>
      <c r="BF114" s="190"/>
      <c r="BG114" s="167"/>
      <c r="BH114" s="190"/>
      <c r="BI114" s="167"/>
      <c r="BJ114" s="190"/>
      <c r="BK114" s="167"/>
    </row>
    <row r="115" spans="1:63" ht="13" x14ac:dyDescent="0.25">
      <c r="A115" s="372">
        <v>1702</v>
      </c>
      <c r="B115" s="373" t="s">
        <v>247</v>
      </c>
      <c r="C115" s="360">
        <v>1674</v>
      </c>
      <c r="D115" s="54">
        <v>494</v>
      </c>
      <c r="E115" s="367">
        <v>0.33354231974921628</v>
      </c>
      <c r="F115" s="45">
        <v>443</v>
      </c>
      <c r="G115" s="58">
        <v>43</v>
      </c>
      <c r="H115" s="45">
        <v>424</v>
      </c>
      <c r="I115" s="57">
        <v>62</v>
      </c>
      <c r="J115" s="97"/>
      <c r="K115" s="58"/>
      <c r="L115" s="45"/>
      <c r="M115" s="57"/>
      <c r="N115" s="97"/>
      <c r="O115" s="58"/>
      <c r="P115" s="165"/>
      <c r="Q115" s="166"/>
      <c r="R115" s="207"/>
      <c r="S115" s="170"/>
      <c r="T115" s="165"/>
      <c r="U115" s="166"/>
      <c r="V115" s="207"/>
      <c r="W115" s="170"/>
      <c r="X115" s="165"/>
      <c r="Y115" s="166"/>
      <c r="Z115" s="207"/>
      <c r="AA115" s="170"/>
      <c r="AB115" s="165"/>
      <c r="AC115" s="166"/>
      <c r="AD115" s="207"/>
      <c r="AE115" s="170"/>
      <c r="AF115" s="165"/>
      <c r="AG115" s="166"/>
      <c r="AH115" s="207"/>
      <c r="AI115" s="170"/>
      <c r="AJ115" s="165"/>
      <c r="AK115" s="166"/>
      <c r="AL115" s="207"/>
      <c r="AM115" s="170"/>
      <c r="AN115" s="165"/>
      <c r="AO115" s="166"/>
      <c r="AP115" s="207">
        <v>399</v>
      </c>
      <c r="AQ115" s="170">
        <v>84</v>
      </c>
      <c r="AR115" s="165">
        <v>356</v>
      </c>
      <c r="AS115" s="166">
        <v>117</v>
      </c>
      <c r="AT115" s="207"/>
      <c r="AU115" s="170"/>
      <c r="AV115" s="190">
        <v>258</v>
      </c>
      <c r="AW115" s="166">
        <v>224</v>
      </c>
      <c r="AX115" s="208">
        <v>287</v>
      </c>
      <c r="AY115" s="170">
        <v>128</v>
      </c>
      <c r="AZ115" s="45">
        <v>188</v>
      </c>
      <c r="BA115" s="58">
        <v>265</v>
      </c>
      <c r="BB115" s="190"/>
      <c r="BC115" s="167"/>
      <c r="BD115" s="190"/>
      <c r="BE115" s="167"/>
      <c r="BF115" s="190"/>
      <c r="BG115" s="167"/>
      <c r="BH115" s="190"/>
      <c r="BI115" s="167"/>
      <c r="BJ115" s="190"/>
      <c r="BK115" s="167"/>
    </row>
    <row r="116" spans="1:63" ht="13" x14ac:dyDescent="0.25">
      <c r="A116" s="372">
        <v>1703</v>
      </c>
      <c r="B116" s="373" t="s">
        <v>248</v>
      </c>
      <c r="C116" s="360">
        <v>1155</v>
      </c>
      <c r="D116" s="54">
        <v>337</v>
      </c>
      <c r="E116" s="367">
        <v>0.32363013698630139</v>
      </c>
      <c r="F116" s="45">
        <v>302</v>
      </c>
      <c r="G116" s="58">
        <v>31</v>
      </c>
      <c r="H116" s="45">
        <v>281</v>
      </c>
      <c r="I116" s="57">
        <v>51</v>
      </c>
      <c r="J116" s="97"/>
      <c r="K116" s="58"/>
      <c r="L116" s="45"/>
      <c r="M116" s="57"/>
      <c r="N116" s="97"/>
      <c r="O116" s="58"/>
      <c r="P116" s="165"/>
      <c r="Q116" s="166"/>
      <c r="R116" s="207"/>
      <c r="S116" s="170"/>
      <c r="T116" s="165"/>
      <c r="U116" s="166"/>
      <c r="V116" s="207"/>
      <c r="W116" s="170"/>
      <c r="X116" s="165"/>
      <c r="Y116" s="166"/>
      <c r="Z116" s="207"/>
      <c r="AA116" s="170"/>
      <c r="AB116" s="165"/>
      <c r="AC116" s="166"/>
      <c r="AD116" s="207"/>
      <c r="AE116" s="170"/>
      <c r="AF116" s="165"/>
      <c r="AG116" s="166"/>
      <c r="AH116" s="207"/>
      <c r="AI116" s="170"/>
      <c r="AJ116" s="165"/>
      <c r="AK116" s="166"/>
      <c r="AL116" s="207"/>
      <c r="AM116" s="170"/>
      <c r="AN116" s="165"/>
      <c r="AO116" s="166"/>
      <c r="AP116" s="207">
        <v>241</v>
      </c>
      <c r="AQ116" s="170">
        <v>82</v>
      </c>
      <c r="AR116" s="165">
        <v>226</v>
      </c>
      <c r="AS116" s="166">
        <v>100</v>
      </c>
      <c r="AT116" s="207"/>
      <c r="AU116" s="170"/>
      <c r="AV116" s="190">
        <v>187</v>
      </c>
      <c r="AW116" s="166">
        <v>144</v>
      </c>
      <c r="AX116" s="208">
        <v>210</v>
      </c>
      <c r="AY116" s="170">
        <v>96</v>
      </c>
      <c r="AZ116" s="45">
        <v>113</v>
      </c>
      <c r="BA116" s="58">
        <v>205</v>
      </c>
      <c r="BB116" s="190"/>
      <c r="BC116" s="167"/>
      <c r="BD116" s="190"/>
      <c r="BE116" s="167"/>
      <c r="BF116" s="190"/>
      <c r="BG116" s="167"/>
      <c r="BH116" s="190"/>
      <c r="BI116" s="167"/>
      <c r="BJ116" s="190"/>
      <c r="BK116" s="167"/>
    </row>
    <row r="117" spans="1:63" ht="13" x14ac:dyDescent="0.25">
      <c r="A117" s="372">
        <v>1801</v>
      </c>
      <c r="B117" s="373" t="s">
        <v>249</v>
      </c>
      <c r="C117" s="360">
        <v>1066</v>
      </c>
      <c r="D117" s="54">
        <v>256</v>
      </c>
      <c r="E117" s="367">
        <v>0.26152398871119475</v>
      </c>
      <c r="F117" s="45">
        <v>219</v>
      </c>
      <c r="G117" s="58">
        <v>30</v>
      </c>
      <c r="H117" s="45">
        <v>218</v>
      </c>
      <c r="I117" s="57">
        <v>37</v>
      </c>
      <c r="J117" s="97"/>
      <c r="K117" s="58"/>
      <c r="L117" s="45"/>
      <c r="M117" s="57"/>
      <c r="N117" s="97"/>
      <c r="O117" s="58"/>
      <c r="P117" s="165"/>
      <c r="Q117" s="166"/>
      <c r="R117" s="207"/>
      <c r="S117" s="170"/>
      <c r="T117" s="165"/>
      <c r="U117" s="166"/>
      <c r="V117" s="207"/>
      <c r="W117" s="170"/>
      <c r="X117" s="165"/>
      <c r="Y117" s="166"/>
      <c r="Z117" s="207"/>
      <c r="AA117" s="170"/>
      <c r="AB117" s="165"/>
      <c r="AC117" s="166"/>
      <c r="AD117" s="207"/>
      <c r="AE117" s="170"/>
      <c r="AF117" s="165"/>
      <c r="AG117" s="166"/>
      <c r="AH117" s="207"/>
      <c r="AI117" s="170"/>
      <c r="AJ117" s="165"/>
      <c r="AK117" s="166"/>
      <c r="AL117" s="207"/>
      <c r="AM117" s="170"/>
      <c r="AN117" s="165"/>
      <c r="AO117" s="166"/>
      <c r="AP117" s="207">
        <v>179</v>
      </c>
      <c r="AQ117" s="170">
        <v>72</v>
      </c>
      <c r="AR117" s="165">
        <v>167</v>
      </c>
      <c r="AS117" s="166">
        <v>79</v>
      </c>
      <c r="AT117" s="207"/>
      <c r="AU117" s="170"/>
      <c r="AV117" s="190">
        <v>96</v>
      </c>
      <c r="AW117" s="166">
        <v>156</v>
      </c>
      <c r="AX117" s="208">
        <v>147</v>
      </c>
      <c r="AY117" s="170">
        <v>78</v>
      </c>
      <c r="AZ117" s="45">
        <v>109</v>
      </c>
      <c r="BA117" s="58">
        <v>132</v>
      </c>
      <c r="BB117" s="190"/>
      <c r="BC117" s="167"/>
      <c r="BD117" s="190"/>
      <c r="BE117" s="167"/>
      <c r="BF117" s="190"/>
      <c r="BG117" s="167"/>
      <c r="BH117" s="190"/>
      <c r="BI117" s="167"/>
      <c r="BJ117" s="190"/>
      <c r="BK117" s="167"/>
    </row>
    <row r="118" spans="1:63" ht="13" x14ac:dyDescent="0.25">
      <c r="A118" s="372">
        <v>1802</v>
      </c>
      <c r="B118" s="373" t="s">
        <v>250</v>
      </c>
      <c r="C118" s="360">
        <v>794</v>
      </c>
      <c r="D118" s="54">
        <v>123</v>
      </c>
      <c r="E118" s="367">
        <v>0.17007672634271101</v>
      </c>
      <c r="F118" s="45">
        <v>96</v>
      </c>
      <c r="G118" s="58">
        <v>25</v>
      </c>
      <c r="H118" s="45">
        <v>97</v>
      </c>
      <c r="I118" s="57">
        <v>23</v>
      </c>
      <c r="J118" s="97"/>
      <c r="K118" s="58"/>
      <c r="L118" s="45"/>
      <c r="M118" s="57"/>
      <c r="N118" s="97"/>
      <c r="O118" s="58"/>
      <c r="P118" s="165"/>
      <c r="Q118" s="166"/>
      <c r="R118" s="207"/>
      <c r="S118" s="170"/>
      <c r="T118" s="165"/>
      <c r="U118" s="166"/>
      <c r="V118" s="207"/>
      <c r="W118" s="170"/>
      <c r="X118" s="165"/>
      <c r="Y118" s="166"/>
      <c r="Z118" s="207"/>
      <c r="AA118" s="170"/>
      <c r="AB118" s="165"/>
      <c r="AC118" s="166"/>
      <c r="AD118" s="207"/>
      <c r="AE118" s="170"/>
      <c r="AF118" s="165"/>
      <c r="AG118" s="166"/>
      <c r="AH118" s="207"/>
      <c r="AI118" s="170"/>
      <c r="AJ118" s="165"/>
      <c r="AK118" s="166"/>
      <c r="AL118" s="207"/>
      <c r="AM118" s="170"/>
      <c r="AN118" s="165"/>
      <c r="AO118" s="166"/>
      <c r="AP118" s="207">
        <v>66</v>
      </c>
      <c r="AQ118" s="170">
        <v>51</v>
      </c>
      <c r="AR118" s="165">
        <v>72</v>
      </c>
      <c r="AS118" s="166">
        <v>47</v>
      </c>
      <c r="AT118" s="207"/>
      <c r="AU118" s="170"/>
      <c r="AV118" s="190">
        <v>57</v>
      </c>
      <c r="AW118" s="166">
        <v>64</v>
      </c>
      <c r="AX118" s="208">
        <v>70</v>
      </c>
      <c r="AY118" s="170">
        <v>46</v>
      </c>
      <c r="AZ118" s="45">
        <v>68</v>
      </c>
      <c r="BA118" s="58">
        <v>48</v>
      </c>
      <c r="BB118" s="190"/>
      <c r="BC118" s="167"/>
      <c r="BD118" s="190"/>
      <c r="BE118" s="167"/>
      <c r="BF118" s="190"/>
      <c r="BG118" s="167"/>
      <c r="BH118" s="190"/>
      <c r="BI118" s="167"/>
      <c r="BJ118" s="190"/>
      <c r="BK118" s="167"/>
    </row>
    <row r="119" spans="1:63" ht="13" x14ac:dyDescent="0.25">
      <c r="A119" s="372">
        <v>1901</v>
      </c>
      <c r="B119" s="373" t="s">
        <v>251</v>
      </c>
      <c r="C119" s="360">
        <v>973</v>
      </c>
      <c r="D119" s="54">
        <v>405</v>
      </c>
      <c r="E119" s="367">
        <v>0.48088531187122735</v>
      </c>
      <c r="F119" s="45">
        <v>233</v>
      </c>
      <c r="G119" s="58">
        <v>165</v>
      </c>
      <c r="H119" s="45">
        <v>283</v>
      </c>
      <c r="I119" s="57">
        <v>119</v>
      </c>
      <c r="J119" s="97"/>
      <c r="K119" s="58"/>
      <c r="L119" s="45"/>
      <c r="M119" s="57"/>
      <c r="N119" s="97"/>
      <c r="O119" s="58"/>
      <c r="P119" s="165"/>
      <c r="Q119" s="166"/>
      <c r="R119" s="207"/>
      <c r="S119" s="170"/>
      <c r="T119" s="165"/>
      <c r="U119" s="166"/>
      <c r="V119" s="207"/>
      <c r="W119" s="170"/>
      <c r="X119" s="165"/>
      <c r="Y119" s="166"/>
      <c r="Z119" s="207"/>
      <c r="AA119" s="170"/>
      <c r="AB119" s="165"/>
      <c r="AC119" s="166"/>
      <c r="AD119" s="207"/>
      <c r="AE119" s="170"/>
      <c r="AF119" s="165"/>
      <c r="AG119" s="166"/>
      <c r="AH119" s="207"/>
      <c r="AI119" s="170"/>
      <c r="AJ119" s="165"/>
      <c r="AK119" s="166"/>
      <c r="AL119" s="207"/>
      <c r="AM119" s="170"/>
      <c r="AN119" s="165"/>
      <c r="AO119" s="166"/>
      <c r="AP119" s="207">
        <v>240</v>
      </c>
      <c r="AQ119" s="170">
        <v>153</v>
      </c>
      <c r="AR119" s="165">
        <v>161</v>
      </c>
      <c r="AS119" s="166">
        <v>232</v>
      </c>
      <c r="AT119" s="207"/>
      <c r="AU119" s="170"/>
      <c r="AV119" s="190">
        <v>139</v>
      </c>
      <c r="AW119" s="166">
        <v>258</v>
      </c>
      <c r="AX119" s="208">
        <v>189</v>
      </c>
      <c r="AY119" s="170">
        <v>158</v>
      </c>
      <c r="AZ119" s="45">
        <v>61</v>
      </c>
      <c r="BA119" s="58">
        <v>317</v>
      </c>
      <c r="BB119" s="190"/>
      <c r="BC119" s="167"/>
      <c r="BD119" s="190"/>
      <c r="BE119" s="167"/>
      <c r="BF119" s="190"/>
      <c r="BG119" s="167"/>
      <c r="BH119" s="190"/>
      <c r="BI119" s="167"/>
      <c r="BJ119" s="190"/>
      <c r="BK119" s="167"/>
    </row>
    <row r="120" spans="1:63" ht="13" x14ac:dyDescent="0.25">
      <c r="A120" s="372">
        <v>1902</v>
      </c>
      <c r="B120" s="373" t="s">
        <v>252</v>
      </c>
      <c r="C120" s="360">
        <v>1311</v>
      </c>
      <c r="D120" s="54">
        <v>680</v>
      </c>
      <c r="E120" s="367">
        <v>0.53846153846153844</v>
      </c>
      <c r="F120" s="45">
        <v>347</v>
      </c>
      <c r="G120" s="58">
        <v>328</v>
      </c>
      <c r="H120" s="45">
        <v>413</v>
      </c>
      <c r="I120" s="57">
        <v>259</v>
      </c>
      <c r="J120" s="97"/>
      <c r="K120" s="58"/>
      <c r="L120" s="45"/>
      <c r="M120" s="57"/>
      <c r="N120" s="97"/>
      <c r="O120" s="58"/>
      <c r="P120" s="165"/>
      <c r="Q120" s="166"/>
      <c r="R120" s="207"/>
      <c r="S120" s="170"/>
      <c r="T120" s="165"/>
      <c r="U120" s="166"/>
      <c r="V120" s="207"/>
      <c r="W120" s="170"/>
      <c r="X120" s="165"/>
      <c r="Y120" s="166"/>
      <c r="Z120" s="207"/>
      <c r="AA120" s="170"/>
      <c r="AB120" s="165"/>
      <c r="AC120" s="166"/>
      <c r="AD120" s="207"/>
      <c r="AE120" s="170"/>
      <c r="AF120" s="165"/>
      <c r="AG120" s="166"/>
      <c r="AH120" s="207"/>
      <c r="AI120" s="170"/>
      <c r="AJ120" s="165"/>
      <c r="AK120" s="166"/>
      <c r="AL120" s="207"/>
      <c r="AM120" s="170"/>
      <c r="AN120" s="165"/>
      <c r="AO120" s="166"/>
      <c r="AP120" s="207">
        <v>422</v>
      </c>
      <c r="AQ120" s="170">
        <v>244</v>
      </c>
      <c r="AR120" s="165">
        <v>286</v>
      </c>
      <c r="AS120" s="166">
        <v>373</v>
      </c>
      <c r="AT120" s="207"/>
      <c r="AU120" s="170"/>
      <c r="AV120" s="190">
        <v>219</v>
      </c>
      <c r="AW120" s="166">
        <v>443</v>
      </c>
      <c r="AX120" s="208">
        <v>363</v>
      </c>
      <c r="AY120" s="170">
        <v>259</v>
      </c>
      <c r="AZ120" s="45">
        <v>107</v>
      </c>
      <c r="BA120" s="58">
        <v>534</v>
      </c>
      <c r="BB120" s="190"/>
      <c r="BC120" s="167"/>
      <c r="BD120" s="190"/>
      <c r="BE120" s="167"/>
      <c r="BF120" s="190"/>
      <c r="BG120" s="167"/>
      <c r="BH120" s="190"/>
      <c r="BI120" s="167"/>
      <c r="BJ120" s="190"/>
      <c r="BK120" s="167"/>
    </row>
    <row r="121" spans="1:63" ht="13" x14ac:dyDescent="0.25">
      <c r="A121" s="372">
        <v>1903</v>
      </c>
      <c r="B121" s="373" t="s">
        <v>253</v>
      </c>
      <c r="C121" s="360">
        <v>1281</v>
      </c>
      <c r="D121" s="54">
        <v>410</v>
      </c>
      <c r="E121" s="367">
        <v>0.36132511556240371</v>
      </c>
      <c r="F121" s="45">
        <v>236</v>
      </c>
      <c r="G121" s="58">
        <v>170</v>
      </c>
      <c r="H121" s="45">
        <v>273</v>
      </c>
      <c r="I121" s="57">
        <v>133</v>
      </c>
      <c r="J121" s="97"/>
      <c r="K121" s="58"/>
      <c r="L121" s="45"/>
      <c r="M121" s="57"/>
      <c r="N121" s="97"/>
      <c r="O121" s="58"/>
      <c r="P121" s="165"/>
      <c r="Q121" s="166"/>
      <c r="R121" s="207"/>
      <c r="S121" s="170"/>
      <c r="T121" s="165"/>
      <c r="U121" s="166"/>
      <c r="V121" s="207"/>
      <c r="W121" s="170"/>
      <c r="X121" s="165"/>
      <c r="Y121" s="166"/>
      <c r="Z121" s="207"/>
      <c r="AA121" s="170"/>
      <c r="AB121" s="165"/>
      <c r="AC121" s="166"/>
      <c r="AD121" s="207"/>
      <c r="AE121" s="170"/>
      <c r="AF121" s="165"/>
      <c r="AG121" s="166"/>
      <c r="AH121" s="207"/>
      <c r="AI121" s="170"/>
      <c r="AJ121" s="165"/>
      <c r="AK121" s="166"/>
      <c r="AL121" s="207"/>
      <c r="AM121" s="170"/>
      <c r="AN121" s="165"/>
      <c r="AO121" s="166"/>
      <c r="AP121" s="207">
        <v>234</v>
      </c>
      <c r="AQ121" s="170">
        <v>169</v>
      </c>
      <c r="AR121" s="165">
        <v>194</v>
      </c>
      <c r="AS121" s="166">
        <v>207</v>
      </c>
      <c r="AT121" s="207"/>
      <c r="AU121" s="170"/>
      <c r="AV121" s="190">
        <v>143</v>
      </c>
      <c r="AW121" s="166">
        <v>258</v>
      </c>
      <c r="AX121" s="208">
        <v>204</v>
      </c>
      <c r="AY121" s="170">
        <v>160</v>
      </c>
      <c r="AZ121" s="45">
        <v>72</v>
      </c>
      <c r="BA121" s="58">
        <v>310</v>
      </c>
      <c r="BB121" s="190"/>
      <c r="BC121" s="167"/>
      <c r="BD121" s="190"/>
      <c r="BE121" s="167"/>
      <c r="BF121" s="190"/>
      <c r="BG121" s="167"/>
      <c r="BH121" s="190"/>
      <c r="BI121" s="167"/>
      <c r="BJ121" s="190"/>
      <c r="BK121" s="167"/>
    </row>
    <row r="122" spans="1:63" ht="13" x14ac:dyDescent="0.25">
      <c r="A122" s="372">
        <v>1904</v>
      </c>
      <c r="B122" s="373" t="s">
        <v>254</v>
      </c>
      <c r="C122" s="360">
        <v>454</v>
      </c>
      <c r="D122" s="54">
        <v>47</v>
      </c>
      <c r="E122" s="367">
        <v>0.12860310421286031</v>
      </c>
      <c r="F122" s="45">
        <v>35</v>
      </c>
      <c r="G122" s="58">
        <v>11</v>
      </c>
      <c r="H122" s="45">
        <v>36</v>
      </c>
      <c r="I122" s="57">
        <v>10</v>
      </c>
      <c r="J122" s="97"/>
      <c r="K122" s="58"/>
      <c r="L122" s="45"/>
      <c r="M122" s="57"/>
      <c r="N122" s="97"/>
      <c r="O122" s="58"/>
      <c r="P122" s="165"/>
      <c r="Q122" s="166"/>
      <c r="R122" s="207"/>
      <c r="S122" s="170"/>
      <c r="T122" s="165"/>
      <c r="U122" s="166"/>
      <c r="V122" s="207"/>
      <c r="W122" s="170"/>
      <c r="X122" s="165"/>
      <c r="Y122" s="166"/>
      <c r="Z122" s="207"/>
      <c r="AA122" s="170"/>
      <c r="AB122" s="165"/>
      <c r="AC122" s="166"/>
      <c r="AD122" s="207"/>
      <c r="AE122" s="170"/>
      <c r="AF122" s="165"/>
      <c r="AG122" s="166"/>
      <c r="AH122" s="207"/>
      <c r="AI122" s="170"/>
      <c r="AJ122" s="165"/>
      <c r="AK122" s="166"/>
      <c r="AL122" s="207"/>
      <c r="AM122" s="170"/>
      <c r="AN122" s="165"/>
      <c r="AO122" s="166"/>
      <c r="AP122" s="207">
        <v>25</v>
      </c>
      <c r="AQ122" s="170">
        <v>20</v>
      </c>
      <c r="AR122" s="165">
        <v>24</v>
      </c>
      <c r="AS122" s="166">
        <v>20</v>
      </c>
      <c r="AT122" s="207"/>
      <c r="AU122" s="170"/>
      <c r="AV122" s="190">
        <v>25</v>
      </c>
      <c r="AW122" s="166">
        <v>21</v>
      </c>
      <c r="AX122" s="208">
        <v>28</v>
      </c>
      <c r="AY122" s="170">
        <v>14</v>
      </c>
      <c r="AZ122" s="45">
        <v>18</v>
      </c>
      <c r="BA122" s="58">
        <v>26</v>
      </c>
      <c r="BB122" s="190"/>
      <c r="BC122" s="167"/>
      <c r="BD122" s="190"/>
      <c r="BE122" s="167"/>
      <c r="BF122" s="190"/>
      <c r="BG122" s="167"/>
      <c r="BH122" s="190"/>
      <c r="BI122" s="167"/>
      <c r="BJ122" s="190"/>
      <c r="BK122" s="167"/>
    </row>
    <row r="123" spans="1:63" ht="13" x14ac:dyDescent="0.25">
      <c r="A123" s="372">
        <v>2001</v>
      </c>
      <c r="B123" s="373" t="s">
        <v>255</v>
      </c>
      <c r="C123" s="360">
        <v>1278</v>
      </c>
      <c r="D123" s="54">
        <v>278</v>
      </c>
      <c r="E123" s="367">
        <v>0.22998430141287285</v>
      </c>
      <c r="F123" s="45">
        <v>205</v>
      </c>
      <c r="G123" s="58">
        <v>71</v>
      </c>
      <c r="H123" s="45">
        <v>210</v>
      </c>
      <c r="I123" s="57">
        <v>67</v>
      </c>
      <c r="J123" s="97"/>
      <c r="K123" s="58"/>
      <c r="L123" s="45"/>
      <c r="M123" s="57"/>
      <c r="N123" s="97"/>
      <c r="O123" s="58"/>
      <c r="P123" s="165"/>
      <c r="Q123" s="166"/>
      <c r="R123" s="207"/>
      <c r="S123" s="170"/>
      <c r="T123" s="165"/>
      <c r="U123" s="166"/>
      <c r="V123" s="207"/>
      <c r="W123" s="170"/>
      <c r="X123" s="165"/>
      <c r="Y123" s="166"/>
      <c r="Z123" s="207"/>
      <c r="AA123" s="170"/>
      <c r="AB123" s="165"/>
      <c r="AC123" s="166"/>
      <c r="AD123" s="207"/>
      <c r="AE123" s="170"/>
      <c r="AF123" s="165"/>
      <c r="AG123" s="166"/>
      <c r="AH123" s="207"/>
      <c r="AI123" s="170"/>
      <c r="AJ123" s="165"/>
      <c r="AK123" s="166"/>
      <c r="AL123" s="207"/>
      <c r="AM123" s="170"/>
      <c r="AN123" s="165"/>
      <c r="AO123" s="166"/>
      <c r="AP123" s="207">
        <v>194</v>
      </c>
      <c r="AQ123" s="170">
        <v>79</v>
      </c>
      <c r="AR123" s="165">
        <v>178</v>
      </c>
      <c r="AS123" s="166">
        <v>92</v>
      </c>
      <c r="AT123" s="207"/>
      <c r="AU123" s="170"/>
      <c r="AV123" s="190">
        <v>122</v>
      </c>
      <c r="AW123" s="166">
        <v>151</v>
      </c>
      <c r="AX123" s="208">
        <v>160</v>
      </c>
      <c r="AY123" s="170">
        <v>96</v>
      </c>
      <c r="AZ123" s="45">
        <v>98</v>
      </c>
      <c r="BA123" s="58">
        <v>168</v>
      </c>
      <c r="BB123" s="190"/>
      <c r="BC123" s="167"/>
      <c r="BD123" s="190"/>
      <c r="BE123" s="167"/>
      <c r="BF123" s="190"/>
      <c r="BG123" s="167"/>
      <c r="BH123" s="190"/>
      <c r="BI123" s="167"/>
      <c r="BJ123" s="190"/>
      <c r="BK123" s="167"/>
    </row>
    <row r="124" spans="1:63" ht="13" x14ac:dyDescent="0.25">
      <c r="A124" s="372">
        <v>2002</v>
      </c>
      <c r="B124" s="373" t="s">
        <v>256</v>
      </c>
      <c r="C124" s="360">
        <v>1041</v>
      </c>
      <c r="D124" s="54">
        <v>254</v>
      </c>
      <c r="E124" s="367">
        <v>0.26710402999062793</v>
      </c>
      <c r="F124" s="45">
        <v>182</v>
      </c>
      <c r="G124" s="58">
        <v>70</v>
      </c>
      <c r="H124" s="45">
        <v>196</v>
      </c>
      <c r="I124" s="57">
        <v>53</v>
      </c>
      <c r="J124" s="97"/>
      <c r="K124" s="58"/>
      <c r="L124" s="45"/>
      <c r="M124" s="57"/>
      <c r="N124" s="97"/>
      <c r="O124" s="58"/>
      <c r="P124" s="165"/>
      <c r="Q124" s="166"/>
      <c r="R124" s="207"/>
      <c r="S124" s="170"/>
      <c r="T124" s="165"/>
      <c r="U124" s="166"/>
      <c r="V124" s="207"/>
      <c r="W124" s="170"/>
      <c r="X124" s="165"/>
      <c r="Y124" s="166"/>
      <c r="Z124" s="207"/>
      <c r="AA124" s="170"/>
      <c r="AB124" s="165"/>
      <c r="AC124" s="166"/>
      <c r="AD124" s="207"/>
      <c r="AE124" s="170"/>
      <c r="AF124" s="165"/>
      <c r="AG124" s="166"/>
      <c r="AH124" s="207"/>
      <c r="AI124" s="170"/>
      <c r="AJ124" s="165"/>
      <c r="AK124" s="166"/>
      <c r="AL124" s="207"/>
      <c r="AM124" s="170"/>
      <c r="AN124" s="165"/>
      <c r="AO124" s="166"/>
      <c r="AP124" s="207">
        <v>172</v>
      </c>
      <c r="AQ124" s="170">
        <v>75</v>
      </c>
      <c r="AR124" s="165">
        <v>154</v>
      </c>
      <c r="AS124" s="166">
        <v>95</v>
      </c>
      <c r="AT124" s="207"/>
      <c r="AU124" s="170"/>
      <c r="AV124" s="190">
        <v>97</v>
      </c>
      <c r="AW124" s="166">
        <v>150</v>
      </c>
      <c r="AX124" s="208">
        <v>134</v>
      </c>
      <c r="AY124" s="170">
        <v>85</v>
      </c>
      <c r="AZ124" s="45">
        <v>79</v>
      </c>
      <c r="BA124" s="58">
        <v>158</v>
      </c>
      <c r="BB124" s="190"/>
      <c r="BC124" s="167"/>
      <c r="BD124" s="190"/>
      <c r="BE124" s="167"/>
      <c r="BF124" s="190"/>
      <c r="BG124" s="167"/>
      <c r="BH124" s="190"/>
      <c r="BI124" s="167"/>
      <c r="BJ124" s="190"/>
      <c r="BK124" s="167"/>
    </row>
    <row r="125" spans="1:63" ht="13" x14ac:dyDescent="0.25">
      <c r="A125" s="372">
        <v>2003</v>
      </c>
      <c r="B125" s="373" t="s">
        <v>257</v>
      </c>
      <c r="C125" s="360">
        <v>1532</v>
      </c>
      <c r="D125" s="54">
        <v>540</v>
      </c>
      <c r="E125" s="367">
        <v>0.37126137841352408</v>
      </c>
      <c r="F125" s="45">
        <v>414</v>
      </c>
      <c r="G125" s="58">
        <v>121</v>
      </c>
      <c r="H125" s="45">
        <v>418</v>
      </c>
      <c r="I125" s="57">
        <v>117</v>
      </c>
      <c r="J125" s="97"/>
      <c r="K125" s="58"/>
      <c r="L125" s="45"/>
      <c r="M125" s="57"/>
      <c r="N125" s="97"/>
      <c r="O125" s="58"/>
      <c r="P125" s="165"/>
      <c r="Q125" s="166"/>
      <c r="R125" s="207"/>
      <c r="S125" s="170"/>
      <c r="T125" s="165"/>
      <c r="U125" s="166"/>
      <c r="V125" s="207"/>
      <c r="W125" s="170"/>
      <c r="X125" s="165"/>
      <c r="Y125" s="166"/>
      <c r="Z125" s="207"/>
      <c r="AA125" s="170"/>
      <c r="AB125" s="165"/>
      <c r="AC125" s="166"/>
      <c r="AD125" s="207"/>
      <c r="AE125" s="170"/>
      <c r="AF125" s="165"/>
      <c r="AG125" s="166"/>
      <c r="AH125" s="207"/>
      <c r="AI125" s="170"/>
      <c r="AJ125" s="165"/>
      <c r="AK125" s="166"/>
      <c r="AL125" s="207"/>
      <c r="AM125" s="170"/>
      <c r="AN125" s="165"/>
      <c r="AO125" s="166"/>
      <c r="AP125" s="207">
        <v>388</v>
      </c>
      <c r="AQ125" s="170">
        <v>139</v>
      </c>
      <c r="AR125" s="165">
        <v>350</v>
      </c>
      <c r="AS125" s="166">
        <v>174</v>
      </c>
      <c r="AT125" s="207"/>
      <c r="AU125" s="170"/>
      <c r="AV125" s="190">
        <v>227</v>
      </c>
      <c r="AW125" s="166">
        <v>305</v>
      </c>
      <c r="AX125" s="208">
        <v>295</v>
      </c>
      <c r="AY125" s="170">
        <v>184</v>
      </c>
      <c r="AZ125" s="45">
        <v>155</v>
      </c>
      <c r="BA125" s="58">
        <v>368</v>
      </c>
      <c r="BB125" s="190"/>
      <c r="BC125" s="167"/>
      <c r="BD125" s="190"/>
      <c r="BE125" s="167"/>
      <c r="BF125" s="190"/>
      <c r="BG125" s="167"/>
      <c r="BH125" s="190"/>
      <c r="BI125" s="167"/>
      <c r="BJ125" s="190"/>
      <c r="BK125" s="167"/>
    </row>
    <row r="126" spans="1:63" ht="13" x14ac:dyDescent="0.25">
      <c r="A126" s="372">
        <v>2004</v>
      </c>
      <c r="B126" s="373" t="s">
        <v>258</v>
      </c>
      <c r="C126" s="360">
        <v>1462</v>
      </c>
      <c r="D126" s="54">
        <v>473</v>
      </c>
      <c r="E126" s="367">
        <v>0.34689655172413791</v>
      </c>
      <c r="F126" s="45">
        <v>369</v>
      </c>
      <c r="G126" s="58">
        <v>99</v>
      </c>
      <c r="H126" s="45">
        <v>377</v>
      </c>
      <c r="I126" s="57">
        <v>90</v>
      </c>
      <c r="J126" s="97"/>
      <c r="K126" s="58"/>
      <c r="L126" s="45"/>
      <c r="M126" s="57"/>
      <c r="N126" s="97"/>
      <c r="O126" s="58"/>
      <c r="P126" s="165"/>
      <c r="Q126" s="166"/>
      <c r="R126" s="207"/>
      <c r="S126" s="170"/>
      <c r="T126" s="165"/>
      <c r="U126" s="166"/>
      <c r="V126" s="207"/>
      <c r="W126" s="170"/>
      <c r="X126" s="165"/>
      <c r="Y126" s="166"/>
      <c r="Z126" s="207"/>
      <c r="AA126" s="170"/>
      <c r="AB126" s="165"/>
      <c r="AC126" s="166"/>
      <c r="AD126" s="207"/>
      <c r="AE126" s="170"/>
      <c r="AF126" s="165"/>
      <c r="AG126" s="166"/>
      <c r="AH126" s="207"/>
      <c r="AI126" s="170"/>
      <c r="AJ126" s="165"/>
      <c r="AK126" s="166"/>
      <c r="AL126" s="207"/>
      <c r="AM126" s="170"/>
      <c r="AN126" s="165"/>
      <c r="AO126" s="166"/>
      <c r="AP126" s="207">
        <v>344</v>
      </c>
      <c r="AQ126" s="170">
        <v>120</v>
      </c>
      <c r="AR126" s="165">
        <v>306</v>
      </c>
      <c r="AS126" s="166">
        <v>155</v>
      </c>
      <c r="AT126" s="207"/>
      <c r="AU126" s="170"/>
      <c r="AV126" s="190">
        <v>222</v>
      </c>
      <c r="AW126" s="166">
        <v>242</v>
      </c>
      <c r="AX126" s="208">
        <v>253</v>
      </c>
      <c r="AY126" s="170">
        <v>156</v>
      </c>
      <c r="AZ126" s="45">
        <v>154</v>
      </c>
      <c r="BA126" s="58">
        <v>295</v>
      </c>
      <c r="BB126" s="190"/>
      <c r="BC126" s="167"/>
      <c r="BD126" s="190"/>
      <c r="BE126" s="167"/>
      <c r="BF126" s="190"/>
      <c r="BG126" s="167"/>
      <c r="BH126" s="190"/>
      <c r="BI126" s="167"/>
      <c r="BJ126" s="190"/>
      <c r="BK126" s="167"/>
    </row>
    <row r="127" spans="1:63" ht="13" x14ac:dyDescent="0.25">
      <c r="A127" s="372">
        <v>2005</v>
      </c>
      <c r="B127" s="373" t="s">
        <v>746</v>
      </c>
      <c r="C127" s="360">
        <v>1108</v>
      </c>
      <c r="D127" s="54">
        <v>180</v>
      </c>
      <c r="E127" s="367">
        <v>0.15775401069518716</v>
      </c>
      <c r="F127" s="45">
        <v>127</v>
      </c>
      <c r="G127" s="58">
        <v>52</v>
      </c>
      <c r="H127" s="45">
        <v>137</v>
      </c>
      <c r="I127" s="57">
        <v>41</v>
      </c>
      <c r="J127" s="97"/>
      <c r="K127" s="58"/>
      <c r="L127" s="45"/>
      <c r="M127" s="57"/>
      <c r="N127" s="97"/>
      <c r="O127" s="58"/>
      <c r="P127" s="165"/>
      <c r="Q127" s="166"/>
      <c r="R127" s="207"/>
      <c r="S127" s="170"/>
      <c r="T127" s="165"/>
      <c r="U127" s="166"/>
      <c r="V127" s="207"/>
      <c r="W127" s="170"/>
      <c r="X127" s="165"/>
      <c r="Y127" s="166"/>
      <c r="Z127" s="207"/>
      <c r="AA127" s="170"/>
      <c r="AB127" s="165"/>
      <c r="AC127" s="166"/>
      <c r="AD127" s="207"/>
      <c r="AE127" s="170"/>
      <c r="AF127" s="165"/>
      <c r="AG127" s="166"/>
      <c r="AH127" s="207"/>
      <c r="AI127" s="170"/>
      <c r="AJ127" s="165"/>
      <c r="AK127" s="166"/>
      <c r="AL127" s="207"/>
      <c r="AM127" s="170"/>
      <c r="AN127" s="165"/>
      <c r="AO127" s="166"/>
      <c r="AP127" s="207">
        <v>108</v>
      </c>
      <c r="AQ127" s="170">
        <v>63</v>
      </c>
      <c r="AR127" s="165">
        <v>100</v>
      </c>
      <c r="AS127" s="166">
        <v>72</v>
      </c>
      <c r="AT127" s="207"/>
      <c r="AU127" s="170"/>
      <c r="AV127" s="190">
        <v>76</v>
      </c>
      <c r="AW127" s="166">
        <v>99</v>
      </c>
      <c r="AX127" s="208">
        <v>86</v>
      </c>
      <c r="AY127" s="170">
        <v>75</v>
      </c>
      <c r="AZ127" s="45">
        <v>51</v>
      </c>
      <c r="BA127" s="58">
        <v>114</v>
      </c>
      <c r="BB127" s="190"/>
      <c r="BC127" s="167"/>
      <c r="BD127" s="190"/>
      <c r="BE127" s="167"/>
      <c r="BF127" s="190"/>
      <c r="BG127" s="167"/>
      <c r="BH127" s="190"/>
      <c r="BI127" s="167"/>
      <c r="BJ127" s="190"/>
      <c r="BK127" s="167"/>
    </row>
    <row r="128" spans="1:63" ht="13" x14ac:dyDescent="0.25">
      <c r="A128" s="372">
        <v>2101</v>
      </c>
      <c r="B128" s="373" t="s">
        <v>259</v>
      </c>
      <c r="C128" s="360">
        <v>610</v>
      </c>
      <c r="D128" s="54">
        <v>153</v>
      </c>
      <c r="E128" s="367">
        <v>0.25166666666666665</v>
      </c>
      <c r="F128" s="45">
        <v>106</v>
      </c>
      <c r="G128" s="58">
        <v>45</v>
      </c>
      <c r="H128" s="45">
        <v>113</v>
      </c>
      <c r="I128" s="57">
        <v>37</v>
      </c>
      <c r="J128" s="97"/>
      <c r="K128" s="58"/>
      <c r="L128" s="45"/>
      <c r="M128" s="57"/>
      <c r="N128" s="97"/>
      <c r="O128" s="58"/>
      <c r="P128" s="165"/>
      <c r="Q128" s="166"/>
      <c r="R128" s="207"/>
      <c r="S128" s="170"/>
      <c r="T128" s="165"/>
      <c r="U128" s="166"/>
      <c r="V128" s="207"/>
      <c r="W128" s="170"/>
      <c r="X128" s="165"/>
      <c r="Y128" s="166"/>
      <c r="Z128" s="207"/>
      <c r="AA128" s="170"/>
      <c r="AB128" s="165"/>
      <c r="AC128" s="166"/>
      <c r="AD128" s="207"/>
      <c r="AE128" s="170"/>
      <c r="AF128" s="165"/>
      <c r="AG128" s="166"/>
      <c r="AH128" s="207"/>
      <c r="AI128" s="170"/>
      <c r="AJ128" s="165"/>
      <c r="AK128" s="166"/>
      <c r="AL128" s="207"/>
      <c r="AM128" s="170"/>
      <c r="AN128" s="165"/>
      <c r="AO128" s="166"/>
      <c r="AP128" s="207">
        <v>101</v>
      </c>
      <c r="AQ128" s="170">
        <v>44</v>
      </c>
      <c r="AR128" s="165">
        <v>86</v>
      </c>
      <c r="AS128" s="166">
        <v>59</v>
      </c>
      <c r="AT128" s="207"/>
      <c r="AU128" s="170"/>
      <c r="AV128" s="190">
        <v>70</v>
      </c>
      <c r="AW128" s="166">
        <v>77</v>
      </c>
      <c r="AX128" s="208">
        <v>83</v>
      </c>
      <c r="AY128" s="170">
        <v>51</v>
      </c>
      <c r="AZ128" s="45">
        <v>59</v>
      </c>
      <c r="BA128" s="58">
        <v>82</v>
      </c>
      <c r="BB128" s="190"/>
      <c r="BC128" s="167"/>
      <c r="BD128" s="190"/>
      <c r="BE128" s="167"/>
      <c r="BF128" s="190"/>
      <c r="BG128" s="167"/>
      <c r="BH128" s="190"/>
      <c r="BI128" s="167"/>
      <c r="BJ128" s="190"/>
      <c r="BK128" s="167"/>
    </row>
    <row r="129" spans="1:63" ht="13" x14ac:dyDescent="0.25">
      <c r="A129" s="372">
        <v>2102</v>
      </c>
      <c r="B129" s="373" t="s">
        <v>260</v>
      </c>
      <c r="C129" s="360">
        <v>863</v>
      </c>
      <c r="D129" s="54">
        <v>125</v>
      </c>
      <c r="E129" s="367">
        <v>0.1756440281030445</v>
      </c>
      <c r="F129" s="45">
        <v>96</v>
      </c>
      <c r="G129" s="58">
        <v>28</v>
      </c>
      <c r="H129" s="45">
        <v>97</v>
      </c>
      <c r="I129" s="57">
        <v>26</v>
      </c>
      <c r="J129" s="97"/>
      <c r="K129" s="58"/>
      <c r="L129" s="45"/>
      <c r="M129" s="57"/>
      <c r="N129" s="97"/>
      <c r="O129" s="58"/>
      <c r="P129" s="165"/>
      <c r="Q129" s="166"/>
      <c r="R129" s="207"/>
      <c r="S129" s="170"/>
      <c r="T129" s="165"/>
      <c r="U129" s="166"/>
      <c r="V129" s="207"/>
      <c r="W129" s="170"/>
      <c r="X129" s="165"/>
      <c r="Y129" s="166"/>
      <c r="Z129" s="207"/>
      <c r="AA129" s="170"/>
      <c r="AB129" s="165"/>
      <c r="AC129" s="166"/>
      <c r="AD129" s="207"/>
      <c r="AE129" s="170"/>
      <c r="AF129" s="165"/>
      <c r="AG129" s="166"/>
      <c r="AH129" s="207"/>
      <c r="AI129" s="170"/>
      <c r="AJ129" s="165"/>
      <c r="AK129" s="166"/>
      <c r="AL129" s="207"/>
      <c r="AM129" s="170"/>
      <c r="AN129" s="165"/>
      <c r="AO129" s="166"/>
      <c r="AP129" s="207">
        <v>86</v>
      </c>
      <c r="AQ129" s="170">
        <v>36</v>
      </c>
      <c r="AR129" s="165">
        <v>85</v>
      </c>
      <c r="AS129" s="166">
        <v>38</v>
      </c>
      <c r="AT129" s="207"/>
      <c r="AU129" s="170"/>
      <c r="AV129" s="190">
        <v>50</v>
      </c>
      <c r="AW129" s="166">
        <v>72</v>
      </c>
      <c r="AX129" s="208">
        <v>63</v>
      </c>
      <c r="AY129" s="170">
        <v>54</v>
      </c>
      <c r="AZ129" s="45">
        <v>45</v>
      </c>
      <c r="BA129" s="58">
        <v>75</v>
      </c>
      <c r="BB129" s="190"/>
      <c r="BC129" s="167"/>
      <c r="BD129" s="190"/>
      <c r="BE129" s="167"/>
      <c r="BF129" s="190"/>
      <c r="BG129" s="167"/>
      <c r="BH129" s="190"/>
      <c r="BI129" s="167"/>
      <c r="BJ129" s="190"/>
      <c r="BK129" s="167"/>
    </row>
    <row r="130" spans="1:63" ht="13" x14ac:dyDescent="0.25">
      <c r="A130" s="372">
        <v>2103</v>
      </c>
      <c r="B130" s="373" t="s">
        <v>261</v>
      </c>
      <c r="C130" s="360">
        <v>1128</v>
      </c>
      <c r="D130" s="54">
        <v>202</v>
      </c>
      <c r="E130" s="367">
        <v>0.20855148342059338</v>
      </c>
      <c r="F130" s="45">
        <v>159</v>
      </c>
      <c r="G130" s="58">
        <v>41</v>
      </c>
      <c r="H130" s="45">
        <v>163</v>
      </c>
      <c r="I130" s="57">
        <v>38</v>
      </c>
      <c r="J130" s="97"/>
      <c r="K130" s="58"/>
      <c r="L130" s="45"/>
      <c r="M130" s="57"/>
      <c r="N130" s="97"/>
      <c r="O130" s="58"/>
      <c r="P130" s="165"/>
      <c r="Q130" s="166"/>
      <c r="R130" s="207"/>
      <c r="S130" s="170"/>
      <c r="T130" s="165"/>
      <c r="U130" s="166"/>
      <c r="V130" s="207"/>
      <c r="W130" s="170"/>
      <c r="X130" s="165"/>
      <c r="Y130" s="166"/>
      <c r="Z130" s="207"/>
      <c r="AA130" s="170"/>
      <c r="AB130" s="165"/>
      <c r="AC130" s="166"/>
      <c r="AD130" s="207"/>
      <c r="AE130" s="170"/>
      <c r="AF130" s="165"/>
      <c r="AG130" s="166"/>
      <c r="AH130" s="207"/>
      <c r="AI130" s="170"/>
      <c r="AJ130" s="165"/>
      <c r="AK130" s="166"/>
      <c r="AL130" s="207"/>
      <c r="AM130" s="170"/>
      <c r="AN130" s="165"/>
      <c r="AO130" s="166"/>
      <c r="AP130" s="207">
        <v>136</v>
      </c>
      <c r="AQ130" s="170">
        <v>63</v>
      </c>
      <c r="AR130" s="165">
        <v>118</v>
      </c>
      <c r="AS130" s="166">
        <v>81</v>
      </c>
      <c r="AT130" s="207"/>
      <c r="AU130" s="170"/>
      <c r="AV130" s="190">
        <v>94</v>
      </c>
      <c r="AW130" s="166">
        <v>106</v>
      </c>
      <c r="AX130" s="208">
        <v>111</v>
      </c>
      <c r="AY130" s="170">
        <v>75</v>
      </c>
      <c r="AZ130" s="45">
        <v>67</v>
      </c>
      <c r="BA130" s="58">
        <v>126</v>
      </c>
      <c r="BB130" s="190"/>
      <c r="BC130" s="167"/>
      <c r="BD130" s="190"/>
      <c r="BE130" s="167"/>
      <c r="BF130" s="190"/>
      <c r="BG130" s="167"/>
      <c r="BH130" s="190"/>
      <c r="BI130" s="167"/>
      <c r="BJ130" s="190"/>
      <c r="BK130" s="167"/>
    </row>
    <row r="131" spans="1:63" ht="13" x14ac:dyDescent="0.25">
      <c r="A131" s="372">
        <v>2104</v>
      </c>
      <c r="B131" s="373" t="s">
        <v>262</v>
      </c>
      <c r="C131" s="360">
        <v>936</v>
      </c>
      <c r="D131" s="54">
        <v>178</v>
      </c>
      <c r="E131" s="367">
        <v>0.20382165605095542</v>
      </c>
      <c r="F131" s="45">
        <v>117</v>
      </c>
      <c r="G131" s="58">
        <v>59</v>
      </c>
      <c r="H131" s="45">
        <v>134</v>
      </c>
      <c r="I131" s="57">
        <v>42</v>
      </c>
      <c r="J131" s="97"/>
      <c r="K131" s="58"/>
      <c r="L131" s="45"/>
      <c r="M131" s="57"/>
      <c r="N131" s="97"/>
      <c r="O131" s="58"/>
      <c r="P131" s="165"/>
      <c r="Q131" s="166"/>
      <c r="R131" s="207"/>
      <c r="S131" s="170"/>
      <c r="T131" s="165"/>
      <c r="U131" s="166"/>
      <c r="V131" s="207"/>
      <c r="W131" s="170"/>
      <c r="X131" s="165"/>
      <c r="Y131" s="166"/>
      <c r="Z131" s="207"/>
      <c r="AA131" s="170"/>
      <c r="AB131" s="165"/>
      <c r="AC131" s="166"/>
      <c r="AD131" s="207"/>
      <c r="AE131" s="170"/>
      <c r="AF131" s="165"/>
      <c r="AG131" s="166"/>
      <c r="AH131" s="207"/>
      <c r="AI131" s="170"/>
      <c r="AJ131" s="165"/>
      <c r="AK131" s="166"/>
      <c r="AL131" s="207"/>
      <c r="AM131" s="170"/>
      <c r="AN131" s="165"/>
      <c r="AO131" s="166"/>
      <c r="AP131" s="207">
        <v>113</v>
      </c>
      <c r="AQ131" s="170">
        <v>58</v>
      </c>
      <c r="AR131" s="165">
        <v>99</v>
      </c>
      <c r="AS131" s="166">
        <v>71</v>
      </c>
      <c r="AT131" s="207"/>
      <c r="AU131" s="170"/>
      <c r="AV131" s="190">
        <v>59</v>
      </c>
      <c r="AW131" s="166">
        <v>114</v>
      </c>
      <c r="AX131" s="208">
        <v>85</v>
      </c>
      <c r="AY131" s="170">
        <v>64</v>
      </c>
      <c r="AZ131" s="45">
        <v>52</v>
      </c>
      <c r="BA131" s="58">
        <v>112</v>
      </c>
      <c r="BB131" s="190"/>
      <c r="BC131" s="167"/>
      <c r="BD131" s="190"/>
      <c r="BE131" s="167"/>
      <c r="BF131" s="190"/>
      <c r="BG131" s="167"/>
      <c r="BH131" s="190"/>
      <c r="BI131" s="167"/>
      <c r="BJ131" s="190"/>
      <c r="BK131" s="167"/>
    </row>
    <row r="132" spans="1:63" ht="13" x14ac:dyDescent="0.25">
      <c r="A132" s="372">
        <v>2105</v>
      </c>
      <c r="B132" s="373" t="s">
        <v>747</v>
      </c>
      <c r="C132" s="360">
        <v>829</v>
      </c>
      <c r="D132" s="54">
        <v>127</v>
      </c>
      <c r="E132" s="367">
        <v>0.18887601390498263</v>
      </c>
      <c r="F132" s="45">
        <v>105</v>
      </c>
      <c r="G132" s="58">
        <v>19</v>
      </c>
      <c r="H132" s="45">
        <v>113</v>
      </c>
      <c r="I132" s="57">
        <v>14</v>
      </c>
      <c r="J132" s="97"/>
      <c r="K132" s="58"/>
      <c r="L132" s="45"/>
      <c r="M132" s="57"/>
      <c r="N132" s="97"/>
      <c r="O132" s="58"/>
      <c r="P132" s="165"/>
      <c r="Q132" s="166"/>
      <c r="R132" s="207"/>
      <c r="S132" s="170"/>
      <c r="T132" s="165"/>
      <c r="U132" s="166"/>
      <c r="V132" s="207"/>
      <c r="W132" s="170"/>
      <c r="X132" s="165"/>
      <c r="Y132" s="166"/>
      <c r="Z132" s="207"/>
      <c r="AA132" s="170"/>
      <c r="AB132" s="165"/>
      <c r="AC132" s="166"/>
      <c r="AD132" s="207"/>
      <c r="AE132" s="170"/>
      <c r="AF132" s="165"/>
      <c r="AG132" s="166"/>
      <c r="AH132" s="207"/>
      <c r="AI132" s="170"/>
      <c r="AJ132" s="165"/>
      <c r="AK132" s="166"/>
      <c r="AL132" s="207"/>
      <c r="AM132" s="170"/>
      <c r="AN132" s="165"/>
      <c r="AO132" s="166"/>
      <c r="AP132" s="207">
        <v>74</v>
      </c>
      <c r="AQ132" s="170">
        <v>47</v>
      </c>
      <c r="AR132" s="165">
        <v>82</v>
      </c>
      <c r="AS132" s="166">
        <v>41</v>
      </c>
      <c r="AT132" s="207"/>
      <c r="AU132" s="170"/>
      <c r="AV132" s="190">
        <v>54</v>
      </c>
      <c r="AW132" s="166">
        <v>72</v>
      </c>
      <c r="AX132" s="208">
        <v>65</v>
      </c>
      <c r="AY132" s="170">
        <v>54</v>
      </c>
      <c r="AZ132" s="45">
        <v>56</v>
      </c>
      <c r="BA132" s="58">
        <v>65</v>
      </c>
      <c r="BB132" s="190"/>
      <c r="BC132" s="167"/>
      <c r="BD132" s="190"/>
      <c r="BE132" s="167"/>
      <c r="BF132" s="190"/>
      <c r="BG132" s="167"/>
      <c r="BH132" s="190"/>
      <c r="BI132" s="167"/>
      <c r="BJ132" s="190"/>
      <c r="BK132" s="167"/>
    </row>
    <row r="133" spans="1:63" ht="13" x14ac:dyDescent="0.25">
      <c r="A133" s="372">
        <v>2201</v>
      </c>
      <c r="B133" s="373" t="s">
        <v>263</v>
      </c>
      <c r="C133" s="360">
        <v>1515</v>
      </c>
      <c r="D133" s="54">
        <v>717</v>
      </c>
      <c r="E133" s="367">
        <v>0.48851774530271397</v>
      </c>
      <c r="F133" s="45">
        <v>654</v>
      </c>
      <c r="G133" s="58">
        <v>56</v>
      </c>
      <c r="H133" s="45">
        <v>647</v>
      </c>
      <c r="I133" s="57">
        <v>61</v>
      </c>
      <c r="J133" s="97"/>
      <c r="K133" s="58"/>
      <c r="L133" s="45"/>
      <c r="M133" s="57"/>
      <c r="N133" s="97"/>
      <c r="O133" s="58"/>
      <c r="P133" s="165"/>
      <c r="Q133" s="166"/>
      <c r="R133" s="207"/>
      <c r="S133" s="170"/>
      <c r="T133" s="165"/>
      <c r="U133" s="166"/>
      <c r="V133" s="207"/>
      <c r="W133" s="170"/>
      <c r="X133" s="165"/>
      <c r="Y133" s="166"/>
      <c r="Z133" s="207"/>
      <c r="AA133" s="170"/>
      <c r="AB133" s="165"/>
      <c r="AC133" s="166"/>
      <c r="AD133" s="207"/>
      <c r="AE133" s="170"/>
      <c r="AF133" s="165"/>
      <c r="AG133" s="166"/>
      <c r="AH133" s="207"/>
      <c r="AI133" s="170"/>
      <c r="AJ133" s="165"/>
      <c r="AK133" s="166"/>
      <c r="AL133" s="207"/>
      <c r="AM133" s="170"/>
      <c r="AN133" s="165"/>
      <c r="AO133" s="166"/>
      <c r="AP133" s="207">
        <v>587</v>
      </c>
      <c r="AQ133" s="170">
        <v>112</v>
      </c>
      <c r="AR133" s="165">
        <v>560</v>
      </c>
      <c r="AS133" s="166">
        <v>140</v>
      </c>
      <c r="AT133" s="207"/>
      <c r="AU133" s="170"/>
      <c r="AV133" s="190">
        <v>287</v>
      </c>
      <c r="AW133" s="166">
        <v>424</v>
      </c>
      <c r="AX133" s="208">
        <v>419</v>
      </c>
      <c r="AY133" s="170">
        <v>219</v>
      </c>
      <c r="AZ133" s="45">
        <v>294</v>
      </c>
      <c r="BA133" s="58">
        <v>395</v>
      </c>
      <c r="BB133" s="190"/>
      <c r="BC133" s="167"/>
      <c r="BD133" s="190"/>
      <c r="BE133" s="167"/>
      <c r="BF133" s="190"/>
      <c r="BG133" s="167"/>
      <c r="BH133" s="190"/>
      <c r="BI133" s="167"/>
      <c r="BJ133" s="190"/>
      <c r="BK133" s="167"/>
    </row>
    <row r="134" spans="1:63" ht="13" x14ac:dyDescent="0.25">
      <c r="A134" s="372">
        <v>2202</v>
      </c>
      <c r="B134" s="373" t="s">
        <v>264</v>
      </c>
      <c r="C134" s="360">
        <v>1150</v>
      </c>
      <c r="D134" s="54">
        <v>295</v>
      </c>
      <c r="E134" s="367">
        <v>0.30374238468233244</v>
      </c>
      <c r="F134" s="45">
        <v>253</v>
      </c>
      <c r="G134" s="58">
        <v>40</v>
      </c>
      <c r="H134" s="45">
        <v>263</v>
      </c>
      <c r="I134" s="57">
        <v>30</v>
      </c>
      <c r="J134" s="97"/>
      <c r="K134" s="58"/>
      <c r="L134" s="45"/>
      <c r="M134" s="57"/>
      <c r="N134" s="97"/>
      <c r="O134" s="58"/>
      <c r="P134" s="165"/>
      <c r="Q134" s="166"/>
      <c r="R134" s="207"/>
      <c r="S134" s="170"/>
      <c r="T134" s="165"/>
      <c r="U134" s="166"/>
      <c r="V134" s="207"/>
      <c r="W134" s="170"/>
      <c r="X134" s="165"/>
      <c r="Y134" s="166"/>
      <c r="Z134" s="207"/>
      <c r="AA134" s="170"/>
      <c r="AB134" s="165"/>
      <c r="AC134" s="166"/>
      <c r="AD134" s="207"/>
      <c r="AE134" s="170"/>
      <c r="AF134" s="165"/>
      <c r="AG134" s="166"/>
      <c r="AH134" s="207"/>
      <c r="AI134" s="170"/>
      <c r="AJ134" s="165"/>
      <c r="AK134" s="166"/>
      <c r="AL134" s="207"/>
      <c r="AM134" s="170"/>
      <c r="AN134" s="165"/>
      <c r="AO134" s="166"/>
      <c r="AP134" s="207">
        <v>205</v>
      </c>
      <c r="AQ134" s="170">
        <v>82</v>
      </c>
      <c r="AR134" s="165">
        <v>193</v>
      </c>
      <c r="AS134" s="166">
        <v>92</v>
      </c>
      <c r="AT134" s="207"/>
      <c r="AU134" s="170"/>
      <c r="AV134" s="190">
        <v>96</v>
      </c>
      <c r="AW134" s="166">
        <v>193</v>
      </c>
      <c r="AX134" s="208">
        <v>138</v>
      </c>
      <c r="AY134" s="170">
        <v>121</v>
      </c>
      <c r="AZ134" s="45">
        <v>111</v>
      </c>
      <c r="BA134" s="58">
        <v>168</v>
      </c>
      <c r="BB134" s="190"/>
      <c r="BC134" s="167"/>
      <c r="BD134" s="190"/>
      <c r="BE134" s="167"/>
      <c r="BF134" s="190"/>
      <c r="BG134" s="167"/>
      <c r="BH134" s="190"/>
      <c r="BI134" s="167"/>
      <c r="BJ134" s="190"/>
      <c r="BK134" s="167"/>
    </row>
    <row r="135" spans="1:63" ht="13" x14ac:dyDescent="0.25">
      <c r="A135" s="372">
        <v>2203</v>
      </c>
      <c r="B135" s="373" t="s">
        <v>265</v>
      </c>
      <c r="C135" s="360">
        <v>1484</v>
      </c>
      <c r="D135" s="54">
        <v>191</v>
      </c>
      <c r="E135" s="367">
        <v>0.14949494949494949</v>
      </c>
      <c r="F135" s="45">
        <v>169</v>
      </c>
      <c r="G135" s="58">
        <v>17</v>
      </c>
      <c r="H135" s="45">
        <v>157</v>
      </c>
      <c r="I135" s="57">
        <v>34</v>
      </c>
      <c r="J135" s="97"/>
      <c r="K135" s="58"/>
      <c r="L135" s="45"/>
      <c r="M135" s="57"/>
      <c r="N135" s="97"/>
      <c r="O135" s="58"/>
      <c r="P135" s="165"/>
      <c r="Q135" s="166"/>
      <c r="R135" s="207"/>
      <c r="S135" s="170"/>
      <c r="T135" s="165"/>
      <c r="U135" s="166"/>
      <c r="V135" s="207"/>
      <c r="W135" s="170"/>
      <c r="X135" s="165"/>
      <c r="Y135" s="166"/>
      <c r="Z135" s="207"/>
      <c r="AA135" s="170"/>
      <c r="AB135" s="165"/>
      <c r="AC135" s="166"/>
      <c r="AD135" s="207"/>
      <c r="AE135" s="170"/>
      <c r="AF135" s="165"/>
      <c r="AG135" s="166"/>
      <c r="AH135" s="207"/>
      <c r="AI135" s="170"/>
      <c r="AJ135" s="165"/>
      <c r="AK135" s="166"/>
      <c r="AL135" s="207"/>
      <c r="AM135" s="170"/>
      <c r="AN135" s="165"/>
      <c r="AO135" s="166"/>
      <c r="AP135" s="207">
        <v>123</v>
      </c>
      <c r="AQ135" s="170">
        <v>64</v>
      </c>
      <c r="AR135" s="165">
        <v>117</v>
      </c>
      <c r="AS135" s="166">
        <v>68</v>
      </c>
      <c r="AT135" s="207"/>
      <c r="AU135" s="170"/>
      <c r="AV135" s="190">
        <v>97</v>
      </c>
      <c r="AW135" s="166">
        <v>92</v>
      </c>
      <c r="AX135" s="208">
        <v>116</v>
      </c>
      <c r="AY135" s="170">
        <v>65</v>
      </c>
      <c r="AZ135" s="45">
        <v>72</v>
      </c>
      <c r="BA135" s="58">
        <v>111</v>
      </c>
      <c r="BB135" s="190"/>
      <c r="BC135" s="167"/>
      <c r="BD135" s="190"/>
      <c r="BE135" s="167"/>
      <c r="BF135" s="190"/>
      <c r="BG135" s="167"/>
      <c r="BH135" s="190"/>
      <c r="BI135" s="167"/>
      <c r="BJ135" s="190"/>
      <c r="BK135" s="167"/>
    </row>
    <row r="136" spans="1:63" ht="13" x14ac:dyDescent="0.25">
      <c r="A136" s="372">
        <v>2301</v>
      </c>
      <c r="B136" s="373" t="s">
        <v>266</v>
      </c>
      <c r="C136" s="360">
        <v>1509</v>
      </c>
      <c r="D136" s="54">
        <v>709</v>
      </c>
      <c r="E136" s="367">
        <v>0.48152948801036943</v>
      </c>
      <c r="F136" s="45">
        <v>632</v>
      </c>
      <c r="G136" s="58">
        <v>75</v>
      </c>
      <c r="H136" s="45">
        <v>610</v>
      </c>
      <c r="I136" s="57">
        <v>94</v>
      </c>
      <c r="J136" s="97"/>
      <c r="K136" s="58"/>
      <c r="L136" s="45"/>
      <c r="M136" s="57"/>
      <c r="N136" s="97"/>
      <c r="O136" s="58"/>
      <c r="P136" s="165"/>
      <c r="Q136" s="166"/>
      <c r="R136" s="207"/>
      <c r="S136" s="170"/>
      <c r="T136" s="165"/>
      <c r="U136" s="166"/>
      <c r="V136" s="207"/>
      <c r="W136" s="170"/>
      <c r="X136" s="165"/>
      <c r="Y136" s="166"/>
      <c r="Z136" s="207"/>
      <c r="AA136" s="170"/>
      <c r="AB136" s="165"/>
      <c r="AC136" s="166"/>
      <c r="AD136" s="207"/>
      <c r="AE136" s="170"/>
      <c r="AF136" s="165"/>
      <c r="AG136" s="166"/>
      <c r="AH136" s="207"/>
      <c r="AI136" s="170"/>
      <c r="AJ136" s="165"/>
      <c r="AK136" s="166"/>
      <c r="AL136" s="207"/>
      <c r="AM136" s="170"/>
      <c r="AN136" s="165"/>
      <c r="AO136" s="166"/>
      <c r="AP136" s="207">
        <v>564</v>
      </c>
      <c r="AQ136" s="170">
        <v>126</v>
      </c>
      <c r="AR136" s="165">
        <v>523</v>
      </c>
      <c r="AS136" s="166">
        <v>160</v>
      </c>
      <c r="AT136" s="207"/>
      <c r="AU136" s="170"/>
      <c r="AV136" s="190">
        <v>306</v>
      </c>
      <c r="AW136" s="166">
        <v>386</v>
      </c>
      <c r="AX136" s="208">
        <v>411</v>
      </c>
      <c r="AY136" s="170">
        <v>202</v>
      </c>
      <c r="AZ136" s="45">
        <v>271</v>
      </c>
      <c r="BA136" s="58">
        <v>394</v>
      </c>
      <c r="BB136" s="190"/>
      <c r="BC136" s="167"/>
      <c r="BD136" s="190"/>
      <c r="BE136" s="167"/>
      <c r="BF136" s="190"/>
      <c r="BG136" s="167"/>
      <c r="BH136" s="190"/>
      <c r="BI136" s="167"/>
      <c r="BJ136" s="190"/>
      <c r="BK136" s="167"/>
    </row>
    <row r="137" spans="1:63" ht="13" x14ac:dyDescent="0.25">
      <c r="A137" s="372">
        <v>2302</v>
      </c>
      <c r="B137" s="373" t="s">
        <v>267</v>
      </c>
      <c r="C137" s="360">
        <v>1548</v>
      </c>
      <c r="D137" s="54">
        <v>239</v>
      </c>
      <c r="E137" s="367">
        <v>0.17385943279901356</v>
      </c>
      <c r="F137" s="45">
        <v>208</v>
      </c>
      <c r="G137" s="58">
        <v>29</v>
      </c>
      <c r="H137" s="45">
        <v>202</v>
      </c>
      <c r="I137" s="57">
        <v>35</v>
      </c>
      <c r="J137" s="97"/>
      <c r="K137" s="58"/>
      <c r="L137" s="45"/>
      <c r="M137" s="57"/>
      <c r="N137" s="97"/>
      <c r="O137" s="58"/>
      <c r="P137" s="165"/>
      <c r="Q137" s="166"/>
      <c r="R137" s="207"/>
      <c r="S137" s="170"/>
      <c r="T137" s="165"/>
      <c r="U137" s="166"/>
      <c r="V137" s="207"/>
      <c r="W137" s="170"/>
      <c r="X137" s="165"/>
      <c r="Y137" s="166"/>
      <c r="Z137" s="207"/>
      <c r="AA137" s="170"/>
      <c r="AB137" s="165"/>
      <c r="AC137" s="166"/>
      <c r="AD137" s="207"/>
      <c r="AE137" s="170"/>
      <c r="AF137" s="165"/>
      <c r="AG137" s="166"/>
      <c r="AH137" s="207"/>
      <c r="AI137" s="170"/>
      <c r="AJ137" s="165"/>
      <c r="AK137" s="166"/>
      <c r="AL137" s="207"/>
      <c r="AM137" s="170"/>
      <c r="AN137" s="165"/>
      <c r="AO137" s="166"/>
      <c r="AP137" s="207">
        <v>184</v>
      </c>
      <c r="AQ137" s="170">
        <v>49</v>
      </c>
      <c r="AR137" s="165">
        <v>173</v>
      </c>
      <c r="AS137" s="166">
        <v>62</v>
      </c>
      <c r="AT137" s="207"/>
      <c r="AU137" s="170"/>
      <c r="AV137" s="190">
        <v>117</v>
      </c>
      <c r="AW137" s="166">
        <v>118</v>
      </c>
      <c r="AX137" s="208">
        <v>142</v>
      </c>
      <c r="AY137" s="170">
        <v>78</v>
      </c>
      <c r="AZ137" s="45">
        <v>96</v>
      </c>
      <c r="BA137" s="58">
        <v>129</v>
      </c>
      <c r="BB137" s="190"/>
      <c r="BC137" s="167"/>
      <c r="BD137" s="190"/>
      <c r="BE137" s="167"/>
      <c r="BF137" s="190"/>
      <c r="BG137" s="167"/>
      <c r="BH137" s="190"/>
      <c r="BI137" s="167"/>
      <c r="BJ137" s="190"/>
      <c r="BK137" s="167"/>
    </row>
    <row r="138" spans="1:63" ht="13" x14ac:dyDescent="0.25">
      <c r="A138" s="372">
        <v>2303</v>
      </c>
      <c r="B138" s="373" t="s">
        <v>268</v>
      </c>
      <c r="C138" s="360">
        <v>882</v>
      </c>
      <c r="D138" s="54">
        <v>572</v>
      </c>
      <c r="E138" s="367">
        <v>0.65666666666666662</v>
      </c>
      <c r="F138" s="45">
        <v>531</v>
      </c>
      <c r="G138" s="58">
        <v>39</v>
      </c>
      <c r="H138" s="45">
        <v>504</v>
      </c>
      <c r="I138" s="57">
        <v>61</v>
      </c>
      <c r="J138" s="97"/>
      <c r="K138" s="58"/>
      <c r="L138" s="45"/>
      <c r="M138" s="57"/>
      <c r="N138" s="97"/>
      <c r="O138" s="58"/>
      <c r="P138" s="165"/>
      <c r="Q138" s="166"/>
      <c r="R138" s="207"/>
      <c r="S138" s="170"/>
      <c r="T138" s="165"/>
      <c r="U138" s="166"/>
      <c r="V138" s="207"/>
      <c r="W138" s="170"/>
      <c r="X138" s="165"/>
      <c r="Y138" s="166"/>
      <c r="Z138" s="207"/>
      <c r="AA138" s="170"/>
      <c r="AB138" s="165"/>
      <c r="AC138" s="166"/>
      <c r="AD138" s="207"/>
      <c r="AE138" s="170"/>
      <c r="AF138" s="165"/>
      <c r="AG138" s="166"/>
      <c r="AH138" s="207"/>
      <c r="AI138" s="170"/>
      <c r="AJ138" s="165"/>
      <c r="AK138" s="166"/>
      <c r="AL138" s="207"/>
      <c r="AM138" s="170"/>
      <c r="AN138" s="165"/>
      <c r="AO138" s="166"/>
      <c r="AP138" s="207">
        <v>502</v>
      </c>
      <c r="AQ138" s="170">
        <v>65</v>
      </c>
      <c r="AR138" s="165">
        <v>489</v>
      </c>
      <c r="AS138" s="166">
        <v>74</v>
      </c>
      <c r="AT138" s="207"/>
      <c r="AU138" s="170"/>
      <c r="AV138" s="190">
        <v>249</v>
      </c>
      <c r="AW138" s="166">
        <v>313</v>
      </c>
      <c r="AX138" s="208">
        <v>336</v>
      </c>
      <c r="AY138" s="170">
        <v>157</v>
      </c>
      <c r="AZ138" s="45">
        <v>210</v>
      </c>
      <c r="BA138" s="58">
        <v>332</v>
      </c>
      <c r="BB138" s="190"/>
      <c r="BC138" s="167"/>
      <c r="BD138" s="190"/>
      <c r="BE138" s="167"/>
      <c r="BF138" s="190"/>
      <c r="BG138" s="167"/>
      <c r="BH138" s="190"/>
      <c r="BI138" s="167"/>
      <c r="BJ138" s="190"/>
      <c r="BK138" s="167"/>
    </row>
    <row r="139" spans="1:63" ht="13" x14ac:dyDescent="0.25">
      <c r="A139" s="372">
        <v>2304</v>
      </c>
      <c r="B139" s="373" t="s">
        <v>269</v>
      </c>
      <c r="C139" s="360">
        <v>1170</v>
      </c>
      <c r="D139" s="54">
        <v>730</v>
      </c>
      <c r="E139" s="367">
        <v>0.61186440677966103</v>
      </c>
      <c r="F139" s="45">
        <v>685</v>
      </c>
      <c r="G139" s="58">
        <v>44</v>
      </c>
      <c r="H139" s="45">
        <v>690</v>
      </c>
      <c r="I139" s="57">
        <v>37</v>
      </c>
      <c r="J139" s="97"/>
      <c r="K139" s="58"/>
      <c r="L139" s="45"/>
      <c r="M139" s="57"/>
      <c r="N139" s="97"/>
      <c r="O139" s="58"/>
      <c r="P139" s="165"/>
      <c r="Q139" s="166"/>
      <c r="R139" s="207"/>
      <c r="S139" s="170"/>
      <c r="T139" s="165"/>
      <c r="U139" s="166"/>
      <c r="V139" s="207"/>
      <c r="W139" s="170"/>
      <c r="X139" s="165"/>
      <c r="Y139" s="166"/>
      <c r="Z139" s="207"/>
      <c r="AA139" s="170"/>
      <c r="AB139" s="165"/>
      <c r="AC139" s="166"/>
      <c r="AD139" s="207"/>
      <c r="AE139" s="170"/>
      <c r="AF139" s="165"/>
      <c r="AG139" s="166"/>
      <c r="AH139" s="207"/>
      <c r="AI139" s="170"/>
      <c r="AJ139" s="165"/>
      <c r="AK139" s="166"/>
      <c r="AL139" s="207"/>
      <c r="AM139" s="170"/>
      <c r="AN139" s="165"/>
      <c r="AO139" s="166"/>
      <c r="AP139" s="207">
        <v>641</v>
      </c>
      <c r="AQ139" s="170">
        <v>78</v>
      </c>
      <c r="AR139" s="165">
        <v>628</v>
      </c>
      <c r="AS139" s="166">
        <v>87</v>
      </c>
      <c r="AT139" s="207"/>
      <c r="AU139" s="170"/>
      <c r="AV139" s="190">
        <v>311</v>
      </c>
      <c r="AW139" s="166">
        <v>405</v>
      </c>
      <c r="AX139" s="208">
        <v>435</v>
      </c>
      <c r="AY139" s="170">
        <v>191</v>
      </c>
      <c r="AZ139" s="45">
        <v>300</v>
      </c>
      <c r="BA139" s="58">
        <v>401</v>
      </c>
      <c r="BB139" s="190"/>
      <c r="BC139" s="167"/>
      <c r="BD139" s="190"/>
      <c r="BE139" s="167"/>
      <c r="BF139" s="190"/>
      <c r="BG139" s="167"/>
      <c r="BH139" s="190"/>
      <c r="BI139" s="167"/>
      <c r="BJ139" s="190"/>
      <c r="BK139" s="167"/>
    </row>
    <row r="140" spans="1:63" ht="13" x14ac:dyDescent="0.25">
      <c r="A140" s="372">
        <v>2305</v>
      </c>
      <c r="B140" s="373" t="s">
        <v>270</v>
      </c>
      <c r="C140" s="360">
        <v>1036</v>
      </c>
      <c r="D140" s="54">
        <v>351</v>
      </c>
      <c r="E140" s="367">
        <v>0.37947269303201508</v>
      </c>
      <c r="F140" s="45">
        <v>311</v>
      </c>
      <c r="G140" s="58">
        <v>39</v>
      </c>
      <c r="H140" s="45">
        <v>272</v>
      </c>
      <c r="I140" s="57">
        <v>71</v>
      </c>
      <c r="J140" s="97"/>
      <c r="K140" s="58"/>
      <c r="L140" s="45"/>
      <c r="M140" s="57"/>
      <c r="N140" s="97"/>
      <c r="O140" s="58"/>
      <c r="P140" s="165"/>
      <c r="Q140" s="166"/>
      <c r="R140" s="207"/>
      <c r="S140" s="170"/>
      <c r="T140" s="165"/>
      <c r="U140" s="166"/>
      <c r="V140" s="207"/>
      <c r="W140" s="170"/>
      <c r="X140" s="165"/>
      <c r="Y140" s="166"/>
      <c r="Z140" s="207"/>
      <c r="AA140" s="170"/>
      <c r="AB140" s="165"/>
      <c r="AC140" s="166"/>
      <c r="AD140" s="207"/>
      <c r="AE140" s="170"/>
      <c r="AF140" s="165"/>
      <c r="AG140" s="166"/>
      <c r="AH140" s="207"/>
      <c r="AI140" s="170"/>
      <c r="AJ140" s="165"/>
      <c r="AK140" s="166"/>
      <c r="AL140" s="207"/>
      <c r="AM140" s="170"/>
      <c r="AN140" s="165"/>
      <c r="AO140" s="166"/>
      <c r="AP140" s="207">
        <v>223</v>
      </c>
      <c r="AQ140" s="170">
        <v>121</v>
      </c>
      <c r="AR140" s="165">
        <v>215</v>
      </c>
      <c r="AS140" s="166">
        <v>129</v>
      </c>
      <c r="AT140" s="207"/>
      <c r="AU140" s="170"/>
      <c r="AV140" s="190">
        <v>183</v>
      </c>
      <c r="AW140" s="166">
        <v>164</v>
      </c>
      <c r="AX140" s="208">
        <v>192</v>
      </c>
      <c r="AY140" s="170">
        <v>133</v>
      </c>
      <c r="AZ140" s="45">
        <v>130</v>
      </c>
      <c r="BA140" s="58">
        <v>214</v>
      </c>
      <c r="BB140" s="190"/>
      <c r="BC140" s="167"/>
      <c r="BD140" s="190"/>
      <c r="BE140" s="167"/>
      <c r="BF140" s="190"/>
      <c r="BG140" s="167"/>
      <c r="BH140" s="190"/>
      <c r="BI140" s="167"/>
      <c r="BJ140" s="190"/>
      <c r="BK140" s="167"/>
    </row>
    <row r="141" spans="1:63" ht="13" x14ac:dyDescent="0.25">
      <c r="A141" s="372">
        <v>2306</v>
      </c>
      <c r="B141" s="373" t="s">
        <v>271</v>
      </c>
      <c r="C141" s="360">
        <v>1287</v>
      </c>
      <c r="D141" s="54">
        <v>593</v>
      </c>
      <c r="E141" s="367">
        <v>0.4817629179331307</v>
      </c>
      <c r="F141" s="45">
        <v>480</v>
      </c>
      <c r="G141" s="58">
        <v>108</v>
      </c>
      <c r="H141" s="45">
        <v>453</v>
      </c>
      <c r="I141" s="57">
        <v>131</v>
      </c>
      <c r="J141" s="97"/>
      <c r="K141" s="58"/>
      <c r="L141" s="45"/>
      <c r="M141" s="57"/>
      <c r="N141" s="97"/>
      <c r="O141" s="58"/>
      <c r="P141" s="165"/>
      <c r="Q141" s="166"/>
      <c r="R141" s="207"/>
      <c r="S141" s="170"/>
      <c r="T141" s="165"/>
      <c r="U141" s="166"/>
      <c r="V141" s="207"/>
      <c r="W141" s="170"/>
      <c r="X141" s="165"/>
      <c r="Y141" s="166"/>
      <c r="Z141" s="207"/>
      <c r="AA141" s="170"/>
      <c r="AB141" s="165"/>
      <c r="AC141" s="166"/>
      <c r="AD141" s="207"/>
      <c r="AE141" s="170"/>
      <c r="AF141" s="165"/>
      <c r="AG141" s="166"/>
      <c r="AH141" s="207"/>
      <c r="AI141" s="170"/>
      <c r="AJ141" s="165"/>
      <c r="AK141" s="166"/>
      <c r="AL141" s="207"/>
      <c r="AM141" s="170"/>
      <c r="AN141" s="165"/>
      <c r="AO141" s="166"/>
      <c r="AP141" s="207">
        <v>445</v>
      </c>
      <c r="AQ141" s="170">
        <v>135</v>
      </c>
      <c r="AR141" s="165">
        <v>418</v>
      </c>
      <c r="AS141" s="166">
        <v>159</v>
      </c>
      <c r="AT141" s="207"/>
      <c r="AU141" s="170"/>
      <c r="AV141" s="190">
        <v>289</v>
      </c>
      <c r="AW141" s="166">
        <v>294</v>
      </c>
      <c r="AX141" s="208">
        <v>345</v>
      </c>
      <c r="AY141" s="170">
        <v>187</v>
      </c>
      <c r="AZ141" s="45">
        <v>220</v>
      </c>
      <c r="BA141" s="58">
        <v>347</v>
      </c>
      <c r="BB141" s="190"/>
      <c r="BC141" s="167"/>
      <c r="BD141" s="190"/>
      <c r="BE141" s="167"/>
      <c r="BF141" s="190"/>
      <c r="BG141" s="167"/>
      <c r="BH141" s="190"/>
      <c r="BI141" s="167"/>
      <c r="BJ141" s="190"/>
      <c r="BK141" s="167"/>
    </row>
    <row r="142" spans="1:63" ht="13" x14ac:dyDescent="0.25">
      <c r="A142" s="372">
        <v>2307</v>
      </c>
      <c r="B142" s="373" t="s">
        <v>272</v>
      </c>
      <c r="C142" s="360">
        <v>575</v>
      </c>
      <c r="D142" s="54">
        <v>220</v>
      </c>
      <c r="E142" s="367">
        <v>0.41709401709401711</v>
      </c>
      <c r="F142" s="45">
        <v>193</v>
      </c>
      <c r="G142" s="58">
        <v>25</v>
      </c>
      <c r="H142" s="45">
        <v>172</v>
      </c>
      <c r="I142" s="57">
        <v>46</v>
      </c>
      <c r="J142" s="97"/>
      <c r="K142" s="58"/>
      <c r="L142" s="45"/>
      <c r="M142" s="57"/>
      <c r="N142" s="97"/>
      <c r="O142" s="58"/>
      <c r="P142" s="165"/>
      <c r="Q142" s="166"/>
      <c r="R142" s="207"/>
      <c r="S142" s="170"/>
      <c r="T142" s="165"/>
      <c r="U142" s="166"/>
      <c r="V142" s="207"/>
      <c r="W142" s="170"/>
      <c r="X142" s="165"/>
      <c r="Y142" s="166"/>
      <c r="Z142" s="207"/>
      <c r="AA142" s="170"/>
      <c r="AB142" s="165"/>
      <c r="AC142" s="166"/>
      <c r="AD142" s="207"/>
      <c r="AE142" s="170"/>
      <c r="AF142" s="165"/>
      <c r="AG142" s="166"/>
      <c r="AH142" s="207"/>
      <c r="AI142" s="170"/>
      <c r="AJ142" s="165"/>
      <c r="AK142" s="166"/>
      <c r="AL142" s="207"/>
      <c r="AM142" s="170"/>
      <c r="AN142" s="165"/>
      <c r="AO142" s="166"/>
      <c r="AP142" s="207">
        <v>141</v>
      </c>
      <c r="AQ142" s="170">
        <v>71</v>
      </c>
      <c r="AR142" s="165">
        <v>129</v>
      </c>
      <c r="AS142" s="166">
        <v>83</v>
      </c>
      <c r="AT142" s="207"/>
      <c r="AU142" s="170"/>
      <c r="AV142" s="190">
        <v>115</v>
      </c>
      <c r="AW142" s="166">
        <v>100</v>
      </c>
      <c r="AX142" s="208">
        <v>119</v>
      </c>
      <c r="AY142" s="170">
        <v>81</v>
      </c>
      <c r="AZ142" s="45">
        <v>66</v>
      </c>
      <c r="BA142" s="58">
        <v>144</v>
      </c>
      <c r="BB142" s="190"/>
      <c r="BC142" s="167"/>
      <c r="BD142" s="190"/>
      <c r="BE142" s="167"/>
      <c r="BF142" s="190"/>
      <c r="BG142" s="167"/>
      <c r="BH142" s="190"/>
      <c r="BI142" s="167"/>
      <c r="BJ142" s="190"/>
      <c r="BK142" s="167"/>
    </row>
    <row r="143" spans="1:63" ht="13" x14ac:dyDescent="0.25">
      <c r="A143" s="372">
        <v>2308</v>
      </c>
      <c r="B143" s="373" t="s">
        <v>273</v>
      </c>
      <c r="C143" s="360">
        <v>1030</v>
      </c>
      <c r="D143" s="54">
        <v>659</v>
      </c>
      <c r="E143" s="367">
        <v>0.67280163599182008</v>
      </c>
      <c r="F143" s="45">
        <v>500</v>
      </c>
      <c r="G143" s="58">
        <v>155</v>
      </c>
      <c r="H143" s="45">
        <v>460</v>
      </c>
      <c r="I143" s="57">
        <v>191</v>
      </c>
      <c r="J143" s="97"/>
      <c r="K143" s="58"/>
      <c r="L143" s="45"/>
      <c r="M143" s="57"/>
      <c r="N143" s="97"/>
      <c r="O143" s="58"/>
      <c r="P143" s="165"/>
      <c r="Q143" s="166"/>
      <c r="R143" s="207"/>
      <c r="S143" s="170"/>
      <c r="T143" s="165"/>
      <c r="U143" s="166"/>
      <c r="V143" s="207"/>
      <c r="W143" s="170"/>
      <c r="X143" s="165"/>
      <c r="Y143" s="166"/>
      <c r="Z143" s="207"/>
      <c r="AA143" s="170"/>
      <c r="AB143" s="165"/>
      <c r="AC143" s="166"/>
      <c r="AD143" s="207"/>
      <c r="AE143" s="170"/>
      <c r="AF143" s="165"/>
      <c r="AG143" s="166"/>
      <c r="AH143" s="207"/>
      <c r="AI143" s="170"/>
      <c r="AJ143" s="165"/>
      <c r="AK143" s="166"/>
      <c r="AL143" s="207"/>
      <c r="AM143" s="170"/>
      <c r="AN143" s="165"/>
      <c r="AO143" s="166"/>
      <c r="AP143" s="207">
        <v>518</v>
      </c>
      <c r="AQ143" s="170">
        <v>129</v>
      </c>
      <c r="AR143" s="165">
        <v>456</v>
      </c>
      <c r="AS143" s="166">
        <v>190</v>
      </c>
      <c r="AT143" s="207"/>
      <c r="AU143" s="170"/>
      <c r="AV143" s="190">
        <v>345</v>
      </c>
      <c r="AW143" s="166">
        <v>300</v>
      </c>
      <c r="AX143" s="208">
        <v>371</v>
      </c>
      <c r="AY143" s="170">
        <v>208</v>
      </c>
      <c r="AZ143" s="45">
        <v>169</v>
      </c>
      <c r="BA143" s="58">
        <v>454</v>
      </c>
      <c r="BB143" s="190"/>
      <c r="BC143" s="167"/>
      <c r="BD143" s="190"/>
      <c r="BE143" s="167"/>
      <c r="BF143" s="190"/>
      <c r="BG143" s="167"/>
      <c r="BH143" s="190"/>
      <c r="BI143" s="167"/>
      <c r="BJ143" s="190"/>
      <c r="BK143" s="167"/>
    </row>
    <row r="144" spans="1:63" ht="13" x14ac:dyDescent="0.25">
      <c r="A144" s="372">
        <v>2309</v>
      </c>
      <c r="B144" s="373" t="s">
        <v>274</v>
      </c>
      <c r="C144" s="360">
        <v>994</v>
      </c>
      <c r="D144" s="54">
        <v>548</v>
      </c>
      <c r="E144" s="367">
        <v>0.56294058408862035</v>
      </c>
      <c r="F144" s="45">
        <v>411</v>
      </c>
      <c r="G144" s="58">
        <v>133</v>
      </c>
      <c r="H144" s="45">
        <v>388</v>
      </c>
      <c r="I144" s="57">
        <v>155</v>
      </c>
      <c r="J144" s="97"/>
      <c r="K144" s="58"/>
      <c r="L144" s="45"/>
      <c r="M144" s="57"/>
      <c r="N144" s="97"/>
      <c r="O144" s="58"/>
      <c r="P144" s="165"/>
      <c r="Q144" s="166"/>
      <c r="R144" s="207"/>
      <c r="S144" s="170"/>
      <c r="T144" s="165"/>
      <c r="U144" s="166"/>
      <c r="V144" s="207"/>
      <c r="W144" s="170"/>
      <c r="X144" s="165"/>
      <c r="Y144" s="166"/>
      <c r="Z144" s="207"/>
      <c r="AA144" s="170"/>
      <c r="AB144" s="165"/>
      <c r="AC144" s="166"/>
      <c r="AD144" s="207"/>
      <c r="AE144" s="170"/>
      <c r="AF144" s="165"/>
      <c r="AG144" s="166"/>
      <c r="AH144" s="207"/>
      <c r="AI144" s="170"/>
      <c r="AJ144" s="165"/>
      <c r="AK144" s="166"/>
      <c r="AL144" s="207"/>
      <c r="AM144" s="170"/>
      <c r="AN144" s="165"/>
      <c r="AO144" s="166"/>
      <c r="AP144" s="207">
        <v>399</v>
      </c>
      <c r="AQ144" s="170">
        <v>138</v>
      </c>
      <c r="AR144" s="165">
        <v>363</v>
      </c>
      <c r="AS144" s="166">
        <v>175</v>
      </c>
      <c r="AT144" s="207"/>
      <c r="AU144" s="170"/>
      <c r="AV144" s="190">
        <v>259</v>
      </c>
      <c r="AW144" s="166">
        <v>274</v>
      </c>
      <c r="AX144" s="208">
        <v>295</v>
      </c>
      <c r="AY144" s="170">
        <v>200</v>
      </c>
      <c r="AZ144" s="45">
        <v>126</v>
      </c>
      <c r="BA144" s="58">
        <v>395</v>
      </c>
      <c r="BB144" s="190"/>
      <c r="BC144" s="167"/>
      <c r="BD144" s="190"/>
      <c r="BE144" s="167"/>
      <c r="BF144" s="190"/>
      <c r="BG144" s="167"/>
      <c r="BH144" s="190"/>
      <c r="BI144" s="167"/>
      <c r="BJ144" s="190"/>
      <c r="BK144" s="167"/>
    </row>
    <row r="145" spans="1:63" ht="13" x14ac:dyDescent="0.25">
      <c r="A145" s="372">
        <v>2310</v>
      </c>
      <c r="B145" s="373" t="s">
        <v>275</v>
      </c>
      <c r="C145" s="360">
        <v>1296</v>
      </c>
      <c r="D145" s="54">
        <v>554</v>
      </c>
      <c r="E145" s="367">
        <v>0.4610878661087866</v>
      </c>
      <c r="F145" s="45">
        <v>397</v>
      </c>
      <c r="G145" s="58">
        <v>150</v>
      </c>
      <c r="H145" s="45">
        <v>406</v>
      </c>
      <c r="I145" s="57">
        <v>146</v>
      </c>
      <c r="J145" s="97"/>
      <c r="K145" s="58"/>
      <c r="L145" s="45"/>
      <c r="M145" s="57"/>
      <c r="N145" s="97"/>
      <c r="O145" s="58"/>
      <c r="P145" s="165"/>
      <c r="Q145" s="166"/>
      <c r="R145" s="207"/>
      <c r="S145" s="170"/>
      <c r="T145" s="165"/>
      <c r="U145" s="166"/>
      <c r="V145" s="207"/>
      <c r="W145" s="170"/>
      <c r="X145" s="165"/>
      <c r="Y145" s="166"/>
      <c r="Z145" s="207"/>
      <c r="AA145" s="170"/>
      <c r="AB145" s="165"/>
      <c r="AC145" s="166"/>
      <c r="AD145" s="207"/>
      <c r="AE145" s="170"/>
      <c r="AF145" s="165"/>
      <c r="AG145" s="166"/>
      <c r="AH145" s="207"/>
      <c r="AI145" s="170"/>
      <c r="AJ145" s="165"/>
      <c r="AK145" s="166"/>
      <c r="AL145" s="207"/>
      <c r="AM145" s="170"/>
      <c r="AN145" s="165"/>
      <c r="AO145" s="166"/>
      <c r="AP145" s="207">
        <v>393</v>
      </c>
      <c r="AQ145" s="170">
        <v>153</v>
      </c>
      <c r="AR145" s="165">
        <v>349</v>
      </c>
      <c r="AS145" s="166">
        <v>197</v>
      </c>
      <c r="AT145" s="207"/>
      <c r="AU145" s="170"/>
      <c r="AV145" s="190">
        <v>265</v>
      </c>
      <c r="AW145" s="166">
        <v>276</v>
      </c>
      <c r="AX145" s="208">
        <v>319</v>
      </c>
      <c r="AY145" s="170">
        <v>179</v>
      </c>
      <c r="AZ145" s="45">
        <v>175</v>
      </c>
      <c r="BA145" s="58">
        <v>354</v>
      </c>
      <c r="BB145" s="190"/>
      <c r="BC145" s="167"/>
      <c r="BD145" s="190"/>
      <c r="BE145" s="167"/>
      <c r="BF145" s="190"/>
      <c r="BG145" s="167"/>
      <c r="BH145" s="190"/>
      <c r="BI145" s="167"/>
      <c r="BJ145" s="190"/>
      <c r="BK145" s="167"/>
    </row>
    <row r="146" spans="1:63" ht="13" x14ac:dyDescent="0.25">
      <c r="A146" s="372">
        <v>2311</v>
      </c>
      <c r="B146" s="373" t="s">
        <v>276</v>
      </c>
      <c r="C146" s="360">
        <v>1210</v>
      </c>
      <c r="D146" s="54">
        <v>653</v>
      </c>
      <c r="E146" s="367">
        <v>0.55929487179487181</v>
      </c>
      <c r="F146" s="45">
        <v>561</v>
      </c>
      <c r="G146" s="58">
        <v>89</v>
      </c>
      <c r="H146" s="45">
        <v>509</v>
      </c>
      <c r="I146" s="57">
        <v>134</v>
      </c>
      <c r="J146" s="97"/>
      <c r="K146" s="58"/>
      <c r="L146" s="45"/>
      <c r="M146" s="57"/>
      <c r="N146" s="97"/>
      <c r="O146" s="58"/>
      <c r="P146" s="165"/>
      <c r="Q146" s="166"/>
      <c r="R146" s="207"/>
      <c r="S146" s="170"/>
      <c r="T146" s="165"/>
      <c r="U146" s="166"/>
      <c r="V146" s="207"/>
      <c r="W146" s="170"/>
      <c r="X146" s="165"/>
      <c r="Y146" s="166"/>
      <c r="Z146" s="207"/>
      <c r="AA146" s="170"/>
      <c r="AB146" s="165"/>
      <c r="AC146" s="166"/>
      <c r="AD146" s="207"/>
      <c r="AE146" s="170"/>
      <c r="AF146" s="165"/>
      <c r="AG146" s="166"/>
      <c r="AH146" s="207"/>
      <c r="AI146" s="170"/>
      <c r="AJ146" s="165"/>
      <c r="AK146" s="166"/>
      <c r="AL146" s="207"/>
      <c r="AM146" s="170"/>
      <c r="AN146" s="165"/>
      <c r="AO146" s="166"/>
      <c r="AP146" s="207">
        <v>502</v>
      </c>
      <c r="AQ146" s="170">
        <v>141</v>
      </c>
      <c r="AR146" s="165">
        <v>481</v>
      </c>
      <c r="AS146" s="166">
        <v>158</v>
      </c>
      <c r="AT146" s="207"/>
      <c r="AU146" s="170"/>
      <c r="AV146" s="190">
        <v>327</v>
      </c>
      <c r="AW146" s="166">
        <v>319</v>
      </c>
      <c r="AX146" s="208">
        <v>369</v>
      </c>
      <c r="AY146" s="170">
        <v>217</v>
      </c>
      <c r="AZ146" s="45">
        <v>216</v>
      </c>
      <c r="BA146" s="58">
        <v>414</v>
      </c>
      <c r="BB146" s="190"/>
      <c r="BC146" s="167"/>
      <c r="BD146" s="190"/>
      <c r="BE146" s="167"/>
      <c r="BF146" s="190"/>
      <c r="BG146" s="167"/>
      <c r="BH146" s="190"/>
      <c r="BI146" s="167"/>
      <c r="BJ146" s="190"/>
      <c r="BK146" s="167"/>
    </row>
    <row r="147" spans="1:63" ht="13" x14ac:dyDescent="0.25">
      <c r="A147" s="372">
        <v>2312</v>
      </c>
      <c r="B147" s="373" t="s">
        <v>277</v>
      </c>
      <c r="C147" s="360">
        <v>612</v>
      </c>
      <c r="D147" s="54">
        <v>221</v>
      </c>
      <c r="E147" s="367">
        <v>0.38942307692307693</v>
      </c>
      <c r="F147" s="45">
        <v>177</v>
      </c>
      <c r="G147" s="58">
        <v>39</v>
      </c>
      <c r="H147" s="45">
        <v>163</v>
      </c>
      <c r="I147" s="57">
        <v>54</v>
      </c>
      <c r="J147" s="97"/>
      <c r="K147" s="58"/>
      <c r="L147" s="45"/>
      <c r="M147" s="57"/>
      <c r="N147" s="97"/>
      <c r="O147" s="58"/>
      <c r="P147" s="165"/>
      <c r="Q147" s="166"/>
      <c r="R147" s="207"/>
      <c r="S147" s="170"/>
      <c r="T147" s="165"/>
      <c r="U147" s="166"/>
      <c r="V147" s="207"/>
      <c r="W147" s="170"/>
      <c r="X147" s="165"/>
      <c r="Y147" s="166"/>
      <c r="Z147" s="207"/>
      <c r="AA147" s="170"/>
      <c r="AB147" s="165"/>
      <c r="AC147" s="166"/>
      <c r="AD147" s="207"/>
      <c r="AE147" s="170"/>
      <c r="AF147" s="165"/>
      <c r="AG147" s="166"/>
      <c r="AH147" s="207"/>
      <c r="AI147" s="170"/>
      <c r="AJ147" s="165"/>
      <c r="AK147" s="166"/>
      <c r="AL147" s="207"/>
      <c r="AM147" s="170"/>
      <c r="AN147" s="165"/>
      <c r="AO147" s="166"/>
      <c r="AP147" s="207">
        <v>148</v>
      </c>
      <c r="AQ147" s="170">
        <v>67</v>
      </c>
      <c r="AR147" s="165">
        <v>138</v>
      </c>
      <c r="AS147" s="166">
        <v>78</v>
      </c>
      <c r="AT147" s="207"/>
      <c r="AU147" s="170"/>
      <c r="AV147" s="190">
        <v>119</v>
      </c>
      <c r="AW147" s="166">
        <v>99</v>
      </c>
      <c r="AX147" s="208">
        <v>119</v>
      </c>
      <c r="AY147" s="170">
        <v>91</v>
      </c>
      <c r="AZ147" s="45">
        <v>76</v>
      </c>
      <c r="BA147" s="58">
        <v>135</v>
      </c>
      <c r="BB147" s="190"/>
      <c r="BC147" s="167"/>
      <c r="BD147" s="190"/>
      <c r="BE147" s="167"/>
      <c r="BF147" s="190"/>
      <c r="BG147" s="167"/>
      <c r="BH147" s="190"/>
      <c r="BI147" s="167"/>
      <c r="BJ147" s="190"/>
      <c r="BK147" s="167"/>
    </row>
    <row r="148" spans="1:63" ht="13" x14ac:dyDescent="0.25">
      <c r="A148" s="372">
        <v>2313</v>
      </c>
      <c r="B148" s="373" t="s">
        <v>278</v>
      </c>
      <c r="C148" s="360">
        <v>1065</v>
      </c>
      <c r="D148" s="54">
        <v>439</v>
      </c>
      <c r="E148" s="367">
        <v>0.43833017077798864</v>
      </c>
      <c r="F148" s="45">
        <v>358</v>
      </c>
      <c r="G148" s="58">
        <v>75</v>
      </c>
      <c r="H148" s="45">
        <v>300</v>
      </c>
      <c r="I148" s="57">
        <v>126</v>
      </c>
      <c r="J148" s="97"/>
      <c r="K148" s="58"/>
      <c r="L148" s="45"/>
      <c r="M148" s="57"/>
      <c r="N148" s="97"/>
      <c r="O148" s="58"/>
      <c r="P148" s="165"/>
      <c r="Q148" s="166"/>
      <c r="R148" s="207"/>
      <c r="S148" s="170"/>
      <c r="T148" s="165"/>
      <c r="U148" s="166"/>
      <c r="V148" s="207"/>
      <c r="W148" s="170"/>
      <c r="X148" s="165"/>
      <c r="Y148" s="166"/>
      <c r="Z148" s="207"/>
      <c r="AA148" s="170"/>
      <c r="AB148" s="165"/>
      <c r="AC148" s="166"/>
      <c r="AD148" s="207"/>
      <c r="AE148" s="170"/>
      <c r="AF148" s="165"/>
      <c r="AG148" s="166"/>
      <c r="AH148" s="207"/>
      <c r="AI148" s="170"/>
      <c r="AJ148" s="165"/>
      <c r="AK148" s="166"/>
      <c r="AL148" s="207"/>
      <c r="AM148" s="170"/>
      <c r="AN148" s="165"/>
      <c r="AO148" s="166"/>
      <c r="AP148" s="207">
        <v>327</v>
      </c>
      <c r="AQ148" s="170">
        <v>104</v>
      </c>
      <c r="AR148" s="165">
        <v>319</v>
      </c>
      <c r="AS148" s="166">
        <v>109</v>
      </c>
      <c r="AT148" s="207"/>
      <c r="AU148" s="170"/>
      <c r="AV148" s="190">
        <v>236</v>
      </c>
      <c r="AW148" s="166">
        <v>189</v>
      </c>
      <c r="AX148" s="208">
        <v>231</v>
      </c>
      <c r="AY148" s="170">
        <v>151</v>
      </c>
      <c r="AZ148" s="45">
        <v>153</v>
      </c>
      <c r="BA148" s="58">
        <v>261</v>
      </c>
      <c r="BB148" s="190"/>
      <c r="BC148" s="167"/>
      <c r="BD148" s="190"/>
      <c r="BE148" s="167"/>
      <c r="BF148" s="190"/>
      <c r="BG148" s="167"/>
      <c r="BH148" s="190"/>
      <c r="BI148" s="167"/>
      <c r="BJ148" s="190"/>
      <c r="BK148" s="167"/>
    </row>
    <row r="149" spans="1:63" ht="13" x14ac:dyDescent="0.25">
      <c r="A149" s="372">
        <v>2314</v>
      </c>
      <c r="B149" s="373" t="s">
        <v>279</v>
      </c>
      <c r="C149" s="360">
        <v>1191</v>
      </c>
      <c r="D149" s="54">
        <v>600</v>
      </c>
      <c r="E149" s="367">
        <v>0.51845775225594748</v>
      </c>
      <c r="F149" s="45">
        <v>468</v>
      </c>
      <c r="G149" s="58">
        <v>129</v>
      </c>
      <c r="H149" s="45">
        <v>433</v>
      </c>
      <c r="I149" s="57">
        <v>160</v>
      </c>
      <c r="J149" s="97"/>
      <c r="K149" s="58"/>
      <c r="L149" s="45"/>
      <c r="M149" s="57"/>
      <c r="N149" s="97"/>
      <c r="O149" s="58"/>
      <c r="P149" s="165"/>
      <c r="Q149" s="166"/>
      <c r="R149" s="207"/>
      <c r="S149" s="170"/>
      <c r="T149" s="165"/>
      <c r="U149" s="166"/>
      <c r="V149" s="207"/>
      <c r="W149" s="170"/>
      <c r="X149" s="165"/>
      <c r="Y149" s="166"/>
      <c r="Z149" s="207"/>
      <c r="AA149" s="170"/>
      <c r="AB149" s="165"/>
      <c r="AC149" s="166"/>
      <c r="AD149" s="207"/>
      <c r="AE149" s="170"/>
      <c r="AF149" s="165"/>
      <c r="AG149" s="166"/>
      <c r="AH149" s="207"/>
      <c r="AI149" s="170"/>
      <c r="AJ149" s="165"/>
      <c r="AK149" s="166"/>
      <c r="AL149" s="207"/>
      <c r="AM149" s="170"/>
      <c r="AN149" s="165"/>
      <c r="AO149" s="166"/>
      <c r="AP149" s="207">
        <v>457</v>
      </c>
      <c r="AQ149" s="170">
        <v>137</v>
      </c>
      <c r="AR149" s="165">
        <v>408</v>
      </c>
      <c r="AS149" s="166">
        <v>183</v>
      </c>
      <c r="AT149" s="207"/>
      <c r="AU149" s="170"/>
      <c r="AV149" s="190">
        <v>300</v>
      </c>
      <c r="AW149" s="166">
        <v>288</v>
      </c>
      <c r="AX149" s="208">
        <v>351</v>
      </c>
      <c r="AY149" s="170">
        <v>180</v>
      </c>
      <c r="AZ149" s="45">
        <v>168</v>
      </c>
      <c r="BA149" s="58">
        <v>407</v>
      </c>
      <c r="BB149" s="190"/>
      <c r="BC149" s="167"/>
      <c r="BD149" s="190"/>
      <c r="BE149" s="167"/>
      <c r="BF149" s="190"/>
      <c r="BG149" s="167"/>
      <c r="BH149" s="190"/>
      <c r="BI149" s="167"/>
      <c r="BJ149" s="190"/>
      <c r="BK149" s="167"/>
    </row>
    <row r="150" spans="1:63" ht="13" x14ac:dyDescent="0.25">
      <c r="A150" s="372">
        <v>2315</v>
      </c>
      <c r="B150" s="373" t="s">
        <v>280</v>
      </c>
      <c r="C150" s="360">
        <v>1057</v>
      </c>
      <c r="D150" s="54">
        <v>618</v>
      </c>
      <c r="E150" s="367">
        <v>0.56332703213610591</v>
      </c>
      <c r="F150" s="45">
        <v>502</v>
      </c>
      <c r="G150" s="58">
        <v>114</v>
      </c>
      <c r="H150" s="45">
        <v>441</v>
      </c>
      <c r="I150" s="57">
        <v>171</v>
      </c>
      <c r="J150" s="97"/>
      <c r="K150" s="58"/>
      <c r="L150" s="45"/>
      <c r="M150" s="57"/>
      <c r="N150" s="97"/>
      <c r="O150" s="58"/>
      <c r="P150" s="165"/>
      <c r="Q150" s="166"/>
      <c r="R150" s="207"/>
      <c r="S150" s="170"/>
      <c r="T150" s="165"/>
      <c r="U150" s="166"/>
      <c r="V150" s="207"/>
      <c r="W150" s="170"/>
      <c r="X150" s="165"/>
      <c r="Y150" s="166"/>
      <c r="Z150" s="207"/>
      <c r="AA150" s="170"/>
      <c r="AB150" s="165"/>
      <c r="AC150" s="166"/>
      <c r="AD150" s="207"/>
      <c r="AE150" s="170"/>
      <c r="AF150" s="165"/>
      <c r="AG150" s="166"/>
      <c r="AH150" s="207"/>
      <c r="AI150" s="170"/>
      <c r="AJ150" s="165"/>
      <c r="AK150" s="166"/>
      <c r="AL150" s="207"/>
      <c r="AM150" s="170"/>
      <c r="AN150" s="165"/>
      <c r="AO150" s="166"/>
      <c r="AP150" s="207">
        <v>409</v>
      </c>
      <c r="AQ150" s="170">
        <v>203</v>
      </c>
      <c r="AR150" s="165">
        <v>352</v>
      </c>
      <c r="AS150" s="166">
        <v>261</v>
      </c>
      <c r="AT150" s="207"/>
      <c r="AU150" s="170"/>
      <c r="AV150" s="190">
        <v>296</v>
      </c>
      <c r="AW150" s="166">
        <v>309</v>
      </c>
      <c r="AX150" s="208">
        <v>339</v>
      </c>
      <c r="AY150" s="170">
        <v>229</v>
      </c>
      <c r="AZ150" s="45">
        <v>209</v>
      </c>
      <c r="BA150" s="58">
        <v>389</v>
      </c>
      <c r="BB150" s="190"/>
      <c r="BC150" s="167"/>
      <c r="BD150" s="190"/>
      <c r="BE150" s="167"/>
      <c r="BF150" s="190"/>
      <c r="BG150" s="167"/>
      <c r="BH150" s="190"/>
      <c r="BI150" s="167"/>
      <c r="BJ150" s="190"/>
      <c r="BK150" s="167"/>
    </row>
    <row r="151" spans="1:63" ht="13" x14ac:dyDescent="0.25">
      <c r="A151" s="372">
        <v>2316</v>
      </c>
      <c r="B151" s="373" t="s">
        <v>281</v>
      </c>
      <c r="C151" s="360">
        <v>1475</v>
      </c>
      <c r="D151" s="54">
        <v>547</v>
      </c>
      <c r="E151" s="367">
        <v>0.40881355932203389</v>
      </c>
      <c r="F151" s="45">
        <v>435</v>
      </c>
      <c r="G151" s="58">
        <v>109</v>
      </c>
      <c r="H151" s="45">
        <v>402</v>
      </c>
      <c r="I151" s="57">
        <v>133</v>
      </c>
      <c r="J151" s="97"/>
      <c r="K151" s="58"/>
      <c r="L151" s="45"/>
      <c r="M151" s="57"/>
      <c r="N151" s="97"/>
      <c r="O151" s="58"/>
      <c r="P151" s="165"/>
      <c r="Q151" s="166"/>
      <c r="R151" s="207"/>
      <c r="S151" s="170"/>
      <c r="T151" s="165"/>
      <c r="U151" s="166"/>
      <c r="V151" s="207"/>
      <c r="W151" s="170"/>
      <c r="X151" s="165"/>
      <c r="Y151" s="166"/>
      <c r="Z151" s="207"/>
      <c r="AA151" s="170"/>
      <c r="AB151" s="165"/>
      <c r="AC151" s="166"/>
      <c r="AD151" s="207"/>
      <c r="AE151" s="170"/>
      <c r="AF151" s="165"/>
      <c r="AG151" s="166"/>
      <c r="AH151" s="207"/>
      <c r="AI151" s="170"/>
      <c r="AJ151" s="165"/>
      <c r="AK151" s="166"/>
      <c r="AL151" s="207"/>
      <c r="AM151" s="170"/>
      <c r="AN151" s="165"/>
      <c r="AO151" s="166"/>
      <c r="AP151" s="207">
        <v>367</v>
      </c>
      <c r="AQ151" s="170">
        <v>170</v>
      </c>
      <c r="AR151" s="165">
        <v>332</v>
      </c>
      <c r="AS151" s="166">
        <v>201</v>
      </c>
      <c r="AT151" s="207"/>
      <c r="AU151" s="170"/>
      <c r="AV151" s="190">
        <v>307</v>
      </c>
      <c r="AW151" s="166">
        <v>231</v>
      </c>
      <c r="AX151" s="208">
        <v>312</v>
      </c>
      <c r="AY151" s="170">
        <v>186</v>
      </c>
      <c r="AZ151" s="45">
        <v>160</v>
      </c>
      <c r="BA151" s="58">
        <v>366</v>
      </c>
      <c r="BB151" s="190"/>
      <c r="BC151" s="167"/>
      <c r="BD151" s="190"/>
      <c r="BE151" s="167"/>
      <c r="BF151" s="190"/>
      <c r="BG151" s="167"/>
      <c r="BH151" s="190"/>
      <c r="BI151" s="167"/>
      <c r="BJ151" s="190"/>
      <c r="BK151" s="167"/>
    </row>
    <row r="152" spans="1:63" ht="13" x14ac:dyDescent="0.25">
      <c r="A152" s="372">
        <v>2317</v>
      </c>
      <c r="B152" s="373" t="s">
        <v>282</v>
      </c>
      <c r="C152" s="360">
        <v>813</v>
      </c>
      <c r="D152" s="54">
        <v>331</v>
      </c>
      <c r="E152" s="367">
        <v>0.43499392466585662</v>
      </c>
      <c r="F152" s="45">
        <v>236</v>
      </c>
      <c r="G152" s="58">
        <v>90</v>
      </c>
      <c r="H152" s="45">
        <v>190</v>
      </c>
      <c r="I152" s="57">
        <v>128</v>
      </c>
      <c r="J152" s="97"/>
      <c r="K152" s="58"/>
      <c r="L152" s="45"/>
      <c r="M152" s="57"/>
      <c r="N152" s="97"/>
      <c r="O152" s="58"/>
      <c r="P152" s="165"/>
      <c r="Q152" s="166"/>
      <c r="R152" s="207"/>
      <c r="S152" s="170"/>
      <c r="T152" s="165"/>
      <c r="U152" s="166"/>
      <c r="V152" s="207"/>
      <c r="W152" s="170"/>
      <c r="X152" s="165"/>
      <c r="Y152" s="166"/>
      <c r="Z152" s="207"/>
      <c r="AA152" s="170"/>
      <c r="AB152" s="165"/>
      <c r="AC152" s="166"/>
      <c r="AD152" s="207"/>
      <c r="AE152" s="170"/>
      <c r="AF152" s="165"/>
      <c r="AG152" s="166"/>
      <c r="AH152" s="207"/>
      <c r="AI152" s="170"/>
      <c r="AJ152" s="165"/>
      <c r="AK152" s="166"/>
      <c r="AL152" s="207"/>
      <c r="AM152" s="170"/>
      <c r="AN152" s="165"/>
      <c r="AO152" s="166"/>
      <c r="AP152" s="207">
        <v>270</v>
      </c>
      <c r="AQ152" s="170">
        <v>53</v>
      </c>
      <c r="AR152" s="165">
        <v>242</v>
      </c>
      <c r="AS152" s="166">
        <v>77</v>
      </c>
      <c r="AT152" s="207"/>
      <c r="AU152" s="170"/>
      <c r="AV152" s="190">
        <v>184</v>
      </c>
      <c r="AW152" s="166">
        <v>131</v>
      </c>
      <c r="AX152" s="208">
        <v>204</v>
      </c>
      <c r="AY152" s="170">
        <v>83</v>
      </c>
      <c r="AZ152" s="45">
        <v>115</v>
      </c>
      <c r="BA152" s="58">
        <v>194</v>
      </c>
      <c r="BB152" s="190"/>
      <c r="BC152" s="167"/>
      <c r="BD152" s="190"/>
      <c r="BE152" s="167"/>
      <c r="BF152" s="190"/>
      <c r="BG152" s="167"/>
      <c r="BH152" s="190"/>
      <c r="BI152" s="167"/>
      <c r="BJ152" s="190"/>
      <c r="BK152" s="167"/>
    </row>
    <row r="153" spans="1:63" ht="13" x14ac:dyDescent="0.25">
      <c r="A153" s="372">
        <v>2318</v>
      </c>
      <c r="B153" s="373" t="s">
        <v>283</v>
      </c>
      <c r="C153" s="360">
        <v>673</v>
      </c>
      <c r="D153" s="54">
        <v>271</v>
      </c>
      <c r="E153" s="367">
        <v>0.45619335347432022</v>
      </c>
      <c r="F153" s="45">
        <v>220</v>
      </c>
      <c r="G153" s="58">
        <v>49</v>
      </c>
      <c r="H153" s="45">
        <v>209</v>
      </c>
      <c r="I153" s="57">
        <v>58</v>
      </c>
      <c r="J153" s="97"/>
      <c r="K153" s="58"/>
      <c r="L153" s="45"/>
      <c r="M153" s="57"/>
      <c r="N153" s="97"/>
      <c r="O153" s="58"/>
      <c r="P153" s="165"/>
      <c r="Q153" s="166"/>
      <c r="R153" s="207"/>
      <c r="S153" s="170"/>
      <c r="T153" s="165"/>
      <c r="U153" s="166"/>
      <c r="V153" s="207"/>
      <c r="W153" s="170"/>
      <c r="X153" s="165"/>
      <c r="Y153" s="166"/>
      <c r="Z153" s="207"/>
      <c r="AA153" s="170"/>
      <c r="AB153" s="165"/>
      <c r="AC153" s="166"/>
      <c r="AD153" s="207"/>
      <c r="AE153" s="170"/>
      <c r="AF153" s="165"/>
      <c r="AG153" s="166"/>
      <c r="AH153" s="207"/>
      <c r="AI153" s="170"/>
      <c r="AJ153" s="165"/>
      <c r="AK153" s="166"/>
      <c r="AL153" s="207"/>
      <c r="AM153" s="170"/>
      <c r="AN153" s="165"/>
      <c r="AO153" s="166"/>
      <c r="AP153" s="207">
        <v>217</v>
      </c>
      <c r="AQ153" s="170">
        <v>52</v>
      </c>
      <c r="AR153" s="165">
        <v>198</v>
      </c>
      <c r="AS153" s="166">
        <v>70</v>
      </c>
      <c r="AT153" s="207"/>
      <c r="AU153" s="170"/>
      <c r="AV153" s="190">
        <v>146</v>
      </c>
      <c r="AW153" s="166">
        <v>123</v>
      </c>
      <c r="AX153" s="208">
        <v>161</v>
      </c>
      <c r="AY153" s="170">
        <v>84</v>
      </c>
      <c r="AZ153" s="45">
        <v>83</v>
      </c>
      <c r="BA153" s="58">
        <v>176</v>
      </c>
      <c r="BB153" s="190"/>
      <c r="BC153" s="167"/>
      <c r="BD153" s="190"/>
      <c r="BE153" s="167"/>
      <c r="BF153" s="190"/>
      <c r="BG153" s="167"/>
      <c r="BH153" s="190"/>
      <c r="BI153" s="167"/>
      <c r="BJ153" s="190"/>
      <c r="BK153" s="167"/>
    </row>
    <row r="154" spans="1:63" ht="13" x14ac:dyDescent="0.25">
      <c r="A154" s="372">
        <v>2401</v>
      </c>
      <c r="B154" s="373" t="s">
        <v>284</v>
      </c>
      <c r="C154" s="360">
        <v>1353</v>
      </c>
      <c r="D154" s="54">
        <v>590</v>
      </c>
      <c r="E154" s="367">
        <v>0.46226415094339623</v>
      </c>
      <c r="F154" s="45">
        <v>500</v>
      </c>
      <c r="G154" s="58">
        <v>84</v>
      </c>
      <c r="H154" s="45">
        <v>455</v>
      </c>
      <c r="I154" s="57">
        <v>124</v>
      </c>
      <c r="J154" s="97"/>
      <c r="K154" s="58"/>
      <c r="L154" s="45"/>
      <c r="M154" s="57"/>
      <c r="N154" s="97"/>
      <c r="O154" s="58"/>
      <c r="P154" s="165"/>
      <c r="Q154" s="166"/>
      <c r="R154" s="207"/>
      <c r="S154" s="170"/>
      <c r="T154" s="165"/>
      <c r="U154" s="166"/>
      <c r="V154" s="207"/>
      <c r="W154" s="170"/>
      <c r="X154" s="165"/>
      <c r="Y154" s="166"/>
      <c r="Z154" s="207"/>
      <c r="AA154" s="170"/>
      <c r="AB154" s="165"/>
      <c r="AC154" s="166"/>
      <c r="AD154" s="207"/>
      <c r="AE154" s="170"/>
      <c r="AF154" s="165"/>
      <c r="AG154" s="166"/>
      <c r="AH154" s="207"/>
      <c r="AI154" s="170"/>
      <c r="AJ154" s="165"/>
      <c r="AK154" s="166"/>
      <c r="AL154" s="207"/>
      <c r="AM154" s="170"/>
      <c r="AN154" s="165"/>
      <c r="AO154" s="166"/>
      <c r="AP154" s="207">
        <v>359</v>
      </c>
      <c r="AQ154" s="170">
        <v>219</v>
      </c>
      <c r="AR154" s="165">
        <v>344</v>
      </c>
      <c r="AS154" s="166">
        <v>229</v>
      </c>
      <c r="AT154" s="207"/>
      <c r="AU154" s="170"/>
      <c r="AV154" s="190">
        <v>316</v>
      </c>
      <c r="AW154" s="166">
        <v>263</v>
      </c>
      <c r="AX154" s="208">
        <v>299</v>
      </c>
      <c r="AY154" s="170">
        <v>231</v>
      </c>
      <c r="AZ154" s="45">
        <v>166</v>
      </c>
      <c r="BA154" s="58">
        <v>401</v>
      </c>
      <c r="BB154" s="190"/>
      <c r="BC154" s="167"/>
      <c r="BD154" s="190"/>
      <c r="BE154" s="167"/>
      <c r="BF154" s="190"/>
      <c r="BG154" s="167"/>
      <c r="BH154" s="190"/>
      <c r="BI154" s="167"/>
      <c r="BJ154" s="190"/>
      <c r="BK154" s="167"/>
    </row>
    <row r="155" spans="1:63" ht="13" x14ac:dyDescent="0.25">
      <c r="A155" s="372">
        <v>2402</v>
      </c>
      <c r="B155" s="373" t="s">
        <v>285</v>
      </c>
      <c r="C155" s="360">
        <v>1440</v>
      </c>
      <c r="D155" s="54">
        <v>598</v>
      </c>
      <c r="E155" s="367">
        <v>0.43246930422919511</v>
      </c>
      <c r="F155" s="45">
        <v>496</v>
      </c>
      <c r="G155" s="58">
        <v>95</v>
      </c>
      <c r="H155" s="45">
        <v>464</v>
      </c>
      <c r="I155" s="57">
        <v>126</v>
      </c>
      <c r="J155" s="97"/>
      <c r="K155" s="58"/>
      <c r="L155" s="45"/>
      <c r="M155" s="57"/>
      <c r="N155" s="97"/>
      <c r="O155" s="58"/>
      <c r="P155" s="165"/>
      <c r="Q155" s="166"/>
      <c r="R155" s="207"/>
      <c r="S155" s="170"/>
      <c r="T155" s="165"/>
      <c r="U155" s="166"/>
      <c r="V155" s="207"/>
      <c r="W155" s="170"/>
      <c r="X155" s="165"/>
      <c r="Y155" s="166"/>
      <c r="Z155" s="207"/>
      <c r="AA155" s="170"/>
      <c r="AB155" s="165"/>
      <c r="AC155" s="166"/>
      <c r="AD155" s="207"/>
      <c r="AE155" s="170"/>
      <c r="AF155" s="165"/>
      <c r="AG155" s="166"/>
      <c r="AH155" s="207"/>
      <c r="AI155" s="170"/>
      <c r="AJ155" s="165"/>
      <c r="AK155" s="166"/>
      <c r="AL155" s="207"/>
      <c r="AM155" s="170"/>
      <c r="AN155" s="165"/>
      <c r="AO155" s="166"/>
      <c r="AP155" s="207">
        <v>407</v>
      </c>
      <c r="AQ155" s="170">
        <v>175</v>
      </c>
      <c r="AR155" s="165">
        <v>401</v>
      </c>
      <c r="AS155" s="166">
        <v>185</v>
      </c>
      <c r="AT155" s="207"/>
      <c r="AU155" s="170"/>
      <c r="AV155" s="190">
        <v>251</v>
      </c>
      <c r="AW155" s="166">
        <v>335</v>
      </c>
      <c r="AX155" s="208">
        <v>309</v>
      </c>
      <c r="AY155" s="170">
        <v>221</v>
      </c>
      <c r="AZ155" s="45">
        <v>213</v>
      </c>
      <c r="BA155" s="58">
        <v>357</v>
      </c>
      <c r="BB155" s="190"/>
      <c r="BC155" s="167"/>
      <c r="BD155" s="190"/>
      <c r="BE155" s="167"/>
      <c r="BF155" s="190"/>
      <c r="BG155" s="167"/>
      <c r="BH155" s="190"/>
      <c r="BI155" s="167"/>
      <c r="BJ155" s="190"/>
      <c r="BK155" s="167"/>
    </row>
    <row r="156" spans="1:63" ht="13" x14ac:dyDescent="0.25">
      <c r="A156" s="372">
        <v>2403</v>
      </c>
      <c r="B156" s="373" t="s">
        <v>286</v>
      </c>
      <c r="C156" s="360">
        <v>1386</v>
      </c>
      <c r="D156" s="54">
        <v>338</v>
      </c>
      <c r="E156" s="367">
        <v>0.30506245890861278</v>
      </c>
      <c r="F156" s="45">
        <v>282</v>
      </c>
      <c r="G156" s="58">
        <v>55</v>
      </c>
      <c r="H156" s="45">
        <v>251</v>
      </c>
      <c r="I156" s="57">
        <v>81</v>
      </c>
      <c r="J156" s="97"/>
      <c r="K156" s="58"/>
      <c r="L156" s="45"/>
      <c r="M156" s="57"/>
      <c r="N156" s="97"/>
      <c r="O156" s="58"/>
      <c r="P156" s="165"/>
      <c r="Q156" s="166"/>
      <c r="R156" s="207"/>
      <c r="S156" s="170"/>
      <c r="T156" s="165"/>
      <c r="U156" s="166"/>
      <c r="V156" s="207"/>
      <c r="W156" s="170"/>
      <c r="X156" s="165"/>
      <c r="Y156" s="166"/>
      <c r="Z156" s="207"/>
      <c r="AA156" s="170"/>
      <c r="AB156" s="165"/>
      <c r="AC156" s="166"/>
      <c r="AD156" s="207"/>
      <c r="AE156" s="170"/>
      <c r="AF156" s="165"/>
      <c r="AG156" s="166"/>
      <c r="AH156" s="207"/>
      <c r="AI156" s="170"/>
      <c r="AJ156" s="165"/>
      <c r="AK156" s="166"/>
      <c r="AL156" s="207"/>
      <c r="AM156" s="170"/>
      <c r="AN156" s="165"/>
      <c r="AO156" s="166"/>
      <c r="AP156" s="207">
        <v>245</v>
      </c>
      <c r="AQ156" s="170">
        <v>81</v>
      </c>
      <c r="AR156" s="165">
        <v>222</v>
      </c>
      <c r="AS156" s="166">
        <v>102</v>
      </c>
      <c r="AT156" s="207"/>
      <c r="AU156" s="170"/>
      <c r="AV156" s="190">
        <v>190</v>
      </c>
      <c r="AW156" s="166">
        <v>143</v>
      </c>
      <c r="AX156" s="208">
        <v>199</v>
      </c>
      <c r="AY156" s="170">
        <v>99</v>
      </c>
      <c r="AZ156" s="45">
        <v>108</v>
      </c>
      <c r="BA156" s="58">
        <v>209</v>
      </c>
      <c r="BB156" s="190"/>
      <c r="BC156" s="167"/>
      <c r="BD156" s="190"/>
      <c r="BE156" s="167"/>
      <c r="BF156" s="190"/>
      <c r="BG156" s="167"/>
      <c r="BH156" s="190"/>
      <c r="BI156" s="167"/>
      <c r="BJ156" s="190"/>
      <c r="BK156" s="167"/>
    </row>
    <row r="157" spans="1:63" ht="13" x14ac:dyDescent="0.25">
      <c r="A157" s="372">
        <v>2404</v>
      </c>
      <c r="B157" s="373" t="s">
        <v>287</v>
      </c>
      <c r="C157" s="360">
        <v>1434</v>
      </c>
      <c r="D157" s="54">
        <v>505</v>
      </c>
      <c r="E157" s="367">
        <v>0.39593220338983048</v>
      </c>
      <c r="F157" s="45">
        <v>389</v>
      </c>
      <c r="G157" s="58">
        <v>112</v>
      </c>
      <c r="H157" s="45">
        <v>382</v>
      </c>
      <c r="I157" s="57">
        <v>114</v>
      </c>
      <c r="J157" s="97"/>
      <c r="K157" s="58"/>
      <c r="L157" s="45"/>
      <c r="M157" s="57"/>
      <c r="N157" s="97"/>
      <c r="O157" s="58"/>
      <c r="P157" s="165"/>
      <c r="Q157" s="166"/>
      <c r="R157" s="207"/>
      <c r="S157" s="170"/>
      <c r="T157" s="165"/>
      <c r="U157" s="166"/>
      <c r="V157" s="207"/>
      <c r="W157" s="170"/>
      <c r="X157" s="165"/>
      <c r="Y157" s="166"/>
      <c r="Z157" s="207"/>
      <c r="AA157" s="170"/>
      <c r="AB157" s="165"/>
      <c r="AC157" s="166"/>
      <c r="AD157" s="207"/>
      <c r="AE157" s="170"/>
      <c r="AF157" s="165"/>
      <c r="AG157" s="166"/>
      <c r="AH157" s="207"/>
      <c r="AI157" s="170"/>
      <c r="AJ157" s="165"/>
      <c r="AK157" s="166"/>
      <c r="AL157" s="207"/>
      <c r="AM157" s="170"/>
      <c r="AN157" s="165"/>
      <c r="AO157" s="166"/>
      <c r="AP157" s="207">
        <v>306</v>
      </c>
      <c r="AQ157" s="170">
        <v>182</v>
      </c>
      <c r="AR157" s="165">
        <v>268</v>
      </c>
      <c r="AS157" s="166">
        <v>221</v>
      </c>
      <c r="AT157" s="207"/>
      <c r="AU157" s="170"/>
      <c r="AV157" s="190">
        <v>240</v>
      </c>
      <c r="AW157" s="166">
        <v>251</v>
      </c>
      <c r="AX157" s="208">
        <v>256</v>
      </c>
      <c r="AY157" s="170">
        <v>203</v>
      </c>
      <c r="AZ157" s="45">
        <v>131</v>
      </c>
      <c r="BA157" s="58">
        <v>342</v>
      </c>
      <c r="BB157" s="190"/>
      <c r="BC157" s="167"/>
      <c r="BD157" s="190"/>
      <c r="BE157" s="167"/>
      <c r="BF157" s="190"/>
      <c r="BG157" s="167"/>
      <c r="BH157" s="190"/>
      <c r="BI157" s="167"/>
      <c r="BJ157" s="190"/>
      <c r="BK157" s="167"/>
    </row>
    <row r="158" spans="1:63" ht="13" x14ac:dyDescent="0.25">
      <c r="A158" s="372">
        <v>2405</v>
      </c>
      <c r="B158" s="373" t="s">
        <v>288</v>
      </c>
      <c r="C158" s="360">
        <v>920</v>
      </c>
      <c r="D158" s="54">
        <v>99</v>
      </c>
      <c r="E158" s="367">
        <v>0.10352187833511206</v>
      </c>
      <c r="F158" s="45">
        <v>79</v>
      </c>
      <c r="G158" s="58">
        <v>16</v>
      </c>
      <c r="H158" s="45">
        <v>85</v>
      </c>
      <c r="I158" s="57">
        <v>12</v>
      </c>
      <c r="J158" s="97"/>
      <c r="K158" s="58"/>
      <c r="L158" s="45"/>
      <c r="M158" s="57"/>
      <c r="N158" s="97"/>
      <c r="O158" s="58"/>
      <c r="P158" s="165"/>
      <c r="Q158" s="166"/>
      <c r="R158" s="207"/>
      <c r="S158" s="170"/>
      <c r="T158" s="165"/>
      <c r="U158" s="166"/>
      <c r="V158" s="207"/>
      <c r="W158" s="170"/>
      <c r="X158" s="165"/>
      <c r="Y158" s="166"/>
      <c r="Z158" s="207"/>
      <c r="AA158" s="170"/>
      <c r="AB158" s="165"/>
      <c r="AC158" s="166"/>
      <c r="AD158" s="207"/>
      <c r="AE158" s="170"/>
      <c r="AF158" s="165"/>
      <c r="AG158" s="166"/>
      <c r="AH158" s="207"/>
      <c r="AI158" s="170"/>
      <c r="AJ158" s="165"/>
      <c r="AK158" s="166"/>
      <c r="AL158" s="207"/>
      <c r="AM158" s="170"/>
      <c r="AN158" s="165"/>
      <c r="AO158" s="166"/>
      <c r="AP158" s="207">
        <v>67</v>
      </c>
      <c r="AQ158" s="170">
        <v>29</v>
      </c>
      <c r="AR158" s="165">
        <v>63</v>
      </c>
      <c r="AS158" s="166">
        <v>35</v>
      </c>
      <c r="AT158" s="207"/>
      <c r="AU158" s="170"/>
      <c r="AV158" s="190">
        <v>56</v>
      </c>
      <c r="AW158" s="166">
        <v>41</v>
      </c>
      <c r="AX158" s="208">
        <v>58</v>
      </c>
      <c r="AY158" s="170">
        <v>36</v>
      </c>
      <c r="AZ158" s="45">
        <v>53</v>
      </c>
      <c r="BA158" s="58">
        <v>44</v>
      </c>
      <c r="BB158" s="190"/>
      <c r="BC158" s="167"/>
      <c r="BD158" s="190"/>
      <c r="BE158" s="167"/>
      <c r="BF158" s="190"/>
      <c r="BG158" s="167"/>
      <c r="BH158" s="190"/>
      <c r="BI158" s="167"/>
      <c r="BJ158" s="190"/>
      <c r="BK158" s="167"/>
    </row>
    <row r="159" spans="1:63" ht="13" x14ac:dyDescent="0.25">
      <c r="A159" s="372">
        <v>2406</v>
      </c>
      <c r="B159" s="373" t="s">
        <v>289</v>
      </c>
      <c r="C159" s="360">
        <v>889</v>
      </c>
      <c r="D159" s="54">
        <v>329</v>
      </c>
      <c r="E159" s="367">
        <v>0.41143497757847536</v>
      </c>
      <c r="F159" s="45">
        <v>271</v>
      </c>
      <c r="G159" s="58">
        <v>54</v>
      </c>
      <c r="H159" s="45">
        <v>255</v>
      </c>
      <c r="I159" s="57">
        <v>70</v>
      </c>
      <c r="J159" s="97"/>
      <c r="K159" s="58"/>
      <c r="L159" s="45"/>
      <c r="M159" s="57"/>
      <c r="N159" s="97"/>
      <c r="O159" s="58"/>
      <c r="P159" s="165"/>
      <c r="Q159" s="166"/>
      <c r="R159" s="207"/>
      <c r="S159" s="170"/>
      <c r="T159" s="165"/>
      <c r="U159" s="166"/>
      <c r="V159" s="207"/>
      <c r="W159" s="170"/>
      <c r="X159" s="165"/>
      <c r="Y159" s="166"/>
      <c r="Z159" s="207"/>
      <c r="AA159" s="170"/>
      <c r="AB159" s="165"/>
      <c r="AC159" s="166"/>
      <c r="AD159" s="207"/>
      <c r="AE159" s="170"/>
      <c r="AF159" s="165"/>
      <c r="AG159" s="166"/>
      <c r="AH159" s="207"/>
      <c r="AI159" s="170"/>
      <c r="AJ159" s="165"/>
      <c r="AK159" s="166"/>
      <c r="AL159" s="207"/>
      <c r="AM159" s="170"/>
      <c r="AN159" s="165"/>
      <c r="AO159" s="166"/>
      <c r="AP159" s="207">
        <v>216</v>
      </c>
      <c r="AQ159" s="170">
        <v>109</v>
      </c>
      <c r="AR159" s="165">
        <v>212</v>
      </c>
      <c r="AS159" s="166">
        <v>105</v>
      </c>
      <c r="AT159" s="207"/>
      <c r="AU159" s="170"/>
      <c r="AV159" s="190">
        <v>193</v>
      </c>
      <c r="AW159" s="166">
        <v>132</v>
      </c>
      <c r="AX159" s="208">
        <v>186</v>
      </c>
      <c r="AY159" s="170">
        <v>117</v>
      </c>
      <c r="AZ159" s="45">
        <v>114</v>
      </c>
      <c r="BA159" s="58">
        <v>199</v>
      </c>
      <c r="BB159" s="190"/>
      <c r="BC159" s="167"/>
      <c r="BD159" s="190"/>
      <c r="BE159" s="167"/>
      <c r="BF159" s="190"/>
      <c r="BG159" s="167"/>
      <c r="BH159" s="190"/>
      <c r="BI159" s="167"/>
      <c r="BJ159" s="190"/>
      <c r="BK159" s="167"/>
    </row>
    <row r="160" spans="1:63" ht="13" x14ac:dyDescent="0.25">
      <c r="A160" s="372">
        <v>2407</v>
      </c>
      <c r="B160" s="373" t="s">
        <v>290</v>
      </c>
      <c r="C160" s="360">
        <v>1354</v>
      </c>
      <c r="D160" s="54">
        <v>563</v>
      </c>
      <c r="E160" s="367">
        <v>0.44688644688644691</v>
      </c>
      <c r="F160" s="45">
        <v>378</v>
      </c>
      <c r="G160" s="58">
        <v>182</v>
      </c>
      <c r="H160" s="45">
        <v>381</v>
      </c>
      <c r="I160" s="57">
        <v>171</v>
      </c>
      <c r="J160" s="97"/>
      <c r="K160" s="58"/>
      <c r="L160" s="45"/>
      <c r="M160" s="57"/>
      <c r="N160" s="97"/>
      <c r="O160" s="58"/>
      <c r="P160" s="165"/>
      <c r="Q160" s="166"/>
      <c r="R160" s="207"/>
      <c r="S160" s="170"/>
      <c r="T160" s="165"/>
      <c r="U160" s="166"/>
      <c r="V160" s="207"/>
      <c r="W160" s="170"/>
      <c r="X160" s="165"/>
      <c r="Y160" s="166"/>
      <c r="Z160" s="207"/>
      <c r="AA160" s="170"/>
      <c r="AB160" s="165"/>
      <c r="AC160" s="166"/>
      <c r="AD160" s="207"/>
      <c r="AE160" s="170"/>
      <c r="AF160" s="165"/>
      <c r="AG160" s="166"/>
      <c r="AH160" s="207"/>
      <c r="AI160" s="170"/>
      <c r="AJ160" s="165"/>
      <c r="AK160" s="166"/>
      <c r="AL160" s="207"/>
      <c r="AM160" s="170"/>
      <c r="AN160" s="165"/>
      <c r="AO160" s="166"/>
      <c r="AP160" s="207">
        <v>370</v>
      </c>
      <c r="AQ160" s="170">
        <v>175</v>
      </c>
      <c r="AR160" s="165">
        <v>302</v>
      </c>
      <c r="AS160" s="166">
        <v>245</v>
      </c>
      <c r="AT160" s="207"/>
      <c r="AU160" s="170"/>
      <c r="AV160" s="190">
        <v>244</v>
      </c>
      <c r="AW160" s="166">
        <v>298</v>
      </c>
      <c r="AX160" s="208">
        <v>302</v>
      </c>
      <c r="AY160" s="170">
        <v>206</v>
      </c>
      <c r="AZ160" s="45">
        <v>140</v>
      </c>
      <c r="BA160" s="58">
        <v>387</v>
      </c>
      <c r="BB160" s="190"/>
      <c r="BC160" s="167"/>
      <c r="BD160" s="190"/>
      <c r="BE160" s="167"/>
      <c r="BF160" s="190"/>
      <c r="BG160" s="167"/>
      <c r="BH160" s="190"/>
      <c r="BI160" s="167"/>
      <c r="BJ160" s="190"/>
      <c r="BK160" s="167"/>
    </row>
    <row r="161" spans="1:63" ht="13" x14ac:dyDescent="0.25">
      <c r="A161" s="372">
        <v>2408</v>
      </c>
      <c r="B161" s="373" t="s">
        <v>291</v>
      </c>
      <c r="C161" s="360">
        <v>540</v>
      </c>
      <c r="D161" s="54">
        <v>29</v>
      </c>
      <c r="E161" s="367">
        <v>7.1047957371225573E-2</v>
      </c>
      <c r="F161" s="45">
        <v>25</v>
      </c>
      <c r="G161" s="58">
        <v>4</v>
      </c>
      <c r="H161" s="45">
        <v>23</v>
      </c>
      <c r="I161" s="57">
        <v>6</v>
      </c>
      <c r="J161" s="97"/>
      <c r="K161" s="58"/>
      <c r="L161" s="45"/>
      <c r="M161" s="57"/>
      <c r="N161" s="97"/>
      <c r="O161" s="58"/>
      <c r="P161" s="165"/>
      <c r="Q161" s="166"/>
      <c r="R161" s="207"/>
      <c r="S161" s="170"/>
      <c r="T161" s="165"/>
      <c r="U161" s="166"/>
      <c r="V161" s="207"/>
      <c r="W161" s="170"/>
      <c r="X161" s="165"/>
      <c r="Y161" s="166"/>
      <c r="Z161" s="207"/>
      <c r="AA161" s="170"/>
      <c r="AB161" s="165"/>
      <c r="AC161" s="166"/>
      <c r="AD161" s="207"/>
      <c r="AE161" s="170"/>
      <c r="AF161" s="165"/>
      <c r="AG161" s="166"/>
      <c r="AH161" s="207"/>
      <c r="AI161" s="170"/>
      <c r="AJ161" s="165"/>
      <c r="AK161" s="166"/>
      <c r="AL161" s="207"/>
      <c r="AM161" s="170"/>
      <c r="AN161" s="165"/>
      <c r="AO161" s="166"/>
      <c r="AP161" s="207">
        <v>18</v>
      </c>
      <c r="AQ161" s="170">
        <v>10</v>
      </c>
      <c r="AR161" s="165">
        <v>15</v>
      </c>
      <c r="AS161" s="166">
        <v>13</v>
      </c>
      <c r="AT161" s="207"/>
      <c r="AU161" s="170"/>
      <c r="AV161" s="190">
        <v>15</v>
      </c>
      <c r="AW161" s="166">
        <v>14</v>
      </c>
      <c r="AX161" s="208">
        <v>18</v>
      </c>
      <c r="AY161" s="170">
        <v>9</v>
      </c>
      <c r="AZ161" s="45">
        <v>12</v>
      </c>
      <c r="BA161" s="58">
        <v>16</v>
      </c>
      <c r="BB161" s="190"/>
      <c r="BC161" s="167"/>
      <c r="BD161" s="190"/>
      <c r="BE161" s="167"/>
      <c r="BF161" s="190"/>
      <c r="BG161" s="167"/>
      <c r="BH161" s="190"/>
      <c r="BI161" s="167"/>
      <c r="BJ161" s="190"/>
      <c r="BK161" s="167"/>
    </row>
    <row r="162" spans="1:63" ht="13" x14ac:dyDescent="0.25">
      <c r="A162" s="372">
        <v>2409</v>
      </c>
      <c r="B162" s="373" t="s">
        <v>292</v>
      </c>
      <c r="C162" s="360">
        <v>630</v>
      </c>
      <c r="D162" s="54">
        <v>52</v>
      </c>
      <c r="E162" s="367">
        <v>0.10422960725075529</v>
      </c>
      <c r="F162" s="45">
        <v>48</v>
      </c>
      <c r="G162" s="58">
        <v>3</v>
      </c>
      <c r="H162" s="45">
        <v>47</v>
      </c>
      <c r="I162" s="57">
        <v>4</v>
      </c>
      <c r="J162" s="97"/>
      <c r="K162" s="58"/>
      <c r="L162" s="45"/>
      <c r="M162" s="57"/>
      <c r="N162" s="97"/>
      <c r="O162" s="58"/>
      <c r="P162" s="165"/>
      <c r="Q162" s="166"/>
      <c r="R162" s="207"/>
      <c r="S162" s="170"/>
      <c r="T162" s="165"/>
      <c r="U162" s="166"/>
      <c r="V162" s="207"/>
      <c r="W162" s="170"/>
      <c r="X162" s="165"/>
      <c r="Y162" s="166"/>
      <c r="Z162" s="207"/>
      <c r="AA162" s="170"/>
      <c r="AB162" s="165"/>
      <c r="AC162" s="166"/>
      <c r="AD162" s="207"/>
      <c r="AE162" s="170"/>
      <c r="AF162" s="165"/>
      <c r="AG162" s="166"/>
      <c r="AH162" s="207"/>
      <c r="AI162" s="170"/>
      <c r="AJ162" s="165"/>
      <c r="AK162" s="166"/>
      <c r="AL162" s="207"/>
      <c r="AM162" s="170"/>
      <c r="AN162" s="165"/>
      <c r="AO162" s="166"/>
      <c r="AP162" s="207">
        <v>40</v>
      </c>
      <c r="AQ162" s="170">
        <v>11</v>
      </c>
      <c r="AR162" s="165">
        <v>39</v>
      </c>
      <c r="AS162" s="166">
        <v>12</v>
      </c>
      <c r="AT162" s="207"/>
      <c r="AU162" s="170"/>
      <c r="AV162" s="190">
        <v>38</v>
      </c>
      <c r="AW162" s="166">
        <v>13</v>
      </c>
      <c r="AX162" s="208">
        <v>32</v>
      </c>
      <c r="AY162" s="170">
        <v>17</v>
      </c>
      <c r="AZ162" s="45">
        <v>16</v>
      </c>
      <c r="BA162" s="58">
        <v>35</v>
      </c>
      <c r="BB162" s="190"/>
      <c r="BC162" s="167"/>
      <c r="BD162" s="190"/>
      <c r="BE162" s="167"/>
      <c r="BF162" s="190"/>
      <c r="BG162" s="167"/>
      <c r="BH162" s="190"/>
      <c r="BI162" s="167"/>
      <c r="BJ162" s="190"/>
      <c r="BK162" s="167"/>
    </row>
    <row r="163" spans="1:63" ht="13" x14ac:dyDescent="0.25">
      <c r="A163" s="372">
        <v>2501</v>
      </c>
      <c r="B163" s="373" t="s">
        <v>293</v>
      </c>
      <c r="C163" s="360">
        <v>1143</v>
      </c>
      <c r="D163" s="54">
        <v>277</v>
      </c>
      <c r="E163" s="367">
        <v>0.27202072538860106</v>
      </c>
      <c r="F163" s="45">
        <v>246</v>
      </c>
      <c r="G163" s="58">
        <v>30</v>
      </c>
      <c r="H163" s="45">
        <v>224</v>
      </c>
      <c r="I163" s="57">
        <v>51</v>
      </c>
      <c r="J163" s="97"/>
      <c r="K163" s="58"/>
      <c r="L163" s="45"/>
      <c r="M163" s="57"/>
      <c r="N163" s="97"/>
      <c r="O163" s="58"/>
      <c r="P163" s="165"/>
      <c r="Q163" s="166"/>
      <c r="R163" s="207"/>
      <c r="S163" s="170"/>
      <c r="T163" s="165"/>
      <c r="U163" s="166"/>
      <c r="V163" s="207"/>
      <c r="W163" s="170"/>
      <c r="X163" s="165"/>
      <c r="Y163" s="166"/>
      <c r="Z163" s="207"/>
      <c r="AA163" s="170"/>
      <c r="AB163" s="165"/>
      <c r="AC163" s="166"/>
      <c r="AD163" s="207"/>
      <c r="AE163" s="170"/>
      <c r="AF163" s="165"/>
      <c r="AG163" s="166"/>
      <c r="AH163" s="207"/>
      <c r="AI163" s="170"/>
      <c r="AJ163" s="165"/>
      <c r="AK163" s="166"/>
      <c r="AL163" s="207"/>
      <c r="AM163" s="170"/>
      <c r="AN163" s="165"/>
      <c r="AO163" s="166"/>
      <c r="AP163" s="207">
        <v>197</v>
      </c>
      <c r="AQ163" s="170">
        <v>74</v>
      </c>
      <c r="AR163" s="165">
        <v>184</v>
      </c>
      <c r="AS163" s="166">
        <v>88</v>
      </c>
      <c r="AT163" s="207"/>
      <c r="AU163" s="170"/>
      <c r="AV163" s="190">
        <v>158</v>
      </c>
      <c r="AW163" s="166">
        <v>116</v>
      </c>
      <c r="AX163" s="208">
        <v>179</v>
      </c>
      <c r="AY163" s="170">
        <v>80</v>
      </c>
      <c r="AZ163" s="45">
        <v>102</v>
      </c>
      <c r="BA163" s="58">
        <v>164</v>
      </c>
      <c r="BB163" s="190"/>
      <c r="BC163" s="167"/>
      <c r="BD163" s="190"/>
      <c r="BE163" s="167"/>
      <c r="BF163" s="190"/>
      <c r="BG163" s="167"/>
      <c r="BH163" s="190"/>
      <c r="BI163" s="167"/>
      <c r="BJ163" s="190"/>
      <c r="BK163" s="167"/>
    </row>
    <row r="164" spans="1:63" ht="13" x14ac:dyDescent="0.25">
      <c r="A164" s="372">
        <v>2502</v>
      </c>
      <c r="B164" s="373" t="s">
        <v>294</v>
      </c>
      <c r="C164" s="360">
        <v>1183</v>
      </c>
      <c r="D164" s="54">
        <v>224</v>
      </c>
      <c r="E164" s="367">
        <v>0.1780466724286949</v>
      </c>
      <c r="F164" s="45">
        <v>150</v>
      </c>
      <c r="G164" s="58">
        <v>65</v>
      </c>
      <c r="H164" s="45">
        <v>169</v>
      </c>
      <c r="I164" s="57">
        <v>53</v>
      </c>
      <c r="J164" s="97"/>
      <c r="K164" s="58"/>
      <c r="L164" s="45"/>
      <c r="M164" s="57"/>
      <c r="N164" s="97"/>
      <c r="O164" s="58"/>
      <c r="P164" s="165"/>
      <c r="Q164" s="166"/>
      <c r="R164" s="207"/>
      <c r="S164" s="170"/>
      <c r="T164" s="165"/>
      <c r="U164" s="166"/>
      <c r="V164" s="207"/>
      <c r="W164" s="170"/>
      <c r="X164" s="165"/>
      <c r="Y164" s="166"/>
      <c r="Z164" s="207"/>
      <c r="AA164" s="170"/>
      <c r="AB164" s="165"/>
      <c r="AC164" s="166"/>
      <c r="AD164" s="207"/>
      <c r="AE164" s="170"/>
      <c r="AF164" s="165"/>
      <c r="AG164" s="166"/>
      <c r="AH164" s="207"/>
      <c r="AI164" s="170"/>
      <c r="AJ164" s="165"/>
      <c r="AK164" s="166"/>
      <c r="AL164" s="207"/>
      <c r="AM164" s="170"/>
      <c r="AN164" s="165"/>
      <c r="AO164" s="166"/>
      <c r="AP164" s="207">
        <v>144</v>
      </c>
      <c r="AQ164" s="170">
        <v>76</v>
      </c>
      <c r="AR164" s="165">
        <v>127</v>
      </c>
      <c r="AS164" s="166">
        <v>94</v>
      </c>
      <c r="AT164" s="207"/>
      <c r="AU164" s="170"/>
      <c r="AV164" s="190">
        <v>116</v>
      </c>
      <c r="AW164" s="166">
        <v>102</v>
      </c>
      <c r="AX164" s="208">
        <v>137</v>
      </c>
      <c r="AY164" s="170">
        <v>67</v>
      </c>
      <c r="AZ164" s="45">
        <v>86</v>
      </c>
      <c r="BA164" s="58">
        <v>123</v>
      </c>
      <c r="BB164" s="190"/>
      <c r="BC164" s="167"/>
      <c r="BD164" s="190"/>
      <c r="BE164" s="167"/>
      <c r="BF164" s="190"/>
      <c r="BG164" s="167"/>
      <c r="BH164" s="190"/>
      <c r="BI164" s="167"/>
      <c r="BJ164" s="190"/>
      <c r="BK164" s="167"/>
    </row>
    <row r="165" spans="1:63" ht="13" x14ac:dyDescent="0.25">
      <c r="A165" s="372">
        <v>2503</v>
      </c>
      <c r="B165" s="373" t="s">
        <v>295</v>
      </c>
      <c r="C165" s="360">
        <v>1113</v>
      </c>
      <c r="D165" s="54">
        <v>622</v>
      </c>
      <c r="E165" s="367">
        <v>0.55379188712522043</v>
      </c>
      <c r="F165" s="45">
        <v>394</v>
      </c>
      <c r="G165" s="58">
        <v>225</v>
      </c>
      <c r="H165" s="45">
        <v>410</v>
      </c>
      <c r="I165" s="57">
        <v>199</v>
      </c>
      <c r="J165" s="97"/>
      <c r="K165" s="58"/>
      <c r="L165" s="45"/>
      <c r="M165" s="57"/>
      <c r="N165" s="97"/>
      <c r="O165" s="58"/>
      <c r="P165" s="165"/>
      <c r="Q165" s="166"/>
      <c r="R165" s="207"/>
      <c r="S165" s="170"/>
      <c r="T165" s="165"/>
      <c r="U165" s="166"/>
      <c r="V165" s="207"/>
      <c r="W165" s="170"/>
      <c r="X165" s="165"/>
      <c r="Y165" s="166"/>
      <c r="Z165" s="207"/>
      <c r="AA165" s="170"/>
      <c r="AB165" s="165"/>
      <c r="AC165" s="166"/>
      <c r="AD165" s="207"/>
      <c r="AE165" s="170"/>
      <c r="AF165" s="165"/>
      <c r="AG165" s="166"/>
      <c r="AH165" s="207"/>
      <c r="AI165" s="170"/>
      <c r="AJ165" s="165"/>
      <c r="AK165" s="166"/>
      <c r="AL165" s="207"/>
      <c r="AM165" s="170"/>
      <c r="AN165" s="165"/>
      <c r="AO165" s="166"/>
      <c r="AP165" s="207">
        <v>407</v>
      </c>
      <c r="AQ165" s="170">
        <v>203</v>
      </c>
      <c r="AR165" s="165">
        <v>351</v>
      </c>
      <c r="AS165" s="166">
        <v>256</v>
      </c>
      <c r="AT165" s="207"/>
      <c r="AU165" s="170"/>
      <c r="AV165" s="190">
        <v>197</v>
      </c>
      <c r="AW165" s="166">
        <v>411</v>
      </c>
      <c r="AX165" s="208">
        <v>328</v>
      </c>
      <c r="AY165" s="170">
        <v>224</v>
      </c>
      <c r="AZ165" s="45">
        <v>130</v>
      </c>
      <c r="BA165" s="58">
        <v>461</v>
      </c>
      <c r="BB165" s="190"/>
      <c r="BC165" s="167"/>
      <c r="BD165" s="190"/>
      <c r="BE165" s="167"/>
      <c r="BF165" s="190"/>
      <c r="BG165" s="167"/>
      <c r="BH165" s="190"/>
      <c r="BI165" s="167"/>
      <c r="BJ165" s="190"/>
      <c r="BK165" s="167"/>
    </row>
    <row r="166" spans="1:63" ht="13" x14ac:dyDescent="0.25">
      <c r="A166" s="372">
        <v>2504</v>
      </c>
      <c r="B166" s="373" t="s">
        <v>296</v>
      </c>
      <c r="C166" s="360">
        <v>1130</v>
      </c>
      <c r="D166" s="54">
        <v>383</v>
      </c>
      <c r="E166" s="367">
        <v>0.3475177304964539</v>
      </c>
      <c r="F166" s="45">
        <v>241</v>
      </c>
      <c r="G166" s="58">
        <v>140</v>
      </c>
      <c r="H166" s="45">
        <v>266</v>
      </c>
      <c r="I166" s="57">
        <v>111</v>
      </c>
      <c r="J166" s="97"/>
      <c r="K166" s="58"/>
      <c r="L166" s="45"/>
      <c r="M166" s="57"/>
      <c r="N166" s="97"/>
      <c r="O166" s="58"/>
      <c r="P166" s="165"/>
      <c r="Q166" s="166"/>
      <c r="R166" s="207"/>
      <c r="S166" s="170"/>
      <c r="T166" s="165"/>
      <c r="U166" s="166"/>
      <c r="V166" s="207"/>
      <c r="W166" s="170"/>
      <c r="X166" s="165"/>
      <c r="Y166" s="166"/>
      <c r="Z166" s="207"/>
      <c r="AA166" s="170"/>
      <c r="AB166" s="165"/>
      <c r="AC166" s="166"/>
      <c r="AD166" s="207"/>
      <c r="AE166" s="170"/>
      <c r="AF166" s="165"/>
      <c r="AG166" s="166"/>
      <c r="AH166" s="207"/>
      <c r="AI166" s="170"/>
      <c r="AJ166" s="165"/>
      <c r="AK166" s="166"/>
      <c r="AL166" s="207"/>
      <c r="AM166" s="170"/>
      <c r="AN166" s="165"/>
      <c r="AO166" s="166"/>
      <c r="AP166" s="207">
        <v>239</v>
      </c>
      <c r="AQ166" s="170">
        <v>134</v>
      </c>
      <c r="AR166" s="165">
        <v>192</v>
      </c>
      <c r="AS166" s="166">
        <v>183</v>
      </c>
      <c r="AT166" s="207"/>
      <c r="AU166" s="170"/>
      <c r="AV166" s="190">
        <v>156</v>
      </c>
      <c r="AW166" s="166">
        <v>217</v>
      </c>
      <c r="AX166" s="208">
        <v>192</v>
      </c>
      <c r="AY166" s="170">
        <v>153</v>
      </c>
      <c r="AZ166" s="45">
        <v>104</v>
      </c>
      <c r="BA166" s="58">
        <v>254</v>
      </c>
      <c r="BB166" s="190"/>
      <c r="BC166" s="167"/>
      <c r="BD166" s="190"/>
      <c r="BE166" s="167"/>
      <c r="BF166" s="190"/>
      <c r="BG166" s="167"/>
      <c r="BH166" s="190"/>
      <c r="BI166" s="167"/>
      <c r="BJ166" s="190"/>
      <c r="BK166" s="167"/>
    </row>
    <row r="167" spans="1:63" ht="13" x14ac:dyDescent="0.25">
      <c r="A167" s="372">
        <v>2505</v>
      </c>
      <c r="B167" s="373" t="s">
        <v>297</v>
      </c>
      <c r="C167" s="360">
        <v>1235</v>
      </c>
      <c r="D167" s="54">
        <v>560</v>
      </c>
      <c r="E167" s="367">
        <v>0.4755412991178829</v>
      </c>
      <c r="F167" s="45">
        <v>357</v>
      </c>
      <c r="G167" s="58">
        <v>198</v>
      </c>
      <c r="H167" s="45">
        <v>361</v>
      </c>
      <c r="I167" s="57">
        <v>196</v>
      </c>
      <c r="J167" s="97"/>
      <c r="K167" s="58"/>
      <c r="L167" s="45"/>
      <c r="M167" s="57"/>
      <c r="N167" s="97"/>
      <c r="O167" s="58"/>
      <c r="P167" s="165"/>
      <c r="Q167" s="166"/>
      <c r="R167" s="207"/>
      <c r="S167" s="170"/>
      <c r="T167" s="165"/>
      <c r="U167" s="166"/>
      <c r="V167" s="207"/>
      <c r="W167" s="170"/>
      <c r="X167" s="165"/>
      <c r="Y167" s="166"/>
      <c r="Z167" s="207"/>
      <c r="AA167" s="170"/>
      <c r="AB167" s="165"/>
      <c r="AC167" s="166"/>
      <c r="AD167" s="207"/>
      <c r="AE167" s="170"/>
      <c r="AF167" s="165"/>
      <c r="AG167" s="166"/>
      <c r="AH167" s="207"/>
      <c r="AI167" s="170"/>
      <c r="AJ167" s="165"/>
      <c r="AK167" s="166"/>
      <c r="AL167" s="207"/>
      <c r="AM167" s="170"/>
      <c r="AN167" s="165"/>
      <c r="AO167" s="166"/>
      <c r="AP167" s="207">
        <v>389</v>
      </c>
      <c r="AQ167" s="170">
        <v>163</v>
      </c>
      <c r="AR167" s="165">
        <v>288</v>
      </c>
      <c r="AS167" s="166">
        <v>262</v>
      </c>
      <c r="AT167" s="207"/>
      <c r="AU167" s="170"/>
      <c r="AV167" s="190">
        <v>220</v>
      </c>
      <c r="AW167" s="166">
        <v>331</v>
      </c>
      <c r="AX167" s="208">
        <v>312</v>
      </c>
      <c r="AY167" s="170">
        <v>202</v>
      </c>
      <c r="AZ167" s="45">
        <v>88</v>
      </c>
      <c r="BA167" s="58">
        <v>437</v>
      </c>
      <c r="BB167" s="190"/>
      <c r="BC167" s="167"/>
      <c r="BD167" s="190"/>
      <c r="BE167" s="167"/>
      <c r="BF167" s="190"/>
      <c r="BG167" s="167"/>
      <c r="BH167" s="190"/>
      <c r="BI167" s="167"/>
      <c r="BJ167" s="190"/>
      <c r="BK167" s="167"/>
    </row>
    <row r="168" spans="1:63" ht="13" x14ac:dyDescent="0.25">
      <c r="A168" s="372">
        <v>2506</v>
      </c>
      <c r="B168" s="373" t="s">
        <v>298</v>
      </c>
      <c r="C168" s="360">
        <v>1255</v>
      </c>
      <c r="D168" s="54">
        <v>443</v>
      </c>
      <c r="E168" s="367">
        <v>0.36392657621707902</v>
      </c>
      <c r="F168" s="45">
        <v>289</v>
      </c>
      <c r="G168" s="58">
        <v>151</v>
      </c>
      <c r="H168" s="45">
        <v>307</v>
      </c>
      <c r="I168" s="57">
        <v>130</v>
      </c>
      <c r="J168" s="97"/>
      <c r="K168" s="58"/>
      <c r="L168" s="45"/>
      <c r="M168" s="57"/>
      <c r="N168" s="97"/>
      <c r="O168" s="58"/>
      <c r="P168" s="165"/>
      <c r="Q168" s="166"/>
      <c r="R168" s="207"/>
      <c r="S168" s="170"/>
      <c r="T168" s="165"/>
      <c r="U168" s="166"/>
      <c r="V168" s="207"/>
      <c r="W168" s="170"/>
      <c r="X168" s="165"/>
      <c r="Y168" s="166"/>
      <c r="Z168" s="207"/>
      <c r="AA168" s="170"/>
      <c r="AB168" s="165"/>
      <c r="AC168" s="166"/>
      <c r="AD168" s="207"/>
      <c r="AE168" s="170"/>
      <c r="AF168" s="165"/>
      <c r="AG168" s="166"/>
      <c r="AH168" s="207"/>
      <c r="AI168" s="170"/>
      <c r="AJ168" s="165"/>
      <c r="AK168" s="166"/>
      <c r="AL168" s="207"/>
      <c r="AM168" s="170"/>
      <c r="AN168" s="165"/>
      <c r="AO168" s="166"/>
      <c r="AP168" s="207">
        <v>311</v>
      </c>
      <c r="AQ168" s="170">
        <v>121</v>
      </c>
      <c r="AR168" s="165">
        <v>255</v>
      </c>
      <c r="AS168" s="166">
        <v>175</v>
      </c>
      <c r="AT168" s="207"/>
      <c r="AU168" s="170"/>
      <c r="AV168" s="190">
        <v>187</v>
      </c>
      <c r="AW168" s="166">
        <v>245</v>
      </c>
      <c r="AX168" s="208">
        <v>224</v>
      </c>
      <c r="AY168" s="170">
        <v>172</v>
      </c>
      <c r="AZ168" s="45">
        <v>103</v>
      </c>
      <c r="BA168" s="58">
        <v>323</v>
      </c>
      <c r="BB168" s="190"/>
      <c r="BC168" s="167"/>
      <c r="BD168" s="190"/>
      <c r="BE168" s="167"/>
      <c r="BF168" s="190"/>
      <c r="BG168" s="167"/>
      <c r="BH168" s="190"/>
      <c r="BI168" s="167"/>
      <c r="BJ168" s="190"/>
      <c r="BK168" s="167"/>
    </row>
    <row r="169" spans="1:63" ht="13" x14ac:dyDescent="0.25">
      <c r="A169" s="372">
        <v>2507</v>
      </c>
      <c r="B169" s="373" t="s">
        <v>299</v>
      </c>
      <c r="C169" s="360">
        <v>621</v>
      </c>
      <c r="D169" s="54">
        <v>223</v>
      </c>
      <c r="E169" s="367">
        <v>0.36721311475409835</v>
      </c>
      <c r="F169" s="45">
        <v>144</v>
      </c>
      <c r="G169" s="58">
        <v>76</v>
      </c>
      <c r="H169" s="45">
        <v>154</v>
      </c>
      <c r="I169" s="57">
        <v>64</v>
      </c>
      <c r="J169" s="97"/>
      <c r="K169" s="58"/>
      <c r="L169" s="45"/>
      <c r="M169" s="57"/>
      <c r="N169" s="97"/>
      <c r="O169" s="58"/>
      <c r="P169" s="165"/>
      <c r="Q169" s="166"/>
      <c r="R169" s="207"/>
      <c r="S169" s="170"/>
      <c r="T169" s="165"/>
      <c r="U169" s="166"/>
      <c r="V169" s="207"/>
      <c r="W169" s="170"/>
      <c r="X169" s="165"/>
      <c r="Y169" s="166"/>
      <c r="Z169" s="207"/>
      <c r="AA169" s="170"/>
      <c r="AB169" s="165"/>
      <c r="AC169" s="166"/>
      <c r="AD169" s="207"/>
      <c r="AE169" s="170"/>
      <c r="AF169" s="165"/>
      <c r="AG169" s="166"/>
      <c r="AH169" s="207"/>
      <c r="AI169" s="170"/>
      <c r="AJ169" s="165"/>
      <c r="AK169" s="166"/>
      <c r="AL169" s="207"/>
      <c r="AM169" s="170"/>
      <c r="AN169" s="165"/>
      <c r="AO169" s="166"/>
      <c r="AP169" s="207">
        <v>144</v>
      </c>
      <c r="AQ169" s="170">
        <v>74</v>
      </c>
      <c r="AR169" s="165">
        <v>121</v>
      </c>
      <c r="AS169" s="166">
        <v>97</v>
      </c>
      <c r="AT169" s="207"/>
      <c r="AU169" s="170"/>
      <c r="AV169" s="190">
        <v>101</v>
      </c>
      <c r="AW169" s="166">
        <v>119</v>
      </c>
      <c r="AX169" s="208">
        <v>114</v>
      </c>
      <c r="AY169" s="170">
        <v>87</v>
      </c>
      <c r="AZ169" s="45">
        <v>61</v>
      </c>
      <c r="BA169" s="58">
        <v>149</v>
      </c>
      <c r="BB169" s="190"/>
      <c r="BC169" s="167"/>
      <c r="BD169" s="190"/>
      <c r="BE169" s="167"/>
      <c r="BF169" s="190"/>
      <c r="BG169" s="167"/>
      <c r="BH169" s="190"/>
      <c r="BI169" s="167"/>
      <c r="BJ169" s="190"/>
      <c r="BK169" s="167"/>
    </row>
    <row r="170" spans="1:63" ht="13" x14ac:dyDescent="0.25">
      <c r="A170" s="372">
        <v>2508</v>
      </c>
      <c r="B170" s="373" t="s">
        <v>300</v>
      </c>
      <c r="C170" s="360">
        <v>1379</v>
      </c>
      <c r="D170" s="54">
        <v>528</v>
      </c>
      <c r="E170" s="367">
        <v>0.40196767392832045</v>
      </c>
      <c r="F170" s="45">
        <v>361</v>
      </c>
      <c r="G170" s="58">
        <v>161</v>
      </c>
      <c r="H170" s="45">
        <v>387</v>
      </c>
      <c r="I170" s="57">
        <v>138</v>
      </c>
      <c r="J170" s="97"/>
      <c r="K170" s="58"/>
      <c r="L170" s="45"/>
      <c r="M170" s="57"/>
      <c r="N170" s="97"/>
      <c r="O170" s="58"/>
      <c r="P170" s="165"/>
      <c r="Q170" s="166"/>
      <c r="R170" s="207"/>
      <c r="S170" s="170"/>
      <c r="T170" s="165"/>
      <c r="U170" s="166"/>
      <c r="V170" s="207"/>
      <c r="W170" s="170"/>
      <c r="X170" s="165"/>
      <c r="Y170" s="166"/>
      <c r="Z170" s="207"/>
      <c r="AA170" s="170"/>
      <c r="AB170" s="165"/>
      <c r="AC170" s="166"/>
      <c r="AD170" s="207"/>
      <c r="AE170" s="170"/>
      <c r="AF170" s="165"/>
      <c r="AG170" s="166"/>
      <c r="AH170" s="207"/>
      <c r="AI170" s="170"/>
      <c r="AJ170" s="165"/>
      <c r="AK170" s="166"/>
      <c r="AL170" s="207"/>
      <c r="AM170" s="170"/>
      <c r="AN170" s="165"/>
      <c r="AO170" s="166"/>
      <c r="AP170" s="207">
        <v>340</v>
      </c>
      <c r="AQ170" s="170">
        <v>181</v>
      </c>
      <c r="AR170" s="165">
        <v>281</v>
      </c>
      <c r="AS170" s="166">
        <v>236</v>
      </c>
      <c r="AT170" s="207"/>
      <c r="AU170" s="170"/>
      <c r="AV170" s="190">
        <v>223</v>
      </c>
      <c r="AW170" s="166">
        <v>297</v>
      </c>
      <c r="AX170" s="208">
        <v>288</v>
      </c>
      <c r="AY170" s="170">
        <v>187</v>
      </c>
      <c r="AZ170" s="45">
        <v>150</v>
      </c>
      <c r="BA170" s="58">
        <v>356</v>
      </c>
      <c r="BB170" s="190"/>
      <c r="BC170" s="167"/>
      <c r="BD170" s="190"/>
      <c r="BE170" s="167"/>
      <c r="BF170" s="190"/>
      <c r="BG170" s="167"/>
      <c r="BH170" s="190"/>
      <c r="BI170" s="167"/>
      <c r="BJ170" s="190"/>
      <c r="BK170" s="167"/>
    </row>
    <row r="171" spans="1:63" ht="13" x14ac:dyDescent="0.25">
      <c r="A171" s="372">
        <v>2509</v>
      </c>
      <c r="B171" s="373" t="s">
        <v>301</v>
      </c>
      <c r="C171" s="360">
        <v>1227</v>
      </c>
      <c r="D171" s="54">
        <v>463</v>
      </c>
      <c r="E171" s="367">
        <v>0.38121546961325969</v>
      </c>
      <c r="F171" s="45">
        <v>284</v>
      </c>
      <c r="G171" s="58">
        <v>177</v>
      </c>
      <c r="H171" s="45">
        <v>326</v>
      </c>
      <c r="I171" s="57">
        <v>134</v>
      </c>
      <c r="J171" s="97"/>
      <c r="K171" s="58"/>
      <c r="L171" s="45"/>
      <c r="M171" s="57"/>
      <c r="N171" s="97"/>
      <c r="O171" s="58"/>
      <c r="P171" s="165"/>
      <c r="Q171" s="166"/>
      <c r="R171" s="207"/>
      <c r="S171" s="170"/>
      <c r="T171" s="165"/>
      <c r="U171" s="166"/>
      <c r="V171" s="207"/>
      <c r="W171" s="170"/>
      <c r="X171" s="165"/>
      <c r="Y171" s="166"/>
      <c r="Z171" s="207"/>
      <c r="AA171" s="170"/>
      <c r="AB171" s="165"/>
      <c r="AC171" s="166"/>
      <c r="AD171" s="207"/>
      <c r="AE171" s="170"/>
      <c r="AF171" s="165"/>
      <c r="AG171" s="166"/>
      <c r="AH171" s="207"/>
      <c r="AI171" s="170"/>
      <c r="AJ171" s="165"/>
      <c r="AK171" s="166"/>
      <c r="AL171" s="207"/>
      <c r="AM171" s="170"/>
      <c r="AN171" s="165"/>
      <c r="AO171" s="166"/>
      <c r="AP171" s="207">
        <v>290</v>
      </c>
      <c r="AQ171" s="170">
        <v>163</v>
      </c>
      <c r="AR171" s="165">
        <v>242</v>
      </c>
      <c r="AS171" s="166">
        <v>208</v>
      </c>
      <c r="AT171" s="207"/>
      <c r="AU171" s="170"/>
      <c r="AV171" s="190">
        <v>179</v>
      </c>
      <c r="AW171" s="166">
        <v>279</v>
      </c>
      <c r="AX171" s="208">
        <v>255</v>
      </c>
      <c r="AY171" s="170">
        <v>168</v>
      </c>
      <c r="AZ171" s="45">
        <v>104</v>
      </c>
      <c r="BA171" s="58">
        <v>334</v>
      </c>
      <c r="BB171" s="190"/>
      <c r="BC171" s="167"/>
      <c r="BD171" s="190"/>
      <c r="BE171" s="167"/>
      <c r="BF171" s="190"/>
      <c r="BG171" s="167"/>
      <c r="BH171" s="190"/>
      <c r="BI171" s="167"/>
      <c r="BJ171" s="190"/>
      <c r="BK171" s="167"/>
    </row>
    <row r="172" spans="1:63" ht="13" x14ac:dyDescent="0.25">
      <c r="A172" s="372">
        <v>2510</v>
      </c>
      <c r="B172" s="373" t="s">
        <v>302</v>
      </c>
      <c r="C172" s="360">
        <v>1213</v>
      </c>
      <c r="D172" s="54">
        <v>341</v>
      </c>
      <c r="E172" s="367">
        <v>0.31651749389747763</v>
      </c>
      <c r="F172" s="45">
        <v>240</v>
      </c>
      <c r="G172" s="58">
        <v>96</v>
      </c>
      <c r="H172" s="45">
        <v>247</v>
      </c>
      <c r="I172" s="57">
        <v>89</v>
      </c>
      <c r="J172" s="97"/>
      <c r="K172" s="58"/>
      <c r="L172" s="45"/>
      <c r="M172" s="57"/>
      <c r="N172" s="97"/>
      <c r="O172" s="58"/>
      <c r="P172" s="165"/>
      <c r="Q172" s="166"/>
      <c r="R172" s="207"/>
      <c r="S172" s="170"/>
      <c r="T172" s="165"/>
      <c r="U172" s="166"/>
      <c r="V172" s="207"/>
      <c r="W172" s="170"/>
      <c r="X172" s="165"/>
      <c r="Y172" s="166"/>
      <c r="Z172" s="207"/>
      <c r="AA172" s="170"/>
      <c r="AB172" s="165"/>
      <c r="AC172" s="166"/>
      <c r="AD172" s="207"/>
      <c r="AE172" s="170"/>
      <c r="AF172" s="165"/>
      <c r="AG172" s="166"/>
      <c r="AH172" s="207"/>
      <c r="AI172" s="170"/>
      <c r="AJ172" s="165"/>
      <c r="AK172" s="166"/>
      <c r="AL172" s="207"/>
      <c r="AM172" s="170"/>
      <c r="AN172" s="165"/>
      <c r="AO172" s="166"/>
      <c r="AP172" s="207">
        <v>235</v>
      </c>
      <c r="AQ172" s="170">
        <v>99</v>
      </c>
      <c r="AR172" s="165">
        <v>199</v>
      </c>
      <c r="AS172" s="166">
        <v>131</v>
      </c>
      <c r="AT172" s="207"/>
      <c r="AU172" s="170"/>
      <c r="AV172" s="190">
        <v>181</v>
      </c>
      <c r="AW172" s="166">
        <v>153</v>
      </c>
      <c r="AX172" s="208">
        <v>184</v>
      </c>
      <c r="AY172" s="170">
        <v>125</v>
      </c>
      <c r="AZ172" s="45">
        <v>97</v>
      </c>
      <c r="BA172" s="58">
        <v>224</v>
      </c>
      <c r="BB172" s="190"/>
      <c r="BC172" s="167"/>
      <c r="BD172" s="190"/>
      <c r="BE172" s="167"/>
      <c r="BF172" s="190"/>
      <c r="BG172" s="167"/>
      <c r="BH172" s="190"/>
      <c r="BI172" s="167"/>
      <c r="BJ172" s="190"/>
      <c r="BK172" s="167"/>
    </row>
    <row r="173" spans="1:63" ht="13" x14ac:dyDescent="0.25">
      <c r="A173" s="372">
        <v>2511</v>
      </c>
      <c r="B173" s="373" t="s">
        <v>303</v>
      </c>
      <c r="C173" s="360">
        <v>1530</v>
      </c>
      <c r="D173" s="54">
        <v>392</v>
      </c>
      <c r="E173" s="367">
        <v>0.27879581151832461</v>
      </c>
      <c r="F173" s="45">
        <v>287</v>
      </c>
      <c r="G173" s="58">
        <v>103</v>
      </c>
      <c r="H173" s="45">
        <v>308</v>
      </c>
      <c r="I173" s="57">
        <v>76</v>
      </c>
      <c r="J173" s="97"/>
      <c r="K173" s="58"/>
      <c r="L173" s="45"/>
      <c r="M173" s="57"/>
      <c r="N173" s="97"/>
      <c r="O173" s="58"/>
      <c r="P173" s="165"/>
      <c r="Q173" s="166"/>
      <c r="R173" s="207"/>
      <c r="S173" s="170"/>
      <c r="T173" s="165"/>
      <c r="U173" s="166"/>
      <c r="V173" s="207"/>
      <c r="W173" s="170"/>
      <c r="X173" s="165"/>
      <c r="Y173" s="166"/>
      <c r="Z173" s="207"/>
      <c r="AA173" s="170"/>
      <c r="AB173" s="165"/>
      <c r="AC173" s="166"/>
      <c r="AD173" s="207"/>
      <c r="AE173" s="170"/>
      <c r="AF173" s="165"/>
      <c r="AG173" s="166"/>
      <c r="AH173" s="207"/>
      <c r="AI173" s="170"/>
      <c r="AJ173" s="165"/>
      <c r="AK173" s="166"/>
      <c r="AL173" s="207"/>
      <c r="AM173" s="170"/>
      <c r="AN173" s="165"/>
      <c r="AO173" s="166"/>
      <c r="AP173" s="207">
        <v>276</v>
      </c>
      <c r="AQ173" s="170">
        <v>103</v>
      </c>
      <c r="AR173" s="165">
        <v>240</v>
      </c>
      <c r="AS173" s="166">
        <v>141</v>
      </c>
      <c r="AT173" s="207"/>
      <c r="AU173" s="170"/>
      <c r="AV173" s="190">
        <v>155</v>
      </c>
      <c r="AW173" s="166">
        <v>226</v>
      </c>
      <c r="AX173" s="208">
        <v>195</v>
      </c>
      <c r="AY173" s="170">
        <v>159</v>
      </c>
      <c r="AZ173" s="45">
        <v>124</v>
      </c>
      <c r="BA173" s="58">
        <v>246</v>
      </c>
      <c r="BB173" s="190"/>
      <c r="BC173" s="167"/>
      <c r="BD173" s="190"/>
      <c r="BE173" s="167"/>
      <c r="BF173" s="190"/>
      <c r="BG173" s="167"/>
      <c r="BH173" s="190"/>
      <c r="BI173" s="167"/>
      <c r="BJ173" s="190"/>
      <c r="BK173" s="167"/>
    </row>
    <row r="174" spans="1:63" ht="13" x14ac:dyDescent="0.25">
      <c r="A174" s="372">
        <v>2512</v>
      </c>
      <c r="B174" s="373" t="s">
        <v>748</v>
      </c>
      <c r="C174" s="360">
        <v>914</v>
      </c>
      <c r="D174" s="54">
        <v>144</v>
      </c>
      <c r="E174" s="367">
        <v>0.19934994582881907</v>
      </c>
      <c r="F174" s="45">
        <v>115</v>
      </c>
      <c r="G174" s="58">
        <v>28</v>
      </c>
      <c r="H174" s="45">
        <v>112</v>
      </c>
      <c r="I174" s="57">
        <v>32</v>
      </c>
      <c r="J174" s="97"/>
      <c r="K174" s="58"/>
      <c r="L174" s="45"/>
      <c r="M174" s="57"/>
      <c r="N174" s="97"/>
      <c r="O174" s="58"/>
      <c r="P174" s="165"/>
      <c r="Q174" s="166"/>
      <c r="R174" s="207"/>
      <c r="S174" s="170"/>
      <c r="T174" s="165"/>
      <c r="U174" s="166"/>
      <c r="V174" s="207"/>
      <c r="W174" s="170"/>
      <c r="X174" s="165"/>
      <c r="Y174" s="166"/>
      <c r="Z174" s="207"/>
      <c r="AA174" s="170"/>
      <c r="AB174" s="165"/>
      <c r="AC174" s="166"/>
      <c r="AD174" s="207"/>
      <c r="AE174" s="170"/>
      <c r="AF174" s="165"/>
      <c r="AG174" s="166"/>
      <c r="AH174" s="207"/>
      <c r="AI174" s="170"/>
      <c r="AJ174" s="165"/>
      <c r="AK174" s="166"/>
      <c r="AL174" s="207"/>
      <c r="AM174" s="170"/>
      <c r="AN174" s="165"/>
      <c r="AO174" s="166"/>
      <c r="AP174" s="207">
        <v>100</v>
      </c>
      <c r="AQ174" s="170">
        <v>41</v>
      </c>
      <c r="AR174" s="165">
        <v>99</v>
      </c>
      <c r="AS174" s="166">
        <v>43</v>
      </c>
      <c r="AT174" s="207"/>
      <c r="AU174" s="170"/>
      <c r="AV174" s="190">
        <v>91</v>
      </c>
      <c r="AW174" s="166">
        <v>50</v>
      </c>
      <c r="AX174" s="208">
        <v>88</v>
      </c>
      <c r="AY174" s="170">
        <v>46</v>
      </c>
      <c r="AZ174" s="45">
        <v>62</v>
      </c>
      <c r="BA174" s="58">
        <v>76</v>
      </c>
      <c r="BB174" s="190"/>
      <c r="BC174" s="167"/>
      <c r="BD174" s="190"/>
      <c r="BE174" s="167"/>
      <c r="BF174" s="190"/>
      <c r="BG174" s="167"/>
      <c r="BH174" s="190"/>
      <c r="BI174" s="167"/>
      <c r="BJ174" s="190"/>
      <c r="BK174" s="167"/>
    </row>
    <row r="175" spans="1:63" ht="13" x14ac:dyDescent="0.25">
      <c r="A175" s="372">
        <v>2601</v>
      </c>
      <c r="B175" s="373" t="s">
        <v>304</v>
      </c>
      <c r="C175" s="360">
        <v>1272</v>
      </c>
      <c r="D175" s="54">
        <v>670</v>
      </c>
      <c r="E175" s="367">
        <v>0.55433070866141732</v>
      </c>
      <c r="F175" s="45">
        <v>431</v>
      </c>
      <c r="G175" s="58">
        <v>232</v>
      </c>
      <c r="H175" s="45">
        <v>432</v>
      </c>
      <c r="I175" s="57">
        <v>226</v>
      </c>
      <c r="J175" s="97"/>
      <c r="K175" s="58"/>
      <c r="L175" s="45"/>
      <c r="M175" s="57"/>
      <c r="N175" s="97"/>
      <c r="O175" s="58"/>
      <c r="P175" s="165"/>
      <c r="Q175" s="166"/>
      <c r="R175" s="207"/>
      <c r="S175" s="170"/>
      <c r="T175" s="165"/>
      <c r="U175" s="166"/>
      <c r="V175" s="207"/>
      <c r="W175" s="170"/>
      <c r="X175" s="165"/>
      <c r="Y175" s="166"/>
      <c r="Z175" s="207"/>
      <c r="AA175" s="170"/>
      <c r="AB175" s="165"/>
      <c r="AC175" s="166"/>
      <c r="AD175" s="207"/>
      <c r="AE175" s="170"/>
      <c r="AF175" s="165"/>
      <c r="AG175" s="166"/>
      <c r="AH175" s="207"/>
      <c r="AI175" s="170"/>
      <c r="AJ175" s="165"/>
      <c r="AK175" s="166"/>
      <c r="AL175" s="207"/>
      <c r="AM175" s="170"/>
      <c r="AN175" s="165"/>
      <c r="AO175" s="166"/>
      <c r="AP175" s="207">
        <v>460</v>
      </c>
      <c r="AQ175" s="170">
        <v>190</v>
      </c>
      <c r="AR175" s="165">
        <v>412</v>
      </c>
      <c r="AS175" s="166">
        <v>237</v>
      </c>
      <c r="AT175" s="207"/>
      <c r="AU175" s="170"/>
      <c r="AV175" s="190">
        <v>278</v>
      </c>
      <c r="AW175" s="166">
        <v>371</v>
      </c>
      <c r="AX175" s="208">
        <v>374</v>
      </c>
      <c r="AY175" s="170">
        <v>204</v>
      </c>
      <c r="AZ175" s="45">
        <v>158</v>
      </c>
      <c r="BA175" s="58">
        <v>473</v>
      </c>
      <c r="BB175" s="190"/>
      <c r="BC175" s="167"/>
      <c r="BD175" s="190"/>
      <c r="BE175" s="167"/>
      <c r="BF175" s="190"/>
      <c r="BG175" s="167"/>
      <c r="BH175" s="190"/>
      <c r="BI175" s="167"/>
      <c r="BJ175" s="190"/>
      <c r="BK175" s="167"/>
    </row>
    <row r="176" spans="1:63" ht="13" x14ac:dyDescent="0.25">
      <c r="A176" s="372">
        <v>2602</v>
      </c>
      <c r="B176" s="373" t="s">
        <v>305</v>
      </c>
      <c r="C176" s="360">
        <v>1077</v>
      </c>
      <c r="D176" s="54">
        <v>397</v>
      </c>
      <c r="E176" s="367">
        <v>0.39519852262234534</v>
      </c>
      <c r="F176" s="45">
        <v>312</v>
      </c>
      <c r="G176" s="58">
        <v>82</v>
      </c>
      <c r="H176" s="45">
        <v>283</v>
      </c>
      <c r="I176" s="57">
        <v>110</v>
      </c>
      <c r="J176" s="97"/>
      <c r="K176" s="58"/>
      <c r="L176" s="45"/>
      <c r="M176" s="57"/>
      <c r="N176" s="97"/>
      <c r="O176" s="58"/>
      <c r="P176" s="165"/>
      <c r="Q176" s="166"/>
      <c r="R176" s="207"/>
      <c r="S176" s="170"/>
      <c r="T176" s="165"/>
      <c r="U176" s="166"/>
      <c r="V176" s="207"/>
      <c r="W176" s="170"/>
      <c r="X176" s="165"/>
      <c r="Y176" s="166"/>
      <c r="Z176" s="207"/>
      <c r="AA176" s="170"/>
      <c r="AB176" s="165"/>
      <c r="AC176" s="166"/>
      <c r="AD176" s="207"/>
      <c r="AE176" s="170"/>
      <c r="AF176" s="165"/>
      <c r="AG176" s="166"/>
      <c r="AH176" s="207"/>
      <c r="AI176" s="170"/>
      <c r="AJ176" s="165"/>
      <c r="AK176" s="166"/>
      <c r="AL176" s="207"/>
      <c r="AM176" s="170"/>
      <c r="AN176" s="165"/>
      <c r="AO176" s="166"/>
      <c r="AP176" s="207">
        <v>275</v>
      </c>
      <c r="AQ176" s="170">
        <v>120</v>
      </c>
      <c r="AR176" s="165">
        <v>241</v>
      </c>
      <c r="AS176" s="166">
        <v>152</v>
      </c>
      <c r="AT176" s="207"/>
      <c r="AU176" s="170"/>
      <c r="AV176" s="190">
        <v>174</v>
      </c>
      <c r="AW176" s="166">
        <v>219</v>
      </c>
      <c r="AX176" s="208">
        <v>234</v>
      </c>
      <c r="AY176" s="170">
        <v>141</v>
      </c>
      <c r="AZ176" s="45">
        <v>114</v>
      </c>
      <c r="BA176" s="58">
        <v>270</v>
      </c>
      <c r="BB176" s="190"/>
      <c r="BC176" s="167"/>
      <c r="BD176" s="190"/>
      <c r="BE176" s="167"/>
      <c r="BF176" s="190"/>
      <c r="BG176" s="167"/>
      <c r="BH176" s="190"/>
      <c r="BI176" s="167"/>
      <c r="BJ176" s="190"/>
      <c r="BK176" s="167"/>
    </row>
    <row r="177" spans="1:63" ht="13" x14ac:dyDescent="0.25">
      <c r="A177" s="372">
        <v>2603</v>
      </c>
      <c r="B177" s="373" t="s">
        <v>306</v>
      </c>
      <c r="C177" s="360">
        <v>677</v>
      </c>
      <c r="D177" s="54">
        <v>269</v>
      </c>
      <c r="E177" s="367">
        <v>0.37896253602305474</v>
      </c>
      <c r="F177" s="45">
        <v>198</v>
      </c>
      <c r="G177" s="58">
        <v>67</v>
      </c>
      <c r="H177" s="45">
        <v>206</v>
      </c>
      <c r="I177" s="57">
        <v>62</v>
      </c>
      <c r="J177" s="97"/>
      <c r="K177" s="58"/>
      <c r="L177" s="45"/>
      <c r="M177" s="57"/>
      <c r="N177" s="97"/>
      <c r="O177" s="58"/>
      <c r="P177" s="165"/>
      <c r="Q177" s="166"/>
      <c r="R177" s="207"/>
      <c r="S177" s="170"/>
      <c r="T177" s="165"/>
      <c r="U177" s="166"/>
      <c r="V177" s="207"/>
      <c r="W177" s="170"/>
      <c r="X177" s="165"/>
      <c r="Y177" s="166"/>
      <c r="Z177" s="207"/>
      <c r="AA177" s="170"/>
      <c r="AB177" s="165"/>
      <c r="AC177" s="166"/>
      <c r="AD177" s="207"/>
      <c r="AE177" s="170"/>
      <c r="AF177" s="165"/>
      <c r="AG177" s="166"/>
      <c r="AH177" s="207"/>
      <c r="AI177" s="170"/>
      <c r="AJ177" s="165"/>
      <c r="AK177" s="166"/>
      <c r="AL177" s="207"/>
      <c r="AM177" s="170"/>
      <c r="AN177" s="165"/>
      <c r="AO177" s="166"/>
      <c r="AP177" s="207">
        <v>193</v>
      </c>
      <c r="AQ177" s="170">
        <v>74</v>
      </c>
      <c r="AR177" s="165">
        <v>186</v>
      </c>
      <c r="AS177" s="166">
        <v>73</v>
      </c>
      <c r="AT177" s="207"/>
      <c r="AU177" s="170"/>
      <c r="AV177" s="190">
        <v>116</v>
      </c>
      <c r="AW177" s="166">
        <v>145</v>
      </c>
      <c r="AX177" s="208">
        <v>146</v>
      </c>
      <c r="AY177" s="170">
        <v>100</v>
      </c>
      <c r="AZ177" s="45">
        <v>83</v>
      </c>
      <c r="BA177" s="58">
        <v>175</v>
      </c>
      <c r="BB177" s="190"/>
      <c r="BC177" s="167"/>
      <c r="BD177" s="190"/>
      <c r="BE177" s="167"/>
      <c r="BF177" s="190"/>
      <c r="BG177" s="167"/>
      <c r="BH177" s="190"/>
      <c r="BI177" s="167"/>
      <c r="BJ177" s="190"/>
      <c r="BK177" s="167"/>
    </row>
    <row r="178" spans="1:63" ht="13" x14ac:dyDescent="0.25">
      <c r="A178" s="372">
        <v>2604</v>
      </c>
      <c r="B178" s="373" t="s">
        <v>307</v>
      </c>
      <c r="C178" s="360">
        <v>1070</v>
      </c>
      <c r="D178" s="54">
        <v>226</v>
      </c>
      <c r="E178" s="367">
        <v>0.23456790123456789</v>
      </c>
      <c r="F178" s="45">
        <v>184</v>
      </c>
      <c r="G178" s="58">
        <v>40</v>
      </c>
      <c r="H178" s="45">
        <v>176</v>
      </c>
      <c r="I178" s="57">
        <v>49</v>
      </c>
      <c r="J178" s="97"/>
      <c r="K178" s="58"/>
      <c r="L178" s="45"/>
      <c r="M178" s="57"/>
      <c r="N178" s="97"/>
      <c r="O178" s="58"/>
      <c r="P178" s="165"/>
      <c r="Q178" s="166"/>
      <c r="R178" s="207"/>
      <c r="S178" s="170"/>
      <c r="T178" s="165"/>
      <c r="U178" s="166"/>
      <c r="V178" s="207"/>
      <c r="W178" s="170"/>
      <c r="X178" s="165"/>
      <c r="Y178" s="166"/>
      <c r="Z178" s="207"/>
      <c r="AA178" s="170"/>
      <c r="AB178" s="165"/>
      <c r="AC178" s="166"/>
      <c r="AD178" s="207"/>
      <c r="AE178" s="170"/>
      <c r="AF178" s="165"/>
      <c r="AG178" s="166"/>
      <c r="AH178" s="207"/>
      <c r="AI178" s="170"/>
      <c r="AJ178" s="165"/>
      <c r="AK178" s="166"/>
      <c r="AL178" s="207"/>
      <c r="AM178" s="170"/>
      <c r="AN178" s="165"/>
      <c r="AO178" s="166"/>
      <c r="AP178" s="207">
        <v>142</v>
      </c>
      <c r="AQ178" s="170">
        <v>76</v>
      </c>
      <c r="AR178" s="165">
        <v>132</v>
      </c>
      <c r="AS178" s="166">
        <v>89</v>
      </c>
      <c r="AT178" s="207"/>
      <c r="AU178" s="170"/>
      <c r="AV178" s="190">
        <v>113</v>
      </c>
      <c r="AW178" s="166">
        <v>110</v>
      </c>
      <c r="AX178" s="208">
        <v>123</v>
      </c>
      <c r="AY178" s="170">
        <v>83</v>
      </c>
      <c r="AZ178" s="45">
        <v>76</v>
      </c>
      <c r="BA178" s="58">
        <v>144</v>
      </c>
      <c r="BB178" s="190"/>
      <c r="BC178" s="167"/>
      <c r="BD178" s="190"/>
      <c r="BE178" s="167"/>
      <c r="BF178" s="190"/>
      <c r="BG178" s="167"/>
      <c r="BH178" s="190"/>
      <c r="BI178" s="167"/>
      <c r="BJ178" s="190"/>
      <c r="BK178" s="167"/>
    </row>
    <row r="179" spans="1:63" ht="13" x14ac:dyDescent="0.25">
      <c r="A179" s="372">
        <v>2605</v>
      </c>
      <c r="B179" s="373" t="s">
        <v>308</v>
      </c>
      <c r="C179" s="360">
        <v>1276</v>
      </c>
      <c r="D179" s="54">
        <v>297</v>
      </c>
      <c r="E179" s="367">
        <v>0.23335943617854346</v>
      </c>
      <c r="F179" s="45">
        <v>251</v>
      </c>
      <c r="G179" s="58">
        <v>42</v>
      </c>
      <c r="H179" s="45">
        <v>236</v>
      </c>
      <c r="I179" s="57">
        <v>60</v>
      </c>
      <c r="J179" s="97"/>
      <c r="K179" s="58"/>
      <c r="L179" s="45"/>
      <c r="M179" s="57"/>
      <c r="N179" s="97"/>
      <c r="O179" s="58"/>
      <c r="P179" s="165"/>
      <c r="Q179" s="166"/>
      <c r="R179" s="207"/>
      <c r="S179" s="170"/>
      <c r="T179" s="165"/>
      <c r="U179" s="166"/>
      <c r="V179" s="207"/>
      <c r="W179" s="170"/>
      <c r="X179" s="165"/>
      <c r="Y179" s="166"/>
      <c r="Z179" s="207"/>
      <c r="AA179" s="170"/>
      <c r="AB179" s="165"/>
      <c r="AC179" s="166"/>
      <c r="AD179" s="207"/>
      <c r="AE179" s="170"/>
      <c r="AF179" s="165"/>
      <c r="AG179" s="166"/>
      <c r="AH179" s="207"/>
      <c r="AI179" s="170"/>
      <c r="AJ179" s="165"/>
      <c r="AK179" s="166"/>
      <c r="AL179" s="207"/>
      <c r="AM179" s="170"/>
      <c r="AN179" s="165"/>
      <c r="AO179" s="166"/>
      <c r="AP179" s="207">
        <v>180</v>
      </c>
      <c r="AQ179" s="170">
        <v>111</v>
      </c>
      <c r="AR179" s="165">
        <v>175</v>
      </c>
      <c r="AS179" s="166">
        <v>114</v>
      </c>
      <c r="AT179" s="207"/>
      <c r="AU179" s="170"/>
      <c r="AV179" s="190">
        <v>145</v>
      </c>
      <c r="AW179" s="166">
        <v>148</v>
      </c>
      <c r="AX179" s="208">
        <v>144</v>
      </c>
      <c r="AY179" s="170">
        <v>121</v>
      </c>
      <c r="AZ179" s="45">
        <v>78</v>
      </c>
      <c r="BA179" s="58">
        <v>199</v>
      </c>
      <c r="BB179" s="190"/>
      <c r="BC179" s="167"/>
      <c r="BD179" s="190"/>
      <c r="BE179" s="167"/>
      <c r="BF179" s="190"/>
      <c r="BG179" s="167"/>
      <c r="BH179" s="190"/>
      <c r="BI179" s="167"/>
      <c r="BJ179" s="190"/>
      <c r="BK179" s="167"/>
    </row>
    <row r="180" spans="1:63" ht="13" x14ac:dyDescent="0.25">
      <c r="A180" s="372">
        <v>2606</v>
      </c>
      <c r="B180" s="373" t="s">
        <v>309</v>
      </c>
      <c r="C180" s="360">
        <v>897</v>
      </c>
      <c r="D180" s="54">
        <v>226</v>
      </c>
      <c r="E180" s="367">
        <v>0.2828507795100223</v>
      </c>
      <c r="F180" s="45">
        <v>197</v>
      </c>
      <c r="G180" s="58">
        <v>27</v>
      </c>
      <c r="H180" s="45">
        <v>194</v>
      </c>
      <c r="I180" s="57">
        <v>31</v>
      </c>
      <c r="J180" s="97"/>
      <c r="K180" s="58"/>
      <c r="L180" s="45"/>
      <c r="M180" s="57"/>
      <c r="N180" s="97"/>
      <c r="O180" s="58"/>
      <c r="P180" s="165"/>
      <c r="Q180" s="166"/>
      <c r="R180" s="207"/>
      <c r="S180" s="170"/>
      <c r="T180" s="165"/>
      <c r="U180" s="166"/>
      <c r="V180" s="207"/>
      <c r="W180" s="170"/>
      <c r="X180" s="165"/>
      <c r="Y180" s="166"/>
      <c r="Z180" s="207"/>
      <c r="AA180" s="170"/>
      <c r="AB180" s="165"/>
      <c r="AC180" s="166"/>
      <c r="AD180" s="207"/>
      <c r="AE180" s="170"/>
      <c r="AF180" s="165"/>
      <c r="AG180" s="166"/>
      <c r="AH180" s="207"/>
      <c r="AI180" s="170"/>
      <c r="AJ180" s="165"/>
      <c r="AK180" s="166"/>
      <c r="AL180" s="207"/>
      <c r="AM180" s="170"/>
      <c r="AN180" s="165"/>
      <c r="AO180" s="166"/>
      <c r="AP180" s="207">
        <v>155</v>
      </c>
      <c r="AQ180" s="170">
        <v>68</v>
      </c>
      <c r="AR180" s="165">
        <v>159</v>
      </c>
      <c r="AS180" s="166">
        <v>65</v>
      </c>
      <c r="AT180" s="207"/>
      <c r="AU180" s="170"/>
      <c r="AV180" s="190">
        <v>114</v>
      </c>
      <c r="AW180" s="166">
        <v>107</v>
      </c>
      <c r="AX180" s="208">
        <v>127</v>
      </c>
      <c r="AY180" s="170">
        <v>77</v>
      </c>
      <c r="AZ180" s="45">
        <v>84</v>
      </c>
      <c r="BA180" s="58">
        <v>132</v>
      </c>
      <c r="BB180" s="190"/>
      <c r="BC180" s="167"/>
      <c r="BD180" s="190"/>
      <c r="BE180" s="167"/>
      <c r="BF180" s="190"/>
      <c r="BG180" s="167"/>
      <c r="BH180" s="190"/>
      <c r="BI180" s="167"/>
      <c r="BJ180" s="190"/>
      <c r="BK180" s="167"/>
    </row>
    <row r="181" spans="1:63" ht="13" x14ac:dyDescent="0.25">
      <c r="A181" s="372">
        <v>2607</v>
      </c>
      <c r="B181" s="373" t="s">
        <v>310</v>
      </c>
      <c r="C181" s="360">
        <v>1023</v>
      </c>
      <c r="D181" s="54">
        <v>323</v>
      </c>
      <c r="E181" s="367">
        <v>0.38603297769156159</v>
      </c>
      <c r="F181" s="45">
        <v>215</v>
      </c>
      <c r="G181" s="58">
        <v>107</v>
      </c>
      <c r="H181" s="45">
        <v>214</v>
      </c>
      <c r="I181" s="57">
        <v>103</v>
      </c>
      <c r="J181" s="97"/>
      <c r="K181" s="58"/>
      <c r="L181" s="45"/>
      <c r="M181" s="57"/>
      <c r="N181" s="97"/>
      <c r="O181" s="58"/>
      <c r="P181" s="165"/>
      <c r="Q181" s="166"/>
      <c r="R181" s="207"/>
      <c r="S181" s="170"/>
      <c r="T181" s="165"/>
      <c r="U181" s="166"/>
      <c r="V181" s="207"/>
      <c r="W181" s="170"/>
      <c r="X181" s="165"/>
      <c r="Y181" s="166"/>
      <c r="Z181" s="207"/>
      <c r="AA181" s="170"/>
      <c r="AB181" s="165"/>
      <c r="AC181" s="166"/>
      <c r="AD181" s="207"/>
      <c r="AE181" s="170"/>
      <c r="AF181" s="165"/>
      <c r="AG181" s="166"/>
      <c r="AH181" s="207"/>
      <c r="AI181" s="170"/>
      <c r="AJ181" s="165"/>
      <c r="AK181" s="166"/>
      <c r="AL181" s="207"/>
      <c r="AM181" s="170"/>
      <c r="AN181" s="165"/>
      <c r="AO181" s="166"/>
      <c r="AP181" s="207">
        <v>215</v>
      </c>
      <c r="AQ181" s="170">
        <v>103</v>
      </c>
      <c r="AR181" s="165">
        <v>169</v>
      </c>
      <c r="AS181" s="166">
        <v>147</v>
      </c>
      <c r="AT181" s="207"/>
      <c r="AU181" s="170"/>
      <c r="AV181" s="190">
        <v>149</v>
      </c>
      <c r="AW181" s="166">
        <v>171</v>
      </c>
      <c r="AX181" s="208">
        <v>176</v>
      </c>
      <c r="AY181" s="170">
        <v>114</v>
      </c>
      <c r="AZ181" s="45">
        <v>61</v>
      </c>
      <c r="BA181" s="58">
        <v>240</v>
      </c>
      <c r="BB181" s="190"/>
      <c r="BC181" s="167"/>
      <c r="BD181" s="190"/>
      <c r="BE181" s="167"/>
      <c r="BF181" s="190"/>
      <c r="BG181" s="167"/>
      <c r="BH181" s="190"/>
      <c r="BI181" s="167"/>
      <c r="BJ181" s="190"/>
      <c r="BK181" s="167"/>
    </row>
    <row r="182" spans="1:63" ht="13" x14ac:dyDescent="0.25">
      <c r="A182" s="372">
        <v>2608</v>
      </c>
      <c r="B182" s="373" t="s">
        <v>311</v>
      </c>
      <c r="C182" s="360">
        <v>921</v>
      </c>
      <c r="D182" s="54">
        <v>92</v>
      </c>
      <c r="E182" s="367">
        <v>0.10341151385927505</v>
      </c>
      <c r="F182" s="45">
        <v>81</v>
      </c>
      <c r="G182" s="58">
        <v>11</v>
      </c>
      <c r="H182" s="45">
        <v>74</v>
      </c>
      <c r="I182" s="57">
        <v>18</v>
      </c>
      <c r="J182" s="97"/>
      <c r="K182" s="58"/>
      <c r="L182" s="45"/>
      <c r="M182" s="57"/>
      <c r="N182" s="97"/>
      <c r="O182" s="58"/>
      <c r="P182" s="165"/>
      <c r="Q182" s="166"/>
      <c r="R182" s="207"/>
      <c r="S182" s="170"/>
      <c r="T182" s="165"/>
      <c r="U182" s="166"/>
      <c r="V182" s="207"/>
      <c r="W182" s="170"/>
      <c r="X182" s="165"/>
      <c r="Y182" s="166"/>
      <c r="Z182" s="207"/>
      <c r="AA182" s="170"/>
      <c r="AB182" s="165"/>
      <c r="AC182" s="166"/>
      <c r="AD182" s="207"/>
      <c r="AE182" s="170"/>
      <c r="AF182" s="165"/>
      <c r="AG182" s="166"/>
      <c r="AH182" s="207"/>
      <c r="AI182" s="170"/>
      <c r="AJ182" s="165"/>
      <c r="AK182" s="166"/>
      <c r="AL182" s="207"/>
      <c r="AM182" s="170"/>
      <c r="AN182" s="165"/>
      <c r="AO182" s="166"/>
      <c r="AP182" s="207">
        <v>46</v>
      </c>
      <c r="AQ182" s="170">
        <v>41</v>
      </c>
      <c r="AR182" s="165">
        <v>49</v>
      </c>
      <c r="AS182" s="166">
        <v>37</v>
      </c>
      <c r="AT182" s="207"/>
      <c r="AU182" s="170"/>
      <c r="AV182" s="190">
        <v>45</v>
      </c>
      <c r="AW182" s="166">
        <v>45</v>
      </c>
      <c r="AX182" s="208">
        <v>61</v>
      </c>
      <c r="AY182" s="170">
        <v>22</v>
      </c>
      <c r="AZ182" s="45">
        <v>46</v>
      </c>
      <c r="BA182" s="58">
        <v>40</v>
      </c>
      <c r="BB182" s="190"/>
      <c r="BC182" s="167"/>
      <c r="BD182" s="190"/>
      <c r="BE182" s="167"/>
      <c r="BF182" s="190"/>
      <c r="BG182" s="167"/>
      <c r="BH182" s="190"/>
      <c r="BI182" s="167"/>
      <c r="BJ182" s="190"/>
      <c r="BK182" s="167"/>
    </row>
    <row r="183" spans="1:63" ht="13" x14ac:dyDescent="0.25">
      <c r="A183" s="372">
        <v>2609</v>
      </c>
      <c r="B183" s="373" t="s">
        <v>312</v>
      </c>
      <c r="C183" s="360">
        <v>1113</v>
      </c>
      <c r="D183" s="54">
        <v>494</v>
      </c>
      <c r="E183" s="367">
        <v>0.46927871772039181</v>
      </c>
      <c r="F183" s="45">
        <v>339</v>
      </c>
      <c r="G183" s="58">
        <v>148</v>
      </c>
      <c r="H183" s="45">
        <v>370</v>
      </c>
      <c r="I183" s="57">
        <v>116</v>
      </c>
      <c r="J183" s="97"/>
      <c r="K183" s="58"/>
      <c r="L183" s="45"/>
      <c r="M183" s="57"/>
      <c r="N183" s="97"/>
      <c r="O183" s="58"/>
      <c r="P183" s="165"/>
      <c r="Q183" s="166"/>
      <c r="R183" s="207"/>
      <c r="S183" s="170"/>
      <c r="T183" s="165"/>
      <c r="U183" s="166"/>
      <c r="V183" s="207"/>
      <c r="W183" s="170"/>
      <c r="X183" s="165"/>
      <c r="Y183" s="166"/>
      <c r="Z183" s="207"/>
      <c r="AA183" s="170"/>
      <c r="AB183" s="165"/>
      <c r="AC183" s="166"/>
      <c r="AD183" s="207"/>
      <c r="AE183" s="170"/>
      <c r="AF183" s="165"/>
      <c r="AG183" s="166"/>
      <c r="AH183" s="207"/>
      <c r="AI183" s="170"/>
      <c r="AJ183" s="165"/>
      <c r="AK183" s="166"/>
      <c r="AL183" s="207"/>
      <c r="AM183" s="170"/>
      <c r="AN183" s="165"/>
      <c r="AO183" s="166"/>
      <c r="AP183" s="207">
        <v>363</v>
      </c>
      <c r="AQ183" s="170">
        <v>124</v>
      </c>
      <c r="AR183" s="165">
        <v>314</v>
      </c>
      <c r="AS183" s="166">
        <v>171</v>
      </c>
      <c r="AT183" s="207"/>
      <c r="AU183" s="170"/>
      <c r="AV183" s="190">
        <v>197</v>
      </c>
      <c r="AW183" s="166">
        <v>286</v>
      </c>
      <c r="AX183" s="208">
        <v>268</v>
      </c>
      <c r="AY183" s="170">
        <v>156</v>
      </c>
      <c r="AZ183" s="45">
        <v>114</v>
      </c>
      <c r="BA183" s="58">
        <v>341</v>
      </c>
      <c r="BB183" s="190"/>
      <c r="BC183" s="167"/>
      <c r="BD183" s="190"/>
      <c r="BE183" s="167"/>
      <c r="BF183" s="190"/>
      <c r="BG183" s="167"/>
      <c r="BH183" s="190"/>
      <c r="BI183" s="167"/>
      <c r="BJ183" s="190"/>
      <c r="BK183" s="167"/>
    </row>
    <row r="184" spans="1:63" ht="13" x14ac:dyDescent="0.25">
      <c r="A184" s="372">
        <v>2610</v>
      </c>
      <c r="B184" s="373" t="s">
        <v>313</v>
      </c>
      <c r="C184" s="360">
        <v>1302</v>
      </c>
      <c r="D184" s="54">
        <v>416</v>
      </c>
      <c r="E184" s="367">
        <v>0.32756024096385544</v>
      </c>
      <c r="F184" s="45">
        <v>343</v>
      </c>
      <c r="G184" s="58">
        <v>68</v>
      </c>
      <c r="H184" s="45">
        <v>321</v>
      </c>
      <c r="I184" s="57">
        <v>91</v>
      </c>
      <c r="J184" s="97"/>
      <c r="K184" s="58"/>
      <c r="L184" s="45"/>
      <c r="M184" s="57"/>
      <c r="N184" s="97"/>
      <c r="O184" s="58"/>
      <c r="P184" s="165"/>
      <c r="Q184" s="166"/>
      <c r="R184" s="207"/>
      <c r="S184" s="170"/>
      <c r="T184" s="165"/>
      <c r="U184" s="166"/>
      <c r="V184" s="207"/>
      <c r="W184" s="170"/>
      <c r="X184" s="165"/>
      <c r="Y184" s="166"/>
      <c r="Z184" s="207"/>
      <c r="AA184" s="170"/>
      <c r="AB184" s="165"/>
      <c r="AC184" s="166"/>
      <c r="AD184" s="207"/>
      <c r="AE184" s="170"/>
      <c r="AF184" s="165"/>
      <c r="AG184" s="166"/>
      <c r="AH184" s="207"/>
      <c r="AI184" s="170"/>
      <c r="AJ184" s="165"/>
      <c r="AK184" s="166"/>
      <c r="AL184" s="207"/>
      <c r="AM184" s="170"/>
      <c r="AN184" s="165"/>
      <c r="AO184" s="166"/>
      <c r="AP184" s="207">
        <v>250</v>
      </c>
      <c r="AQ184" s="170">
        <v>155</v>
      </c>
      <c r="AR184" s="165">
        <v>227</v>
      </c>
      <c r="AS184" s="166">
        <v>174</v>
      </c>
      <c r="AT184" s="207"/>
      <c r="AU184" s="170"/>
      <c r="AV184" s="190">
        <v>188</v>
      </c>
      <c r="AW184" s="166">
        <v>221</v>
      </c>
      <c r="AX184" s="208">
        <v>219</v>
      </c>
      <c r="AY184" s="170">
        <v>160</v>
      </c>
      <c r="AZ184" s="45">
        <v>140</v>
      </c>
      <c r="BA184" s="58">
        <v>257</v>
      </c>
      <c r="BB184" s="190"/>
      <c r="BC184" s="167"/>
      <c r="BD184" s="190"/>
      <c r="BE184" s="167"/>
      <c r="BF184" s="190"/>
      <c r="BG184" s="167"/>
      <c r="BH184" s="190"/>
      <c r="BI184" s="167"/>
      <c r="BJ184" s="190"/>
      <c r="BK184" s="167"/>
    </row>
    <row r="185" spans="1:63" ht="13" x14ac:dyDescent="0.25">
      <c r="A185" s="372">
        <v>2611</v>
      </c>
      <c r="B185" s="373" t="s">
        <v>314</v>
      </c>
      <c r="C185" s="360">
        <v>1309</v>
      </c>
      <c r="D185" s="54">
        <v>570</v>
      </c>
      <c r="E185" s="367">
        <v>0.44217687074829931</v>
      </c>
      <c r="F185" s="45">
        <v>384</v>
      </c>
      <c r="G185" s="58">
        <v>184</v>
      </c>
      <c r="H185" s="45">
        <v>388</v>
      </c>
      <c r="I185" s="57">
        <v>176</v>
      </c>
      <c r="J185" s="97"/>
      <c r="K185" s="58"/>
      <c r="L185" s="45"/>
      <c r="M185" s="57"/>
      <c r="N185" s="97"/>
      <c r="O185" s="58"/>
      <c r="P185" s="165"/>
      <c r="Q185" s="166"/>
      <c r="R185" s="207"/>
      <c r="S185" s="170"/>
      <c r="T185" s="165"/>
      <c r="U185" s="166"/>
      <c r="V185" s="207"/>
      <c r="W185" s="170"/>
      <c r="X185" s="165"/>
      <c r="Y185" s="166"/>
      <c r="Z185" s="207"/>
      <c r="AA185" s="170"/>
      <c r="AB185" s="165"/>
      <c r="AC185" s="166"/>
      <c r="AD185" s="207"/>
      <c r="AE185" s="170"/>
      <c r="AF185" s="165"/>
      <c r="AG185" s="166"/>
      <c r="AH185" s="207"/>
      <c r="AI185" s="170"/>
      <c r="AJ185" s="165"/>
      <c r="AK185" s="166"/>
      <c r="AL185" s="207"/>
      <c r="AM185" s="170"/>
      <c r="AN185" s="165"/>
      <c r="AO185" s="166"/>
      <c r="AP185" s="207">
        <v>385</v>
      </c>
      <c r="AQ185" s="170">
        <v>171</v>
      </c>
      <c r="AR185" s="165">
        <v>326</v>
      </c>
      <c r="AS185" s="166">
        <v>231</v>
      </c>
      <c r="AT185" s="207"/>
      <c r="AU185" s="170"/>
      <c r="AV185" s="190">
        <v>223</v>
      </c>
      <c r="AW185" s="166">
        <v>334</v>
      </c>
      <c r="AX185" s="208">
        <v>297</v>
      </c>
      <c r="AY185" s="170">
        <v>206</v>
      </c>
      <c r="AZ185" s="45">
        <v>134</v>
      </c>
      <c r="BA185" s="58">
        <v>408</v>
      </c>
      <c r="BB185" s="190"/>
      <c r="BC185" s="167"/>
      <c r="BD185" s="190"/>
      <c r="BE185" s="167"/>
      <c r="BF185" s="190"/>
      <c r="BG185" s="167"/>
      <c r="BH185" s="190"/>
      <c r="BI185" s="167"/>
      <c r="BJ185" s="190"/>
      <c r="BK185" s="167"/>
    </row>
    <row r="186" spans="1:63" ht="13" x14ac:dyDescent="0.25">
      <c r="A186" s="372">
        <v>2612</v>
      </c>
      <c r="B186" s="373" t="s">
        <v>315</v>
      </c>
      <c r="C186" s="360">
        <v>882</v>
      </c>
      <c r="D186" s="54">
        <v>269</v>
      </c>
      <c r="E186" s="367">
        <v>0.36447520184544407</v>
      </c>
      <c r="F186" s="45">
        <v>213</v>
      </c>
      <c r="G186" s="58">
        <v>56</v>
      </c>
      <c r="H186" s="45">
        <v>199</v>
      </c>
      <c r="I186" s="57">
        <v>64</v>
      </c>
      <c r="J186" s="97"/>
      <c r="K186" s="58"/>
      <c r="L186" s="45"/>
      <c r="M186" s="57"/>
      <c r="N186" s="97"/>
      <c r="O186" s="58"/>
      <c r="P186" s="165"/>
      <c r="Q186" s="166"/>
      <c r="R186" s="207"/>
      <c r="S186" s="170"/>
      <c r="T186" s="165"/>
      <c r="U186" s="166"/>
      <c r="V186" s="207"/>
      <c r="W186" s="170"/>
      <c r="X186" s="165"/>
      <c r="Y186" s="166"/>
      <c r="Z186" s="207"/>
      <c r="AA186" s="170"/>
      <c r="AB186" s="165"/>
      <c r="AC186" s="166"/>
      <c r="AD186" s="207"/>
      <c r="AE186" s="170"/>
      <c r="AF186" s="165"/>
      <c r="AG186" s="166"/>
      <c r="AH186" s="207"/>
      <c r="AI186" s="170"/>
      <c r="AJ186" s="165"/>
      <c r="AK186" s="166"/>
      <c r="AL186" s="207"/>
      <c r="AM186" s="170"/>
      <c r="AN186" s="165"/>
      <c r="AO186" s="166"/>
      <c r="AP186" s="207">
        <v>183</v>
      </c>
      <c r="AQ186" s="170">
        <v>75</v>
      </c>
      <c r="AR186" s="165">
        <v>173</v>
      </c>
      <c r="AS186" s="166">
        <v>85</v>
      </c>
      <c r="AT186" s="207"/>
      <c r="AU186" s="170"/>
      <c r="AV186" s="190">
        <v>142</v>
      </c>
      <c r="AW186" s="166">
        <v>126</v>
      </c>
      <c r="AX186" s="208">
        <v>156</v>
      </c>
      <c r="AY186" s="170">
        <v>91</v>
      </c>
      <c r="AZ186" s="45">
        <v>69</v>
      </c>
      <c r="BA186" s="58">
        <v>180</v>
      </c>
      <c r="BB186" s="190"/>
      <c r="BC186" s="167"/>
      <c r="BD186" s="190"/>
      <c r="BE186" s="167"/>
      <c r="BF186" s="190"/>
      <c r="BG186" s="167"/>
      <c r="BH186" s="190"/>
      <c r="BI186" s="167"/>
      <c r="BJ186" s="190"/>
      <c r="BK186" s="167"/>
    </row>
    <row r="187" spans="1:63" ht="13" x14ac:dyDescent="0.25">
      <c r="A187" s="372">
        <v>2613</v>
      </c>
      <c r="B187" s="373" t="s">
        <v>316</v>
      </c>
      <c r="C187" s="360">
        <v>674</v>
      </c>
      <c r="D187" s="54">
        <v>163</v>
      </c>
      <c r="E187" s="367">
        <v>0.28245363766048504</v>
      </c>
      <c r="F187" s="45">
        <v>129</v>
      </c>
      <c r="G187" s="58">
        <v>31</v>
      </c>
      <c r="H187" s="45">
        <v>128</v>
      </c>
      <c r="I187" s="57">
        <v>33</v>
      </c>
      <c r="J187" s="97"/>
      <c r="K187" s="58"/>
      <c r="L187" s="45"/>
      <c r="M187" s="57"/>
      <c r="N187" s="97"/>
      <c r="O187" s="58"/>
      <c r="P187" s="165"/>
      <c r="Q187" s="166"/>
      <c r="R187" s="207"/>
      <c r="S187" s="170"/>
      <c r="T187" s="165"/>
      <c r="U187" s="166"/>
      <c r="V187" s="207"/>
      <c r="W187" s="170"/>
      <c r="X187" s="165"/>
      <c r="Y187" s="166"/>
      <c r="Z187" s="207"/>
      <c r="AA187" s="170"/>
      <c r="AB187" s="165"/>
      <c r="AC187" s="166"/>
      <c r="AD187" s="207"/>
      <c r="AE187" s="170"/>
      <c r="AF187" s="165"/>
      <c r="AG187" s="166"/>
      <c r="AH187" s="207"/>
      <c r="AI187" s="170"/>
      <c r="AJ187" s="165"/>
      <c r="AK187" s="166"/>
      <c r="AL187" s="207"/>
      <c r="AM187" s="170"/>
      <c r="AN187" s="165"/>
      <c r="AO187" s="166"/>
      <c r="AP187" s="207">
        <v>112</v>
      </c>
      <c r="AQ187" s="170">
        <v>45</v>
      </c>
      <c r="AR187" s="165">
        <v>99</v>
      </c>
      <c r="AS187" s="166">
        <v>61</v>
      </c>
      <c r="AT187" s="207"/>
      <c r="AU187" s="170"/>
      <c r="AV187" s="190">
        <v>83</v>
      </c>
      <c r="AW187" s="166">
        <v>77</v>
      </c>
      <c r="AX187" s="208">
        <v>103</v>
      </c>
      <c r="AY187" s="170">
        <v>51</v>
      </c>
      <c r="AZ187" s="45">
        <v>45</v>
      </c>
      <c r="BA187" s="58">
        <v>114</v>
      </c>
      <c r="BB187" s="190"/>
      <c r="BC187" s="167"/>
      <c r="BD187" s="190"/>
      <c r="BE187" s="167"/>
      <c r="BF187" s="190"/>
      <c r="BG187" s="167"/>
      <c r="BH187" s="190"/>
      <c r="BI187" s="167"/>
      <c r="BJ187" s="190"/>
      <c r="BK187" s="167"/>
    </row>
    <row r="188" spans="1:63" ht="13" x14ac:dyDescent="0.25">
      <c r="A188" s="372">
        <v>2614</v>
      </c>
      <c r="B188" s="373" t="s">
        <v>317</v>
      </c>
      <c r="C188" s="360">
        <v>1219</v>
      </c>
      <c r="D188" s="54">
        <v>366</v>
      </c>
      <c r="E188" s="367">
        <v>0.32408874801901744</v>
      </c>
      <c r="F188" s="45">
        <v>276</v>
      </c>
      <c r="G188" s="58">
        <v>88</v>
      </c>
      <c r="H188" s="45">
        <v>275</v>
      </c>
      <c r="I188" s="57">
        <v>88</v>
      </c>
      <c r="J188" s="97"/>
      <c r="K188" s="58"/>
      <c r="L188" s="45"/>
      <c r="M188" s="57"/>
      <c r="N188" s="97"/>
      <c r="O188" s="58"/>
      <c r="P188" s="165"/>
      <c r="Q188" s="166"/>
      <c r="R188" s="207"/>
      <c r="S188" s="170"/>
      <c r="T188" s="165"/>
      <c r="U188" s="166"/>
      <c r="V188" s="207"/>
      <c r="W188" s="170"/>
      <c r="X188" s="165"/>
      <c r="Y188" s="166"/>
      <c r="Z188" s="207"/>
      <c r="AA188" s="170"/>
      <c r="AB188" s="165"/>
      <c r="AC188" s="166"/>
      <c r="AD188" s="207"/>
      <c r="AE188" s="170"/>
      <c r="AF188" s="165"/>
      <c r="AG188" s="166"/>
      <c r="AH188" s="207"/>
      <c r="AI188" s="170"/>
      <c r="AJ188" s="165"/>
      <c r="AK188" s="166"/>
      <c r="AL188" s="207"/>
      <c r="AM188" s="170"/>
      <c r="AN188" s="165"/>
      <c r="AO188" s="166"/>
      <c r="AP188" s="207">
        <v>266</v>
      </c>
      <c r="AQ188" s="170">
        <v>93</v>
      </c>
      <c r="AR188" s="165">
        <v>228</v>
      </c>
      <c r="AS188" s="166">
        <v>128</v>
      </c>
      <c r="AT188" s="207"/>
      <c r="AU188" s="170"/>
      <c r="AV188" s="190">
        <v>148</v>
      </c>
      <c r="AW188" s="166">
        <v>211</v>
      </c>
      <c r="AX188" s="208">
        <v>188</v>
      </c>
      <c r="AY188" s="170">
        <v>133</v>
      </c>
      <c r="AZ188" s="45">
        <v>109</v>
      </c>
      <c r="BA188" s="58">
        <v>233</v>
      </c>
      <c r="BB188" s="190"/>
      <c r="BC188" s="167"/>
      <c r="BD188" s="190"/>
      <c r="BE188" s="167"/>
      <c r="BF188" s="190"/>
      <c r="BG188" s="167"/>
      <c r="BH188" s="190"/>
      <c r="BI188" s="167"/>
      <c r="BJ188" s="190"/>
      <c r="BK188" s="167"/>
    </row>
    <row r="189" spans="1:63" ht="13" x14ac:dyDescent="0.25">
      <c r="A189" s="372">
        <v>2615</v>
      </c>
      <c r="B189" s="373" t="s">
        <v>318</v>
      </c>
      <c r="C189" s="360">
        <v>1162</v>
      </c>
      <c r="D189" s="54">
        <v>597</v>
      </c>
      <c r="E189" s="367">
        <v>0.54537521815008727</v>
      </c>
      <c r="F189" s="45">
        <v>451</v>
      </c>
      <c r="G189" s="58">
        <v>139</v>
      </c>
      <c r="H189" s="45">
        <v>448</v>
      </c>
      <c r="I189" s="57">
        <v>144</v>
      </c>
      <c r="J189" s="97"/>
      <c r="K189" s="58"/>
      <c r="L189" s="45"/>
      <c r="M189" s="57"/>
      <c r="N189" s="97"/>
      <c r="O189" s="58"/>
      <c r="P189" s="165"/>
      <c r="Q189" s="166"/>
      <c r="R189" s="207"/>
      <c r="S189" s="170"/>
      <c r="T189" s="165"/>
      <c r="U189" s="166"/>
      <c r="V189" s="207"/>
      <c r="W189" s="170"/>
      <c r="X189" s="165"/>
      <c r="Y189" s="166"/>
      <c r="Z189" s="207"/>
      <c r="AA189" s="170"/>
      <c r="AB189" s="165"/>
      <c r="AC189" s="166"/>
      <c r="AD189" s="207"/>
      <c r="AE189" s="170"/>
      <c r="AF189" s="165"/>
      <c r="AG189" s="166"/>
      <c r="AH189" s="207"/>
      <c r="AI189" s="170"/>
      <c r="AJ189" s="165"/>
      <c r="AK189" s="166"/>
      <c r="AL189" s="207"/>
      <c r="AM189" s="170"/>
      <c r="AN189" s="165"/>
      <c r="AO189" s="166"/>
      <c r="AP189" s="207">
        <v>439</v>
      </c>
      <c r="AQ189" s="170">
        <v>146</v>
      </c>
      <c r="AR189" s="165">
        <v>412</v>
      </c>
      <c r="AS189" s="166">
        <v>171</v>
      </c>
      <c r="AT189" s="207"/>
      <c r="AU189" s="170"/>
      <c r="AV189" s="190">
        <v>214</v>
      </c>
      <c r="AW189" s="166">
        <v>372</v>
      </c>
      <c r="AX189" s="208">
        <v>344</v>
      </c>
      <c r="AY189" s="170">
        <v>194</v>
      </c>
      <c r="AZ189" s="45">
        <v>167</v>
      </c>
      <c r="BA189" s="58">
        <v>395</v>
      </c>
      <c r="BB189" s="190"/>
      <c r="BC189" s="167"/>
      <c r="BD189" s="190"/>
      <c r="BE189" s="167"/>
      <c r="BF189" s="190"/>
      <c r="BG189" s="167"/>
      <c r="BH189" s="190"/>
      <c r="BI189" s="167"/>
      <c r="BJ189" s="190"/>
      <c r="BK189" s="167"/>
    </row>
    <row r="190" spans="1:63" ht="13" x14ac:dyDescent="0.25">
      <c r="A190" s="372">
        <v>2616</v>
      </c>
      <c r="B190" s="373" t="s">
        <v>319</v>
      </c>
      <c r="C190" s="360">
        <v>1287</v>
      </c>
      <c r="D190" s="54">
        <v>442</v>
      </c>
      <c r="E190" s="367">
        <v>0.36260408781226344</v>
      </c>
      <c r="F190" s="45">
        <v>341</v>
      </c>
      <c r="G190" s="58">
        <v>94</v>
      </c>
      <c r="H190" s="45">
        <v>313</v>
      </c>
      <c r="I190" s="57">
        <v>124</v>
      </c>
      <c r="J190" s="97"/>
      <c r="K190" s="58"/>
      <c r="L190" s="45"/>
      <c r="M190" s="57"/>
      <c r="N190" s="97"/>
      <c r="O190" s="58"/>
      <c r="P190" s="165"/>
      <c r="Q190" s="166"/>
      <c r="R190" s="207"/>
      <c r="S190" s="170"/>
      <c r="T190" s="165"/>
      <c r="U190" s="166"/>
      <c r="V190" s="207"/>
      <c r="W190" s="170"/>
      <c r="X190" s="165"/>
      <c r="Y190" s="166"/>
      <c r="Z190" s="207"/>
      <c r="AA190" s="170"/>
      <c r="AB190" s="165"/>
      <c r="AC190" s="166"/>
      <c r="AD190" s="207"/>
      <c r="AE190" s="170"/>
      <c r="AF190" s="165"/>
      <c r="AG190" s="166"/>
      <c r="AH190" s="207"/>
      <c r="AI190" s="170"/>
      <c r="AJ190" s="165"/>
      <c r="AK190" s="166"/>
      <c r="AL190" s="207"/>
      <c r="AM190" s="170"/>
      <c r="AN190" s="165"/>
      <c r="AO190" s="166"/>
      <c r="AP190" s="207">
        <v>307</v>
      </c>
      <c r="AQ190" s="170">
        <v>128</v>
      </c>
      <c r="AR190" s="165">
        <v>269</v>
      </c>
      <c r="AS190" s="166">
        <v>164</v>
      </c>
      <c r="AT190" s="207"/>
      <c r="AU190" s="170"/>
      <c r="AV190" s="190">
        <v>208</v>
      </c>
      <c r="AW190" s="166">
        <v>229</v>
      </c>
      <c r="AX190" s="208">
        <v>263</v>
      </c>
      <c r="AY190" s="170">
        <v>145</v>
      </c>
      <c r="AZ190" s="45">
        <v>129</v>
      </c>
      <c r="BA190" s="58">
        <v>300</v>
      </c>
      <c r="BB190" s="190"/>
      <c r="BC190" s="167"/>
      <c r="BD190" s="190"/>
      <c r="BE190" s="167"/>
      <c r="BF190" s="190"/>
      <c r="BG190" s="167"/>
      <c r="BH190" s="190"/>
      <c r="BI190" s="167"/>
      <c r="BJ190" s="190"/>
      <c r="BK190" s="167"/>
    </row>
    <row r="191" spans="1:63" ht="13" x14ac:dyDescent="0.25">
      <c r="A191" s="372">
        <v>2617</v>
      </c>
      <c r="B191" s="373" t="s">
        <v>749</v>
      </c>
      <c r="C191" s="360">
        <v>1259</v>
      </c>
      <c r="D191" s="54">
        <v>196</v>
      </c>
      <c r="E191" s="367">
        <v>0.1776765375854214</v>
      </c>
      <c r="F191" s="45">
        <v>157</v>
      </c>
      <c r="G191" s="58">
        <v>35</v>
      </c>
      <c r="H191" s="45">
        <v>154</v>
      </c>
      <c r="I191" s="57">
        <v>37</v>
      </c>
      <c r="J191" s="97"/>
      <c r="K191" s="58"/>
      <c r="L191" s="45"/>
      <c r="M191" s="57"/>
      <c r="N191" s="97"/>
      <c r="O191" s="58"/>
      <c r="P191" s="165"/>
      <c r="Q191" s="166"/>
      <c r="R191" s="207"/>
      <c r="S191" s="170"/>
      <c r="T191" s="165"/>
      <c r="U191" s="166"/>
      <c r="V191" s="207"/>
      <c r="W191" s="170"/>
      <c r="X191" s="165"/>
      <c r="Y191" s="166"/>
      <c r="Z191" s="207"/>
      <c r="AA191" s="170"/>
      <c r="AB191" s="165"/>
      <c r="AC191" s="166"/>
      <c r="AD191" s="207"/>
      <c r="AE191" s="170"/>
      <c r="AF191" s="165"/>
      <c r="AG191" s="166"/>
      <c r="AH191" s="207"/>
      <c r="AI191" s="170"/>
      <c r="AJ191" s="165"/>
      <c r="AK191" s="166"/>
      <c r="AL191" s="207"/>
      <c r="AM191" s="170"/>
      <c r="AN191" s="165"/>
      <c r="AO191" s="166"/>
      <c r="AP191" s="207">
        <v>130</v>
      </c>
      <c r="AQ191" s="170">
        <v>62</v>
      </c>
      <c r="AR191" s="165">
        <v>129</v>
      </c>
      <c r="AS191" s="166">
        <v>64</v>
      </c>
      <c r="AT191" s="207"/>
      <c r="AU191" s="170"/>
      <c r="AV191" s="190">
        <v>100</v>
      </c>
      <c r="AW191" s="166">
        <v>90</v>
      </c>
      <c r="AX191" s="208">
        <v>114</v>
      </c>
      <c r="AY191" s="170">
        <v>62</v>
      </c>
      <c r="AZ191" s="45">
        <v>88</v>
      </c>
      <c r="BA191" s="58">
        <v>102</v>
      </c>
      <c r="BB191" s="190"/>
      <c r="BC191" s="167"/>
      <c r="BD191" s="190"/>
      <c r="BE191" s="167"/>
      <c r="BF191" s="190"/>
      <c r="BG191" s="167"/>
      <c r="BH191" s="190"/>
      <c r="BI191" s="167"/>
      <c r="BJ191" s="190"/>
      <c r="BK191" s="167"/>
    </row>
    <row r="192" spans="1:63" ht="13" x14ac:dyDescent="0.25">
      <c r="A192" s="372">
        <v>2618</v>
      </c>
      <c r="B192" s="373" t="s">
        <v>750</v>
      </c>
      <c r="C192" s="360">
        <v>778</v>
      </c>
      <c r="D192" s="54">
        <v>172</v>
      </c>
      <c r="E192" s="367">
        <v>0.23461538461538461</v>
      </c>
      <c r="F192" s="45">
        <v>145</v>
      </c>
      <c r="G192" s="58">
        <v>27</v>
      </c>
      <c r="H192" s="45">
        <v>144</v>
      </c>
      <c r="I192" s="57">
        <v>26</v>
      </c>
      <c r="J192" s="97"/>
      <c r="K192" s="58"/>
      <c r="L192" s="45"/>
      <c r="M192" s="57"/>
      <c r="N192" s="97"/>
      <c r="O192" s="58"/>
      <c r="P192" s="165"/>
      <c r="Q192" s="166"/>
      <c r="R192" s="207"/>
      <c r="S192" s="170"/>
      <c r="T192" s="165"/>
      <c r="U192" s="166"/>
      <c r="V192" s="207"/>
      <c r="W192" s="170"/>
      <c r="X192" s="165"/>
      <c r="Y192" s="166"/>
      <c r="Z192" s="207"/>
      <c r="AA192" s="170"/>
      <c r="AB192" s="165"/>
      <c r="AC192" s="166"/>
      <c r="AD192" s="207"/>
      <c r="AE192" s="170"/>
      <c r="AF192" s="165"/>
      <c r="AG192" s="166"/>
      <c r="AH192" s="207"/>
      <c r="AI192" s="170"/>
      <c r="AJ192" s="165"/>
      <c r="AK192" s="166"/>
      <c r="AL192" s="207"/>
      <c r="AM192" s="170"/>
      <c r="AN192" s="165"/>
      <c r="AO192" s="166"/>
      <c r="AP192" s="207">
        <v>104</v>
      </c>
      <c r="AQ192" s="170">
        <v>63</v>
      </c>
      <c r="AR192" s="165">
        <v>114</v>
      </c>
      <c r="AS192" s="166">
        <v>56</v>
      </c>
      <c r="AT192" s="207"/>
      <c r="AU192" s="170"/>
      <c r="AV192" s="190">
        <v>85</v>
      </c>
      <c r="AW192" s="166">
        <v>86</v>
      </c>
      <c r="AX192" s="208">
        <v>100</v>
      </c>
      <c r="AY192" s="170">
        <v>60</v>
      </c>
      <c r="AZ192" s="45">
        <v>69</v>
      </c>
      <c r="BA192" s="58">
        <v>95</v>
      </c>
      <c r="BB192" s="190"/>
      <c r="BC192" s="167"/>
      <c r="BD192" s="190"/>
      <c r="BE192" s="167"/>
      <c r="BF192" s="190"/>
      <c r="BG192" s="167"/>
      <c r="BH192" s="190"/>
      <c r="BI192" s="167"/>
      <c r="BJ192" s="190"/>
      <c r="BK192" s="167"/>
    </row>
    <row r="193" spans="1:63" ht="13" x14ac:dyDescent="0.25">
      <c r="A193" s="372">
        <v>2619</v>
      </c>
      <c r="B193" s="373" t="s">
        <v>751</v>
      </c>
      <c r="C193" s="360">
        <v>989</v>
      </c>
      <c r="D193" s="54">
        <v>333</v>
      </c>
      <c r="E193" s="367">
        <v>0.38</v>
      </c>
      <c r="F193" s="45">
        <v>227</v>
      </c>
      <c r="G193" s="58">
        <v>104</v>
      </c>
      <c r="H193" s="45">
        <v>231</v>
      </c>
      <c r="I193" s="57">
        <v>95</v>
      </c>
      <c r="J193" s="97"/>
      <c r="K193" s="58"/>
      <c r="L193" s="45"/>
      <c r="M193" s="57"/>
      <c r="N193" s="97"/>
      <c r="O193" s="58"/>
      <c r="P193" s="165"/>
      <c r="Q193" s="166"/>
      <c r="R193" s="207"/>
      <c r="S193" s="170"/>
      <c r="T193" s="165"/>
      <c r="U193" s="166"/>
      <c r="V193" s="207"/>
      <c r="W193" s="170"/>
      <c r="X193" s="165"/>
      <c r="Y193" s="166"/>
      <c r="Z193" s="207"/>
      <c r="AA193" s="170"/>
      <c r="AB193" s="165"/>
      <c r="AC193" s="166"/>
      <c r="AD193" s="207"/>
      <c r="AE193" s="170"/>
      <c r="AF193" s="165"/>
      <c r="AG193" s="166"/>
      <c r="AH193" s="207"/>
      <c r="AI193" s="170"/>
      <c r="AJ193" s="165"/>
      <c r="AK193" s="166"/>
      <c r="AL193" s="207"/>
      <c r="AM193" s="170"/>
      <c r="AN193" s="165"/>
      <c r="AO193" s="166"/>
      <c r="AP193" s="207">
        <v>228</v>
      </c>
      <c r="AQ193" s="170">
        <v>97</v>
      </c>
      <c r="AR193" s="165">
        <v>172</v>
      </c>
      <c r="AS193" s="166">
        <v>155</v>
      </c>
      <c r="AT193" s="207"/>
      <c r="AU193" s="170"/>
      <c r="AV193" s="190">
        <v>134</v>
      </c>
      <c r="AW193" s="166">
        <v>197</v>
      </c>
      <c r="AX193" s="208">
        <v>157</v>
      </c>
      <c r="AY193" s="170">
        <v>137</v>
      </c>
      <c r="AZ193" s="45">
        <v>81</v>
      </c>
      <c r="BA193" s="58">
        <v>236</v>
      </c>
      <c r="BB193" s="190"/>
      <c r="BC193" s="167"/>
      <c r="BD193" s="190"/>
      <c r="BE193" s="167"/>
      <c r="BF193" s="190"/>
      <c r="BG193" s="167"/>
      <c r="BH193" s="190"/>
      <c r="BI193" s="167"/>
      <c r="BJ193" s="190"/>
      <c r="BK193" s="167"/>
    </row>
    <row r="194" spans="1:63" ht="13" x14ac:dyDescent="0.25">
      <c r="A194" s="372">
        <v>2811</v>
      </c>
      <c r="B194" s="373" t="s">
        <v>320</v>
      </c>
      <c r="C194" s="360">
        <v>862</v>
      </c>
      <c r="D194" s="54">
        <v>557</v>
      </c>
      <c r="E194" s="367">
        <v>0.64459930313588854</v>
      </c>
      <c r="F194" s="45">
        <v>356</v>
      </c>
      <c r="G194" s="58">
        <v>199</v>
      </c>
      <c r="H194" s="45">
        <v>326</v>
      </c>
      <c r="I194" s="57">
        <v>226</v>
      </c>
      <c r="J194" s="97"/>
      <c r="K194" s="58"/>
      <c r="L194" s="45"/>
      <c r="M194" s="57"/>
      <c r="N194" s="97"/>
      <c r="O194" s="58"/>
      <c r="P194" s="165"/>
      <c r="Q194" s="166"/>
      <c r="R194" s="207"/>
      <c r="S194" s="170"/>
      <c r="T194" s="165"/>
      <c r="U194" s="166"/>
      <c r="V194" s="207"/>
      <c r="W194" s="170"/>
      <c r="X194" s="165"/>
      <c r="Y194" s="166"/>
      <c r="Z194" s="207"/>
      <c r="AA194" s="170"/>
      <c r="AB194" s="165"/>
      <c r="AC194" s="166"/>
      <c r="AD194" s="207"/>
      <c r="AE194" s="170"/>
      <c r="AF194" s="165"/>
      <c r="AG194" s="166"/>
      <c r="AH194" s="207"/>
      <c r="AI194" s="170"/>
      <c r="AJ194" s="165"/>
      <c r="AK194" s="166"/>
      <c r="AL194" s="207"/>
      <c r="AM194" s="170"/>
      <c r="AN194" s="165"/>
      <c r="AO194" s="166"/>
      <c r="AP194" s="207">
        <v>391</v>
      </c>
      <c r="AQ194" s="170">
        <v>158</v>
      </c>
      <c r="AR194" s="165">
        <v>310</v>
      </c>
      <c r="AS194" s="166">
        <v>241</v>
      </c>
      <c r="AT194" s="207"/>
      <c r="AU194" s="170"/>
      <c r="AV194" s="190"/>
      <c r="AW194" s="166"/>
      <c r="AX194" s="208"/>
      <c r="AY194" s="170"/>
      <c r="AZ194" s="45"/>
      <c r="BA194" s="58"/>
      <c r="BB194" s="190"/>
      <c r="BC194" s="167"/>
      <c r="BD194" s="190"/>
      <c r="BE194" s="167"/>
      <c r="BF194" s="190"/>
      <c r="BG194" s="167"/>
      <c r="BH194" s="190"/>
      <c r="BI194" s="167"/>
      <c r="BJ194" s="190"/>
      <c r="BK194" s="167"/>
    </row>
    <row r="195" spans="1:63" ht="13" x14ac:dyDescent="0.25">
      <c r="A195" s="372">
        <v>2812</v>
      </c>
      <c r="B195" s="373" t="s">
        <v>321</v>
      </c>
      <c r="C195" s="360">
        <v>1043</v>
      </c>
      <c r="D195" s="54">
        <v>490</v>
      </c>
      <c r="E195" s="367">
        <v>0.52861299709020371</v>
      </c>
      <c r="F195" s="45">
        <v>348</v>
      </c>
      <c r="G195" s="58">
        <v>141</v>
      </c>
      <c r="H195" s="45">
        <v>348</v>
      </c>
      <c r="I195" s="57">
        <v>138</v>
      </c>
      <c r="J195" s="97"/>
      <c r="K195" s="58"/>
      <c r="L195" s="45"/>
      <c r="M195" s="57"/>
      <c r="N195" s="97"/>
      <c r="O195" s="58"/>
      <c r="P195" s="165"/>
      <c r="Q195" s="166"/>
      <c r="R195" s="207"/>
      <c r="S195" s="170"/>
      <c r="T195" s="165"/>
      <c r="U195" s="166"/>
      <c r="V195" s="207"/>
      <c r="W195" s="170"/>
      <c r="X195" s="165"/>
      <c r="Y195" s="166"/>
      <c r="Z195" s="207"/>
      <c r="AA195" s="170"/>
      <c r="AB195" s="165"/>
      <c r="AC195" s="166"/>
      <c r="AD195" s="207"/>
      <c r="AE195" s="170"/>
      <c r="AF195" s="165"/>
      <c r="AG195" s="166"/>
      <c r="AH195" s="207"/>
      <c r="AI195" s="170"/>
      <c r="AJ195" s="165"/>
      <c r="AK195" s="166"/>
      <c r="AL195" s="207"/>
      <c r="AM195" s="170"/>
      <c r="AN195" s="165"/>
      <c r="AO195" s="166"/>
      <c r="AP195" s="207">
        <v>383</v>
      </c>
      <c r="AQ195" s="170">
        <v>100</v>
      </c>
      <c r="AR195" s="165">
        <v>341</v>
      </c>
      <c r="AS195" s="166">
        <v>140</v>
      </c>
      <c r="AT195" s="207"/>
      <c r="AU195" s="170"/>
      <c r="AV195" s="190"/>
      <c r="AW195" s="166"/>
      <c r="AX195" s="208"/>
      <c r="AY195" s="170"/>
      <c r="AZ195" s="45"/>
      <c r="BA195" s="58"/>
      <c r="BB195" s="190"/>
      <c r="BC195" s="167"/>
      <c r="BD195" s="190"/>
      <c r="BE195" s="167"/>
      <c r="BF195" s="190"/>
      <c r="BG195" s="167"/>
      <c r="BH195" s="190"/>
      <c r="BI195" s="167"/>
      <c r="BJ195" s="190"/>
      <c r="BK195" s="167"/>
    </row>
    <row r="196" spans="1:63" ht="13" x14ac:dyDescent="0.25">
      <c r="A196" s="372">
        <v>2821</v>
      </c>
      <c r="B196" s="373" t="s">
        <v>322</v>
      </c>
      <c r="C196" s="360">
        <v>715</v>
      </c>
      <c r="D196" s="54">
        <v>439</v>
      </c>
      <c r="E196" s="367">
        <v>0.67651195499296768</v>
      </c>
      <c r="F196" s="45">
        <v>295</v>
      </c>
      <c r="G196" s="58">
        <v>138</v>
      </c>
      <c r="H196" s="45">
        <v>266</v>
      </c>
      <c r="I196" s="57">
        <v>168</v>
      </c>
      <c r="J196" s="97"/>
      <c r="K196" s="58"/>
      <c r="L196" s="45"/>
      <c r="M196" s="57"/>
      <c r="N196" s="97"/>
      <c r="O196" s="58"/>
      <c r="P196" s="165"/>
      <c r="Q196" s="166"/>
      <c r="R196" s="207"/>
      <c r="S196" s="170"/>
      <c r="T196" s="165"/>
      <c r="U196" s="166"/>
      <c r="V196" s="207"/>
      <c r="W196" s="170"/>
      <c r="X196" s="165"/>
      <c r="Y196" s="166"/>
      <c r="Z196" s="207"/>
      <c r="AA196" s="170"/>
      <c r="AB196" s="165"/>
      <c r="AC196" s="166"/>
      <c r="AD196" s="207"/>
      <c r="AE196" s="170"/>
      <c r="AF196" s="165"/>
      <c r="AG196" s="166"/>
      <c r="AH196" s="207"/>
      <c r="AI196" s="170"/>
      <c r="AJ196" s="165"/>
      <c r="AK196" s="166"/>
      <c r="AL196" s="207"/>
      <c r="AM196" s="170"/>
      <c r="AN196" s="165"/>
      <c r="AO196" s="166"/>
      <c r="AP196" s="207">
        <v>313</v>
      </c>
      <c r="AQ196" s="170">
        <v>120</v>
      </c>
      <c r="AR196" s="165">
        <v>249</v>
      </c>
      <c r="AS196" s="166">
        <v>184</v>
      </c>
      <c r="AT196" s="207"/>
      <c r="AU196" s="170"/>
      <c r="AV196" s="190"/>
      <c r="AW196" s="166"/>
      <c r="AX196" s="208"/>
      <c r="AY196" s="170"/>
      <c r="AZ196" s="45"/>
      <c r="BA196" s="58"/>
      <c r="BB196" s="190"/>
      <c r="BC196" s="167"/>
      <c r="BD196" s="190"/>
      <c r="BE196" s="167"/>
      <c r="BF196" s="190"/>
      <c r="BG196" s="167"/>
      <c r="BH196" s="190"/>
      <c r="BI196" s="167"/>
      <c r="BJ196" s="190"/>
      <c r="BK196" s="167"/>
    </row>
    <row r="197" spans="1:63" ht="13" x14ac:dyDescent="0.25">
      <c r="A197" s="372">
        <v>2822</v>
      </c>
      <c r="B197" s="373" t="s">
        <v>323</v>
      </c>
      <c r="C197" s="360">
        <v>679</v>
      </c>
      <c r="D197" s="54">
        <v>409</v>
      </c>
      <c r="E197" s="367">
        <v>0.67595307917888559</v>
      </c>
      <c r="F197" s="45">
        <v>252</v>
      </c>
      <c r="G197" s="58">
        <v>154</v>
      </c>
      <c r="H197" s="45">
        <v>241</v>
      </c>
      <c r="I197" s="57">
        <v>157</v>
      </c>
      <c r="J197" s="97"/>
      <c r="K197" s="58"/>
      <c r="L197" s="45"/>
      <c r="M197" s="57"/>
      <c r="N197" s="97"/>
      <c r="O197" s="58"/>
      <c r="P197" s="165"/>
      <c r="Q197" s="166"/>
      <c r="R197" s="207"/>
      <c r="S197" s="170"/>
      <c r="T197" s="165"/>
      <c r="U197" s="166"/>
      <c r="V197" s="207"/>
      <c r="W197" s="170"/>
      <c r="X197" s="165"/>
      <c r="Y197" s="166"/>
      <c r="Z197" s="207"/>
      <c r="AA197" s="170"/>
      <c r="AB197" s="165"/>
      <c r="AC197" s="166"/>
      <c r="AD197" s="207"/>
      <c r="AE197" s="170"/>
      <c r="AF197" s="165"/>
      <c r="AG197" s="166"/>
      <c r="AH197" s="207"/>
      <c r="AI197" s="170"/>
      <c r="AJ197" s="165"/>
      <c r="AK197" s="166"/>
      <c r="AL197" s="207"/>
      <c r="AM197" s="170"/>
      <c r="AN197" s="165"/>
      <c r="AO197" s="166"/>
      <c r="AP197" s="207">
        <v>289</v>
      </c>
      <c r="AQ197" s="170">
        <v>108</v>
      </c>
      <c r="AR197" s="165">
        <v>239</v>
      </c>
      <c r="AS197" s="166">
        <v>155</v>
      </c>
      <c r="AT197" s="207"/>
      <c r="AU197" s="170"/>
      <c r="AV197" s="190"/>
      <c r="AW197" s="166"/>
      <c r="AX197" s="208"/>
      <c r="AY197" s="170"/>
      <c r="AZ197" s="45"/>
      <c r="BA197" s="58"/>
      <c r="BB197" s="190"/>
      <c r="BC197" s="167"/>
      <c r="BD197" s="190"/>
      <c r="BE197" s="167"/>
      <c r="BF197" s="190"/>
      <c r="BG197" s="167"/>
      <c r="BH197" s="190"/>
      <c r="BI197" s="167"/>
      <c r="BJ197" s="190"/>
      <c r="BK197" s="167"/>
    </row>
    <row r="198" spans="1:63" ht="13" x14ac:dyDescent="0.25">
      <c r="A198" s="372">
        <v>2823</v>
      </c>
      <c r="B198" s="373" t="s">
        <v>324</v>
      </c>
      <c r="C198" s="360">
        <v>1337</v>
      </c>
      <c r="D198" s="54">
        <v>707</v>
      </c>
      <c r="E198" s="367">
        <v>0.58371385083713856</v>
      </c>
      <c r="F198" s="45">
        <v>484</v>
      </c>
      <c r="G198" s="58">
        <v>216</v>
      </c>
      <c r="H198" s="45">
        <v>415</v>
      </c>
      <c r="I198" s="57">
        <v>280</v>
      </c>
      <c r="J198" s="97"/>
      <c r="K198" s="58"/>
      <c r="L198" s="45"/>
      <c r="M198" s="57"/>
      <c r="N198" s="97"/>
      <c r="O198" s="58"/>
      <c r="P198" s="165"/>
      <c r="Q198" s="166"/>
      <c r="R198" s="207"/>
      <c r="S198" s="170"/>
      <c r="T198" s="165"/>
      <c r="U198" s="166"/>
      <c r="V198" s="207"/>
      <c r="W198" s="170"/>
      <c r="X198" s="165"/>
      <c r="Y198" s="166"/>
      <c r="Z198" s="207"/>
      <c r="AA198" s="170"/>
      <c r="AB198" s="165"/>
      <c r="AC198" s="166"/>
      <c r="AD198" s="207"/>
      <c r="AE198" s="170"/>
      <c r="AF198" s="165"/>
      <c r="AG198" s="166"/>
      <c r="AH198" s="207"/>
      <c r="AI198" s="170"/>
      <c r="AJ198" s="165"/>
      <c r="AK198" s="166"/>
      <c r="AL198" s="207"/>
      <c r="AM198" s="170"/>
      <c r="AN198" s="165"/>
      <c r="AO198" s="166"/>
      <c r="AP198" s="207">
        <v>474</v>
      </c>
      <c r="AQ198" s="170">
        <v>210</v>
      </c>
      <c r="AR198" s="165">
        <v>396</v>
      </c>
      <c r="AS198" s="166">
        <v>291</v>
      </c>
      <c r="AT198" s="207"/>
      <c r="AU198" s="170"/>
      <c r="AV198" s="190"/>
      <c r="AW198" s="166"/>
      <c r="AX198" s="208"/>
      <c r="AY198" s="170"/>
      <c r="AZ198" s="45"/>
      <c r="BA198" s="58"/>
      <c r="BB198" s="190"/>
      <c r="BC198" s="167"/>
      <c r="BD198" s="190"/>
      <c r="BE198" s="167"/>
      <c r="BF198" s="190"/>
      <c r="BG198" s="167"/>
      <c r="BH198" s="190"/>
      <c r="BI198" s="167"/>
      <c r="BJ198" s="190"/>
      <c r="BK198" s="167"/>
    </row>
    <row r="199" spans="1:63" ht="13" x14ac:dyDescent="0.25">
      <c r="A199" s="372">
        <v>2831</v>
      </c>
      <c r="B199" s="373" t="s">
        <v>325</v>
      </c>
      <c r="C199" s="360">
        <v>1033</v>
      </c>
      <c r="D199" s="54">
        <v>588</v>
      </c>
      <c r="E199" s="367">
        <v>0.66772823779193202</v>
      </c>
      <c r="F199" s="45">
        <v>413</v>
      </c>
      <c r="G199" s="58">
        <v>170</v>
      </c>
      <c r="H199" s="45">
        <v>360</v>
      </c>
      <c r="I199" s="57">
        <v>213</v>
      </c>
      <c r="J199" s="97"/>
      <c r="K199" s="58"/>
      <c r="L199" s="45"/>
      <c r="M199" s="57"/>
      <c r="N199" s="97"/>
      <c r="O199" s="58"/>
      <c r="P199" s="165"/>
      <c r="Q199" s="166"/>
      <c r="R199" s="207"/>
      <c r="S199" s="170"/>
      <c r="T199" s="165"/>
      <c r="U199" s="166"/>
      <c r="V199" s="207"/>
      <c r="W199" s="170"/>
      <c r="X199" s="165"/>
      <c r="Y199" s="166"/>
      <c r="Z199" s="207"/>
      <c r="AA199" s="170"/>
      <c r="AB199" s="165"/>
      <c r="AC199" s="166"/>
      <c r="AD199" s="207"/>
      <c r="AE199" s="170"/>
      <c r="AF199" s="165"/>
      <c r="AG199" s="166"/>
      <c r="AH199" s="207"/>
      <c r="AI199" s="170"/>
      <c r="AJ199" s="165"/>
      <c r="AK199" s="166"/>
      <c r="AL199" s="207"/>
      <c r="AM199" s="170"/>
      <c r="AN199" s="165"/>
      <c r="AO199" s="166"/>
      <c r="AP199" s="207">
        <v>437</v>
      </c>
      <c r="AQ199" s="170">
        <v>140</v>
      </c>
      <c r="AR199" s="165">
        <v>361</v>
      </c>
      <c r="AS199" s="166">
        <v>216</v>
      </c>
      <c r="AT199" s="207"/>
      <c r="AU199" s="170"/>
      <c r="AV199" s="190"/>
      <c r="AW199" s="166"/>
      <c r="AX199" s="208"/>
      <c r="AY199" s="170"/>
      <c r="AZ199" s="45"/>
      <c r="BA199" s="58"/>
      <c r="BB199" s="190"/>
      <c r="BC199" s="167"/>
      <c r="BD199" s="190"/>
      <c r="BE199" s="167"/>
      <c r="BF199" s="190"/>
      <c r="BG199" s="167"/>
      <c r="BH199" s="190"/>
      <c r="BI199" s="167"/>
      <c r="BJ199" s="190"/>
      <c r="BK199" s="167"/>
    </row>
    <row r="200" spans="1:63" ht="13" x14ac:dyDescent="0.25">
      <c r="A200" s="372">
        <v>2832</v>
      </c>
      <c r="B200" s="373" t="s">
        <v>326</v>
      </c>
      <c r="C200" s="360">
        <v>812</v>
      </c>
      <c r="D200" s="54">
        <v>545</v>
      </c>
      <c r="E200" s="367">
        <v>0.71075401730531518</v>
      </c>
      <c r="F200" s="45">
        <v>396</v>
      </c>
      <c r="G200" s="58">
        <v>139</v>
      </c>
      <c r="H200" s="45">
        <v>346</v>
      </c>
      <c r="I200" s="57">
        <v>193</v>
      </c>
      <c r="J200" s="97"/>
      <c r="K200" s="58"/>
      <c r="L200" s="45"/>
      <c r="M200" s="57"/>
      <c r="N200" s="97"/>
      <c r="O200" s="58"/>
      <c r="P200" s="165"/>
      <c r="Q200" s="166"/>
      <c r="R200" s="207"/>
      <c r="S200" s="170"/>
      <c r="T200" s="165"/>
      <c r="U200" s="166"/>
      <c r="V200" s="207"/>
      <c r="W200" s="170"/>
      <c r="X200" s="165"/>
      <c r="Y200" s="166"/>
      <c r="Z200" s="207"/>
      <c r="AA200" s="170"/>
      <c r="AB200" s="165"/>
      <c r="AC200" s="166"/>
      <c r="AD200" s="207"/>
      <c r="AE200" s="170"/>
      <c r="AF200" s="165"/>
      <c r="AG200" s="166"/>
      <c r="AH200" s="207"/>
      <c r="AI200" s="170"/>
      <c r="AJ200" s="165"/>
      <c r="AK200" s="166"/>
      <c r="AL200" s="207"/>
      <c r="AM200" s="170"/>
      <c r="AN200" s="165"/>
      <c r="AO200" s="166"/>
      <c r="AP200" s="207">
        <v>443</v>
      </c>
      <c r="AQ200" s="170">
        <v>94</v>
      </c>
      <c r="AR200" s="165">
        <v>398</v>
      </c>
      <c r="AS200" s="166">
        <v>142</v>
      </c>
      <c r="AT200" s="207"/>
      <c r="AU200" s="170"/>
      <c r="AV200" s="190"/>
      <c r="AW200" s="166"/>
      <c r="AX200" s="208"/>
      <c r="AY200" s="170"/>
      <c r="AZ200" s="45"/>
      <c r="BA200" s="58"/>
      <c r="BB200" s="190"/>
      <c r="BC200" s="167"/>
      <c r="BD200" s="190"/>
      <c r="BE200" s="167"/>
      <c r="BF200" s="190"/>
      <c r="BG200" s="167"/>
      <c r="BH200" s="190"/>
      <c r="BI200" s="167"/>
      <c r="BJ200" s="190"/>
      <c r="BK200" s="167"/>
    </row>
    <row r="201" spans="1:63" ht="13" x14ac:dyDescent="0.25">
      <c r="A201" s="372">
        <v>2841</v>
      </c>
      <c r="B201" s="373" t="s">
        <v>327</v>
      </c>
      <c r="C201" s="360">
        <v>1038</v>
      </c>
      <c r="D201" s="54">
        <v>500</v>
      </c>
      <c r="E201" s="367">
        <v>0.50292397660818711</v>
      </c>
      <c r="F201" s="45">
        <v>344</v>
      </c>
      <c r="G201" s="58">
        <v>151</v>
      </c>
      <c r="H201" s="45">
        <v>337</v>
      </c>
      <c r="I201" s="57">
        <v>155</v>
      </c>
      <c r="J201" s="97"/>
      <c r="K201" s="58"/>
      <c r="L201" s="45"/>
      <c r="M201" s="57"/>
      <c r="N201" s="97"/>
      <c r="O201" s="58"/>
      <c r="P201" s="165"/>
      <c r="Q201" s="166"/>
      <c r="R201" s="207"/>
      <c r="S201" s="170"/>
      <c r="T201" s="165"/>
      <c r="U201" s="166"/>
      <c r="V201" s="207"/>
      <c r="W201" s="170"/>
      <c r="X201" s="165"/>
      <c r="Y201" s="166"/>
      <c r="Z201" s="207"/>
      <c r="AA201" s="170"/>
      <c r="AB201" s="165"/>
      <c r="AC201" s="166"/>
      <c r="AD201" s="207"/>
      <c r="AE201" s="170"/>
      <c r="AF201" s="165"/>
      <c r="AG201" s="166"/>
      <c r="AH201" s="207"/>
      <c r="AI201" s="170"/>
      <c r="AJ201" s="165"/>
      <c r="AK201" s="166"/>
      <c r="AL201" s="207"/>
      <c r="AM201" s="170"/>
      <c r="AN201" s="165"/>
      <c r="AO201" s="166"/>
      <c r="AP201" s="207">
        <v>390</v>
      </c>
      <c r="AQ201" s="170">
        <v>100</v>
      </c>
      <c r="AR201" s="165">
        <v>329</v>
      </c>
      <c r="AS201" s="166">
        <v>159</v>
      </c>
      <c r="AT201" s="207"/>
      <c r="AU201" s="170"/>
      <c r="AV201" s="190"/>
      <c r="AW201" s="166"/>
      <c r="AX201" s="208"/>
      <c r="AY201" s="170"/>
      <c r="AZ201" s="45"/>
      <c r="BA201" s="58"/>
      <c r="BB201" s="190"/>
      <c r="BC201" s="167"/>
      <c r="BD201" s="190"/>
      <c r="BE201" s="167"/>
      <c r="BF201" s="190"/>
      <c r="BG201" s="167"/>
      <c r="BH201" s="190"/>
      <c r="BI201" s="167"/>
      <c r="BJ201" s="190"/>
      <c r="BK201" s="167"/>
    </row>
    <row r="202" spans="1:63" ht="13" x14ac:dyDescent="0.25">
      <c r="A202" s="372">
        <v>2842</v>
      </c>
      <c r="B202" s="373" t="s">
        <v>782</v>
      </c>
      <c r="C202" s="360">
        <v>1000</v>
      </c>
      <c r="D202" s="54">
        <v>635</v>
      </c>
      <c r="E202" s="367">
        <v>0.66182572614107882</v>
      </c>
      <c r="F202" s="45">
        <v>421</v>
      </c>
      <c r="G202" s="58">
        <v>207</v>
      </c>
      <c r="H202" s="45">
        <v>407</v>
      </c>
      <c r="I202" s="57">
        <v>219</v>
      </c>
      <c r="J202" s="97"/>
      <c r="K202" s="58"/>
      <c r="L202" s="45"/>
      <c r="M202" s="57"/>
      <c r="N202" s="97"/>
      <c r="O202" s="58"/>
      <c r="P202" s="165"/>
      <c r="Q202" s="166"/>
      <c r="R202" s="207"/>
      <c r="S202" s="170"/>
      <c r="T202" s="165"/>
      <c r="U202" s="166"/>
      <c r="V202" s="207"/>
      <c r="W202" s="170"/>
      <c r="X202" s="165"/>
      <c r="Y202" s="166"/>
      <c r="Z202" s="207"/>
      <c r="AA202" s="170"/>
      <c r="AB202" s="165"/>
      <c r="AC202" s="166"/>
      <c r="AD202" s="207"/>
      <c r="AE202" s="170"/>
      <c r="AF202" s="165"/>
      <c r="AG202" s="166"/>
      <c r="AH202" s="207"/>
      <c r="AI202" s="170"/>
      <c r="AJ202" s="165"/>
      <c r="AK202" s="166"/>
      <c r="AL202" s="207"/>
      <c r="AM202" s="170"/>
      <c r="AN202" s="165"/>
      <c r="AO202" s="166"/>
      <c r="AP202" s="207">
        <v>464</v>
      </c>
      <c r="AQ202" s="170">
        <v>161</v>
      </c>
      <c r="AR202" s="165">
        <v>394</v>
      </c>
      <c r="AS202" s="166">
        <v>233</v>
      </c>
      <c r="AT202" s="207"/>
      <c r="AU202" s="170"/>
      <c r="AV202" s="190"/>
      <c r="AW202" s="166"/>
      <c r="AX202" s="208"/>
      <c r="AY202" s="170"/>
      <c r="AZ202" s="45"/>
      <c r="BA202" s="58"/>
      <c r="BB202" s="190"/>
      <c r="BC202" s="167"/>
      <c r="BD202" s="190"/>
      <c r="BE202" s="167"/>
      <c r="BF202" s="190"/>
      <c r="BG202" s="167"/>
      <c r="BH202" s="190"/>
      <c r="BI202" s="167"/>
      <c r="BJ202" s="190"/>
      <c r="BK202" s="167"/>
    </row>
    <row r="203" spans="1:63" ht="13" x14ac:dyDescent="0.25">
      <c r="A203" s="372">
        <v>2851</v>
      </c>
      <c r="B203" s="373" t="s">
        <v>328</v>
      </c>
      <c r="C203" s="360">
        <v>1059</v>
      </c>
      <c r="D203" s="54">
        <v>739</v>
      </c>
      <c r="E203" s="367">
        <v>0.70670391061452509</v>
      </c>
      <c r="F203" s="45">
        <v>540</v>
      </c>
      <c r="G203" s="58">
        <v>192</v>
      </c>
      <c r="H203" s="45">
        <v>489</v>
      </c>
      <c r="I203" s="57">
        <v>235</v>
      </c>
      <c r="J203" s="97"/>
      <c r="K203" s="58"/>
      <c r="L203" s="45"/>
      <c r="M203" s="57"/>
      <c r="N203" s="97"/>
      <c r="O203" s="58"/>
      <c r="P203" s="165"/>
      <c r="Q203" s="166"/>
      <c r="R203" s="207"/>
      <c r="S203" s="170"/>
      <c r="T203" s="165"/>
      <c r="U203" s="166"/>
      <c r="V203" s="207"/>
      <c r="W203" s="170"/>
      <c r="X203" s="165"/>
      <c r="Y203" s="166"/>
      <c r="Z203" s="207"/>
      <c r="AA203" s="170"/>
      <c r="AB203" s="165"/>
      <c r="AC203" s="166"/>
      <c r="AD203" s="207"/>
      <c r="AE203" s="170"/>
      <c r="AF203" s="165"/>
      <c r="AG203" s="166"/>
      <c r="AH203" s="207"/>
      <c r="AI203" s="170"/>
      <c r="AJ203" s="165"/>
      <c r="AK203" s="166"/>
      <c r="AL203" s="207"/>
      <c r="AM203" s="170"/>
      <c r="AN203" s="165"/>
      <c r="AO203" s="166"/>
      <c r="AP203" s="207">
        <v>571</v>
      </c>
      <c r="AQ203" s="170">
        <v>152</v>
      </c>
      <c r="AR203" s="165">
        <v>482</v>
      </c>
      <c r="AS203" s="166">
        <v>247</v>
      </c>
      <c r="AT203" s="207"/>
      <c r="AU203" s="170"/>
      <c r="AV203" s="190"/>
      <c r="AW203" s="166"/>
      <c r="AX203" s="208"/>
      <c r="AY203" s="170"/>
      <c r="AZ203" s="45"/>
      <c r="BA203" s="58"/>
      <c r="BB203" s="190"/>
      <c r="BC203" s="167"/>
      <c r="BD203" s="190"/>
      <c r="BE203" s="167"/>
      <c r="BF203" s="190"/>
      <c r="BG203" s="167"/>
      <c r="BH203" s="190"/>
      <c r="BI203" s="167"/>
      <c r="BJ203" s="190"/>
      <c r="BK203" s="167"/>
    </row>
    <row r="204" spans="1:63" ht="13" x14ac:dyDescent="0.25">
      <c r="A204" s="372">
        <v>2852</v>
      </c>
      <c r="B204" s="373" t="s">
        <v>329</v>
      </c>
      <c r="C204" s="360">
        <v>926</v>
      </c>
      <c r="D204" s="54">
        <v>513</v>
      </c>
      <c r="E204" s="367">
        <v>0.63870246085011184</v>
      </c>
      <c r="F204" s="45">
        <v>367</v>
      </c>
      <c r="G204" s="58">
        <v>141</v>
      </c>
      <c r="H204" s="45">
        <v>344</v>
      </c>
      <c r="I204" s="57">
        <v>164</v>
      </c>
      <c r="J204" s="97"/>
      <c r="K204" s="58"/>
      <c r="L204" s="45"/>
      <c r="M204" s="57"/>
      <c r="N204" s="97"/>
      <c r="O204" s="58"/>
      <c r="P204" s="165"/>
      <c r="Q204" s="166"/>
      <c r="R204" s="207"/>
      <c r="S204" s="170"/>
      <c r="T204" s="165"/>
      <c r="U204" s="166"/>
      <c r="V204" s="207"/>
      <c r="W204" s="170"/>
      <c r="X204" s="165"/>
      <c r="Y204" s="166"/>
      <c r="Z204" s="207"/>
      <c r="AA204" s="170"/>
      <c r="AB204" s="165"/>
      <c r="AC204" s="166"/>
      <c r="AD204" s="207"/>
      <c r="AE204" s="170"/>
      <c r="AF204" s="165"/>
      <c r="AG204" s="166"/>
      <c r="AH204" s="207"/>
      <c r="AI204" s="170"/>
      <c r="AJ204" s="165"/>
      <c r="AK204" s="166"/>
      <c r="AL204" s="207"/>
      <c r="AM204" s="170"/>
      <c r="AN204" s="165"/>
      <c r="AO204" s="166"/>
      <c r="AP204" s="207">
        <v>404</v>
      </c>
      <c r="AQ204" s="170">
        <v>98</v>
      </c>
      <c r="AR204" s="165">
        <v>357</v>
      </c>
      <c r="AS204" s="166">
        <v>149</v>
      </c>
      <c r="AT204" s="207"/>
      <c r="AU204" s="170"/>
      <c r="AV204" s="190"/>
      <c r="AW204" s="166"/>
      <c r="AX204" s="208"/>
      <c r="AY204" s="170"/>
      <c r="AZ204" s="45"/>
      <c r="BA204" s="58"/>
      <c r="BB204" s="190"/>
      <c r="BC204" s="167"/>
      <c r="BD204" s="190"/>
      <c r="BE204" s="167"/>
      <c r="BF204" s="190"/>
      <c r="BG204" s="167"/>
      <c r="BH204" s="190"/>
      <c r="BI204" s="167"/>
      <c r="BJ204" s="190"/>
      <c r="BK204" s="167"/>
    </row>
    <row r="205" spans="1:63" ht="13" x14ac:dyDescent="0.25">
      <c r="A205" s="372">
        <v>2911</v>
      </c>
      <c r="B205" s="373" t="s">
        <v>330</v>
      </c>
      <c r="C205" s="360">
        <v>1545</v>
      </c>
      <c r="D205" s="54">
        <v>654</v>
      </c>
      <c r="E205" s="367">
        <v>0.4193121693121693</v>
      </c>
      <c r="F205" s="45">
        <v>388</v>
      </c>
      <c r="G205" s="58">
        <v>254</v>
      </c>
      <c r="H205" s="45">
        <v>444</v>
      </c>
      <c r="I205" s="57">
        <v>202</v>
      </c>
      <c r="J205" s="97"/>
      <c r="K205" s="58"/>
      <c r="L205" s="45"/>
      <c r="M205" s="57"/>
      <c r="N205" s="97"/>
      <c r="O205" s="58"/>
      <c r="P205" s="165"/>
      <c r="Q205" s="166"/>
      <c r="R205" s="207"/>
      <c r="S205" s="170"/>
      <c r="T205" s="165"/>
      <c r="U205" s="166"/>
      <c r="V205" s="207"/>
      <c r="W205" s="170"/>
      <c r="X205" s="165"/>
      <c r="Y205" s="166"/>
      <c r="Z205" s="207"/>
      <c r="AA205" s="170"/>
      <c r="AB205" s="165"/>
      <c r="AC205" s="166"/>
      <c r="AD205" s="207"/>
      <c r="AE205" s="170"/>
      <c r="AF205" s="165"/>
      <c r="AG205" s="166"/>
      <c r="AH205" s="207"/>
      <c r="AI205" s="170"/>
      <c r="AJ205" s="165"/>
      <c r="AK205" s="166"/>
      <c r="AL205" s="207"/>
      <c r="AM205" s="170"/>
      <c r="AN205" s="165"/>
      <c r="AO205" s="166"/>
      <c r="AP205" s="207">
        <v>435</v>
      </c>
      <c r="AQ205" s="170">
        <v>201</v>
      </c>
      <c r="AR205" s="165">
        <v>344</v>
      </c>
      <c r="AS205" s="166">
        <v>287</v>
      </c>
      <c r="AT205" s="207">
        <v>381</v>
      </c>
      <c r="AU205" s="170">
        <v>250</v>
      </c>
      <c r="AV205" s="190"/>
      <c r="AW205" s="166"/>
      <c r="AX205" s="208"/>
      <c r="AY205" s="170"/>
      <c r="AZ205" s="45"/>
      <c r="BA205" s="58"/>
      <c r="BB205" s="190"/>
      <c r="BC205" s="167"/>
      <c r="BD205" s="190"/>
      <c r="BE205" s="167"/>
      <c r="BF205" s="190"/>
      <c r="BG205" s="167"/>
      <c r="BH205" s="190"/>
      <c r="BI205" s="167"/>
      <c r="BJ205" s="190"/>
      <c r="BK205" s="167"/>
    </row>
    <row r="206" spans="1:63" ht="13" x14ac:dyDescent="0.25">
      <c r="A206" s="372">
        <v>2921</v>
      </c>
      <c r="B206" s="373" t="s">
        <v>331</v>
      </c>
      <c r="C206" s="360">
        <v>1476</v>
      </c>
      <c r="D206" s="54">
        <v>660</v>
      </c>
      <c r="E206" s="367">
        <v>0.45163487738419617</v>
      </c>
      <c r="F206" s="45">
        <v>383</v>
      </c>
      <c r="G206" s="58">
        <v>268</v>
      </c>
      <c r="H206" s="45">
        <v>437</v>
      </c>
      <c r="I206" s="57">
        <v>216</v>
      </c>
      <c r="J206" s="97"/>
      <c r="K206" s="58"/>
      <c r="L206" s="45"/>
      <c r="M206" s="57"/>
      <c r="N206" s="97"/>
      <c r="O206" s="58"/>
      <c r="P206" s="165"/>
      <c r="Q206" s="166"/>
      <c r="R206" s="207"/>
      <c r="S206" s="170"/>
      <c r="T206" s="165"/>
      <c r="U206" s="166"/>
      <c r="V206" s="207"/>
      <c r="W206" s="170"/>
      <c r="X206" s="165"/>
      <c r="Y206" s="166"/>
      <c r="Z206" s="207"/>
      <c r="AA206" s="170"/>
      <c r="AB206" s="165"/>
      <c r="AC206" s="166"/>
      <c r="AD206" s="207"/>
      <c r="AE206" s="170"/>
      <c r="AF206" s="165"/>
      <c r="AG206" s="166"/>
      <c r="AH206" s="207"/>
      <c r="AI206" s="170"/>
      <c r="AJ206" s="165"/>
      <c r="AK206" s="166"/>
      <c r="AL206" s="207"/>
      <c r="AM206" s="170"/>
      <c r="AN206" s="165"/>
      <c r="AO206" s="166"/>
      <c r="AP206" s="207">
        <v>413</v>
      </c>
      <c r="AQ206" s="170">
        <v>233</v>
      </c>
      <c r="AR206" s="165">
        <v>329</v>
      </c>
      <c r="AS206" s="166">
        <v>308</v>
      </c>
      <c r="AT206" s="207">
        <v>378</v>
      </c>
      <c r="AU206" s="170">
        <v>256</v>
      </c>
      <c r="AV206" s="190"/>
      <c r="AW206" s="166"/>
      <c r="AX206" s="208"/>
      <c r="AY206" s="170"/>
      <c r="AZ206" s="45"/>
      <c r="BA206" s="58"/>
      <c r="BB206" s="190"/>
      <c r="BC206" s="167"/>
      <c r="BD206" s="190"/>
      <c r="BE206" s="167"/>
      <c r="BF206" s="190"/>
      <c r="BG206" s="167"/>
      <c r="BH206" s="190"/>
      <c r="BI206" s="167"/>
      <c r="BJ206" s="190"/>
      <c r="BK206" s="167"/>
    </row>
    <row r="207" spans="1:63" ht="13" x14ac:dyDescent="0.25">
      <c r="A207" s="372">
        <v>2931</v>
      </c>
      <c r="B207" s="373" t="s">
        <v>332</v>
      </c>
      <c r="C207" s="360">
        <v>1456</v>
      </c>
      <c r="D207" s="54">
        <v>543</v>
      </c>
      <c r="E207" s="367">
        <v>0.36976579134137688</v>
      </c>
      <c r="F207" s="45">
        <v>367</v>
      </c>
      <c r="G207" s="58">
        <v>170</v>
      </c>
      <c r="H207" s="45">
        <v>398</v>
      </c>
      <c r="I207" s="57">
        <v>138</v>
      </c>
      <c r="J207" s="97"/>
      <c r="K207" s="58"/>
      <c r="L207" s="45"/>
      <c r="M207" s="57"/>
      <c r="N207" s="97"/>
      <c r="O207" s="58"/>
      <c r="P207" s="165"/>
      <c r="Q207" s="166"/>
      <c r="R207" s="207"/>
      <c r="S207" s="170"/>
      <c r="T207" s="165"/>
      <c r="U207" s="166"/>
      <c r="V207" s="207"/>
      <c r="W207" s="170"/>
      <c r="X207" s="165"/>
      <c r="Y207" s="166"/>
      <c r="Z207" s="207"/>
      <c r="AA207" s="170"/>
      <c r="AB207" s="165"/>
      <c r="AC207" s="166"/>
      <c r="AD207" s="207"/>
      <c r="AE207" s="170"/>
      <c r="AF207" s="165"/>
      <c r="AG207" s="166"/>
      <c r="AH207" s="207"/>
      <c r="AI207" s="170"/>
      <c r="AJ207" s="165"/>
      <c r="AK207" s="166"/>
      <c r="AL207" s="207"/>
      <c r="AM207" s="170"/>
      <c r="AN207" s="165"/>
      <c r="AO207" s="166"/>
      <c r="AP207" s="207">
        <v>337</v>
      </c>
      <c r="AQ207" s="170">
        <v>194</v>
      </c>
      <c r="AR207" s="165">
        <v>276</v>
      </c>
      <c r="AS207" s="166">
        <v>253</v>
      </c>
      <c r="AT207" s="207">
        <v>342</v>
      </c>
      <c r="AU207" s="170">
        <v>189</v>
      </c>
      <c r="AV207" s="190"/>
      <c r="AW207" s="166"/>
      <c r="AX207" s="208"/>
      <c r="AY207" s="170"/>
      <c r="AZ207" s="45"/>
      <c r="BA207" s="58"/>
      <c r="BB207" s="190"/>
      <c r="BC207" s="167"/>
      <c r="BD207" s="190"/>
      <c r="BE207" s="167"/>
      <c r="BF207" s="190"/>
      <c r="BG207" s="167"/>
      <c r="BH207" s="190"/>
      <c r="BI207" s="167"/>
      <c r="BJ207" s="190"/>
      <c r="BK207" s="167"/>
    </row>
    <row r="208" spans="1:63" ht="13" x14ac:dyDescent="0.25">
      <c r="A208" s="372">
        <v>2941</v>
      </c>
      <c r="B208" s="373" t="s">
        <v>333</v>
      </c>
      <c r="C208" s="360">
        <v>1444</v>
      </c>
      <c r="D208" s="54">
        <v>716</v>
      </c>
      <c r="E208" s="367">
        <v>0.48859709744298546</v>
      </c>
      <c r="F208" s="45">
        <v>468</v>
      </c>
      <c r="G208" s="58">
        <v>238</v>
      </c>
      <c r="H208" s="45">
        <v>505</v>
      </c>
      <c r="I208" s="57">
        <v>197</v>
      </c>
      <c r="J208" s="97"/>
      <c r="K208" s="58"/>
      <c r="L208" s="45"/>
      <c r="M208" s="57"/>
      <c r="N208" s="97"/>
      <c r="O208" s="58"/>
      <c r="P208" s="165"/>
      <c r="Q208" s="166"/>
      <c r="R208" s="207"/>
      <c r="S208" s="170"/>
      <c r="T208" s="165"/>
      <c r="U208" s="166"/>
      <c r="V208" s="207"/>
      <c r="W208" s="170"/>
      <c r="X208" s="165"/>
      <c r="Y208" s="166"/>
      <c r="Z208" s="207"/>
      <c r="AA208" s="170"/>
      <c r="AB208" s="165"/>
      <c r="AC208" s="166"/>
      <c r="AD208" s="207"/>
      <c r="AE208" s="170"/>
      <c r="AF208" s="165"/>
      <c r="AG208" s="166"/>
      <c r="AH208" s="207"/>
      <c r="AI208" s="170"/>
      <c r="AJ208" s="165"/>
      <c r="AK208" s="166"/>
      <c r="AL208" s="207"/>
      <c r="AM208" s="170"/>
      <c r="AN208" s="165"/>
      <c r="AO208" s="166"/>
      <c r="AP208" s="207">
        <v>497</v>
      </c>
      <c r="AQ208" s="170">
        <v>202</v>
      </c>
      <c r="AR208" s="165">
        <v>402</v>
      </c>
      <c r="AS208" s="166">
        <v>294</v>
      </c>
      <c r="AT208" s="207">
        <v>458</v>
      </c>
      <c r="AU208" s="170">
        <v>242</v>
      </c>
      <c r="AV208" s="190"/>
      <c r="AW208" s="166"/>
      <c r="AX208" s="208"/>
      <c r="AY208" s="170"/>
      <c r="AZ208" s="45"/>
      <c r="BA208" s="58"/>
      <c r="BB208" s="190"/>
      <c r="BC208" s="167"/>
      <c r="BD208" s="190"/>
      <c r="BE208" s="167"/>
      <c r="BF208" s="190"/>
      <c r="BG208" s="167"/>
      <c r="BH208" s="190"/>
      <c r="BI208" s="167"/>
      <c r="BJ208" s="190"/>
      <c r="BK208" s="167"/>
    </row>
    <row r="209" spans="1:63" ht="13" x14ac:dyDescent="0.25">
      <c r="A209" s="372">
        <v>3111</v>
      </c>
      <c r="B209" s="373" t="s">
        <v>334</v>
      </c>
      <c r="C209" s="360">
        <v>980</v>
      </c>
      <c r="D209" s="54">
        <v>532</v>
      </c>
      <c r="E209" s="367">
        <v>0.52600000000000002</v>
      </c>
      <c r="F209" s="45">
        <v>348</v>
      </c>
      <c r="G209" s="58">
        <v>176</v>
      </c>
      <c r="H209" s="45">
        <v>377</v>
      </c>
      <c r="I209" s="57">
        <v>146</v>
      </c>
      <c r="J209" s="97"/>
      <c r="K209" s="58"/>
      <c r="L209" s="45"/>
      <c r="M209" s="57"/>
      <c r="N209" s="97"/>
      <c r="O209" s="58"/>
      <c r="P209" s="45"/>
      <c r="Q209" s="57"/>
      <c r="R209" s="207"/>
      <c r="S209" s="170"/>
      <c r="T209" s="165"/>
      <c r="U209" s="166"/>
      <c r="V209" s="207"/>
      <c r="W209" s="170"/>
      <c r="X209" s="165"/>
      <c r="Y209" s="166"/>
      <c r="Z209" s="207"/>
      <c r="AA209" s="170"/>
      <c r="AB209" s="165"/>
      <c r="AC209" s="166"/>
      <c r="AD209" s="207"/>
      <c r="AE209" s="170"/>
      <c r="AF209" s="165"/>
      <c r="AG209" s="166"/>
      <c r="AH209" s="207"/>
      <c r="AI209" s="170"/>
      <c r="AJ209" s="165"/>
      <c r="AK209" s="166"/>
      <c r="AL209" s="207"/>
      <c r="AM209" s="170"/>
      <c r="AN209" s="165"/>
      <c r="AO209" s="166"/>
      <c r="AP209" s="207">
        <v>360</v>
      </c>
      <c r="AQ209" s="170">
        <v>161</v>
      </c>
      <c r="AR209" s="165">
        <v>290</v>
      </c>
      <c r="AS209" s="166">
        <v>232</v>
      </c>
      <c r="AT209" s="207"/>
      <c r="AU209" s="170"/>
      <c r="AV209" s="190"/>
      <c r="AW209" s="166"/>
      <c r="AX209" s="208"/>
      <c r="AY209" s="170"/>
      <c r="AZ209" s="45"/>
      <c r="BA209" s="58"/>
      <c r="BB209" s="190"/>
      <c r="BC209" s="167"/>
      <c r="BD209" s="190"/>
      <c r="BE209" s="167"/>
      <c r="BF209" s="190"/>
      <c r="BG209" s="167"/>
      <c r="BH209" s="190"/>
      <c r="BI209" s="167"/>
      <c r="BJ209" s="190"/>
      <c r="BK209" s="167"/>
    </row>
    <row r="210" spans="1:63" ht="13" x14ac:dyDescent="0.25">
      <c r="A210" s="372">
        <v>3121</v>
      </c>
      <c r="B210" s="373" t="s">
        <v>335</v>
      </c>
      <c r="C210" s="360">
        <v>965</v>
      </c>
      <c r="D210" s="54">
        <v>599</v>
      </c>
      <c r="E210" s="367">
        <v>0.61717921527041353</v>
      </c>
      <c r="F210" s="45">
        <v>391</v>
      </c>
      <c r="G210" s="58">
        <v>207</v>
      </c>
      <c r="H210" s="45">
        <v>418</v>
      </c>
      <c r="I210" s="57">
        <v>173</v>
      </c>
      <c r="J210" s="97"/>
      <c r="K210" s="58"/>
      <c r="L210" s="45"/>
      <c r="M210" s="57"/>
      <c r="N210" s="97"/>
      <c r="O210" s="58"/>
      <c r="P210" s="45"/>
      <c r="Q210" s="57"/>
      <c r="R210" s="207"/>
      <c r="S210" s="170"/>
      <c r="T210" s="165"/>
      <c r="U210" s="166"/>
      <c r="V210" s="207"/>
      <c r="W210" s="170"/>
      <c r="X210" s="165"/>
      <c r="Y210" s="166"/>
      <c r="Z210" s="207"/>
      <c r="AA210" s="170"/>
      <c r="AB210" s="165"/>
      <c r="AC210" s="166"/>
      <c r="AD210" s="207"/>
      <c r="AE210" s="170"/>
      <c r="AF210" s="165"/>
      <c r="AG210" s="166"/>
      <c r="AH210" s="207"/>
      <c r="AI210" s="170"/>
      <c r="AJ210" s="165"/>
      <c r="AK210" s="166"/>
      <c r="AL210" s="207"/>
      <c r="AM210" s="170"/>
      <c r="AN210" s="165"/>
      <c r="AO210" s="166"/>
      <c r="AP210" s="207">
        <v>438</v>
      </c>
      <c r="AQ210" s="170">
        <v>147</v>
      </c>
      <c r="AR210" s="165">
        <v>348</v>
      </c>
      <c r="AS210" s="166">
        <v>234</v>
      </c>
      <c r="AT210" s="207"/>
      <c r="AU210" s="170"/>
      <c r="AV210" s="190"/>
      <c r="AW210" s="166"/>
      <c r="AX210" s="208"/>
      <c r="AY210" s="170"/>
      <c r="AZ210" s="45"/>
      <c r="BA210" s="58"/>
      <c r="BB210" s="190"/>
      <c r="BC210" s="167"/>
      <c r="BD210" s="190"/>
      <c r="BE210" s="167"/>
      <c r="BF210" s="190"/>
      <c r="BG210" s="167"/>
      <c r="BH210" s="190"/>
      <c r="BI210" s="167"/>
      <c r="BJ210" s="190"/>
      <c r="BK210" s="167"/>
    </row>
    <row r="211" spans="1:63" ht="13" x14ac:dyDescent="0.25">
      <c r="A211" s="372">
        <v>3131</v>
      </c>
      <c r="B211" s="373" t="s">
        <v>336</v>
      </c>
      <c r="C211" s="360">
        <v>950</v>
      </c>
      <c r="D211" s="54">
        <v>550</v>
      </c>
      <c r="E211" s="367">
        <v>0.56512378902045213</v>
      </c>
      <c r="F211" s="45">
        <v>365</v>
      </c>
      <c r="G211" s="58">
        <v>177</v>
      </c>
      <c r="H211" s="45">
        <v>398</v>
      </c>
      <c r="I211" s="57">
        <v>137</v>
      </c>
      <c r="J211" s="97"/>
      <c r="K211" s="58"/>
      <c r="L211" s="45"/>
      <c r="M211" s="57"/>
      <c r="N211" s="97"/>
      <c r="O211" s="58"/>
      <c r="P211" s="45"/>
      <c r="Q211" s="57"/>
      <c r="R211" s="207"/>
      <c r="S211" s="170"/>
      <c r="T211" s="165"/>
      <c r="U211" s="166"/>
      <c r="V211" s="207"/>
      <c r="W211" s="170"/>
      <c r="X211" s="165"/>
      <c r="Y211" s="166"/>
      <c r="Z211" s="207"/>
      <c r="AA211" s="170"/>
      <c r="AB211" s="165"/>
      <c r="AC211" s="166"/>
      <c r="AD211" s="207"/>
      <c r="AE211" s="170"/>
      <c r="AF211" s="165"/>
      <c r="AG211" s="166"/>
      <c r="AH211" s="207"/>
      <c r="AI211" s="170"/>
      <c r="AJ211" s="165"/>
      <c r="AK211" s="166"/>
      <c r="AL211" s="207"/>
      <c r="AM211" s="170"/>
      <c r="AN211" s="165"/>
      <c r="AO211" s="166"/>
      <c r="AP211" s="207">
        <v>384</v>
      </c>
      <c r="AQ211" s="170">
        <v>148</v>
      </c>
      <c r="AR211" s="165">
        <v>329</v>
      </c>
      <c r="AS211" s="166">
        <v>212</v>
      </c>
      <c r="AT211" s="207"/>
      <c r="AU211" s="170"/>
      <c r="AV211" s="190"/>
      <c r="AW211" s="166"/>
      <c r="AX211" s="208"/>
      <c r="AY211" s="170"/>
      <c r="AZ211" s="45"/>
      <c r="BA211" s="58"/>
      <c r="BB211" s="190"/>
      <c r="BC211" s="167"/>
      <c r="BD211" s="190"/>
      <c r="BE211" s="167"/>
      <c r="BF211" s="190"/>
      <c r="BG211" s="167"/>
      <c r="BH211" s="190"/>
      <c r="BI211" s="167"/>
      <c r="BJ211" s="190"/>
      <c r="BK211" s="167"/>
    </row>
    <row r="212" spans="1:63" ht="13" x14ac:dyDescent="0.25">
      <c r="A212" s="372">
        <v>3141</v>
      </c>
      <c r="B212" s="373" t="s">
        <v>337</v>
      </c>
      <c r="C212" s="360">
        <v>1098</v>
      </c>
      <c r="D212" s="54">
        <v>576</v>
      </c>
      <c r="E212" s="367">
        <v>0.52051048313582493</v>
      </c>
      <c r="F212" s="45">
        <v>357</v>
      </c>
      <c r="G212" s="58">
        <v>213</v>
      </c>
      <c r="H212" s="45">
        <v>392</v>
      </c>
      <c r="I212" s="57">
        <v>175</v>
      </c>
      <c r="J212" s="97"/>
      <c r="K212" s="58"/>
      <c r="L212" s="45"/>
      <c r="M212" s="57"/>
      <c r="N212" s="97"/>
      <c r="O212" s="58"/>
      <c r="P212" s="45"/>
      <c r="Q212" s="57"/>
      <c r="R212" s="207"/>
      <c r="S212" s="170"/>
      <c r="T212" s="165"/>
      <c r="U212" s="166"/>
      <c r="V212" s="207"/>
      <c r="W212" s="170"/>
      <c r="X212" s="165"/>
      <c r="Y212" s="166"/>
      <c r="Z212" s="207"/>
      <c r="AA212" s="170"/>
      <c r="AB212" s="165"/>
      <c r="AC212" s="166"/>
      <c r="AD212" s="207"/>
      <c r="AE212" s="170"/>
      <c r="AF212" s="165"/>
      <c r="AG212" s="166"/>
      <c r="AH212" s="207"/>
      <c r="AI212" s="170"/>
      <c r="AJ212" s="165"/>
      <c r="AK212" s="166"/>
      <c r="AL212" s="207"/>
      <c r="AM212" s="170"/>
      <c r="AN212" s="165"/>
      <c r="AO212" s="166"/>
      <c r="AP212" s="207">
        <v>392</v>
      </c>
      <c r="AQ212" s="170">
        <v>169</v>
      </c>
      <c r="AR212" s="165">
        <v>334</v>
      </c>
      <c r="AS212" s="166">
        <v>228</v>
      </c>
      <c r="AT212" s="207"/>
      <c r="AU212" s="170"/>
      <c r="AV212" s="190"/>
      <c r="AW212" s="166"/>
      <c r="AX212" s="208"/>
      <c r="AY212" s="170"/>
      <c r="AZ212" s="45"/>
      <c r="BA212" s="58"/>
      <c r="BB212" s="190"/>
      <c r="BC212" s="167"/>
      <c r="BD212" s="190"/>
      <c r="BE212" s="167"/>
      <c r="BF212" s="190"/>
      <c r="BG212" s="167"/>
      <c r="BH212" s="190"/>
      <c r="BI212" s="167"/>
      <c r="BJ212" s="190"/>
      <c r="BK212" s="167"/>
    </row>
    <row r="213" spans="1:63" ht="13" x14ac:dyDescent="0.25">
      <c r="A213" s="372">
        <v>3201</v>
      </c>
      <c r="B213" s="373" t="s">
        <v>338</v>
      </c>
      <c r="C213" s="360">
        <v>998</v>
      </c>
      <c r="D213" s="54">
        <v>352</v>
      </c>
      <c r="E213" s="367">
        <v>0.42714570858283435</v>
      </c>
      <c r="F213" s="45">
        <v>290</v>
      </c>
      <c r="G213" s="58">
        <v>59</v>
      </c>
      <c r="H213" s="45">
        <v>249</v>
      </c>
      <c r="I213" s="57">
        <v>98</v>
      </c>
      <c r="J213" s="97"/>
      <c r="K213" s="58"/>
      <c r="L213" s="45"/>
      <c r="M213" s="57"/>
      <c r="N213" s="97"/>
      <c r="O213" s="58"/>
      <c r="P213" s="165"/>
      <c r="Q213" s="166"/>
      <c r="R213" s="207"/>
      <c r="S213" s="170"/>
      <c r="T213" s="165"/>
      <c r="U213" s="166"/>
      <c r="V213" s="207"/>
      <c r="W213" s="170"/>
      <c r="X213" s="165"/>
      <c r="Y213" s="166"/>
      <c r="Z213" s="207"/>
      <c r="AA213" s="170"/>
      <c r="AB213" s="165"/>
      <c r="AC213" s="166"/>
      <c r="AD213" s="207"/>
      <c r="AE213" s="170"/>
      <c r="AF213" s="165"/>
      <c r="AG213" s="166"/>
      <c r="AH213" s="207"/>
      <c r="AI213" s="170"/>
      <c r="AJ213" s="165"/>
      <c r="AK213" s="166"/>
      <c r="AL213" s="207"/>
      <c r="AM213" s="170"/>
      <c r="AN213" s="165"/>
      <c r="AO213" s="166"/>
      <c r="AP213" s="207">
        <v>220</v>
      </c>
      <c r="AQ213" s="170">
        <v>126</v>
      </c>
      <c r="AR213" s="165">
        <v>205</v>
      </c>
      <c r="AS213" s="166">
        <v>144</v>
      </c>
      <c r="AT213" s="207"/>
      <c r="AU213" s="170"/>
      <c r="AV213" s="190"/>
      <c r="AW213" s="166"/>
      <c r="AX213" s="208"/>
      <c r="AY213" s="170"/>
      <c r="AZ213" s="45"/>
      <c r="BA213" s="58"/>
      <c r="BB213" s="190"/>
      <c r="BC213" s="167"/>
      <c r="BD213" s="190"/>
      <c r="BE213" s="167"/>
      <c r="BF213" s="190"/>
      <c r="BG213" s="167"/>
      <c r="BH213" s="190"/>
      <c r="BI213" s="167"/>
      <c r="BJ213" s="190"/>
      <c r="BK213" s="167"/>
    </row>
    <row r="214" spans="1:63" ht="13" x14ac:dyDescent="0.25">
      <c r="A214" s="372">
        <v>3202</v>
      </c>
      <c r="B214" s="373" t="s">
        <v>339</v>
      </c>
      <c r="C214" s="360">
        <v>989</v>
      </c>
      <c r="D214" s="54">
        <v>449</v>
      </c>
      <c r="E214" s="367">
        <v>0.51086956521739135</v>
      </c>
      <c r="F214" s="45">
        <v>328</v>
      </c>
      <c r="G214" s="58">
        <v>117</v>
      </c>
      <c r="H214" s="45">
        <v>290</v>
      </c>
      <c r="I214" s="57">
        <v>151</v>
      </c>
      <c r="J214" s="97"/>
      <c r="K214" s="58"/>
      <c r="L214" s="45"/>
      <c r="M214" s="57"/>
      <c r="N214" s="97"/>
      <c r="O214" s="58"/>
      <c r="P214" s="165"/>
      <c r="Q214" s="166"/>
      <c r="R214" s="207"/>
      <c r="S214" s="170"/>
      <c r="T214" s="165"/>
      <c r="U214" s="166"/>
      <c r="V214" s="207"/>
      <c r="W214" s="170"/>
      <c r="X214" s="165"/>
      <c r="Y214" s="166"/>
      <c r="Z214" s="207"/>
      <c r="AA214" s="170"/>
      <c r="AB214" s="165"/>
      <c r="AC214" s="166"/>
      <c r="AD214" s="207"/>
      <c r="AE214" s="170"/>
      <c r="AF214" s="165"/>
      <c r="AG214" s="166"/>
      <c r="AH214" s="207"/>
      <c r="AI214" s="170"/>
      <c r="AJ214" s="165"/>
      <c r="AK214" s="166"/>
      <c r="AL214" s="207"/>
      <c r="AM214" s="170"/>
      <c r="AN214" s="165"/>
      <c r="AO214" s="166"/>
      <c r="AP214" s="207">
        <v>273</v>
      </c>
      <c r="AQ214" s="170">
        <v>170</v>
      </c>
      <c r="AR214" s="165">
        <v>221</v>
      </c>
      <c r="AS214" s="166">
        <v>224</v>
      </c>
      <c r="AT214" s="207"/>
      <c r="AU214" s="170"/>
      <c r="AV214" s="190"/>
      <c r="AW214" s="166"/>
      <c r="AX214" s="208"/>
      <c r="AY214" s="170"/>
      <c r="AZ214" s="45"/>
      <c r="BA214" s="58"/>
      <c r="BB214" s="190"/>
      <c r="BC214" s="167"/>
      <c r="BD214" s="190"/>
      <c r="BE214" s="167"/>
      <c r="BF214" s="190"/>
      <c r="BG214" s="167"/>
      <c r="BH214" s="190"/>
      <c r="BI214" s="167"/>
      <c r="BJ214" s="190"/>
      <c r="BK214" s="167"/>
    </row>
    <row r="215" spans="1:63" ht="13" x14ac:dyDescent="0.25">
      <c r="A215" s="372">
        <v>3203</v>
      </c>
      <c r="B215" s="373" t="s">
        <v>340</v>
      </c>
      <c r="C215" s="360">
        <v>987</v>
      </c>
      <c r="D215" s="54">
        <v>365</v>
      </c>
      <c r="E215" s="367">
        <v>0.39961202715809896</v>
      </c>
      <c r="F215" s="45">
        <v>306</v>
      </c>
      <c r="G215" s="58">
        <v>55</v>
      </c>
      <c r="H215" s="45">
        <v>252</v>
      </c>
      <c r="I215" s="57">
        <v>111</v>
      </c>
      <c r="J215" s="97"/>
      <c r="K215" s="58"/>
      <c r="L215" s="45"/>
      <c r="M215" s="57"/>
      <c r="N215" s="97"/>
      <c r="O215" s="58"/>
      <c r="P215" s="165"/>
      <c r="Q215" s="166"/>
      <c r="R215" s="207"/>
      <c r="S215" s="170"/>
      <c r="T215" s="165"/>
      <c r="U215" s="166"/>
      <c r="V215" s="207"/>
      <c r="W215" s="170"/>
      <c r="X215" s="165"/>
      <c r="Y215" s="166"/>
      <c r="Z215" s="207"/>
      <c r="AA215" s="170"/>
      <c r="AB215" s="165"/>
      <c r="AC215" s="166"/>
      <c r="AD215" s="207"/>
      <c r="AE215" s="170"/>
      <c r="AF215" s="165"/>
      <c r="AG215" s="166"/>
      <c r="AH215" s="207"/>
      <c r="AI215" s="170"/>
      <c r="AJ215" s="165"/>
      <c r="AK215" s="166"/>
      <c r="AL215" s="207"/>
      <c r="AM215" s="170"/>
      <c r="AN215" s="165"/>
      <c r="AO215" s="166"/>
      <c r="AP215" s="207">
        <v>230</v>
      </c>
      <c r="AQ215" s="170">
        <v>133</v>
      </c>
      <c r="AR215" s="165">
        <v>206</v>
      </c>
      <c r="AS215" s="166">
        <v>157</v>
      </c>
      <c r="AT215" s="207"/>
      <c r="AU215" s="170"/>
      <c r="AV215" s="190"/>
      <c r="AW215" s="166"/>
      <c r="AX215" s="208"/>
      <c r="AY215" s="170"/>
      <c r="AZ215" s="45"/>
      <c r="BA215" s="58"/>
      <c r="BB215" s="190"/>
      <c r="BC215" s="167"/>
      <c r="BD215" s="190"/>
      <c r="BE215" s="167"/>
      <c r="BF215" s="190"/>
      <c r="BG215" s="167"/>
      <c r="BH215" s="190"/>
      <c r="BI215" s="167"/>
      <c r="BJ215" s="190"/>
      <c r="BK215" s="167"/>
    </row>
    <row r="216" spans="1:63" ht="13" x14ac:dyDescent="0.25">
      <c r="A216" s="372">
        <v>3204</v>
      </c>
      <c r="B216" s="373" t="s">
        <v>341</v>
      </c>
      <c r="C216" s="360">
        <v>995</v>
      </c>
      <c r="D216" s="54">
        <v>353</v>
      </c>
      <c r="E216" s="367">
        <v>0.39358600583090381</v>
      </c>
      <c r="F216" s="45">
        <v>277</v>
      </c>
      <c r="G216" s="58">
        <v>74</v>
      </c>
      <c r="H216" s="45">
        <v>268</v>
      </c>
      <c r="I216" s="57">
        <v>78</v>
      </c>
      <c r="J216" s="97"/>
      <c r="K216" s="58"/>
      <c r="L216" s="45"/>
      <c r="M216" s="57"/>
      <c r="N216" s="97"/>
      <c r="O216" s="58"/>
      <c r="P216" s="165"/>
      <c r="Q216" s="166"/>
      <c r="R216" s="207"/>
      <c r="S216" s="170"/>
      <c r="T216" s="165"/>
      <c r="U216" s="166"/>
      <c r="V216" s="207"/>
      <c r="W216" s="170"/>
      <c r="X216" s="165"/>
      <c r="Y216" s="166"/>
      <c r="Z216" s="207"/>
      <c r="AA216" s="170"/>
      <c r="AB216" s="165"/>
      <c r="AC216" s="166"/>
      <c r="AD216" s="207"/>
      <c r="AE216" s="170"/>
      <c r="AF216" s="165"/>
      <c r="AG216" s="166"/>
      <c r="AH216" s="207"/>
      <c r="AI216" s="170"/>
      <c r="AJ216" s="165"/>
      <c r="AK216" s="166"/>
      <c r="AL216" s="207"/>
      <c r="AM216" s="170"/>
      <c r="AN216" s="165"/>
      <c r="AO216" s="166"/>
      <c r="AP216" s="207">
        <v>185</v>
      </c>
      <c r="AQ216" s="170">
        <v>159</v>
      </c>
      <c r="AR216" s="165">
        <v>160</v>
      </c>
      <c r="AS216" s="166">
        <v>186</v>
      </c>
      <c r="AT216" s="207"/>
      <c r="AU216" s="170"/>
      <c r="AV216" s="190"/>
      <c r="AW216" s="166"/>
      <c r="AX216" s="208"/>
      <c r="AY216" s="170"/>
      <c r="AZ216" s="45"/>
      <c r="BA216" s="58"/>
      <c r="BB216" s="190"/>
      <c r="BC216" s="167"/>
      <c r="BD216" s="190"/>
      <c r="BE216" s="167"/>
      <c r="BF216" s="190"/>
      <c r="BG216" s="167"/>
      <c r="BH216" s="190"/>
      <c r="BI216" s="167"/>
      <c r="BJ216" s="190"/>
      <c r="BK216" s="167"/>
    </row>
    <row r="217" spans="1:63" ht="13" x14ac:dyDescent="0.25">
      <c r="A217" s="372">
        <v>3205</v>
      </c>
      <c r="B217" s="373" t="s">
        <v>342</v>
      </c>
      <c r="C217" s="360">
        <v>941</v>
      </c>
      <c r="D217" s="54">
        <v>331</v>
      </c>
      <c r="E217" s="367">
        <v>0.46209761163032192</v>
      </c>
      <c r="F217" s="45">
        <v>248</v>
      </c>
      <c r="G217" s="58">
        <v>78</v>
      </c>
      <c r="H217" s="45">
        <v>231</v>
      </c>
      <c r="I217" s="57">
        <v>96</v>
      </c>
      <c r="J217" s="97"/>
      <c r="K217" s="58"/>
      <c r="L217" s="45"/>
      <c r="M217" s="57"/>
      <c r="N217" s="97"/>
      <c r="O217" s="58"/>
      <c r="P217" s="165"/>
      <c r="Q217" s="166"/>
      <c r="R217" s="207"/>
      <c r="S217" s="170"/>
      <c r="T217" s="165"/>
      <c r="U217" s="166"/>
      <c r="V217" s="207"/>
      <c r="W217" s="170"/>
      <c r="X217" s="165"/>
      <c r="Y217" s="166"/>
      <c r="Z217" s="207"/>
      <c r="AA217" s="170"/>
      <c r="AB217" s="165"/>
      <c r="AC217" s="166"/>
      <c r="AD217" s="207"/>
      <c r="AE217" s="170"/>
      <c r="AF217" s="165"/>
      <c r="AG217" s="166"/>
      <c r="AH217" s="207"/>
      <c r="AI217" s="170"/>
      <c r="AJ217" s="165"/>
      <c r="AK217" s="166"/>
      <c r="AL217" s="207"/>
      <c r="AM217" s="170"/>
      <c r="AN217" s="165"/>
      <c r="AO217" s="166"/>
      <c r="AP217" s="207">
        <v>192</v>
      </c>
      <c r="AQ217" s="170">
        <v>136</v>
      </c>
      <c r="AR217" s="165">
        <v>180</v>
      </c>
      <c r="AS217" s="166">
        <v>144</v>
      </c>
      <c r="AT217" s="207"/>
      <c r="AU217" s="170"/>
      <c r="AV217" s="190"/>
      <c r="AW217" s="166"/>
      <c r="AX217" s="208"/>
      <c r="AY217" s="170"/>
      <c r="AZ217" s="45"/>
      <c r="BA217" s="58"/>
      <c r="BB217" s="190"/>
      <c r="BC217" s="167"/>
      <c r="BD217" s="190"/>
      <c r="BE217" s="167"/>
      <c r="BF217" s="190"/>
      <c r="BG217" s="167"/>
      <c r="BH217" s="190"/>
      <c r="BI217" s="167"/>
      <c r="BJ217" s="190"/>
      <c r="BK217" s="167"/>
    </row>
    <row r="218" spans="1:63" ht="13" x14ac:dyDescent="0.25">
      <c r="A218" s="372">
        <v>3206</v>
      </c>
      <c r="B218" s="373" t="s">
        <v>343</v>
      </c>
      <c r="C218" s="360">
        <v>563</v>
      </c>
      <c r="D218" s="54">
        <v>216</v>
      </c>
      <c r="E218" s="367">
        <v>0.44385026737967914</v>
      </c>
      <c r="F218" s="45">
        <v>170</v>
      </c>
      <c r="G218" s="58">
        <v>44</v>
      </c>
      <c r="H218" s="45">
        <v>149</v>
      </c>
      <c r="I218" s="57">
        <v>61</v>
      </c>
      <c r="J218" s="97"/>
      <c r="K218" s="58"/>
      <c r="L218" s="45"/>
      <c r="M218" s="57"/>
      <c r="N218" s="97"/>
      <c r="O218" s="58"/>
      <c r="P218" s="165"/>
      <c r="Q218" s="166"/>
      <c r="R218" s="207"/>
      <c r="S218" s="170"/>
      <c r="T218" s="165"/>
      <c r="U218" s="166"/>
      <c r="V218" s="207"/>
      <c r="W218" s="170"/>
      <c r="X218" s="165"/>
      <c r="Y218" s="166"/>
      <c r="Z218" s="207"/>
      <c r="AA218" s="170"/>
      <c r="AB218" s="165"/>
      <c r="AC218" s="166"/>
      <c r="AD218" s="207"/>
      <c r="AE218" s="170"/>
      <c r="AF218" s="165"/>
      <c r="AG218" s="166"/>
      <c r="AH218" s="207"/>
      <c r="AI218" s="170"/>
      <c r="AJ218" s="165"/>
      <c r="AK218" s="166"/>
      <c r="AL218" s="207"/>
      <c r="AM218" s="170"/>
      <c r="AN218" s="165"/>
      <c r="AO218" s="166"/>
      <c r="AP218" s="207">
        <v>124</v>
      </c>
      <c r="AQ218" s="170">
        <v>90</v>
      </c>
      <c r="AR218" s="165">
        <v>107</v>
      </c>
      <c r="AS218" s="166">
        <v>108</v>
      </c>
      <c r="AT218" s="207"/>
      <c r="AU218" s="170"/>
      <c r="AV218" s="190"/>
      <c r="AW218" s="166"/>
      <c r="AX218" s="208"/>
      <c r="AY218" s="170"/>
      <c r="AZ218" s="45"/>
      <c r="BA218" s="58"/>
      <c r="BB218" s="190"/>
      <c r="BC218" s="167"/>
      <c r="BD218" s="190"/>
      <c r="BE218" s="167"/>
      <c r="BF218" s="190"/>
      <c r="BG218" s="167"/>
      <c r="BH218" s="190"/>
      <c r="BI218" s="167"/>
      <c r="BJ218" s="190"/>
      <c r="BK218" s="167"/>
    </row>
    <row r="219" spans="1:63" ht="13" x14ac:dyDescent="0.25">
      <c r="A219" s="372">
        <v>3207</v>
      </c>
      <c r="B219" s="373" t="s">
        <v>344</v>
      </c>
      <c r="C219" s="360">
        <v>896</v>
      </c>
      <c r="D219" s="54">
        <v>316</v>
      </c>
      <c r="E219" s="367">
        <v>0.40463065049614111</v>
      </c>
      <c r="F219" s="45">
        <v>257</v>
      </c>
      <c r="G219" s="58">
        <v>54</v>
      </c>
      <c r="H219" s="45">
        <v>219</v>
      </c>
      <c r="I219" s="57">
        <v>90</v>
      </c>
      <c r="J219" s="97"/>
      <c r="K219" s="58"/>
      <c r="L219" s="45"/>
      <c r="M219" s="57"/>
      <c r="N219" s="97"/>
      <c r="O219" s="58"/>
      <c r="P219" s="165"/>
      <c r="Q219" s="166"/>
      <c r="R219" s="207"/>
      <c r="S219" s="170"/>
      <c r="T219" s="165"/>
      <c r="U219" s="166"/>
      <c r="V219" s="207"/>
      <c r="W219" s="170"/>
      <c r="X219" s="165"/>
      <c r="Y219" s="166"/>
      <c r="Z219" s="207"/>
      <c r="AA219" s="170"/>
      <c r="AB219" s="165"/>
      <c r="AC219" s="166"/>
      <c r="AD219" s="207"/>
      <c r="AE219" s="170"/>
      <c r="AF219" s="165"/>
      <c r="AG219" s="166"/>
      <c r="AH219" s="207"/>
      <c r="AI219" s="170"/>
      <c r="AJ219" s="165"/>
      <c r="AK219" s="166"/>
      <c r="AL219" s="207"/>
      <c r="AM219" s="170"/>
      <c r="AN219" s="165"/>
      <c r="AO219" s="166"/>
      <c r="AP219" s="207">
        <v>161</v>
      </c>
      <c r="AQ219" s="170">
        <v>148</v>
      </c>
      <c r="AR219" s="165">
        <v>157</v>
      </c>
      <c r="AS219" s="166">
        <v>157</v>
      </c>
      <c r="AT219" s="207"/>
      <c r="AU219" s="170"/>
      <c r="AV219" s="190"/>
      <c r="AW219" s="166"/>
      <c r="AX219" s="208"/>
      <c r="AY219" s="170"/>
      <c r="AZ219" s="45"/>
      <c r="BA219" s="58"/>
      <c r="BB219" s="190"/>
      <c r="BC219" s="167"/>
      <c r="BD219" s="190"/>
      <c r="BE219" s="167"/>
      <c r="BF219" s="190"/>
      <c r="BG219" s="167"/>
      <c r="BH219" s="190"/>
      <c r="BI219" s="167"/>
      <c r="BJ219" s="190"/>
      <c r="BK219" s="167"/>
    </row>
    <row r="220" spans="1:63" ht="13" x14ac:dyDescent="0.25">
      <c r="A220" s="372">
        <v>3208</v>
      </c>
      <c r="B220" s="373" t="s">
        <v>345</v>
      </c>
      <c r="C220" s="360">
        <v>762</v>
      </c>
      <c r="D220" s="54">
        <v>302</v>
      </c>
      <c r="E220" s="367">
        <v>0.4366754617414248</v>
      </c>
      <c r="F220" s="45">
        <v>257</v>
      </c>
      <c r="G220" s="58">
        <v>39</v>
      </c>
      <c r="H220" s="45">
        <v>215</v>
      </c>
      <c r="I220" s="57">
        <v>79</v>
      </c>
      <c r="J220" s="97"/>
      <c r="K220" s="58"/>
      <c r="L220" s="45"/>
      <c r="M220" s="57"/>
      <c r="N220" s="97"/>
      <c r="O220" s="58"/>
      <c r="P220" s="165"/>
      <c r="Q220" s="166"/>
      <c r="R220" s="207"/>
      <c r="S220" s="170"/>
      <c r="T220" s="165"/>
      <c r="U220" s="166"/>
      <c r="V220" s="207"/>
      <c r="W220" s="170"/>
      <c r="X220" s="165"/>
      <c r="Y220" s="166"/>
      <c r="Z220" s="207"/>
      <c r="AA220" s="170"/>
      <c r="AB220" s="165"/>
      <c r="AC220" s="166"/>
      <c r="AD220" s="207"/>
      <c r="AE220" s="170"/>
      <c r="AF220" s="165"/>
      <c r="AG220" s="166"/>
      <c r="AH220" s="207"/>
      <c r="AI220" s="170"/>
      <c r="AJ220" s="165"/>
      <c r="AK220" s="166"/>
      <c r="AL220" s="207"/>
      <c r="AM220" s="170"/>
      <c r="AN220" s="165"/>
      <c r="AO220" s="166"/>
      <c r="AP220" s="207">
        <v>141</v>
      </c>
      <c r="AQ220" s="170">
        <v>154</v>
      </c>
      <c r="AR220" s="165">
        <v>152</v>
      </c>
      <c r="AS220" s="166">
        <v>147</v>
      </c>
      <c r="AT220" s="207"/>
      <c r="AU220" s="170"/>
      <c r="AV220" s="190"/>
      <c r="AW220" s="166"/>
      <c r="AX220" s="208"/>
      <c r="AY220" s="170"/>
      <c r="AZ220" s="45"/>
      <c r="BA220" s="58"/>
      <c r="BB220" s="190"/>
      <c r="BC220" s="167"/>
      <c r="BD220" s="190"/>
      <c r="BE220" s="167"/>
      <c r="BF220" s="190"/>
      <c r="BG220" s="167"/>
      <c r="BH220" s="190"/>
      <c r="BI220" s="167"/>
      <c r="BJ220" s="190"/>
      <c r="BK220" s="167"/>
    </row>
    <row r="221" spans="1:63" ht="13" x14ac:dyDescent="0.25">
      <c r="A221" s="372">
        <v>3209</v>
      </c>
      <c r="B221" s="373" t="s">
        <v>346</v>
      </c>
      <c r="C221" s="360">
        <v>988</v>
      </c>
      <c r="D221" s="54">
        <v>462</v>
      </c>
      <c r="E221" s="367">
        <v>0.54979674796747968</v>
      </c>
      <c r="F221" s="45">
        <v>341</v>
      </c>
      <c r="G221" s="58">
        <v>117</v>
      </c>
      <c r="H221" s="45">
        <v>279</v>
      </c>
      <c r="I221" s="57">
        <v>177</v>
      </c>
      <c r="J221" s="97"/>
      <c r="K221" s="58"/>
      <c r="L221" s="45"/>
      <c r="M221" s="57"/>
      <c r="N221" s="97"/>
      <c r="O221" s="58"/>
      <c r="P221" s="165"/>
      <c r="Q221" s="166"/>
      <c r="R221" s="207"/>
      <c r="S221" s="170"/>
      <c r="T221" s="165"/>
      <c r="U221" s="166"/>
      <c r="V221" s="207"/>
      <c r="W221" s="170"/>
      <c r="X221" s="165"/>
      <c r="Y221" s="166"/>
      <c r="Z221" s="207"/>
      <c r="AA221" s="170"/>
      <c r="AB221" s="165"/>
      <c r="AC221" s="166"/>
      <c r="AD221" s="207"/>
      <c r="AE221" s="170"/>
      <c r="AF221" s="165"/>
      <c r="AG221" s="166"/>
      <c r="AH221" s="207"/>
      <c r="AI221" s="170"/>
      <c r="AJ221" s="165"/>
      <c r="AK221" s="166"/>
      <c r="AL221" s="207"/>
      <c r="AM221" s="170"/>
      <c r="AN221" s="165"/>
      <c r="AO221" s="166"/>
      <c r="AP221" s="207">
        <v>267</v>
      </c>
      <c r="AQ221" s="170">
        <v>189</v>
      </c>
      <c r="AR221" s="165">
        <v>245</v>
      </c>
      <c r="AS221" s="166">
        <v>214</v>
      </c>
      <c r="AT221" s="207"/>
      <c r="AU221" s="170"/>
      <c r="AV221" s="190"/>
      <c r="AW221" s="166"/>
      <c r="AX221" s="208"/>
      <c r="AY221" s="170"/>
      <c r="AZ221" s="45"/>
      <c r="BA221" s="58"/>
      <c r="BB221" s="190"/>
      <c r="BC221" s="167"/>
      <c r="BD221" s="190"/>
      <c r="BE221" s="167"/>
      <c r="BF221" s="190"/>
      <c r="BG221" s="167"/>
      <c r="BH221" s="190"/>
      <c r="BI221" s="167"/>
      <c r="BJ221" s="190"/>
      <c r="BK221" s="167"/>
    </row>
    <row r="222" spans="1:63" ht="13" x14ac:dyDescent="0.25">
      <c r="A222" s="372">
        <v>3210</v>
      </c>
      <c r="B222" s="373" t="s">
        <v>347</v>
      </c>
      <c r="C222" s="360">
        <v>869</v>
      </c>
      <c r="D222" s="54">
        <v>366</v>
      </c>
      <c r="E222" s="367">
        <v>0.52037252619324792</v>
      </c>
      <c r="F222" s="45">
        <v>295</v>
      </c>
      <c r="G222" s="58">
        <v>63</v>
      </c>
      <c r="H222" s="45">
        <v>244</v>
      </c>
      <c r="I222" s="57">
        <v>115</v>
      </c>
      <c r="J222" s="97"/>
      <c r="K222" s="58"/>
      <c r="L222" s="45"/>
      <c r="M222" s="57"/>
      <c r="N222" s="97"/>
      <c r="O222" s="58"/>
      <c r="P222" s="165"/>
      <c r="Q222" s="166"/>
      <c r="R222" s="207"/>
      <c r="S222" s="170"/>
      <c r="T222" s="165"/>
      <c r="U222" s="166"/>
      <c r="V222" s="207"/>
      <c r="W222" s="170"/>
      <c r="X222" s="165"/>
      <c r="Y222" s="166"/>
      <c r="Z222" s="207"/>
      <c r="AA222" s="170"/>
      <c r="AB222" s="165"/>
      <c r="AC222" s="166"/>
      <c r="AD222" s="207"/>
      <c r="AE222" s="170"/>
      <c r="AF222" s="165"/>
      <c r="AG222" s="166"/>
      <c r="AH222" s="207"/>
      <c r="AI222" s="170"/>
      <c r="AJ222" s="165"/>
      <c r="AK222" s="166"/>
      <c r="AL222" s="207"/>
      <c r="AM222" s="170"/>
      <c r="AN222" s="165"/>
      <c r="AO222" s="166"/>
      <c r="AP222" s="207">
        <v>207</v>
      </c>
      <c r="AQ222" s="170">
        <v>151</v>
      </c>
      <c r="AR222" s="165">
        <v>195</v>
      </c>
      <c r="AS222" s="166">
        <v>167</v>
      </c>
      <c r="AT222" s="207"/>
      <c r="AU222" s="170"/>
      <c r="AV222" s="190"/>
      <c r="AW222" s="166"/>
      <c r="AX222" s="208"/>
      <c r="AY222" s="170"/>
      <c r="AZ222" s="45"/>
      <c r="BA222" s="58"/>
      <c r="BB222" s="190"/>
      <c r="BC222" s="167"/>
      <c r="BD222" s="190"/>
      <c r="BE222" s="167"/>
      <c r="BF222" s="190"/>
      <c r="BG222" s="167"/>
      <c r="BH222" s="190"/>
      <c r="BI222" s="167"/>
      <c r="BJ222" s="190"/>
      <c r="BK222" s="167"/>
    </row>
    <row r="223" spans="1:63" ht="13" x14ac:dyDescent="0.25">
      <c r="A223" s="372">
        <v>3211</v>
      </c>
      <c r="B223" s="373" t="s">
        <v>348</v>
      </c>
      <c r="C223" s="360">
        <v>1145</v>
      </c>
      <c r="D223" s="54">
        <v>294</v>
      </c>
      <c r="E223" s="367">
        <v>0.31705227077977721</v>
      </c>
      <c r="F223" s="45">
        <v>239</v>
      </c>
      <c r="G223" s="58">
        <v>50</v>
      </c>
      <c r="H223" s="45">
        <v>213</v>
      </c>
      <c r="I223" s="57">
        <v>69</v>
      </c>
      <c r="J223" s="97"/>
      <c r="K223" s="58"/>
      <c r="L223" s="45"/>
      <c r="M223" s="57"/>
      <c r="N223" s="97"/>
      <c r="O223" s="58"/>
      <c r="P223" s="165"/>
      <c r="Q223" s="166"/>
      <c r="R223" s="207"/>
      <c r="S223" s="170"/>
      <c r="T223" s="165"/>
      <c r="U223" s="166"/>
      <c r="V223" s="207"/>
      <c r="W223" s="170"/>
      <c r="X223" s="165"/>
      <c r="Y223" s="166"/>
      <c r="Z223" s="207"/>
      <c r="AA223" s="170"/>
      <c r="AB223" s="165"/>
      <c r="AC223" s="166"/>
      <c r="AD223" s="207"/>
      <c r="AE223" s="170"/>
      <c r="AF223" s="165"/>
      <c r="AG223" s="166"/>
      <c r="AH223" s="207"/>
      <c r="AI223" s="170"/>
      <c r="AJ223" s="165"/>
      <c r="AK223" s="166"/>
      <c r="AL223" s="207"/>
      <c r="AM223" s="170"/>
      <c r="AN223" s="165"/>
      <c r="AO223" s="166"/>
      <c r="AP223" s="207">
        <v>188</v>
      </c>
      <c r="AQ223" s="170">
        <v>95</v>
      </c>
      <c r="AR223" s="165">
        <v>161</v>
      </c>
      <c r="AS223" s="166">
        <v>127</v>
      </c>
      <c r="AT223" s="207"/>
      <c r="AU223" s="170"/>
      <c r="AV223" s="190"/>
      <c r="AW223" s="166"/>
      <c r="AX223" s="208"/>
      <c r="AY223" s="170"/>
      <c r="AZ223" s="45"/>
      <c r="BA223" s="58"/>
      <c r="BB223" s="190"/>
      <c r="BC223" s="167"/>
      <c r="BD223" s="190"/>
      <c r="BE223" s="167"/>
      <c r="BF223" s="190"/>
      <c r="BG223" s="167"/>
      <c r="BH223" s="190"/>
      <c r="BI223" s="167"/>
      <c r="BJ223" s="190"/>
      <c r="BK223" s="167"/>
    </row>
    <row r="224" spans="1:63" ht="13" x14ac:dyDescent="0.25">
      <c r="A224" s="372">
        <v>3212</v>
      </c>
      <c r="B224" s="373" t="s">
        <v>349</v>
      </c>
      <c r="C224" s="360">
        <v>1060</v>
      </c>
      <c r="D224" s="54">
        <v>411</v>
      </c>
      <c r="E224" s="367">
        <v>0.43124415341440597</v>
      </c>
      <c r="F224" s="45">
        <v>317</v>
      </c>
      <c r="G224" s="58">
        <v>90</v>
      </c>
      <c r="H224" s="45">
        <v>262</v>
      </c>
      <c r="I224" s="57">
        <v>140</v>
      </c>
      <c r="J224" s="97"/>
      <c r="K224" s="58"/>
      <c r="L224" s="45"/>
      <c r="M224" s="57"/>
      <c r="N224" s="97"/>
      <c r="O224" s="58"/>
      <c r="P224" s="165"/>
      <c r="Q224" s="166"/>
      <c r="R224" s="207"/>
      <c r="S224" s="170"/>
      <c r="T224" s="165"/>
      <c r="U224" s="166"/>
      <c r="V224" s="207"/>
      <c r="W224" s="170"/>
      <c r="X224" s="165"/>
      <c r="Y224" s="166"/>
      <c r="Z224" s="207"/>
      <c r="AA224" s="170"/>
      <c r="AB224" s="165"/>
      <c r="AC224" s="166"/>
      <c r="AD224" s="207"/>
      <c r="AE224" s="170"/>
      <c r="AF224" s="165"/>
      <c r="AG224" s="166"/>
      <c r="AH224" s="207"/>
      <c r="AI224" s="170"/>
      <c r="AJ224" s="165"/>
      <c r="AK224" s="166"/>
      <c r="AL224" s="207"/>
      <c r="AM224" s="170"/>
      <c r="AN224" s="165"/>
      <c r="AO224" s="166"/>
      <c r="AP224" s="207">
        <v>235</v>
      </c>
      <c r="AQ224" s="170">
        <v>168</v>
      </c>
      <c r="AR224" s="165">
        <v>227</v>
      </c>
      <c r="AS224" s="166">
        <v>181</v>
      </c>
      <c r="AT224" s="207"/>
      <c r="AU224" s="170"/>
      <c r="AV224" s="190"/>
      <c r="AW224" s="166"/>
      <c r="AX224" s="208"/>
      <c r="AY224" s="170"/>
      <c r="AZ224" s="45"/>
      <c r="BA224" s="58"/>
      <c r="BB224" s="190"/>
      <c r="BC224" s="167"/>
      <c r="BD224" s="190"/>
      <c r="BE224" s="167"/>
      <c r="BF224" s="190"/>
      <c r="BG224" s="167"/>
      <c r="BH224" s="190"/>
      <c r="BI224" s="167"/>
      <c r="BJ224" s="190"/>
      <c r="BK224" s="167"/>
    </row>
    <row r="225" spans="1:63" ht="13" x14ac:dyDescent="0.25">
      <c r="A225" s="372">
        <v>3213</v>
      </c>
      <c r="B225" s="373" t="s">
        <v>350</v>
      </c>
      <c r="C225" s="360">
        <v>1118</v>
      </c>
      <c r="D225" s="54">
        <v>398</v>
      </c>
      <c r="E225" s="367">
        <v>0.40196956132497763</v>
      </c>
      <c r="F225" s="45">
        <v>321</v>
      </c>
      <c r="G225" s="58">
        <v>77</v>
      </c>
      <c r="H225" s="45">
        <v>289</v>
      </c>
      <c r="I225" s="57">
        <v>104</v>
      </c>
      <c r="J225" s="97"/>
      <c r="K225" s="58"/>
      <c r="L225" s="45"/>
      <c r="M225" s="57"/>
      <c r="N225" s="97"/>
      <c r="O225" s="58"/>
      <c r="P225" s="165"/>
      <c r="Q225" s="166"/>
      <c r="R225" s="207"/>
      <c r="S225" s="170"/>
      <c r="T225" s="165"/>
      <c r="U225" s="166"/>
      <c r="V225" s="207"/>
      <c r="W225" s="170"/>
      <c r="X225" s="165"/>
      <c r="Y225" s="166"/>
      <c r="Z225" s="207"/>
      <c r="AA225" s="170"/>
      <c r="AB225" s="165"/>
      <c r="AC225" s="166"/>
      <c r="AD225" s="207"/>
      <c r="AE225" s="170"/>
      <c r="AF225" s="165"/>
      <c r="AG225" s="166"/>
      <c r="AH225" s="207"/>
      <c r="AI225" s="170"/>
      <c r="AJ225" s="165"/>
      <c r="AK225" s="166"/>
      <c r="AL225" s="207"/>
      <c r="AM225" s="170"/>
      <c r="AN225" s="165"/>
      <c r="AO225" s="166"/>
      <c r="AP225" s="207">
        <v>214</v>
      </c>
      <c r="AQ225" s="170">
        <v>173</v>
      </c>
      <c r="AR225" s="165">
        <v>199</v>
      </c>
      <c r="AS225" s="166">
        <v>188</v>
      </c>
      <c r="AT225" s="207"/>
      <c r="AU225" s="170"/>
      <c r="AV225" s="190"/>
      <c r="AW225" s="166"/>
      <c r="AX225" s="208"/>
      <c r="AY225" s="170"/>
      <c r="AZ225" s="45"/>
      <c r="BA225" s="58"/>
      <c r="BB225" s="190"/>
      <c r="BC225" s="167"/>
      <c r="BD225" s="190"/>
      <c r="BE225" s="167"/>
      <c r="BF225" s="190"/>
      <c r="BG225" s="167"/>
      <c r="BH225" s="190"/>
      <c r="BI225" s="167"/>
      <c r="BJ225" s="190"/>
      <c r="BK225" s="167"/>
    </row>
    <row r="226" spans="1:63" ht="13" x14ac:dyDescent="0.25">
      <c r="A226" s="372">
        <v>3401</v>
      </c>
      <c r="B226" s="373" t="s">
        <v>351</v>
      </c>
      <c r="C226" s="360">
        <v>1454</v>
      </c>
      <c r="D226" s="54">
        <v>564</v>
      </c>
      <c r="E226" s="367">
        <v>0.42522398345968299</v>
      </c>
      <c r="F226" s="45">
        <v>214</v>
      </c>
      <c r="G226" s="58">
        <v>342</v>
      </c>
      <c r="H226" s="45">
        <v>321</v>
      </c>
      <c r="I226" s="57">
        <v>232</v>
      </c>
      <c r="J226" s="97"/>
      <c r="K226" s="58"/>
      <c r="L226" s="45"/>
      <c r="M226" s="57"/>
      <c r="N226" s="97"/>
      <c r="O226" s="58"/>
      <c r="P226" s="165"/>
      <c r="Q226" s="166"/>
      <c r="R226" s="97"/>
      <c r="S226" s="58"/>
      <c r="T226" s="45"/>
      <c r="U226" s="57"/>
      <c r="V226" s="207"/>
      <c r="W226" s="170"/>
      <c r="X226" s="165"/>
      <c r="Y226" s="166"/>
      <c r="Z226" s="207"/>
      <c r="AA226" s="170"/>
      <c r="AB226" s="165"/>
      <c r="AC226" s="166"/>
      <c r="AD226" s="207"/>
      <c r="AE226" s="170"/>
      <c r="AF226" s="165"/>
      <c r="AG226" s="166"/>
      <c r="AH226" s="207"/>
      <c r="AI226" s="170"/>
      <c r="AJ226" s="165"/>
      <c r="AK226" s="166"/>
      <c r="AL226" s="207"/>
      <c r="AM226" s="170"/>
      <c r="AN226" s="165"/>
      <c r="AO226" s="166"/>
      <c r="AP226" s="207">
        <v>274</v>
      </c>
      <c r="AQ226" s="170">
        <v>270</v>
      </c>
      <c r="AR226" s="165">
        <v>203</v>
      </c>
      <c r="AS226" s="166">
        <v>338</v>
      </c>
      <c r="AT226" s="207"/>
      <c r="AU226" s="170"/>
      <c r="AV226" s="190"/>
      <c r="AW226" s="166"/>
      <c r="AX226" s="208"/>
      <c r="AY226" s="170"/>
      <c r="AZ226" s="45"/>
      <c r="BA226" s="58"/>
      <c r="BB226" s="45"/>
      <c r="BC226" s="46"/>
      <c r="BD226" s="45"/>
      <c r="BE226" s="46"/>
      <c r="BF226" s="45"/>
      <c r="BG226" s="46"/>
      <c r="BH226" s="45"/>
      <c r="BI226" s="46"/>
      <c r="BJ226" s="45"/>
      <c r="BK226" s="46"/>
    </row>
    <row r="227" spans="1:63" ht="13" x14ac:dyDescent="0.25">
      <c r="A227" s="372">
        <v>3402</v>
      </c>
      <c r="B227" s="373" t="s">
        <v>352</v>
      </c>
      <c r="C227" s="360">
        <v>1466</v>
      </c>
      <c r="D227" s="54">
        <v>530</v>
      </c>
      <c r="E227" s="367">
        <v>0.40921228304405877</v>
      </c>
      <c r="F227" s="45">
        <v>215</v>
      </c>
      <c r="G227" s="58">
        <v>312</v>
      </c>
      <c r="H227" s="45">
        <v>317</v>
      </c>
      <c r="I227" s="57">
        <v>207</v>
      </c>
      <c r="J227" s="97"/>
      <c r="K227" s="58"/>
      <c r="L227" s="45"/>
      <c r="M227" s="57"/>
      <c r="N227" s="97"/>
      <c r="O227" s="58"/>
      <c r="P227" s="165"/>
      <c r="Q227" s="166"/>
      <c r="R227" s="97"/>
      <c r="S227" s="58"/>
      <c r="T227" s="45"/>
      <c r="U227" s="57"/>
      <c r="V227" s="207"/>
      <c r="W227" s="170"/>
      <c r="X227" s="165"/>
      <c r="Y227" s="166"/>
      <c r="Z227" s="207"/>
      <c r="AA227" s="170"/>
      <c r="AB227" s="165"/>
      <c r="AC227" s="166"/>
      <c r="AD227" s="207"/>
      <c r="AE227" s="170"/>
      <c r="AF227" s="165"/>
      <c r="AG227" s="166"/>
      <c r="AH227" s="207"/>
      <c r="AI227" s="170"/>
      <c r="AJ227" s="165"/>
      <c r="AK227" s="166"/>
      <c r="AL227" s="207"/>
      <c r="AM227" s="170"/>
      <c r="AN227" s="165"/>
      <c r="AO227" s="166"/>
      <c r="AP227" s="207">
        <v>265</v>
      </c>
      <c r="AQ227" s="170">
        <v>256</v>
      </c>
      <c r="AR227" s="165">
        <v>188</v>
      </c>
      <c r="AS227" s="166">
        <v>324</v>
      </c>
      <c r="AT227" s="207"/>
      <c r="AU227" s="170"/>
      <c r="AV227" s="190"/>
      <c r="AW227" s="166"/>
      <c r="AX227" s="208"/>
      <c r="AY227" s="170"/>
      <c r="AZ227" s="45"/>
      <c r="BA227" s="58"/>
      <c r="BB227" s="45"/>
      <c r="BC227" s="46"/>
      <c r="BD227" s="45"/>
      <c r="BE227" s="46"/>
      <c r="BF227" s="45"/>
      <c r="BG227" s="46"/>
      <c r="BH227" s="45"/>
      <c r="BI227" s="46"/>
      <c r="BJ227" s="45"/>
      <c r="BK227" s="46"/>
    </row>
    <row r="228" spans="1:63" ht="13" x14ac:dyDescent="0.25">
      <c r="A228" s="372">
        <v>3403</v>
      </c>
      <c r="B228" s="373" t="s">
        <v>353</v>
      </c>
      <c r="C228" s="360">
        <v>1661</v>
      </c>
      <c r="D228" s="54">
        <v>712</v>
      </c>
      <c r="E228" s="367">
        <v>0.50506857483601675</v>
      </c>
      <c r="F228" s="45">
        <v>268</v>
      </c>
      <c r="G228" s="58">
        <v>438</v>
      </c>
      <c r="H228" s="45">
        <v>366</v>
      </c>
      <c r="I228" s="57">
        <v>334</v>
      </c>
      <c r="J228" s="97"/>
      <c r="K228" s="58"/>
      <c r="L228" s="45"/>
      <c r="M228" s="57"/>
      <c r="N228" s="97"/>
      <c r="O228" s="58"/>
      <c r="P228" s="165"/>
      <c r="Q228" s="166"/>
      <c r="R228" s="97"/>
      <c r="S228" s="58"/>
      <c r="T228" s="45"/>
      <c r="U228" s="57"/>
      <c r="V228" s="207"/>
      <c r="W228" s="170"/>
      <c r="X228" s="165"/>
      <c r="Y228" s="166"/>
      <c r="Z228" s="207"/>
      <c r="AA228" s="170"/>
      <c r="AB228" s="165"/>
      <c r="AC228" s="166"/>
      <c r="AD228" s="207"/>
      <c r="AE228" s="170"/>
      <c r="AF228" s="165"/>
      <c r="AG228" s="166"/>
      <c r="AH228" s="207"/>
      <c r="AI228" s="170"/>
      <c r="AJ228" s="165"/>
      <c r="AK228" s="166"/>
      <c r="AL228" s="207"/>
      <c r="AM228" s="170"/>
      <c r="AN228" s="165"/>
      <c r="AO228" s="166"/>
      <c r="AP228" s="207">
        <v>378</v>
      </c>
      <c r="AQ228" s="170">
        <v>309</v>
      </c>
      <c r="AR228" s="165">
        <v>265</v>
      </c>
      <c r="AS228" s="166">
        <v>417</v>
      </c>
      <c r="AT228" s="207"/>
      <c r="AU228" s="170"/>
      <c r="AV228" s="190"/>
      <c r="AW228" s="166"/>
      <c r="AX228" s="208"/>
      <c r="AY228" s="170"/>
      <c r="AZ228" s="45"/>
      <c r="BA228" s="58"/>
      <c r="BB228" s="45"/>
      <c r="BC228" s="46"/>
      <c r="BD228" s="45"/>
      <c r="BE228" s="46"/>
      <c r="BF228" s="45"/>
      <c r="BG228" s="46"/>
      <c r="BH228" s="45"/>
      <c r="BI228" s="46"/>
      <c r="BJ228" s="45"/>
      <c r="BK228" s="46"/>
    </row>
    <row r="229" spans="1:63" ht="13" x14ac:dyDescent="0.25">
      <c r="A229" s="372">
        <v>3404</v>
      </c>
      <c r="B229" s="373" t="s">
        <v>354</v>
      </c>
      <c r="C229" s="360">
        <v>1359</v>
      </c>
      <c r="D229" s="54">
        <v>721</v>
      </c>
      <c r="E229" s="367">
        <v>0.56952662721893488</v>
      </c>
      <c r="F229" s="45">
        <v>297</v>
      </c>
      <c r="G229" s="58">
        <v>423</v>
      </c>
      <c r="H229" s="45">
        <v>371</v>
      </c>
      <c r="I229" s="57">
        <v>336</v>
      </c>
      <c r="J229" s="97"/>
      <c r="K229" s="58"/>
      <c r="L229" s="45"/>
      <c r="M229" s="57"/>
      <c r="N229" s="97"/>
      <c r="O229" s="58"/>
      <c r="P229" s="165"/>
      <c r="Q229" s="166"/>
      <c r="R229" s="97"/>
      <c r="S229" s="58"/>
      <c r="T229" s="45"/>
      <c r="U229" s="57"/>
      <c r="V229" s="207"/>
      <c r="W229" s="170"/>
      <c r="X229" s="165"/>
      <c r="Y229" s="166"/>
      <c r="Z229" s="207"/>
      <c r="AA229" s="170"/>
      <c r="AB229" s="165"/>
      <c r="AC229" s="166"/>
      <c r="AD229" s="207"/>
      <c r="AE229" s="170"/>
      <c r="AF229" s="165"/>
      <c r="AG229" s="166"/>
      <c r="AH229" s="207"/>
      <c r="AI229" s="170"/>
      <c r="AJ229" s="165"/>
      <c r="AK229" s="166"/>
      <c r="AL229" s="207"/>
      <c r="AM229" s="170"/>
      <c r="AN229" s="165"/>
      <c r="AO229" s="166"/>
      <c r="AP229" s="207">
        <v>404</v>
      </c>
      <c r="AQ229" s="170">
        <v>302</v>
      </c>
      <c r="AR229" s="165">
        <v>267</v>
      </c>
      <c r="AS229" s="166">
        <v>431</v>
      </c>
      <c r="AT229" s="207"/>
      <c r="AU229" s="170"/>
      <c r="AV229" s="190"/>
      <c r="AW229" s="166"/>
      <c r="AX229" s="208"/>
      <c r="AY229" s="170"/>
      <c r="AZ229" s="45"/>
      <c r="BA229" s="58"/>
      <c r="BB229" s="45"/>
      <c r="BC229" s="46"/>
      <c r="BD229" s="45"/>
      <c r="BE229" s="46"/>
      <c r="BF229" s="45"/>
      <c r="BG229" s="46"/>
      <c r="BH229" s="45"/>
      <c r="BI229" s="46"/>
      <c r="BJ229" s="45"/>
      <c r="BK229" s="46"/>
    </row>
    <row r="230" spans="1:63" ht="13" x14ac:dyDescent="0.25">
      <c r="A230" s="372">
        <v>3405</v>
      </c>
      <c r="B230" s="373" t="s">
        <v>355</v>
      </c>
      <c r="C230" s="360">
        <v>1441</v>
      </c>
      <c r="D230" s="54">
        <v>740</v>
      </c>
      <c r="E230" s="367">
        <v>0.59537166900420757</v>
      </c>
      <c r="F230" s="45">
        <v>296</v>
      </c>
      <c r="G230" s="58">
        <v>440</v>
      </c>
      <c r="H230" s="45">
        <v>374</v>
      </c>
      <c r="I230" s="57">
        <v>359</v>
      </c>
      <c r="J230" s="97"/>
      <c r="K230" s="58"/>
      <c r="L230" s="45"/>
      <c r="M230" s="57"/>
      <c r="N230" s="97"/>
      <c r="O230" s="58"/>
      <c r="P230" s="165"/>
      <c r="Q230" s="166"/>
      <c r="R230" s="97"/>
      <c r="S230" s="58"/>
      <c r="T230" s="45"/>
      <c r="U230" s="57"/>
      <c r="V230" s="207"/>
      <c r="W230" s="170"/>
      <c r="X230" s="165"/>
      <c r="Y230" s="166"/>
      <c r="Z230" s="207"/>
      <c r="AA230" s="170"/>
      <c r="AB230" s="165"/>
      <c r="AC230" s="166"/>
      <c r="AD230" s="207"/>
      <c r="AE230" s="170"/>
      <c r="AF230" s="165"/>
      <c r="AG230" s="166"/>
      <c r="AH230" s="207"/>
      <c r="AI230" s="170"/>
      <c r="AJ230" s="165"/>
      <c r="AK230" s="166"/>
      <c r="AL230" s="207"/>
      <c r="AM230" s="170"/>
      <c r="AN230" s="165"/>
      <c r="AO230" s="166"/>
      <c r="AP230" s="207">
        <v>375</v>
      </c>
      <c r="AQ230" s="170">
        <v>350</v>
      </c>
      <c r="AR230" s="165">
        <v>259</v>
      </c>
      <c r="AS230" s="166">
        <v>461</v>
      </c>
      <c r="AT230" s="207"/>
      <c r="AU230" s="170"/>
      <c r="AV230" s="190"/>
      <c r="AW230" s="166"/>
      <c r="AX230" s="208"/>
      <c r="AY230" s="170"/>
      <c r="AZ230" s="45"/>
      <c r="BA230" s="58"/>
      <c r="BB230" s="45"/>
      <c r="BC230" s="46"/>
      <c r="BD230" s="45"/>
      <c r="BE230" s="46"/>
      <c r="BF230" s="45"/>
      <c r="BG230" s="46"/>
      <c r="BH230" s="45"/>
      <c r="BI230" s="46"/>
      <c r="BJ230" s="45"/>
      <c r="BK230" s="46"/>
    </row>
    <row r="231" spans="1:63" ht="13" x14ac:dyDescent="0.25">
      <c r="A231" s="372">
        <v>3406</v>
      </c>
      <c r="B231" s="373" t="s">
        <v>752</v>
      </c>
      <c r="C231" s="360">
        <v>1455</v>
      </c>
      <c r="D231" s="54">
        <v>806</v>
      </c>
      <c r="E231" s="367">
        <v>0.63911439114391144</v>
      </c>
      <c r="F231" s="45">
        <v>351</v>
      </c>
      <c r="G231" s="58">
        <v>452</v>
      </c>
      <c r="H231" s="45">
        <v>408</v>
      </c>
      <c r="I231" s="57">
        <v>380</v>
      </c>
      <c r="J231" s="97"/>
      <c r="K231" s="58"/>
      <c r="L231" s="45"/>
      <c r="M231" s="57"/>
      <c r="N231" s="97"/>
      <c r="O231" s="58"/>
      <c r="P231" s="165"/>
      <c r="Q231" s="166"/>
      <c r="R231" s="97"/>
      <c r="S231" s="58"/>
      <c r="T231" s="45"/>
      <c r="U231" s="57"/>
      <c r="V231" s="207"/>
      <c r="W231" s="170"/>
      <c r="X231" s="165"/>
      <c r="Y231" s="166"/>
      <c r="Z231" s="207"/>
      <c r="AA231" s="170"/>
      <c r="AB231" s="165"/>
      <c r="AC231" s="166"/>
      <c r="AD231" s="207"/>
      <c r="AE231" s="170"/>
      <c r="AF231" s="165"/>
      <c r="AG231" s="166"/>
      <c r="AH231" s="207"/>
      <c r="AI231" s="170"/>
      <c r="AJ231" s="165"/>
      <c r="AK231" s="166"/>
      <c r="AL231" s="207"/>
      <c r="AM231" s="170"/>
      <c r="AN231" s="165"/>
      <c r="AO231" s="166"/>
      <c r="AP231" s="207">
        <v>462</v>
      </c>
      <c r="AQ231" s="170">
        <v>320</v>
      </c>
      <c r="AR231" s="45">
        <v>319</v>
      </c>
      <c r="AS231" s="57">
        <v>457</v>
      </c>
      <c r="AT231" s="207"/>
      <c r="AU231" s="170"/>
      <c r="AV231" s="190"/>
      <c r="AW231" s="166"/>
      <c r="AX231" s="208"/>
      <c r="AY231" s="170"/>
      <c r="AZ231" s="45"/>
      <c r="BA231" s="58"/>
      <c r="BB231" s="45"/>
      <c r="BC231" s="46"/>
      <c r="BD231" s="45"/>
      <c r="BE231" s="46"/>
      <c r="BF231" s="45"/>
      <c r="BG231" s="46"/>
      <c r="BH231" s="45"/>
      <c r="BI231" s="46"/>
      <c r="BJ231" s="45"/>
      <c r="BK231" s="46"/>
    </row>
    <row r="232" spans="1:63" ht="13" x14ac:dyDescent="0.25">
      <c r="A232" s="372">
        <v>3407</v>
      </c>
      <c r="B232" s="373" t="s">
        <v>803</v>
      </c>
      <c r="C232" s="360">
        <v>591</v>
      </c>
      <c r="D232" s="54">
        <v>307</v>
      </c>
      <c r="E232" s="367">
        <v>0.58754863813229574</v>
      </c>
      <c r="F232" s="45">
        <v>135</v>
      </c>
      <c r="G232" s="58">
        <v>169</v>
      </c>
      <c r="H232" s="45">
        <v>181</v>
      </c>
      <c r="I232" s="57">
        <v>126</v>
      </c>
      <c r="J232" s="97"/>
      <c r="K232" s="58"/>
      <c r="L232" s="45"/>
      <c r="M232" s="57"/>
      <c r="N232" s="97"/>
      <c r="O232" s="58"/>
      <c r="P232" s="165"/>
      <c r="Q232" s="166"/>
      <c r="R232" s="97"/>
      <c r="S232" s="58"/>
      <c r="T232" s="45"/>
      <c r="U232" s="57"/>
      <c r="V232" s="207"/>
      <c r="W232" s="170"/>
      <c r="X232" s="165"/>
      <c r="Y232" s="166"/>
      <c r="Z232" s="207"/>
      <c r="AA232" s="170"/>
      <c r="AB232" s="165"/>
      <c r="AC232" s="166"/>
      <c r="AD232" s="207"/>
      <c r="AE232" s="170"/>
      <c r="AF232" s="165"/>
      <c r="AG232" s="166"/>
      <c r="AH232" s="207"/>
      <c r="AI232" s="170"/>
      <c r="AJ232" s="165"/>
      <c r="AK232" s="166"/>
      <c r="AL232" s="207"/>
      <c r="AM232" s="170"/>
      <c r="AN232" s="165"/>
      <c r="AO232" s="166"/>
      <c r="AP232" s="207">
        <v>171</v>
      </c>
      <c r="AQ232" s="170">
        <v>134</v>
      </c>
      <c r="AR232" s="45">
        <v>126</v>
      </c>
      <c r="AS232" s="57">
        <v>179</v>
      </c>
      <c r="AT232" s="207"/>
      <c r="AU232" s="170"/>
      <c r="AV232" s="190"/>
      <c r="AW232" s="166"/>
      <c r="AX232" s="208"/>
      <c r="AY232" s="170"/>
      <c r="AZ232" s="45"/>
      <c r="BA232" s="58"/>
      <c r="BB232" s="45"/>
      <c r="BC232" s="46"/>
      <c r="BD232" s="45"/>
      <c r="BE232" s="46"/>
      <c r="BF232" s="45"/>
      <c r="BG232" s="46"/>
      <c r="BH232" s="45"/>
      <c r="BI232" s="46"/>
      <c r="BJ232" s="45"/>
      <c r="BK232" s="46"/>
    </row>
    <row r="233" spans="1:63" ht="13" x14ac:dyDescent="0.25">
      <c r="A233" s="372">
        <v>3501</v>
      </c>
      <c r="B233" s="373" t="s">
        <v>356</v>
      </c>
      <c r="C233" s="360">
        <v>703</v>
      </c>
      <c r="D233" s="54">
        <v>430</v>
      </c>
      <c r="E233" s="367">
        <v>0.68226950354609928</v>
      </c>
      <c r="F233" s="45">
        <v>267</v>
      </c>
      <c r="G233" s="58">
        <v>162</v>
      </c>
      <c r="H233" s="45">
        <v>214</v>
      </c>
      <c r="I233" s="57">
        <v>204</v>
      </c>
      <c r="J233" s="97"/>
      <c r="K233" s="58"/>
      <c r="L233" s="45"/>
      <c r="M233" s="57"/>
      <c r="N233" s="97"/>
      <c r="O233" s="58"/>
      <c r="P233" s="165"/>
      <c r="Q233" s="166"/>
      <c r="R233" s="207"/>
      <c r="S233" s="170"/>
      <c r="T233" s="165"/>
      <c r="U233" s="166"/>
      <c r="V233" s="207"/>
      <c r="W233" s="170"/>
      <c r="X233" s="165"/>
      <c r="Y233" s="166"/>
      <c r="Z233" s="207"/>
      <c r="AA233" s="170"/>
      <c r="AB233" s="165"/>
      <c r="AC233" s="166"/>
      <c r="AD233" s="207"/>
      <c r="AE233" s="170"/>
      <c r="AF233" s="165"/>
      <c r="AG233" s="166"/>
      <c r="AH233" s="207"/>
      <c r="AI233" s="170"/>
      <c r="AJ233" s="165"/>
      <c r="AK233" s="166"/>
      <c r="AL233" s="207"/>
      <c r="AM233" s="170"/>
      <c r="AN233" s="165"/>
      <c r="AO233" s="166"/>
      <c r="AP233" s="207">
        <v>285</v>
      </c>
      <c r="AQ233" s="170">
        <v>139</v>
      </c>
      <c r="AR233" s="165">
        <v>222</v>
      </c>
      <c r="AS233" s="166">
        <v>199</v>
      </c>
      <c r="AT233" s="207"/>
      <c r="AU233" s="170"/>
      <c r="AV233" s="190"/>
      <c r="AW233" s="166"/>
      <c r="AX233" s="208"/>
      <c r="AY233" s="170"/>
      <c r="AZ233" s="45"/>
      <c r="BA233" s="58"/>
      <c r="BB233" s="199"/>
      <c r="BC233" s="200"/>
      <c r="BD233" s="199"/>
      <c r="BE233" s="200"/>
      <c r="BF233" s="199"/>
      <c r="BG233" s="200"/>
      <c r="BH233" s="199"/>
      <c r="BI233" s="200"/>
      <c r="BJ233" s="199"/>
      <c r="BK233" s="200"/>
    </row>
    <row r="234" spans="1:63" ht="13" x14ac:dyDescent="0.25">
      <c r="A234" s="372">
        <v>3502</v>
      </c>
      <c r="B234" s="373" t="s">
        <v>357</v>
      </c>
      <c r="C234" s="360">
        <v>1179</v>
      </c>
      <c r="D234" s="54">
        <v>695</v>
      </c>
      <c r="E234" s="367">
        <v>0.68523206751054855</v>
      </c>
      <c r="F234" s="45">
        <v>397</v>
      </c>
      <c r="G234" s="58">
        <v>292</v>
      </c>
      <c r="H234" s="45">
        <v>351</v>
      </c>
      <c r="I234" s="57">
        <v>332</v>
      </c>
      <c r="J234" s="97"/>
      <c r="K234" s="58"/>
      <c r="L234" s="45"/>
      <c r="M234" s="57"/>
      <c r="N234" s="97"/>
      <c r="O234" s="58"/>
      <c r="P234" s="165"/>
      <c r="Q234" s="166"/>
      <c r="R234" s="207"/>
      <c r="S234" s="170"/>
      <c r="T234" s="165"/>
      <c r="U234" s="166"/>
      <c r="V234" s="207"/>
      <c r="W234" s="170"/>
      <c r="X234" s="165"/>
      <c r="Y234" s="166"/>
      <c r="Z234" s="207"/>
      <c r="AA234" s="170"/>
      <c r="AB234" s="165"/>
      <c r="AC234" s="166"/>
      <c r="AD234" s="207"/>
      <c r="AE234" s="170"/>
      <c r="AF234" s="165"/>
      <c r="AG234" s="166"/>
      <c r="AH234" s="207"/>
      <c r="AI234" s="170"/>
      <c r="AJ234" s="165"/>
      <c r="AK234" s="166"/>
      <c r="AL234" s="207"/>
      <c r="AM234" s="170"/>
      <c r="AN234" s="165"/>
      <c r="AO234" s="166"/>
      <c r="AP234" s="207">
        <v>488</v>
      </c>
      <c r="AQ234" s="170">
        <v>192</v>
      </c>
      <c r="AR234" s="165">
        <v>349</v>
      </c>
      <c r="AS234" s="166">
        <v>330</v>
      </c>
      <c r="AT234" s="207"/>
      <c r="AU234" s="170"/>
      <c r="AV234" s="190"/>
      <c r="AW234" s="166"/>
      <c r="AX234" s="208"/>
      <c r="AY234" s="170"/>
      <c r="AZ234" s="45"/>
      <c r="BA234" s="58"/>
      <c r="BB234" s="199"/>
      <c r="BC234" s="200"/>
      <c r="BD234" s="199"/>
      <c r="BE234" s="200"/>
      <c r="BF234" s="199"/>
      <c r="BG234" s="200"/>
      <c r="BH234" s="199"/>
      <c r="BI234" s="200"/>
      <c r="BJ234" s="199"/>
      <c r="BK234" s="200"/>
    </row>
    <row r="235" spans="1:63" ht="13" x14ac:dyDescent="0.25">
      <c r="A235" s="372">
        <v>3503</v>
      </c>
      <c r="B235" s="373" t="s">
        <v>358</v>
      </c>
      <c r="C235" s="360">
        <v>874</v>
      </c>
      <c r="D235" s="54">
        <v>521</v>
      </c>
      <c r="E235" s="367">
        <v>0.68934240362811794</v>
      </c>
      <c r="F235" s="45">
        <v>333</v>
      </c>
      <c r="G235" s="58">
        <v>185</v>
      </c>
      <c r="H235" s="45">
        <v>236</v>
      </c>
      <c r="I235" s="57">
        <v>272</v>
      </c>
      <c r="J235" s="97"/>
      <c r="K235" s="58"/>
      <c r="L235" s="45"/>
      <c r="M235" s="57"/>
      <c r="N235" s="97"/>
      <c r="O235" s="58"/>
      <c r="P235" s="165"/>
      <c r="Q235" s="166"/>
      <c r="R235" s="207"/>
      <c r="S235" s="170"/>
      <c r="T235" s="165"/>
      <c r="U235" s="166"/>
      <c r="V235" s="207"/>
      <c r="W235" s="170"/>
      <c r="X235" s="165"/>
      <c r="Y235" s="166"/>
      <c r="Z235" s="207"/>
      <c r="AA235" s="170"/>
      <c r="AB235" s="165"/>
      <c r="AC235" s="166"/>
      <c r="AD235" s="207"/>
      <c r="AE235" s="170"/>
      <c r="AF235" s="165"/>
      <c r="AG235" s="166"/>
      <c r="AH235" s="207"/>
      <c r="AI235" s="170"/>
      <c r="AJ235" s="165"/>
      <c r="AK235" s="166"/>
      <c r="AL235" s="207"/>
      <c r="AM235" s="170"/>
      <c r="AN235" s="165"/>
      <c r="AO235" s="166"/>
      <c r="AP235" s="207">
        <v>381</v>
      </c>
      <c r="AQ235" s="170">
        <v>129</v>
      </c>
      <c r="AR235" s="165">
        <v>267</v>
      </c>
      <c r="AS235" s="166">
        <v>246</v>
      </c>
      <c r="AT235" s="207"/>
      <c r="AU235" s="170"/>
      <c r="AV235" s="190"/>
      <c r="AW235" s="166"/>
      <c r="AX235" s="208"/>
      <c r="AY235" s="170"/>
      <c r="AZ235" s="45"/>
      <c r="BA235" s="58"/>
      <c r="BB235" s="199"/>
      <c r="BC235" s="200"/>
      <c r="BD235" s="199"/>
      <c r="BE235" s="200"/>
      <c r="BF235" s="199"/>
      <c r="BG235" s="200"/>
      <c r="BH235" s="199"/>
      <c r="BI235" s="200"/>
      <c r="BJ235" s="199"/>
      <c r="BK235" s="200"/>
    </row>
    <row r="236" spans="1:63" ht="13" x14ac:dyDescent="0.25">
      <c r="A236" s="372">
        <v>3504</v>
      </c>
      <c r="B236" s="373" t="s">
        <v>359</v>
      </c>
      <c r="C236" s="360">
        <v>721</v>
      </c>
      <c r="D236" s="54">
        <v>429</v>
      </c>
      <c r="E236" s="367">
        <v>0.65040650406504064</v>
      </c>
      <c r="F236" s="45">
        <v>267</v>
      </c>
      <c r="G236" s="58">
        <v>160</v>
      </c>
      <c r="H236" s="45">
        <v>218</v>
      </c>
      <c r="I236" s="57">
        <v>205</v>
      </c>
      <c r="J236" s="97"/>
      <c r="K236" s="58"/>
      <c r="L236" s="45"/>
      <c r="M236" s="57"/>
      <c r="N236" s="97"/>
      <c r="O236" s="58"/>
      <c r="P236" s="165"/>
      <c r="Q236" s="166"/>
      <c r="R236" s="207"/>
      <c r="S236" s="170"/>
      <c r="T236" s="165"/>
      <c r="U236" s="166"/>
      <c r="V236" s="207"/>
      <c r="W236" s="170"/>
      <c r="X236" s="165"/>
      <c r="Y236" s="166"/>
      <c r="Z236" s="207"/>
      <c r="AA236" s="170"/>
      <c r="AB236" s="165"/>
      <c r="AC236" s="166"/>
      <c r="AD236" s="207"/>
      <c r="AE236" s="170"/>
      <c r="AF236" s="165"/>
      <c r="AG236" s="166"/>
      <c r="AH236" s="207"/>
      <c r="AI236" s="170"/>
      <c r="AJ236" s="165"/>
      <c r="AK236" s="166"/>
      <c r="AL236" s="207"/>
      <c r="AM236" s="170"/>
      <c r="AN236" s="165"/>
      <c r="AO236" s="166"/>
      <c r="AP236" s="207">
        <v>275</v>
      </c>
      <c r="AQ236" s="170">
        <v>145</v>
      </c>
      <c r="AR236" s="165">
        <v>213</v>
      </c>
      <c r="AS236" s="166">
        <v>207</v>
      </c>
      <c r="AT236" s="207"/>
      <c r="AU236" s="170"/>
      <c r="AV236" s="190"/>
      <c r="AW236" s="166"/>
      <c r="AX236" s="208"/>
      <c r="AY236" s="170"/>
      <c r="AZ236" s="45"/>
      <c r="BA236" s="58"/>
      <c r="BB236" s="199"/>
      <c r="BC236" s="200"/>
      <c r="BD236" s="199"/>
      <c r="BE236" s="200"/>
      <c r="BF236" s="199"/>
      <c r="BG236" s="200"/>
      <c r="BH236" s="199"/>
      <c r="BI236" s="200"/>
      <c r="BJ236" s="199"/>
      <c r="BK236" s="200"/>
    </row>
    <row r="237" spans="1:63" ht="13" x14ac:dyDescent="0.25">
      <c r="A237" s="372">
        <v>3505</v>
      </c>
      <c r="B237" s="373" t="s">
        <v>360</v>
      </c>
      <c r="C237" s="360">
        <v>1073</v>
      </c>
      <c r="D237" s="54">
        <v>565</v>
      </c>
      <c r="E237" s="367">
        <v>0.63409961685823757</v>
      </c>
      <c r="F237" s="45">
        <v>349</v>
      </c>
      <c r="G237" s="58">
        <v>212</v>
      </c>
      <c r="H237" s="45">
        <v>293</v>
      </c>
      <c r="I237" s="57">
        <v>257</v>
      </c>
      <c r="J237" s="97"/>
      <c r="K237" s="58"/>
      <c r="L237" s="45"/>
      <c r="M237" s="57"/>
      <c r="N237" s="97"/>
      <c r="O237" s="58"/>
      <c r="P237" s="165"/>
      <c r="Q237" s="166"/>
      <c r="R237" s="207"/>
      <c r="S237" s="170"/>
      <c r="T237" s="165"/>
      <c r="U237" s="166"/>
      <c r="V237" s="207"/>
      <c r="W237" s="170"/>
      <c r="X237" s="165"/>
      <c r="Y237" s="166"/>
      <c r="Z237" s="207"/>
      <c r="AA237" s="170"/>
      <c r="AB237" s="165"/>
      <c r="AC237" s="166"/>
      <c r="AD237" s="207"/>
      <c r="AE237" s="170"/>
      <c r="AF237" s="165"/>
      <c r="AG237" s="166"/>
      <c r="AH237" s="207"/>
      <c r="AI237" s="170"/>
      <c r="AJ237" s="165"/>
      <c r="AK237" s="166"/>
      <c r="AL237" s="207"/>
      <c r="AM237" s="170"/>
      <c r="AN237" s="165"/>
      <c r="AO237" s="166"/>
      <c r="AP237" s="207">
        <v>346</v>
      </c>
      <c r="AQ237" s="170">
        <v>203</v>
      </c>
      <c r="AR237" s="165">
        <v>262</v>
      </c>
      <c r="AS237" s="166">
        <v>290</v>
      </c>
      <c r="AT237" s="207"/>
      <c r="AU237" s="170"/>
      <c r="AV237" s="190"/>
      <c r="AW237" s="166"/>
      <c r="AX237" s="208"/>
      <c r="AY237" s="170"/>
      <c r="AZ237" s="45"/>
      <c r="BA237" s="58"/>
      <c r="BB237" s="199"/>
      <c r="BC237" s="200"/>
      <c r="BD237" s="199"/>
      <c r="BE237" s="200"/>
      <c r="BF237" s="199"/>
      <c r="BG237" s="200"/>
      <c r="BH237" s="199"/>
      <c r="BI237" s="200"/>
      <c r="BJ237" s="199"/>
      <c r="BK237" s="200"/>
    </row>
    <row r="238" spans="1:63" ht="13" x14ac:dyDescent="0.25">
      <c r="A238" s="372">
        <v>3506</v>
      </c>
      <c r="B238" s="373" t="s">
        <v>361</v>
      </c>
      <c r="C238" s="360">
        <v>712</v>
      </c>
      <c r="D238" s="54">
        <v>439</v>
      </c>
      <c r="E238" s="367">
        <v>0.68076398362892221</v>
      </c>
      <c r="F238" s="45">
        <v>268</v>
      </c>
      <c r="G238" s="58">
        <v>165</v>
      </c>
      <c r="H238" s="45">
        <v>246</v>
      </c>
      <c r="I238" s="57">
        <v>186</v>
      </c>
      <c r="J238" s="97"/>
      <c r="K238" s="58"/>
      <c r="L238" s="45"/>
      <c r="M238" s="57"/>
      <c r="N238" s="97"/>
      <c r="O238" s="58"/>
      <c r="P238" s="165"/>
      <c r="Q238" s="166"/>
      <c r="R238" s="207"/>
      <c r="S238" s="170"/>
      <c r="T238" s="165"/>
      <c r="U238" s="166"/>
      <c r="V238" s="207"/>
      <c r="W238" s="170"/>
      <c r="X238" s="165"/>
      <c r="Y238" s="166"/>
      <c r="Z238" s="207"/>
      <c r="AA238" s="170"/>
      <c r="AB238" s="165"/>
      <c r="AC238" s="166"/>
      <c r="AD238" s="207"/>
      <c r="AE238" s="170"/>
      <c r="AF238" s="165"/>
      <c r="AG238" s="166"/>
      <c r="AH238" s="207"/>
      <c r="AI238" s="170"/>
      <c r="AJ238" s="165"/>
      <c r="AK238" s="166"/>
      <c r="AL238" s="207"/>
      <c r="AM238" s="170"/>
      <c r="AN238" s="165"/>
      <c r="AO238" s="166"/>
      <c r="AP238" s="207">
        <v>304</v>
      </c>
      <c r="AQ238" s="170">
        <v>130</v>
      </c>
      <c r="AR238" s="165">
        <v>222</v>
      </c>
      <c r="AS238" s="166">
        <v>208</v>
      </c>
      <c r="AT238" s="207"/>
      <c r="AU238" s="170"/>
      <c r="AV238" s="190"/>
      <c r="AW238" s="166"/>
      <c r="AX238" s="208"/>
      <c r="AY238" s="170"/>
      <c r="AZ238" s="45"/>
      <c r="BA238" s="58"/>
      <c r="BB238" s="199"/>
      <c r="BC238" s="200"/>
      <c r="BD238" s="199"/>
      <c r="BE238" s="200"/>
      <c r="BF238" s="199"/>
      <c r="BG238" s="200"/>
      <c r="BH238" s="199"/>
      <c r="BI238" s="200"/>
      <c r="BJ238" s="199"/>
      <c r="BK238" s="200"/>
    </row>
    <row r="239" spans="1:63" ht="13" x14ac:dyDescent="0.25">
      <c r="A239" s="372">
        <v>3701</v>
      </c>
      <c r="B239" s="373" t="s">
        <v>362</v>
      </c>
      <c r="C239" s="360">
        <v>742</v>
      </c>
      <c r="D239" s="54">
        <v>503</v>
      </c>
      <c r="E239" s="367">
        <v>0.74967061923583667</v>
      </c>
      <c r="F239" s="45">
        <v>289</v>
      </c>
      <c r="G239" s="58">
        <v>212</v>
      </c>
      <c r="H239" s="45">
        <v>281</v>
      </c>
      <c r="I239" s="57">
        <v>208</v>
      </c>
      <c r="J239" s="97"/>
      <c r="K239" s="58"/>
      <c r="L239" s="45"/>
      <c r="M239" s="57"/>
      <c r="N239" s="97"/>
      <c r="O239" s="58"/>
      <c r="P239" s="165"/>
      <c r="Q239" s="166"/>
      <c r="R239" s="207"/>
      <c r="S239" s="170"/>
      <c r="T239" s="165"/>
      <c r="U239" s="166"/>
      <c r="V239" s="207"/>
      <c r="W239" s="170"/>
      <c r="X239" s="165"/>
      <c r="Y239" s="166"/>
      <c r="Z239" s="207"/>
      <c r="AA239" s="170"/>
      <c r="AB239" s="165"/>
      <c r="AC239" s="166"/>
      <c r="AD239" s="207"/>
      <c r="AE239" s="170"/>
      <c r="AF239" s="165"/>
      <c r="AG239" s="166"/>
      <c r="AH239" s="207"/>
      <c r="AI239" s="170"/>
      <c r="AJ239" s="165"/>
      <c r="AK239" s="166"/>
      <c r="AL239" s="207"/>
      <c r="AM239" s="170"/>
      <c r="AN239" s="165"/>
      <c r="AO239" s="166"/>
      <c r="AP239" s="207">
        <v>325</v>
      </c>
      <c r="AQ239" s="170">
        <v>164</v>
      </c>
      <c r="AR239" s="165">
        <v>247</v>
      </c>
      <c r="AS239" s="166">
        <v>245</v>
      </c>
      <c r="AT239" s="207"/>
      <c r="AU239" s="170"/>
      <c r="AV239" s="190"/>
      <c r="AW239" s="166"/>
      <c r="AX239" s="208"/>
      <c r="AY239" s="170"/>
      <c r="AZ239" s="45"/>
      <c r="BA239" s="58"/>
      <c r="BB239" s="199"/>
      <c r="BC239" s="200"/>
      <c r="BD239" s="199"/>
      <c r="BE239" s="200"/>
      <c r="BF239" s="199"/>
      <c r="BG239" s="200"/>
      <c r="BH239" s="199"/>
      <c r="BI239" s="200"/>
      <c r="BJ239" s="199"/>
      <c r="BK239" s="200"/>
    </row>
    <row r="240" spans="1:63" ht="13" x14ac:dyDescent="0.25">
      <c r="A240" s="372">
        <v>3702</v>
      </c>
      <c r="B240" s="373" t="s">
        <v>363</v>
      </c>
      <c r="C240" s="360">
        <v>1507</v>
      </c>
      <c r="D240" s="54">
        <v>714</v>
      </c>
      <c r="E240" s="367">
        <v>0.52211796246648789</v>
      </c>
      <c r="F240" s="45">
        <v>439</v>
      </c>
      <c r="G240" s="58">
        <v>269</v>
      </c>
      <c r="H240" s="45">
        <v>487</v>
      </c>
      <c r="I240" s="57">
        <v>220</v>
      </c>
      <c r="J240" s="97"/>
      <c r="K240" s="58"/>
      <c r="L240" s="45"/>
      <c r="M240" s="57"/>
      <c r="N240" s="97"/>
      <c r="O240" s="58"/>
      <c r="P240" s="165"/>
      <c r="Q240" s="166"/>
      <c r="R240" s="207"/>
      <c r="S240" s="170"/>
      <c r="T240" s="165"/>
      <c r="U240" s="166"/>
      <c r="V240" s="207"/>
      <c r="W240" s="170"/>
      <c r="X240" s="165"/>
      <c r="Y240" s="166"/>
      <c r="Z240" s="207"/>
      <c r="AA240" s="170"/>
      <c r="AB240" s="165"/>
      <c r="AC240" s="166"/>
      <c r="AD240" s="207"/>
      <c r="AE240" s="170"/>
      <c r="AF240" s="165"/>
      <c r="AG240" s="166"/>
      <c r="AH240" s="207"/>
      <c r="AI240" s="170"/>
      <c r="AJ240" s="165"/>
      <c r="AK240" s="166"/>
      <c r="AL240" s="207"/>
      <c r="AM240" s="170"/>
      <c r="AN240" s="165"/>
      <c r="AO240" s="166"/>
      <c r="AP240" s="207">
        <v>447</v>
      </c>
      <c r="AQ240" s="170">
        <v>253</v>
      </c>
      <c r="AR240" s="165">
        <v>361</v>
      </c>
      <c r="AS240" s="166">
        <v>341</v>
      </c>
      <c r="AT240" s="207"/>
      <c r="AU240" s="170"/>
      <c r="AV240" s="190"/>
      <c r="AW240" s="166"/>
      <c r="AX240" s="208"/>
      <c r="AY240" s="170"/>
      <c r="AZ240" s="45"/>
      <c r="BA240" s="58"/>
      <c r="BB240" s="199"/>
      <c r="BC240" s="200"/>
      <c r="BD240" s="199"/>
      <c r="BE240" s="200"/>
      <c r="BF240" s="199"/>
      <c r="BG240" s="200"/>
      <c r="BH240" s="199"/>
      <c r="BI240" s="200"/>
      <c r="BJ240" s="199"/>
      <c r="BK240" s="200"/>
    </row>
    <row r="241" spans="1:63" ht="13" x14ac:dyDescent="0.25">
      <c r="A241" s="372">
        <v>3703</v>
      </c>
      <c r="B241" s="373" t="s">
        <v>364</v>
      </c>
      <c r="C241" s="360">
        <v>1089</v>
      </c>
      <c r="D241" s="54">
        <v>594</v>
      </c>
      <c r="E241" s="367">
        <v>0.6082568807339449</v>
      </c>
      <c r="F241" s="45">
        <v>346</v>
      </c>
      <c r="G241" s="58">
        <v>243</v>
      </c>
      <c r="H241" s="45">
        <v>358</v>
      </c>
      <c r="I241" s="57">
        <v>225</v>
      </c>
      <c r="J241" s="97"/>
      <c r="K241" s="58"/>
      <c r="L241" s="45"/>
      <c r="M241" s="57"/>
      <c r="N241" s="97"/>
      <c r="O241" s="58"/>
      <c r="P241" s="165"/>
      <c r="Q241" s="166"/>
      <c r="R241" s="207"/>
      <c r="S241" s="170"/>
      <c r="T241" s="165"/>
      <c r="U241" s="166"/>
      <c r="V241" s="207"/>
      <c r="W241" s="170"/>
      <c r="X241" s="165"/>
      <c r="Y241" s="166"/>
      <c r="Z241" s="207"/>
      <c r="AA241" s="170"/>
      <c r="AB241" s="165"/>
      <c r="AC241" s="166"/>
      <c r="AD241" s="207"/>
      <c r="AE241" s="170"/>
      <c r="AF241" s="165"/>
      <c r="AG241" s="166"/>
      <c r="AH241" s="207"/>
      <c r="AI241" s="170"/>
      <c r="AJ241" s="165"/>
      <c r="AK241" s="166"/>
      <c r="AL241" s="207"/>
      <c r="AM241" s="170"/>
      <c r="AN241" s="165"/>
      <c r="AO241" s="166"/>
      <c r="AP241" s="207">
        <v>368</v>
      </c>
      <c r="AQ241" s="170">
        <v>208</v>
      </c>
      <c r="AR241" s="165">
        <v>313</v>
      </c>
      <c r="AS241" s="166">
        <v>262</v>
      </c>
      <c r="AT241" s="207"/>
      <c r="AU241" s="170"/>
      <c r="AV241" s="190"/>
      <c r="AW241" s="166"/>
      <c r="AX241" s="208"/>
      <c r="AY241" s="170"/>
      <c r="AZ241" s="45"/>
      <c r="BA241" s="58"/>
      <c r="BB241" s="45"/>
      <c r="BC241" s="46"/>
      <c r="BD241" s="45"/>
      <c r="BE241" s="46"/>
      <c r="BF241" s="45"/>
      <c r="BG241" s="46"/>
      <c r="BH241" s="45"/>
      <c r="BI241" s="46"/>
      <c r="BJ241" s="45"/>
      <c r="BK241" s="46"/>
    </row>
    <row r="242" spans="1:63" ht="13" x14ac:dyDescent="0.25">
      <c r="A242" s="372">
        <v>3704</v>
      </c>
      <c r="B242" s="373" t="s">
        <v>365</v>
      </c>
      <c r="C242" s="360">
        <v>1008</v>
      </c>
      <c r="D242" s="54">
        <v>441</v>
      </c>
      <c r="E242" s="367">
        <v>0.47614314115308148</v>
      </c>
      <c r="F242" s="45">
        <v>272</v>
      </c>
      <c r="G242" s="58">
        <v>167</v>
      </c>
      <c r="H242" s="45">
        <v>315</v>
      </c>
      <c r="I242" s="57">
        <v>120</v>
      </c>
      <c r="J242" s="97"/>
      <c r="K242" s="58"/>
      <c r="L242" s="45"/>
      <c r="M242" s="57"/>
      <c r="N242" s="97"/>
      <c r="O242" s="58"/>
      <c r="P242" s="165"/>
      <c r="Q242" s="166"/>
      <c r="R242" s="207"/>
      <c r="S242" s="170"/>
      <c r="T242" s="165"/>
      <c r="U242" s="166"/>
      <c r="V242" s="207"/>
      <c r="W242" s="170"/>
      <c r="X242" s="165"/>
      <c r="Y242" s="166"/>
      <c r="Z242" s="207"/>
      <c r="AA242" s="170"/>
      <c r="AB242" s="165"/>
      <c r="AC242" s="166"/>
      <c r="AD242" s="207"/>
      <c r="AE242" s="170"/>
      <c r="AF242" s="165"/>
      <c r="AG242" s="166"/>
      <c r="AH242" s="207"/>
      <c r="AI242" s="170"/>
      <c r="AJ242" s="165"/>
      <c r="AK242" s="166"/>
      <c r="AL242" s="207"/>
      <c r="AM242" s="170"/>
      <c r="AN242" s="165"/>
      <c r="AO242" s="166"/>
      <c r="AP242" s="207">
        <v>280</v>
      </c>
      <c r="AQ242" s="170">
        <v>153</v>
      </c>
      <c r="AR242" s="165">
        <v>218</v>
      </c>
      <c r="AS242" s="166">
        <v>210</v>
      </c>
      <c r="AT242" s="207"/>
      <c r="AU242" s="170"/>
      <c r="AV242" s="190"/>
      <c r="AW242" s="166"/>
      <c r="AX242" s="208"/>
      <c r="AY242" s="170"/>
      <c r="AZ242" s="45"/>
      <c r="BA242" s="58"/>
      <c r="BB242" s="45"/>
      <c r="BC242" s="46"/>
      <c r="BD242" s="45"/>
      <c r="BE242" s="46"/>
      <c r="BF242" s="45"/>
      <c r="BG242" s="46"/>
      <c r="BH242" s="45"/>
      <c r="BI242" s="46"/>
      <c r="BJ242" s="45"/>
      <c r="BK242" s="46"/>
    </row>
    <row r="243" spans="1:63" ht="13" x14ac:dyDescent="0.25">
      <c r="A243" s="372">
        <v>3705</v>
      </c>
      <c r="B243" s="373" t="s">
        <v>366</v>
      </c>
      <c r="C243" s="360">
        <v>1008</v>
      </c>
      <c r="D243" s="54">
        <v>625</v>
      </c>
      <c r="E243" s="367">
        <v>0.66260162601626016</v>
      </c>
      <c r="F243" s="45">
        <v>356</v>
      </c>
      <c r="G243" s="58">
        <v>259</v>
      </c>
      <c r="H243" s="45">
        <v>381</v>
      </c>
      <c r="I243" s="57">
        <v>239</v>
      </c>
      <c r="J243" s="97"/>
      <c r="K243" s="58"/>
      <c r="L243" s="45"/>
      <c r="M243" s="57"/>
      <c r="N243" s="97"/>
      <c r="O243" s="58"/>
      <c r="P243" s="165"/>
      <c r="Q243" s="166"/>
      <c r="R243" s="207"/>
      <c r="S243" s="170"/>
      <c r="T243" s="165"/>
      <c r="U243" s="166"/>
      <c r="V243" s="207"/>
      <c r="W243" s="170"/>
      <c r="X243" s="165"/>
      <c r="Y243" s="166"/>
      <c r="Z243" s="207"/>
      <c r="AA243" s="170"/>
      <c r="AB243" s="165"/>
      <c r="AC243" s="166"/>
      <c r="AD243" s="207"/>
      <c r="AE243" s="170"/>
      <c r="AF243" s="165"/>
      <c r="AG243" s="166"/>
      <c r="AH243" s="207"/>
      <c r="AI243" s="170"/>
      <c r="AJ243" s="165"/>
      <c r="AK243" s="166"/>
      <c r="AL243" s="207"/>
      <c r="AM243" s="170"/>
      <c r="AN243" s="165"/>
      <c r="AO243" s="166"/>
      <c r="AP243" s="207">
        <v>393</v>
      </c>
      <c r="AQ243" s="170">
        <v>216</v>
      </c>
      <c r="AR243" s="165">
        <v>310</v>
      </c>
      <c r="AS243" s="166">
        <v>298</v>
      </c>
      <c r="AT243" s="207"/>
      <c r="AU243" s="170"/>
      <c r="AV243" s="190"/>
      <c r="AW243" s="166"/>
      <c r="AX243" s="208"/>
      <c r="AY243" s="170"/>
      <c r="AZ243" s="45"/>
      <c r="BA243" s="58"/>
      <c r="BB243" s="45"/>
      <c r="BC243" s="46"/>
      <c r="BD243" s="45"/>
      <c r="BE243" s="46"/>
      <c r="BF243" s="45"/>
      <c r="BG243" s="46"/>
      <c r="BH243" s="45"/>
      <c r="BI243" s="46"/>
      <c r="BJ243" s="45"/>
      <c r="BK243" s="46"/>
    </row>
    <row r="244" spans="1:63" ht="13" x14ac:dyDescent="0.25">
      <c r="A244" s="372">
        <v>3706</v>
      </c>
      <c r="B244" s="373" t="s">
        <v>367</v>
      </c>
      <c r="C244" s="360">
        <v>782</v>
      </c>
      <c r="D244" s="54">
        <v>454</v>
      </c>
      <c r="E244" s="367">
        <v>0.62709677419354837</v>
      </c>
      <c r="F244" s="45">
        <v>286</v>
      </c>
      <c r="G244" s="58">
        <v>166</v>
      </c>
      <c r="H244" s="45">
        <v>291</v>
      </c>
      <c r="I244" s="57">
        <v>153</v>
      </c>
      <c r="J244" s="97"/>
      <c r="K244" s="58"/>
      <c r="L244" s="45"/>
      <c r="M244" s="57"/>
      <c r="N244" s="97"/>
      <c r="O244" s="58"/>
      <c r="P244" s="165"/>
      <c r="Q244" s="166"/>
      <c r="R244" s="207"/>
      <c r="S244" s="170"/>
      <c r="T244" s="165"/>
      <c r="U244" s="166"/>
      <c r="V244" s="207"/>
      <c r="W244" s="170"/>
      <c r="X244" s="165"/>
      <c r="Y244" s="166"/>
      <c r="Z244" s="207"/>
      <c r="AA244" s="170"/>
      <c r="AB244" s="165"/>
      <c r="AC244" s="166"/>
      <c r="AD244" s="207"/>
      <c r="AE244" s="170"/>
      <c r="AF244" s="165"/>
      <c r="AG244" s="166"/>
      <c r="AH244" s="207"/>
      <c r="AI244" s="170"/>
      <c r="AJ244" s="165"/>
      <c r="AK244" s="166"/>
      <c r="AL244" s="207"/>
      <c r="AM244" s="170"/>
      <c r="AN244" s="165"/>
      <c r="AO244" s="166"/>
      <c r="AP244" s="207">
        <v>295</v>
      </c>
      <c r="AQ244" s="170">
        <v>151</v>
      </c>
      <c r="AR244" s="165">
        <v>218</v>
      </c>
      <c r="AS244" s="166">
        <v>226</v>
      </c>
      <c r="AT244" s="207"/>
      <c r="AU244" s="170"/>
      <c r="AV244" s="190"/>
      <c r="AW244" s="166"/>
      <c r="AX244" s="208"/>
      <c r="AY244" s="170"/>
      <c r="AZ244" s="45"/>
      <c r="BA244" s="58"/>
      <c r="BB244" s="45"/>
      <c r="BC244" s="46"/>
      <c r="BD244" s="45"/>
      <c r="BE244" s="46"/>
      <c r="BF244" s="45"/>
      <c r="BG244" s="46"/>
      <c r="BH244" s="45"/>
      <c r="BI244" s="46"/>
      <c r="BJ244" s="45"/>
      <c r="BK244" s="46"/>
    </row>
    <row r="245" spans="1:63" ht="13" x14ac:dyDescent="0.25">
      <c r="A245" s="372">
        <v>3707</v>
      </c>
      <c r="B245" s="373" t="s">
        <v>368</v>
      </c>
      <c r="C245" s="360">
        <v>626</v>
      </c>
      <c r="D245" s="54">
        <v>434</v>
      </c>
      <c r="E245" s="367">
        <v>0.7219512195121951</v>
      </c>
      <c r="F245" s="45">
        <v>248</v>
      </c>
      <c r="G245" s="58">
        <v>184</v>
      </c>
      <c r="H245" s="45">
        <v>241</v>
      </c>
      <c r="I245" s="57">
        <v>185</v>
      </c>
      <c r="J245" s="97"/>
      <c r="K245" s="58"/>
      <c r="L245" s="45"/>
      <c r="M245" s="57"/>
      <c r="N245" s="97"/>
      <c r="O245" s="58"/>
      <c r="P245" s="165"/>
      <c r="Q245" s="166"/>
      <c r="R245" s="207"/>
      <c r="S245" s="170"/>
      <c r="T245" s="165"/>
      <c r="U245" s="166"/>
      <c r="V245" s="207"/>
      <c r="W245" s="170"/>
      <c r="X245" s="165"/>
      <c r="Y245" s="166"/>
      <c r="Z245" s="207"/>
      <c r="AA245" s="170"/>
      <c r="AB245" s="165"/>
      <c r="AC245" s="166"/>
      <c r="AD245" s="207"/>
      <c r="AE245" s="170"/>
      <c r="AF245" s="165"/>
      <c r="AG245" s="166"/>
      <c r="AH245" s="207"/>
      <c r="AI245" s="170"/>
      <c r="AJ245" s="165"/>
      <c r="AK245" s="166"/>
      <c r="AL245" s="207"/>
      <c r="AM245" s="170"/>
      <c r="AN245" s="165"/>
      <c r="AO245" s="166"/>
      <c r="AP245" s="207">
        <v>311</v>
      </c>
      <c r="AQ245" s="170">
        <v>116</v>
      </c>
      <c r="AR245" s="165">
        <v>255</v>
      </c>
      <c r="AS245" s="166">
        <v>169</v>
      </c>
      <c r="AT245" s="207"/>
      <c r="AU245" s="170"/>
      <c r="AV245" s="190"/>
      <c r="AW245" s="166"/>
      <c r="AX245" s="208"/>
      <c r="AY245" s="170"/>
      <c r="AZ245" s="45"/>
      <c r="BA245" s="58"/>
      <c r="BB245" s="45"/>
      <c r="BC245" s="46"/>
      <c r="BD245" s="45"/>
      <c r="BE245" s="46"/>
      <c r="BF245" s="45"/>
      <c r="BG245" s="46"/>
      <c r="BH245" s="45"/>
      <c r="BI245" s="46"/>
      <c r="BJ245" s="45"/>
      <c r="BK245" s="46"/>
    </row>
    <row r="246" spans="1:63" ht="13" x14ac:dyDescent="0.25">
      <c r="A246" s="372">
        <v>3801</v>
      </c>
      <c r="B246" s="373" t="s">
        <v>369</v>
      </c>
      <c r="C246" s="360">
        <v>1130</v>
      </c>
      <c r="D246" s="54">
        <v>790</v>
      </c>
      <c r="E246" s="367">
        <v>0.71024734982332161</v>
      </c>
      <c r="F246" s="45">
        <v>521</v>
      </c>
      <c r="G246" s="58">
        <v>262</v>
      </c>
      <c r="H246" s="45">
        <v>492</v>
      </c>
      <c r="I246" s="57">
        <v>271</v>
      </c>
      <c r="J246" s="97"/>
      <c r="K246" s="58"/>
      <c r="L246" s="45"/>
      <c r="M246" s="57"/>
      <c r="N246" s="97"/>
      <c r="O246" s="58"/>
      <c r="P246" s="165"/>
      <c r="Q246" s="166"/>
      <c r="R246" s="207"/>
      <c r="S246" s="170"/>
      <c r="T246" s="165"/>
      <c r="U246" s="166"/>
      <c r="V246" s="207"/>
      <c r="W246" s="170"/>
      <c r="X246" s="165"/>
      <c r="Y246" s="166"/>
      <c r="Z246" s="207"/>
      <c r="AA246" s="170"/>
      <c r="AB246" s="165"/>
      <c r="AC246" s="166"/>
      <c r="AD246" s="207"/>
      <c r="AE246" s="170"/>
      <c r="AF246" s="165"/>
      <c r="AG246" s="166"/>
      <c r="AH246" s="207"/>
      <c r="AI246" s="170"/>
      <c r="AJ246" s="165"/>
      <c r="AK246" s="166"/>
      <c r="AL246" s="207"/>
      <c r="AM246" s="170"/>
      <c r="AN246" s="165"/>
      <c r="AO246" s="166"/>
      <c r="AP246" s="207">
        <v>579</v>
      </c>
      <c r="AQ246" s="170">
        <v>194</v>
      </c>
      <c r="AR246" s="165">
        <v>509</v>
      </c>
      <c r="AS246" s="166">
        <v>270</v>
      </c>
      <c r="AT246" s="207"/>
      <c r="AU246" s="170"/>
      <c r="AV246" s="190"/>
      <c r="AW246" s="166"/>
      <c r="AX246" s="208"/>
      <c r="AY246" s="170"/>
      <c r="AZ246" s="45"/>
      <c r="BA246" s="58"/>
      <c r="BB246" s="45"/>
      <c r="BC246" s="46"/>
      <c r="BD246" s="45"/>
      <c r="BE246" s="46"/>
      <c r="BF246" s="45"/>
      <c r="BG246" s="46"/>
      <c r="BH246" s="45"/>
      <c r="BI246" s="46"/>
      <c r="BJ246" s="45"/>
      <c r="BK246" s="46"/>
    </row>
    <row r="247" spans="1:63" ht="13" x14ac:dyDescent="0.25">
      <c r="A247" s="372">
        <v>3802</v>
      </c>
      <c r="B247" s="373" t="s">
        <v>370</v>
      </c>
      <c r="C247" s="360">
        <v>840</v>
      </c>
      <c r="D247" s="54">
        <v>531</v>
      </c>
      <c r="E247" s="367">
        <v>0.63569682151589246</v>
      </c>
      <c r="F247" s="45">
        <v>304</v>
      </c>
      <c r="G247" s="58">
        <v>223</v>
      </c>
      <c r="H247" s="45">
        <v>301</v>
      </c>
      <c r="I247" s="57">
        <v>215</v>
      </c>
      <c r="J247" s="97"/>
      <c r="K247" s="58"/>
      <c r="L247" s="45"/>
      <c r="M247" s="57"/>
      <c r="N247" s="97"/>
      <c r="O247" s="58"/>
      <c r="P247" s="165"/>
      <c r="Q247" s="166"/>
      <c r="R247" s="207"/>
      <c r="S247" s="170"/>
      <c r="T247" s="165"/>
      <c r="U247" s="166"/>
      <c r="V247" s="207"/>
      <c r="W247" s="170"/>
      <c r="X247" s="165"/>
      <c r="Y247" s="166"/>
      <c r="Z247" s="207"/>
      <c r="AA247" s="170"/>
      <c r="AB247" s="165"/>
      <c r="AC247" s="166"/>
      <c r="AD247" s="207"/>
      <c r="AE247" s="170"/>
      <c r="AF247" s="165"/>
      <c r="AG247" s="166"/>
      <c r="AH247" s="207"/>
      <c r="AI247" s="170"/>
      <c r="AJ247" s="165"/>
      <c r="AK247" s="166"/>
      <c r="AL247" s="207"/>
      <c r="AM247" s="170"/>
      <c r="AN247" s="165"/>
      <c r="AO247" s="166"/>
      <c r="AP247" s="207">
        <v>381</v>
      </c>
      <c r="AQ247" s="170">
        <v>144</v>
      </c>
      <c r="AR247" s="165">
        <v>300</v>
      </c>
      <c r="AS247" s="166">
        <v>223</v>
      </c>
      <c r="AT247" s="207"/>
      <c r="AU247" s="170"/>
      <c r="AV247" s="190"/>
      <c r="AW247" s="166"/>
      <c r="AX247" s="208"/>
      <c r="AY247" s="170"/>
      <c r="AZ247" s="45"/>
      <c r="BA247" s="58"/>
      <c r="BB247" s="45"/>
      <c r="BC247" s="46"/>
      <c r="BD247" s="45"/>
      <c r="BE247" s="46"/>
      <c r="BF247" s="45"/>
      <c r="BG247" s="46"/>
      <c r="BH247" s="45"/>
      <c r="BI247" s="46"/>
      <c r="BJ247" s="45"/>
      <c r="BK247" s="46"/>
    </row>
    <row r="248" spans="1:63" ht="13" x14ac:dyDescent="0.25">
      <c r="A248" s="372">
        <v>3803</v>
      </c>
      <c r="B248" s="373" t="s">
        <v>371</v>
      </c>
      <c r="C248" s="360">
        <v>823</v>
      </c>
      <c r="D248" s="54">
        <v>607</v>
      </c>
      <c r="E248" s="367">
        <v>0.73209876543209873</v>
      </c>
      <c r="F248" s="45">
        <v>391</v>
      </c>
      <c r="G248" s="58">
        <v>211</v>
      </c>
      <c r="H248" s="45">
        <v>382</v>
      </c>
      <c r="I248" s="57">
        <v>213</v>
      </c>
      <c r="J248" s="97"/>
      <c r="K248" s="58"/>
      <c r="L248" s="45"/>
      <c r="M248" s="57"/>
      <c r="N248" s="97"/>
      <c r="O248" s="58"/>
      <c r="P248" s="165"/>
      <c r="Q248" s="166"/>
      <c r="R248" s="207"/>
      <c r="S248" s="170"/>
      <c r="T248" s="165"/>
      <c r="U248" s="166"/>
      <c r="V248" s="207"/>
      <c r="W248" s="170"/>
      <c r="X248" s="165"/>
      <c r="Y248" s="166"/>
      <c r="Z248" s="207"/>
      <c r="AA248" s="170"/>
      <c r="AB248" s="165"/>
      <c r="AC248" s="166"/>
      <c r="AD248" s="207"/>
      <c r="AE248" s="170"/>
      <c r="AF248" s="165"/>
      <c r="AG248" s="166"/>
      <c r="AH248" s="207"/>
      <c r="AI248" s="170"/>
      <c r="AJ248" s="165"/>
      <c r="AK248" s="166"/>
      <c r="AL248" s="207"/>
      <c r="AM248" s="170"/>
      <c r="AN248" s="165"/>
      <c r="AO248" s="166"/>
      <c r="AP248" s="207">
        <v>474</v>
      </c>
      <c r="AQ248" s="170">
        <v>124</v>
      </c>
      <c r="AR248" s="165">
        <v>371</v>
      </c>
      <c r="AS248" s="166">
        <v>225</v>
      </c>
      <c r="AT248" s="207"/>
      <c r="AU248" s="170"/>
      <c r="AV248" s="190"/>
      <c r="AW248" s="166"/>
      <c r="AX248" s="208"/>
      <c r="AY248" s="170"/>
      <c r="AZ248" s="45"/>
      <c r="BA248" s="58"/>
      <c r="BB248" s="45"/>
      <c r="BC248" s="46"/>
      <c r="BD248" s="45"/>
      <c r="BE248" s="46"/>
      <c r="BF248" s="45"/>
      <c r="BG248" s="46"/>
      <c r="BH248" s="45"/>
      <c r="BI248" s="46"/>
      <c r="BJ248" s="45"/>
      <c r="BK248" s="46"/>
    </row>
    <row r="249" spans="1:63" ht="13" x14ac:dyDescent="0.25">
      <c r="A249" s="372">
        <v>3804</v>
      </c>
      <c r="B249" s="373" t="s">
        <v>372</v>
      </c>
      <c r="C249" s="360">
        <v>1215</v>
      </c>
      <c r="D249" s="54">
        <v>899</v>
      </c>
      <c r="E249" s="367">
        <v>0.70781893004115226</v>
      </c>
      <c r="F249" s="45">
        <v>549</v>
      </c>
      <c r="G249" s="58">
        <v>335</v>
      </c>
      <c r="H249" s="45">
        <v>555</v>
      </c>
      <c r="I249" s="57">
        <v>328</v>
      </c>
      <c r="J249" s="97"/>
      <c r="K249" s="58"/>
      <c r="L249" s="45"/>
      <c r="M249" s="57"/>
      <c r="N249" s="97"/>
      <c r="O249" s="58"/>
      <c r="P249" s="165"/>
      <c r="Q249" s="166"/>
      <c r="R249" s="207"/>
      <c r="S249" s="170"/>
      <c r="T249" s="165"/>
      <c r="U249" s="166"/>
      <c r="V249" s="207"/>
      <c r="W249" s="170"/>
      <c r="X249" s="165"/>
      <c r="Y249" s="166"/>
      <c r="Z249" s="207"/>
      <c r="AA249" s="170"/>
      <c r="AB249" s="165"/>
      <c r="AC249" s="166"/>
      <c r="AD249" s="207"/>
      <c r="AE249" s="170"/>
      <c r="AF249" s="165"/>
      <c r="AG249" s="166"/>
      <c r="AH249" s="207"/>
      <c r="AI249" s="170"/>
      <c r="AJ249" s="165"/>
      <c r="AK249" s="166"/>
      <c r="AL249" s="207"/>
      <c r="AM249" s="170"/>
      <c r="AN249" s="165"/>
      <c r="AO249" s="166"/>
      <c r="AP249" s="207">
        <v>643</v>
      </c>
      <c r="AQ249" s="170">
        <v>246</v>
      </c>
      <c r="AR249" s="165">
        <v>541</v>
      </c>
      <c r="AS249" s="166">
        <v>343</v>
      </c>
      <c r="AT249" s="207"/>
      <c r="AU249" s="170"/>
      <c r="AV249" s="190"/>
      <c r="AW249" s="166"/>
      <c r="AX249" s="208"/>
      <c r="AY249" s="170"/>
      <c r="AZ249" s="45"/>
      <c r="BA249" s="58"/>
      <c r="BB249" s="45"/>
      <c r="BC249" s="46"/>
      <c r="BD249" s="45"/>
      <c r="BE249" s="46"/>
      <c r="BF249" s="45"/>
      <c r="BG249" s="46"/>
      <c r="BH249" s="45"/>
      <c r="BI249" s="46"/>
      <c r="BJ249" s="45"/>
      <c r="BK249" s="46"/>
    </row>
    <row r="250" spans="1:63" ht="13" x14ac:dyDescent="0.25">
      <c r="A250" s="372">
        <v>3805</v>
      </c>
      <c r="B250" s="373" t="s">
        <v>373</v>
      </c>
      <c r="C250" s="360">
        <v>643</v>
      </c>
      <c r="D250" s="54">
        <v>420</v>
      </c>
      <c r="E250" s="367">
        <v>0.69349845201238391</v>
      </c>
      <c r="F250" s="45">
        <v>280</v>
      </c>
      <c r="G250" s="58">
        <v>134</v>
      </c>
      <c r="H250" s="45">
        <v>263</v>
      </c>
      <c r="I250" s="57">
        <v>154</v>
      </c>
      <c r="J250" s="97"/>
      <c r="K250" s="58"/>
      <c r="L250" s="45"/>
      <c r="M250" s="57"/>
      <c r="N250" s="97"/>
      <c r="O250" s="58"/>
      <c r="P250" s="165"/>
      <c r="Q250" s="166"/>
      <c r="R250" s="207"/>
      <c r="S250" s="170"/>
      <c r="T250" s="165"/>
      <c r="U250" s="166"/>
      <c r="V250" s="207"/>
      <c r="W250" s="170"/>
      <c r="X250" s="165"/>
      <c r="Y250" s="166"/>
      <c r="Z250" s="207"/>
      <c r="AA250" s="170"/>
      <c r="AB250" s="165"/>
      <c r="AC250" s="166"/>
      <c r="AD250" s="207"/>
      <c r="AE250" s="170"/>
      <c r="AF250" s="165"/>
      <c r="AG250" s="166"/>
      <c r="AH250" s="207"/>
      <c r="AI250" s="170"/>
      <c r="AJ250" s="165"/>
      <c r="AK250" s="166"/>
      <c r="AL250" s="207"/>
      <c r="AM250" s="170"/>
      <c r="AN250" s="165"/>
      <c r="AO250" s="166"/>
      <c r="AP250" s="207">
        <v>314</v>
      </c>
      <c r="AQ250" s="170">
        <v>99</v>
      </c>
      <c r="AR250" s="165">
        <v>266</v>
      </c>
      <c r="AS250" s="166">
        <v>150</v>
      </c>
      <c r="AT250" s="207"/>
      <c r="AU250" s="170"/>
      <c r="AV250" s="190"/>
      <c r="AW250" s="166"/>
      <c r="AX250" s="208"/>
      <c r="AY250" s="170"/>
      <c r="AZ250" s="45"/>
      <c r="BA250" s="58"/>
      <c r="BB250" s="45"/>
      <c r="BC250" s="46"/>
      <c r="BD250" s="45"/>
      <c r="BE250" s="46"/>
      <c r="BF250" s="45"/>
      <c r="BG250" s="46"/>
      <c r="BH250" s="45"/>
      <c r="BI250" s="46"/>
      <c r="BJ250" s="45"/>
      <c r="BK250" s="46"/>
    </row>
    <row r="251" spans="1:63" ht="13" x14ac:dyDescent="0.25">
      <c r="A251" s="372">
        <v>3806</v>
      </c>
      <c r="B251" s="373" t="s">
        <v>374</v>
      </c>
      <c r="C251" s="360">
        <v>1167</v>
      </c>
      <c r="D251" s="54">
        <v>793</v>
      </c>
      <c r="E251" s="367">
        <v>0.67727674624226353</v>
      </c>
      <c r="F251" s="45">
        <v>491</v>
      </c>
      <c r="G251" s="58">
        <v>289</v>
      </c>
      <c r="H251" s="45">
        <v>462</v>
      </c>
      <c r="I251" s="57">
        <v>313</v>
      </c>
      <c r="J251" s="97"/>
      <c r="K251" s="58"/>
      <c r="L251" s="45"/>
      <c r="M251" s="57"/>
      <c r="N251" s="97"/>
      <c r="O251" s="58"/>
      <c r="P251" s="165"/>
      <c r="Q251" s="166"/>
      <c r="R251" s="207"/>
      <c r="S251" s="170"/>
      <c r="T251" s="165"/>
      <c r="U251" s="166"/>
      <c r="V251" s="207"/>
      <c r="W251" s="170"/>
      <c r="X251" s="165"/>
      <c r="Y251" s="166"/>
      <c r="Z251" s="207"/>
      <c r="AA251" s="170"/>
      <c r="AB251" s="165"/>
      <c r="AC251" s="166"/>
      <c r="AD251" s="207"/>
      <c r="AE251" s="170"/>
      <c r="AF251" s="165"/>
      <c r="AG251" s="166"/>
      <c r="AH251" s="207"/>
      <c r="AI251" s="170"/>
      <c r="AJ251" s="165"/>
      <c r="AK251" s="166"/>
      <c r="AL251" s="207"/>
      <c r="AM251" s="170"/>
      <c r="AN251" s="165"/>
      <c r="AO251" s="166"/>
      <c r="AP251" s="207">
        <v>578</v>
      </c>
      <c r="AQ251" s="170">
        <v>201</v>
      </c>
      <c r="AR251" s="165">
        <v>459</v>
      </c>
      <c r="AS251" s="166">
        <v>316</v>
      </c>
      <c r="AT251" s="207"/>
      <c r="AU251" s="170"/>
      <c r="AV251" s="190"/>
      <c r="AW251" s="166"/>
      <c r="AX251" s="208"/>
      <c r="AY251" s="170"/>
      <c r="AZ251" s="45"/>
      <c r="BA251" s="58"/>
      <c r="BB251" s="45"/>
      <c r="BC251" s="46"/>
      <c r="BD251" s="45"/>
      <c r="BE251" s="46"/>
      <c r="BF251" s="45"/>
      <c r="BG251" s="46"/>
      <c r="BH251" s="45"/>
      <c r="BI251" s="46"/>
      <c r="BJ251" s="45"/>
      <c r="BK251" s="46"/>
    </row>
    <row r="252" spans="1:63" ht="13" x14ac:dyDescent="0.25">
      <c r="A252" s="372">
        <v>3807</v>
      </c>
      <c r="B252" s="373" t="s">
        <v>375</v>
      </c>
      <c r="C252" s="360">
        <v>684</v>
      </c>
      <c r="D252" s="54">
        <v>483</v>
      </c>
      <c r="E252" s="367">
        <v>0.70044052863436124</v>
      </c>
      <c r="F252" s="45">
        <v>288</v>
      </c>
      <c r="G252" s="58">
        <v>185</v>
      </c>
      <c r="H252" s="45">
        <v>281</v>
      </c>
      <c r="I252" s="57">
        <v>184</v>
      </c>
      <c r="J252" s="97"/>
      <c r="K252" s="58"/>
      <c r="L252" s="45"/>
      <c r="M252" s="57"/>
      <c r="N252" s="97"/>
      <c r="O252" s="58"/>
      <c r="P252" s="165"/>
      <c r="Q252" s="166"/>
      <c r="R252" s="207"/>
      <c r="S252" s="170"/>
      <c r="T252" s="165"/>
      <c r="U252" s="166"/>
      <c r="V252" s="207"/>
      <c r="W252" s="170"/>
      <c r="X252" s="165"/>
      <c r="Y252" s="166"/>
      <c r="Z252" s="207"/>
      <c r="AA252" s="170"/>
      <c r="AB252" s="165"/>
      <c r="AC252" s="166"/>
      <c r="AD252" s="207"/>
      <c r="AE252" s="170"/>
      <c r="AF252" s="165"/>
      <c r="AG252" s="166"/>
      <c r="AH252" s="207"/>
      <c r="AI252" s="170"/>
      <c r="AJ252" s="165"/>
      <c r="AK252" s="166"/>
      <c r="AL252" s="207"/>
      <c r="AM252" s="170"/>
      <c r="AN252" s="165"/>
      <c r="AO252" s="166"/>
      <c r="AP252" s="207">
        <v>352</v>
      </c>
      <c r="AQ252" s="170">
        <v>122</v>
      </c>
      <c r="AR252" s="165">
        <v>293</v>
      </c>
      <c r="AS252" s="166">
        <v>181</v>
      </c>
      <c r="AT252" s="207"/>
      <c r="AU252" s="170"/>
      <c r="AV252" s="190"/>
      <c r="AW252" s="166"/>
      <c r="AX252" s="208"/>
      <c r="AY252" s="170"/>
      <c r="AZ252" s="45"/>
      <c r="BA252" s="58"/>
      <c r="BB252" s="45"/>
      <c r="BC252" s="46"/>
      <c r="BD252" s="45"/>
      <c r="BE252" s="46"/>
      <c r="BF252" s="45"/>
      <c r="BG252" s="46"/>
      <c r="BH252" s="45"/>
      <c r="BI252" s="46"/>
      <c r="BJ252" s="45"/>
      <c r="BK252" s="46"/>
    </row>
    <row r="253" spans="1:63" ht="13" x14ac:dyDescent="0.25">
      <c r="A253" s="372">
        <v>3808</v>
      </c>
      <c r="B253" s="373" t="s">
        <v>376</v>
      </c>
      <c r="C253" s="360">
        <v>815</v>
      </c>
      <c r="D253" s="54">
        <v>574</v>
      </c>
      <c r="E253" s="367">
        <v>0.71618357487922701</v>
      </c>
      <c r="F253" s="45">
        <v>374</v>
      </c>
      <c r="G253" s="58">
        <v>194</v>
      </c>
      <c r="H253" s="45">
        <v>328</v>
      </c>
      <c r="I253" s="57">
        <v>223</v>
      </c>
      <c r="J253" s="97"/>
      <c r="K253" s="58"/>
      <c r="L253" s="45"/>
      <c r="M253" s="57"/>
      <c r="N253" s="97"/>
      <c r="O253" s="58"/>
      <c r="P253" s="165"/>
      <c r="Q253" s="166"/>
      <c r="R253" s="207"/>
      <c r="S253" s="170"/>
      <c r="T253" s="165"/>
      <c r="U253" s="166"/>
      <c r="V253" s="207"/>
      <c r="W253" s="170"/>
      <c r="X253" s="165"/>
      <c r="Y253" s="166"/>
      <c r="Z253" s="207"/>
      <c r="AA253" s="170"/>
      <c r="AB253" s="165"/>
      <c r="AC253" s="166"/>
      <c r="AD253" s="207"/>
      <c r="AE253" s="170"/>
      <c r="AF253" s="165"/>
      <c r="AG253" s="166"/>
      <c r="AH253" s="207"/>
      <c r="AI253" s="170"/>
      <c r="AJ253" s="165"/>
      <c r="AK253" s="166"/>
      <c r="AL253" s="207"/>
      <c r="AM253" s="170"/>
      <c r="AN253" s="165"/>
      <c r="AO253" s="166"/>
      <c r="AP253" s="207">
        <v>420</v>
      </c>
      <c r="AQ253" s="170">
        <v>142</v>
      </c>
      <c r="AR253" s="165">
        <v>357</v>
      </c>
      <c r="AS253" s="166">
        <v>208</v>
      </c>
      <c r="AT253" s="207"/>
      <c r="AU253" s="170"/>
      <c r="AV253" s="190"/>
      <c r="AW253" s="166"/>
      <c r="AX253" s="208"/>
      <c r="AY253" s="170"/>
      <c r="AZ253" s="45"/>
      <c r="BA253" s="58"/>
      <c r="BB253" s="45"/>
      <c r="BC253" s="46"/>
      <c r="BD253" s="45"/>
      <c r="BE253" s="46"/>
      <c r="BF253" s="45"/>
      <c r="BG253" s="46"/>
      <c r="BH253" s="45"/>
      <c r="BI253" s="46"/>
      <c r="BJ253" s="45"/>
      <c r="BK253" s="46"/>
    </row>
    <row r="254" spans="1:63" ht="13" x14ac:dyDescent="0.25">
      <c r="A254" s="372">
        <v>3901</v>
      </c>
      <c r="B254" s="373" t="s">
        <v>831</v>
      </c>
      <c r="C254" s="360">
        <v>19</v>
      </c>
      <c r="D254" s="54">
        <v>12</v>
      </c>
      <c r="E254" s="367">
        <v>0.45454545454545453</v>
      </c>
      <c r="F254" s="45">
        <v>8</v>
      </c>
      <c r="G254" s="58">
        <v>4</v>
      </c>
      <c r="H254" s="45">
        <v>4</v>
      </c>
      <c r="I254" s="57">
        <v>8</v>
      </c>
      <c r="J254" s="97"/>
      <c r="K254" s="58"/>
      <c r="L254" s="45"/>
      <c r="M254" s="57"/>
      <c r="N254" s="97"/>
      <c r="O254" s="58"/>
      <c r="P254" s="165"/>
      <c r="Q254" s="166"/>
      <c r="R254" s="207"/>
      <c r="S254" s="170"/>
      <c r="T254" s="165"/>
      <c r="U254" s="166"/>
      <c r="V254" s="207"/>
      <c r="W254" s="170"/>
      <c r="X254" s="165"/>
      <c r="Y254" s="166"/>
      <c r="Z254" s="207"/>
      <c r="AA254" s="170"/>
      <c r="AB254" s="165"/>
      <c r="AC254" s="166"/>
      <c r="AD254" s="207"/>
      <c r="AE254" s="170"/>
      <c r="AF254" s="165"/>
      <c r="AG254" s="166"/>
      <c r="AH254" s="207"/>
      <c r="AI254" s="170"/>
      <c r="AJ254" s="165"/>
      <c r="AK254" s="166"/>
      <c r="AL254" s="207">
        <v>0</v>
      </c>
      <c r="AM254" s="170">
        <v>3</v>
      </c>
      <c r="AN254" s="165"/>
      <c r="AO254" s="166"/>
      <c r="AP254" s="207">
        <v>7</v>
      </c>
      <c r="AQ254" s="170">
        <v>5</v>
      </c>
      <c r="AR254" s="165">
        <v>5</v>
      </c>
      <c r="AS254" s="166">
        <v>7</v>
      </c>
      <c r="AT254" s="207"/>
      <c r="AU254" s="170"/>
      <c r="AV254" s="190"/>
      <c r="AW254" s="166"/>
      <c r="AX254" s="208"/>
      <c r="AY254" s="170"/>
      <c r="AZ254" s="45"/>
      <c r="BA254" s="58"/>
      <c r="BB254" s="45"/>
      <c r="BC254" s="46"/>
      <c r="BD254" s="45"/>
      <c r="BE254" s="46"/>
      <c r="BF254" s="45"/>
      <c r="BG254" s="46"/>
      <c r="BH254" s="45"/>
      <c r="BI254" s="46"/>
      <c r="BJ254" s="45"/>
      <c r="BK254" s="46"/>
    </row>
    <row r="255" spans="1:63" ht="13" x14ac:dyDescent="0.25">
      <c r="A255" s="372">
        <v>4001</v>
      </c>
      <c r="B255" s="373" t="s">
        <v>377</v>
      </c>
      <c r="C255" s="360">
        <v>1275</v>
      </c>
      <c r="D255" s="54">
        <v>854</v>
      </c>
      <c r="E255" s="367">
        <v>0.70062208398133752</v>
      </c>
      <c r="F255" s="45">
        <v>510</v>
      </c>
      <c r="G255" s="58">
        <v>339</v>
      </c>
      <c r="H255" s="45">
        <v>451</v>
      </c>
      <c r="I255" s="57">
        <v>382</v>
      </c>
      <c r="J255" s="97"/>
      <c r="K255" s="58"/>
      <c r="L255" s="45"/>
      <c r="M255" s="57"/>
      <c r="N255" s="97"/>
      <c r="O255" s="58"/>
      <c r="P255" s="165"/>
      <c r="Q255" s="166"/>
      <c r="R255" s="207"/>
      <c r="S255" s="170"/>
      <c r="T255" s="165"/>
      <c r="U255" s="166"/>
      <c r="V255" s="207"/>
      <c r="W255" s="170"/>
      <c r="X255" s="165"/>
      <c r="Y255" s="166"/>
      <c r="Z255" s="207"/>
      <c r="AA255" s="170"/>
      <c r="AB255" s="165"/>
      <c r="AC255" s="166"/>
      <c r="AD255" s="207"/>
      <c r="AE255" s="170"/>
      <c r="AF255" s="165"/>
      <c r="AG255" s="166"/>
      <c r="AH255" s="207"/>
      <c r="AI255" s="170"/>
      <c r="AJ255" s="165"/>
      <c r="AK255" s="166"/>
      <c r="AL255" s="207"/>
      <c r="AM255" s="170"/>
      <c r="AN255" s="165"/>
      <c r="AO255" s="166"/>
      <c r="AP255" s="207">
        <v>592</v>
      </c>
      <c r="AQ255" s="170">
        <v>234</v>
      </c>
      <c r="AR255" s="165">
        <v>501</v>
      </c>
      <c r="AS255" s="166">
        <v>335</v>
      </c>
      <c r="AT255" s="207"/>
      <c r="AU255" s="170"/>
      <c r="AV255" s="190"/>
      <c r="AW255" s="166"/>
      <c r="AX255" s="208"/>
      <c r="AY255" s="170"/>
      <c r="AZ255" s="45"/>
      <c r="BA255" s="58"/>
      <c r="BB255" s="45"/>
      <c r="BC255" s="46"/>
      <c r="BD255" s="45"/>
      <c r="BE255" s="46"/>
      <c r="BF255" s="45"/>
      <c r="BG255" s="46"/>
      <c r="BH255" s="45"/>
      <c r="BI255" s="46"/>
      <c r="BJ255" s="45"/>
      <c r="BK255" s="46"/>
    </row>
    <row r="256" spans="1:63" ht="13" x14ac:dyDescent="0.25">
      <c r="A256" s="372">
        <v>4002</v>
      </c>
      <c r="B256" s="373" t="s">
        <v>378</v>
      </c>
      <c r="C256" s="360">
        <v>1170</v>
      </c>
      <c r="D256" s="54">
        <v>794</v>
      </c>
      <c r="E256" s="367">
        <v>0.72580645161290325</v>
      </c>
      <c r="F256" s="45">
        <v>481</v>
      </c>
      <c r="G256" s="58">
        <v>307</v>
      </c>
      <c r="H256" s="45">
        <v>433</v>
      </c>
      <c r="I256" s="57">
        <v>347</v>
      </c>
      <c r="J256" s="97"/>
      <c r="K256" s="58"/>
      <c r="L256" s="45"/>
      <c r="M256" s="57"/>
      <c r="N256" s="97"/>
      <c r="O256" s="58"/>
      <c r="P256" s="165"/>
      <c r="Q256" s="166"/>
      <c r="R256" s="207"/>
      <c r="S256" s="170"/>
      <c r="T256" s="165"/>
      <c r="U256" s="166"/>
      <c r="V256" s="207"/>
      <c r="W256" s="170"/>
      <c r="X256" s="165"/>
      <c r="Y256" s="166"/>
      <c r="Z256" s="207"/>
      <c r="AA256" s="170"/>
      <c r="AB256" s="165"/>
      <c r="AC256" s="166"/>
      <c r="AD256" s="207"/>
      <c r="AE256" s="170"/>
      <c r="AF256" s="165"/>
      <c r="AG256" s="166"/>
      <c r="AH256" s="207"/>
      <c r="AI256" s="170"/>
      <c r="AJ256" s="165"/>
      <c r="AK256" s="166"/>
      <c r="AL256" s="207"/>
      <c r="AM256" s="170"/>
      <c r="AN256" s="165"/>
      <c r="AO256" s="166"/>
      <c r="AP256" s="207">
        <v>562</v>
      </c>
      <c r="AQ256" s="170">
        <v>221</v>
      </c>
      <c r="AR256" s="165">
        <v>443</v>
      </c>
      <c r="AS256" s="166">
        <v>340</v>
      </c>
      <c r="AT256" s="207"/>
      <c r="AU256" s="170"/>
      <c r="AV256" s="190"/>
      <c r="AW256" s="166"/>
      <c r="AX256" s="208"/>
      <c r="AY256" s="170"/>
      <c r="AZ256" s="45"/>
      <c r="BA256" s="58"/>
      <c r="BB256" s="45"/>
      <c r="BC256" s="46"/>
      <c r="BD256" s="45"/>
      <c r="BE256" s="46"/>
      <c r="BF256" s="45"/>
      <c r="BG256" s="46"/>
      <c r="BH256" s="45"/>
      <c r="BI256" s="46"/>
      <c r="BJ256" s="45"/>
      <c r="BK256" s="46"/>
    </row>
    <row r="257" spans="1:63" ht="13" x14ac:dyDescent="0.25">
      <c r="A257" s="372">
        <v>4003</v>
      </c>
      <c r="B257" s="373" t="s">
        <v>379</v>
      </c>
      <c r="C257" s="360">
        <v>1315</v>
      </c>
      <c r="D257" s="54">
        <v>866</v>
      </c>
      <c r="E257" s="367">
        <v>0.71087928464977646</v>
      </c>
      <c r="F257" s="45">
        <v>549</v>
      </c>
      <c r="G257" s="58">
        <v>311</v>
      </c>
      <c r="H257" s="45">
        <v>456</v>
      </c>
      <c r="I257" s="57">
        <v>396</v>
      </c>
      <c r="J257" s="97"/>
      <c r="K257" s="58"/>
      <c r="L257" s="45"/>
      <c r="M257" s="57"/>
      <c r="N257" s="97"/>
      <c r="O257" s="58"/>
      <c r="P257" s="165"/>
      <c r="Q257" s="166"/>
      <c r="R257" s="207"/>
      <c r="S257" s="170"/>
      <c r="T257" s="165"/>
      <c r="U257" s="166"/>
      <c r="V257" s="207"/>
      <c r="W257" s="170"/>
      <c r="X257" s="165"/>
      <c r="Y257" s="166"/>
      <c r="Z257" s="207"/>
      <c r="AA257" s="170"/>
      <c r="AB257" s="165"/>
      <c r="AC257" s="166"/>
      <c r="AD257" s="207"/>
      <c r="AE257" s="170"/>
      <c r="AF257" s="165"/>
      <c r="AG257" s="166"/>
      <c r="AH257" s="207"/>
      <c r="AI257" s="170"/>
      <c r="AJ257" s="165"/>
      <c r="AK257" s="166"/>
      <c r="AL257" s="207"/>
      <c r="AM257" s="170"/>
      <c r="AN257" s="165"/>
      <c r="AO257" s="166"/>
      <c r="AP257" s="207">
        <v>654</v>
      </c>
      <c r="AQ257" s="170">
        <v>195</v>
      </c>
      <c r="AR257" s="165">
        <v>527</v>
      </c>
      <c r="AS257" s="166">
        <v>324</v>
      </c>
      <c r="AT257" s="207"/>
      <c r="AU257" s="170"/>
      <c r="AV257" s="190"/>
      <c r="AW257" s="166"/>
      <c r="AX257" s="208"/>
      <c r="AY257" s="170"/>
      <c r="AZ257" s="45"/>
      <c r="BA257" s="58"/>
      <c r="BB257" s="45"/>
      <c r="BC257" s="46"/>
      <c r="BD257" s="45"/>
      <c r="BE257" s="46"/>
      <c r="BF257" s="45"/>
      <c r="BG257" s="46"/>
      <c r="BH257" s="45"/>
      <c r="BI257" s="46"/>
      <c r="BJ257" s="45"/>
      <c r="BK257" s="46"/>
    </row>
    <row r="258" spans="1:63" ht="13" x14ac:dyDescent="0.25">
      <c r="A258" s="372">
        <v>4004</v>
      </c>
      <c r="B258" s="373" t="s">
        <v>380</v>
      </c>
      <c r="C258" s="360">
        <v>641</v>
      </c>
      <c r="D258" s="54">
        <v>420</v>
      </c>
      <c r="E258" s="367">
        <v>0.68330733229329177</v>
      </c>
      <c r="F258" s="45">
        <v>281</v>
      </c>
      <c r="G258" s="58">
        <v>133</v>
      </c>
      <c r="H258" s="45">
        <v>240</v>
      </c>
      <c r="I258" s="57">
        <v>171</v>
      </c>
      <c r="J258" s="97"/>
      <c r="K258" s="58"/>
      <c r="L258" s="45"/>
      <c r="M258" s="57"/>
      <c r="N258" s="97"/>
      <c r="O258" s="58"/>
      <c r="P258" s="165"/>
      <c r="Q258" s="166"/>
      <c r="R258" s="207"/>
      <c r="S258" s="170"/>
      <c r="T258" s="165"/>
      <c r="U258" s="166"/>
      <c r="V258" s="207"/>
      <c r="W258" s="170"/>
      <c r="X258" s="165"/>
      <c r="Y258" s="166"/>
      <c r="Z258" s="207"/>
      <c r="AA258" s="170"/>
      <c r="AB258" s="165"/>
      <c r="AC258" s="166"/>
      <c r="AD258" s="207"/>
      <c r="AE258" s="170"/>
      <c r="AF258" s="165"/>
      <c r="AG258" s="166"/>
      <c r="AH258" s="207"/>
      <c r="AI258" s="170"/>
      <c r="AJ258" s="165"/>
      <c r="AK258" s="166"/>
      <c r="AL258" s="207"/>
      <c r="AM258" s="170"/>
      <c r="AN258" s="165"/>
      <c r="AO258" s="166"/>
      <c r="AP258" s="207">
        <v>310</v>
      </c>
      <c r="AQ258" s="170">
        <v>102</v>
      </c>
      <c r="AR258" s="165">
        <v>254</v>
      </c>
      <c r="AS258" s="166">
        <v>159</v>
      </c>
      <c r="AT258" s="207"/>
      <c r="AU258" s="170"/>
      <c r="AV258" s="190"/>
      <c r="AW258" s="166"/>
      <c r="AX258" s="208"/>
      <c r="AY258" s="170"/>
      <c r="AZ258" s="45"/>
      <c r="BA258" s="58"/>
      <c r="BB258" s="45"/>
      <c r="BC258" s="46"/>
      <c r="BD258" s="45"/>
      <c r="BE258" s="46"/>
      <c r="BF258" s="45"/>
      <c r="BG258" s="46"/>
      <c r="BH258" s="45"/>
      <c r="BI258" s="46"/>
      <c r="BJ258" s="45"/>
      <c r="BK258" s="46"/>
    </row>
    <row r="259" spans="1:63" ht="13" x14ac:dyDescent="0.25">
      <c r="A259" s="372">
        <v>4005</v>
      </c>
      <c r="B259" s="373" t="s">
        <v>381</v>
      </c>
      <c r="C259" s="360">
        <v>683</v>
      </c>
      <c r="D259" s="54">
        <v>422</v>
      </c>
      <c r="E259" s="367">
        <v>0.66282420749279536</v>
      </c>
      <c r="F259" s="45">
        <v>274</v>
      </c>
      <c r="G259" s="58">
        <v>144</v>
      </c>
      <c r="H259" s="45">
        <v>235</v>
      </c>
      <c r="I259" s="57">
        <v>178</v>
      </c>
      <c r="J259" s="97"/>
      <c r="K259" s="58"/>
      <c r="L259" s="45"/>
      <c r="M259" s="57"/>
      <c r="N259" s="97"/>
      <c r="O259" s="58"/>
      <c r="P259" s="165"/>
      <c r="Q259" s="166"/>
      <c r="R259" s="207"/>
      <c r="S259" s="170"/>
      <c r="T259" s="165"/>
      <c r="U259" s="166"/>
      <c r="V259" s="207"/>
      <c r="W259" s="170"/>
      <c r="X259" s="165"/>
      <c r="Y259" s="166"/>
      <c r="Z259" s="207"/>
      <c r="AA259" s="170"/>
      <c r="AB259" s="165"/>
      <c r="AC259" s="166"/>
      <c r="AD259" s="207"/>
      <c r="AE259" s="170"/>
      <c r="AF259" s="165"/>
      <c r="AG259" s="166"/>
      <c r="AH259" s="207"/>
      <c r="AI259" s="170"/>
      <c r="AJ259" s="165"/>
      <c r="AK259" s="166"/>
      <c r="AL259" s="207"/>
      <c r="AM259" s="170"/>
      <c r="AN259" s="165"/>
      <c r="AO259" s="166"/>
      <c r="AP259" s="207">
        <v>300</v>
      </c>
      <c r="AQ259" s="170">
        <v>110</v>
      </c>
      <c r="AR259" s="165">
        <v>234</v>
      </c>
      <c r="AS259" s="166">
        <v>174</v>
      </c>
      <c r="AT259" s="207"/>
      <c r="AU259" s="170"/>
      <c r="AV259" s="190"/>
      <c r="AW259" s="166"/>
      <c r="AX259" s="208"/>
      <c r="AY259" s="170"/>
      <c r="AZ259" s="45"/>
      <c r="BA259" s="58"/>
      <c r="BB259" s="45"/>
      <c r="BC259" s="46"/>
      <c r="BD259" s="45"/>
      <c r="BE259" s="46"/>
      <c r="BF259" s="45"/>
      <c r="BG259" s="46"/>
      <c r="BH259" s="45"/>
      <c r="BI259" s="46"/>
      <c r="BJ259" s="45"/>
      <c r="BK259" s="46"/>
    </row>
    <row r="260" spans="1:63" ht="13" x14ac:dyDescent="0.25">
      <c r="A260" s="372">
        <v>4006</v>
      </c>
      <c r="B260" s="373" t="s">
        <v>382</v>
      </c>
      <c r="C260" s="360">
        <v>1044</v>
      </c>
      <c r="D260" s="54">
        <v>683</v>
      </c>
      <c r="E260" s="367">
        <v>0.70793950850661624</v>
      </c>
      <c r="F260" s="45">
        <v>460</v>
      </c>
      <c r="G260" s="58">
        <v>218</v>
      </c>
      <c r="H260" s="45">
        <v>402</v>
      </c>
      <c r="I260" s="57">
        <v>269</v>
      </c>
      <c r="J260" s="97"/>
      <c r="K260" s="58"/>
      <c r="L260" s="45"/>
      <c r="M260" s="57"/>
      <c r="N260" s="97"/>
      <c r="O260" s="58"/>
      <c r="P260" s="165"/>
      <c r="Q260" s="166"/>
      <c r="R260" s="207"/>
      <c r="S260" s="170"/>
      <c r="T260" s="165"/>
      <c r="U260" s="166"/>
      <c r="V260" s="207"/>
      <c r="W260" s="170"/>
      <c r="X260" s="165"/>
      <c r="Y260" s="166"/>
      <c r="Z260" s="207"/>
      <c r="AA260" s="170"/>
      <c r="AB260" s="165"/>
      <c r="AC260" s="166"/>
      <c r="AD260" s="207"/>
      <c r="AE260" s="170"/>
      <c r="AF260" s="165"/>
      <c r="AG260" s="166"/>
      <c r="AH260" s="207"/>
      <c r="AI260" s="170"/>
      <c r="AJ260" s="165"/>
      <c r="AK260" s="166"/>
      <c r="AL260" s="207"/>
      <c r="AM260" s="170"/>
      <c r="AN260" s="165"/>
      <c r="AO260" s="166"/>
      <c r="AP260" s="207">
        <v>492</v>
      </c>
      <c r="AQ260" s="170">
        <v>171</v>
      </c>
      <c r="AR260" s="165">
        <v>409</v>
      </c>
      <c r="AS260" s="166">
        <v>255</v>
      </c>
      <c r="AT260" s="207"/>
      <c r="AU260" s="170"/>
      <c r="AV260" s="190"/>
      <c r="AW260" s="166"/>
      <c r="AX260" s="208"/>
      <c r="AY260" s="170"/>
      <c r="AZ260" s="45"/>
      <c r="BA260" s="58"/>
      <c r="BB260" s="45"/>
      <c r="BC260" s="46"/>
      <c r="BD260" s="45"/>
      <c r="BE260" s="46"/>
      <c r="BF260" s="45"/>
      <c r="BG260" s="46"/>
      <c r="BH260" s="45"/>
      <c r="BI260" s="46"/>
      <c r="BJ260" s="45"/>
      <c r="BK260" s="46"/>
    </row>
    <row r="261" spans="1:63" ht="13" x14ac:dyDescent="0.25">
      <c r="A261" s="372">
        <v>4007</v>
      </c>
      <c r="B261" s="373" t="s">
        <v>383</v>
      </c>
      <c r="C261" s="360">
        <v>630</v>
      </c>
      <c r="D261" s="54">
        <v>442</v>
      </c>
      <c r="E261" s="367">
        <v>0.74675324675324672</v>
      </c>
      <c r="F261" s="45">
        <v>286</v>
      </c>
      <c r="G261" s="58">
        <v>152</v>
      </c>
      <c r="H261" s="45">
        <v>246</v>
      </c>
      <c r="I261" s="57">
        <v>185</v>
      </c>
      <c r="J261" s="97"/>
      <c r="K261" s="58"/>
      <c r="L261" s="45"/>
      <c r="M261" s="57"/>
      <c r="N261" s="97"/>
      <c r="O261" s="58"/>
      <c r="P261" s="165"/>
      <c r="Q261" s="166"/>
      <c r="R261" s="207"/>
      <c r="S261" s="170"/>
      <c r="T261" s="165"/>
      <c r="U261" s="166"/>
      <c r="V261" s="207"/>
      <c r="W261" s="170"/>
      <c r="X261" s="165"/>
      <c r="Y261" s="166"/>
      <c r="Z261" s="207"/>
      <c r="AA261" s="170"/>
      <c r="AB261" s="165"/>
      <c r="AC261" s="166"/>
      <c r="AD261" s="207"/>
      <c r="AE261" s="170"/>
      <c r="AF261" s="165"/>
      <c r="AG261" s="166"/>
      <c r="AH261" s="207"/>
      <c r="AI261" s="170"/>
      <c r="AJ261" s="165"/>
      <c r="AK261" s="166"/>
      <c r="AL261" s="207"/>
      <c r="AM261" s="170"/>
      <c r="AN261" s="165"/>
      <c r="AO261" s="166"/>
      <c r="AP261" s="207">
        <v>322</v>
      </c>
      <c r="AQ261" s="170">
        <v>111</v>
      </c>
      <c r="AR261" s="165">
        <v>264</v>
      </c>
      <c r="AS261" s="166">
        <v>173</v>
      </c>
      <c r="AT261" s="207"/>
      <c r="AU261" s="170"/>
      <c r="AV261" s="190"/>
      <c r="AW261" s="166"/>
      <c r="AX261" s="208"/>
      <c r="AY261" s="170"/>
      <c r="AZ261" s="45"/>
      <c r="BA261" s="58"/>
      <c r="BB261" s="45"/>
      <c r="BC261" s="46"/>
      <c r="BD261" s="45"/>
      <c r="BE261" s="46"/>
      <c r="BF261" s="45"/>
      <c r="BG261" s="46"/>
      <c r="BH261" s="45"/>
      <c r="BI261" s="46"/>
      <c r="BJ261" s="45"/>
      <c r="BK261" s="46"/>
    </row>
    <row r="262" spans="1:63" ht="13" x14ac:dyDescent="0.25">
      <c r="A262" s="372">
        <v>4008</v>
      </c>
      <c r="B262" s="373" t="s">
        <v>384</v>
      </c>
      <c r="C262" s="360">
        <v>1079</v>
      </c>
      <c r="D262" s="54">
        <v>682</v>
      </c>
      <c r="E262" s="367">
        <v>0.67067530064754854</v>
      </c>
      <c r="F262" s="45">
        <v>431</v>
      </c>
      <c r="G262" s="58">
        <v>245</v>
      </c>
      <c r="H262" s="45">
        <v>362</v>
      </c>
      <c r="I262" s="57">
        <v>307</v>
      </c>
      <c r="J262" s="97"/>
      <c r="K262" s="58"/>
      <c r="L262" s="45"/>
      <c r="M262" s="57"/>
      <c r="N262" s="97"/>
      <c r="O262" s="58"/>
      <c r="P262" s="165"/>
      <c r="Q262" s="166"/>
      <c r="R262" s="207"/>
      <c r="S262" s="170"/>
      <c r="T262" s="165"/>
      <c r="U262" s="166"/>
      <c r="V262" s="207"/>
      <c r="W262" s="170"/>
      <c r="X262" s="165"/>
      <c r="Y262" s="166"/>
      <c r="Z262" s="207"/>
      <c r="AA262" s="170"/>
      <c r="AB262" s="165"/>
      <c r="AC262" s="166"/>
      <c r="AD262" s="207"/>
      <c r="AE262" s="170"/>
      <c r="AF262" s="165"/>
      <c r="AG262" s="166"/>
      <c r="AH262" s="207"/>
      <c r="AI262" s="170"/>
      <c r="AJ262" s="165"/>
      <c r="AK262" s="166"/>
      <c r="AL262" s="207"/>
      <c r="AM262" s="170"/>
      <c r="AN262" s="165"/>
      <c r="AO262" s="166"/>
      <c r="AP262" s="207">
        <v>493</v>
      </c>
      <c r="AQ262" s="170">
        <v>173</v>
      </c>
      <c r="AR262" s="165">
        <v>394</v>
      </c>
      <c r="AS262" s="166">
        <v>268</v>
      </c>
      <c r="AT262" s="207"/>
      <c r="AU262" s="170"/>
      <c r="AV262" s="190"/>
      <c r="AW262" s="166"/>
      <c r="AX262" s="208"/>
      <c r="AY262" s="170"/>
      <c r="AZ262" s="45"/>
      <c r="BA262" s="58"/>
      <c r="BB262" s="45"/>
      <c r="BC262" s="46"/>
      <c r="BD262" s="45"/>
      <c r="BE262" s="46"/>
      <c r="BF262" s="45"/>
      <c r="BG262" s="46"/>
      <c r="BH262" s="45"/>
      <c r="BI262" s="46"/>
      <c r="BJ262" s="45"/>
      <c r="BK262" s="46"/>
    </row>
    <row r="263" spans="1:63" ht="13" x14ac:dyDescent="0.25">
      <c r="A263" s="372">
        <v>4009</v>
      </c>
      <c r="B263" s="373" t="s">
        <v>385</v>
      </c>
      <c r="C263" s="360">
        <v>1102</v>
      </c>
      <c r="D263" s="54">
        <v>694</v>
      </c>
      <c r="E263" s="367">
        <v>0.70802238805970152</v>
      </c>
      <c r="F263" s="45">
        <v>447</v>
      </c>
      <c r="G263" s="58">
        <v>241</v>
      </c>
      <c r="H263" s="45">
        <v>371</v>
      </c>
      <c r="I263" s="57">
        <v>306</v>
      </c>
      <c r="J263" s="97"/>
      <c r="K263" s="58"/>
      <c r="L263" s="45"/>
      <c r="M263" s="57"/>
      <c r="N263" s="97"/>
      <c r="O263" s="58"/>
      <c r="P263" s="165"/>
      <c r="Q263" s="166"/>
      <c r="R263" s="207"/>
      <c r="S263" s="170"/>
      <c r="T263" s="165"/>
      <c r="U263" s="166"/>
      <c r="V263" s="207"/>
      <c r="W263" s="170"/>
      <c r="X263" s="165"/>
      <c r="Y263" s="166"/>
      <c r="Z263" s="207"/>
      <c r="AA263" s="170"/>
      <c r="AB263" s="165"/>
      <c r="AC263" s="166"/>
      <c r="AD263" s="207"/>
      <c r="AE263" s="170"/>
      <c r="AF263" s="165"/>
      <c r="AG263" s="166"/>
      <c r="AH263" s="207"/>
      <c r="AI263" s="170"/>
      <c r="AJ263" s="165"/>
      <c r="AK263" s="166"/>
      <c r="AL263" s="207"/>
      <c r="AM263" s="170"/>
      <c r="AN263" s="165"/>
      <c r="AO263" s="166"/>
      <c r="AP263" s="207">
        <v>542</v>
      </c>
      <c r="AQ263" s="170">
        <v>140</v>
      </c>
      <c r="AR263" s="165">
        <v>426</v>
      </c>
      <c r="AS263" s="166">
        <v>254</v>
      </c>
      <c r="AT263" s="207"/>
      <c r="AU263" s="170"/>
      <c r="AV263" s="190"/>
      <c r="AW263" s="166"/>
      <c r="AX263" s="208"/>
      <c r="AY263" s="170"/>
      <c r="AZ263" s="45"/>
      <c r="BA263" s="58"/>
      <c r="BB263" s="45"/>
      <c r="BC263" s="46"/>
      <c r="BD263" s="45"/>
      <c r="BE263" s="46"/>
      <c r="BF263" s="45"/>
      <c r="BG263" s="46"/>
      <c r="BH263" s="45"/>
      <c r="BI263" s="46"/>
      <c r="BJ263" s="45"/>
      <c r="BK263" s="46"/>
    </row>
    <row r="264" spans="1:63" ht="13" x14ac:dyDescent="0.25">
      <c r="A264" s="372">
        <v>4111</v>
      </c>
      <c r="B264" s="373" t="s">
        <v>386</v>
      </c>
      <c r="C264" s="360">
        <v>1482</v>
      </c>
      <c r="D264" s="54">
        <v>499</v>
      </c>
      <c r="E264" s="367">
        <v>0.35806451612903228</v>
      </c>
      <c r="F264" s="45">
        <v>353</v>
      </c>
      <c r="G264" s="58">
        <v>143</v>
      </c>
      <c r="H264" s="45">
        <v>354</v>
      </c>
      <c r="I264" s="57">
        <v>134</v>
      </c>
      <c r="J264" s="97"/>
      <c r="K264" s="58"/>
      <c r="L264" s="45"/>
      <c r="M264" s="57"/>
      <c r="N264" s="97"/>
      <c r="O264" s="58"/>
      <c r="P264" s="165"/>
      <c r="Q264" s="166"/>
      <c r="R264" s="207"/>
      <c r="S264" s="170"/>
      <c r="T264" s="165"/>
      <c r="U264" s="166"/>
      <c r="V264" s="207"/>
      <c r="W264" s="170"/>
      <c r="X264" s="165"/>
      <c r="Y264" s="166"/>
      <c r="Z264" s="207"/>
      <c r="AA264" s="170"/>
      <c r="AB264" s="165"/>
      <c r="AC264" s="166"/>
      <c r="AD264" s="207"/>
      <c r="AE264" s="170"/>
      <c r="AF264" s="165"/>
      <c r="AG264" s="166"/>
      <c r="AH264" s="207"/>
      <c r="AI264" s="170"/>
      <c r="AJ264" s="165"/>
      <c r="AK264" s="166"/>
      <c r="AL264" s="207"/>
      <c r="AM264" s="170"/>
      <c r="AN264" s="165"/>
      <c r="AO264" s="166"/>
      <c r="AP264" s="207">
        <v>309</v>
      </c>
      <c r="AQ264" s="170">
        <v>174</v>
      </c>
      <c r="AR264" s="165">
        <v>263</v>
      </c>
      <c r="AS264" s="166">
        <v>224</v>
      </c>
      <c r="AT264" s="207"/>
      <c r="AU264" s="170"/>
      <c r="AV264" s="190"/>
      <c r="AW264" s="166"/>
      <c r="AX264" s="208"/>
      <c r="AY264" s="170"/>
      <c r="AZ264" s="45"/>
      <c r="BA264" s="58"/>
      <c r="BB264" s="45">
        <v>256</v>
      </c>
      <c r="BC264" s="46">
        <v>224</v>
      </c>
      <c r="BD264" s="45"/>
      <c r="BE264" s="46"/>
      <c r="BF264" s="45"/>
      <c r="BG264" s="46"/>
      <c r="BH264" s="45"/>
      <c r="BI264" s="46"/>
      <c r="BJ264" s="45"/>
      <c r="BK264" s="46"/>
    </row>
    <row r="265" spans="1:63" ht="13" x14ac:dyDescent="0.25">
      <c r="A265" s="372">
        <v>4121</v>
      </c>
      <c r="B265" s="373" t="s">
        <v>387</v>
      </c>
      <c r="C265" s="360">
        <v>1023</v>
      </c>
      <c r="D265" s="54">
        <v>477</v>
      </c>
      <c r="E265" s="367">
        <v>0.4770731707317073</v>
      </c>
      <c r="F265" s="45">
        <v>321</v>
      </c>
      <c r="G265" s="58">
        <v>151</v>
      </c>
      <c r="H265" s="45">
        <v>333</v>
      </c>
      <c r="I265" s="57">
        <v>137</v>
      </c>
      <c r="J265" s="97"/>
      <c r="K265" s="58"/>
      <c r="L265" s="45"/>
      <c r="M265" s="57"/>
      <c r="N265" s="97"/>
      <c r="O265" s="58"/>
      <c r="P265" s="165"/>
      <c r="Q265" s="166"/>
      <c r="R265" s="207"/>
      <c r="S265" s="170"/>
      <c r="T265" s="165"/>
      <c r="U265" s="166"/>
      <c r="V265" s="207"/>
      <c r="W265" s="170"/>
      <c r="X265" s="165"/>
      <c r="Y265" s="166"/>
      <c r="Z265" s="207"/>
      <c r="AA265" s="170"/>
      <c r="AB265" s="165"/>
      <c r="AC265" s="166"/>
      <c r="AD265" s="207"/>
      <c r="AE265" s="170"/>
      <c r="AF265" s="165"/>
      <c r="AG265" s="166"/>
      <c r="AH265" s="207"/>
      <c r="AI265" s="170"/>
      <c r="AJ265" s="165"/>
      <c r="AK265" s="166"/>
      <c r="AL265" s="207"/>
      <c r="AM265" s="170"/>
      <c r="AN265" s="165"/>
      <c r="AO265" s="166"/>
      <c r="AP265" s="207">
        <v>296</v>
      </c>
      <c r="AQ265" s="170">
        <v>164</v>
      </c>
      <c r="AR265" s="165">
        <v>258</v>
      </c>
      <c r="AS265" s="166">
        <v>203</v>
      </c>
      <c r="AT265" s="207"/>
      <c r="AU265" s="170"/>
      <c r="AV265" s="190"/>
      <c r="AW265" s="166"/>
      <c r="AX265" s="208"/>
      <c r="AY265" s="170"/>
      <c r="AZ265" s="45"/>
      <c r="BA265" s="58"/>
      <c r="BB265" s="45">
        <v>247</v>
      </c>
      <c r="BC265" s="46">
        <v>216</v>
      </c>
      <c r="BD265" s="45"/>
      <c r="BE265" s="46"/>
      <c r="BF265" s="45"/>
      <c r="BG265" s="46"/>
      <c r="BH265" s="45"/>
      <c r="BI265" s="46"/>
      <c r="BJ265" s="45"/>
      <c r="BK265" s="46"/>
    </row>
    <row r="266" spans="1:63" ht="13" x14ac:dyDescent="0.25">
      <c r="A266" s="372">
        <v>4131</v>
      </c>
      <c r="B266" s="373" t="s">
        <v>388</v>
      </c>
      <c r="C266" s="360">
        <v>1086</v>
      </c>
      <c r="D266" s="54">
        <v>421</v>
      </c>
      <c r="E266" s="367">
        <v>0.41042654028436021</v>
      </c>
      <c r="F266" s="45">
        <v>306</v>
      </c>
      <c r="G266" s="58">
        <v>114</v>
      </c>
      <c r="H266" s="45">
        <v>303</v>
      </c>
      <c r="I266" s="57">
        <v>110</v>
      </c>
      <c r="J266" s="97"/>
      <c r="K266" s="58"/>
      <c r="L266" s="45"/>
      <c r="M266" s="57"/>
      <c r="N266" s="97"/>
      <c r="O266" s="58"/>
      <c r="P266" s="165"/>
      <c r="Q266" s="166"/>
      <c r="R266" s="207"/>
      <c r="S266" s="170"/>
      <c r="T266" s="165"/>
      <c r="U266" s="166"/>
      <c r="V266" s="207"/>
      <c r="W266" s="170"/>
      <c r="X266" s="165"/>
      <c r="Y266" s="166"/>
      <c r="Z266" s="207"/>
      <c r="AA266" s="170"/>
      <c r="AB266" s="165"/>
      <c r="AC266" s="166"/>
      <c r="AD266" s="207"/>
      <c r="AE266" s="170"/>
      <c r="AF266" s="165"/>
      <c r="AG266" s="166"/>
      <c r="AH266" s="207"/>
      <c r="AI266" s="170"/>
      <c r="AJ266" s="165"/>
      <c r="AK266" s="166"/>
      <c r="AL266" s="207"/>
      <c r="AM266" s="170"/>
      <c r="AN266" s="165"/>
      <c r="AO266" s="166"/>
      <c r="AP266" s="207">
        <v>271</v>
      </c>
      <c r="AQ266" s="170">
        <v>136</v>
      </c>
      <c r="AR266" s="165">
        <v>228</v>
      </c>
      <c r="AS266" s="166">
        <v>178</v>
      </c>
      <c r="AT266" s="207"/>
      <c r="AU266" s="170"/>
      <c r="AV266" s="190"/>
      <c r="AW266" s="166"/>
      <c r="AX266" s="208"/>
      <c r="AY266" s="170"/>
      <c r="AZ266" s="45"/>
      <c r="BA266" s="58"/>
      <c r="BB266" s="45">
        <v>207</v>
      </c>
      <c r="BC266" s="46">
        <v>198</v>
      </c>
      <c r="BD266" s="45"/>
      <c r="BE266" s="46"/>
      <c r="BF266" s="45"/>
      <c r="BG266" s="46"/>
      <c r="BH266" s="45"/>
      <c r="BI266" s="46"/>
      <c r="BJ266" s="45"/>
      <c r="BK266" s="46"/>
    </row>
    <row r="267" spans="1:63" ht="13" x14ac:dyDescent="0.25">
      <c r="A267" s="372">
        <v>4141</v>
      </c>
      <c r="B267" s="373" t="s">
        <v>389</v>
      </c>
      <c r="C267" s="360">
        <v>922</v>
      </c>
      <c r="D267" s="54">
        <v>364</v>
      </c>
      <c r="E267" s="367">
        <v>0.42398286937901497</v>
      </c>
      <c r="F267" s="45">
        <v>260</v>
      </c>
      <c r="G267" s="58">
        <v>99</v>
      </c>
      <c r="H267" s="45">
        <v>268</v>
      </c>
      <c r="I267" s="57">
        <v>93</v>
      </c>
      <c r="J267" s="97"/>
      <c r="K267" s="58"/>
      <c r="L267" s="45"/>
      <c r="M267" s="57"/>
      <c r="N267" s="97"/>
      <c r="O267" s="58"/>
      <c r="P267" s="165"/>
      <c r="Q267" s="166"/>
      <c r="R267" s="207"/>
      <c r="S267" s="170"/>
      <c r="T267" s="165"/>
      <c r="U267" s="166"/>
      <c r="V267" s="97"/>
      <c r="W267" s="58"/>
      <c r="X267" s="165"/>
      <c r="Y267" s="166"/>
      <c r="Z267" s="207"/>
      <c r="AA267" s="170"/>
      <c r="AB267" s="165"/>
      <c r="AC267" s="166"/>
      <c r="AD267" s="207"/>
      <c r="AE267" s="170"/>
      <c r="AF267" s="165"/>
      <c r="AG267" s="166"/>
      <c r="AH267" s="207"/>
      <c r="AI267" s="170"/>
      <c r="AJ267" s="165"/>
      <c r="AK267" s="166"/>
      <c r="AL267" s="207"/>
      <c r="AM267" s="170"/>
      <c r="AN267" s="165"/>
      <c r="AO267" s="166"/>
      <c r="AP267" s="207">
        <v>231</v>
      </c>
      <c r="AQ267" s="170">
        <v>127</v>
      </c>
      <c r="AR267" s="165">
        <v>201</v>
      </c>
      <c r="AS267" s="166">
        <v>160</v>
      </c>
      <c r="AT267" s="207"/>
      <c r="AU267" s="170"/>
      <c r="AV267" s="190"/>
      <c r="AW267" s="166"/>
      <c r="AX267" s="208"/>
      <c r="AY267" s="170"/>
      <c r="AZ267" s="45"/>
      <c r="BA267" s="58"/>
      <c r="BB267" s="45">
        <v>180</v>
      </c>
      <c r="BC267" s="46">
        <v>179</v>
      </c>
      <c r="BD267" s="45"/>
      <c r="BE267" s="46"/>
      <c r="BF267" s="45"/>
      <c r="BG267" s="46"/>
      <c r="BH267" s="45"/>
      <c r="BI267" s="46"/>
      <c r="BJ267" s="45"/>
      <c r="BK267" s="46"/>
    </row>
    <row r="268" spans="1:63" ht="13" x14ac:dyDescent="0.25">
      <c r="A268" s="372">
        <v>4311</v>
      </c>
      <c r="B268" s="373" t="s">
        <v>390</v>
      </c>
      <c r="C268" s="360">
        <v>581</v>
      </c>
      <c r="D268" s="54">
        <v>254</v>
      </c>
      <c r="E268" s="367">
        <v>0.43035714285714288</v>
      </c>
      <c r="F268" s="45">
        <v>180</v>
      </c>
      <c r="G268" s="58">
        <v>65</v>
      </c>
      <c r="H268" s="45">
        <v>184</v>
      </c>
      <c r="I268" s="57">
        <v>67</v>
      </c>
      <c r="J268" s="97"/>
      <c r="K268" s="58"/>
      <c r="L268" s="45"/>
      <c r="M268" s="57"/>
      <c r="N268" s="97"/>
      <c r="O268" s="58"/>
      <c r="P268" s="165"/>
      <c r="Q268" s="166"/>
      <c r="R268" s="207"/>
      <c r="S268" s="170"/>
      <c r="T268" s="165"/>
      <c r="U268" s="166"/>
      <c r="V268" s="97"/>
      <c r="W268" s="58"/>
      <c r="X268" s="165"/>
      <c r="Y268" s="166"/>
      <c r="Z268" s="207"/>
      <c r="AA268" s="170"/>
      <c r="AB268" s="165"/>
      <c r="AC268" s="166"/>
      <c r="AD268" s="207"/>
      <c r="AE268" s="170"/>
      <c r="AF268" s="165"/>
      <c r="AG268" s="166"/>
      <c r="AH268" s="207"/>
      <c r="AI268" s="170"/>
      <c r="AJ268" s="165"/>
      <c r="AK268" s="166"/>
      <c r="AL268" s="207"/>
      <c r="AM268" s="170"/>
      <c r="AN268" s="165"/>
      <c r="AO268" s="166"/>
      <c r="AP268" s="207">
        <v>156</v>
      </c>
      <c r="AQ268" s="170">
        <v>88</v>
      </c>
      <c r="AR268" s="165">
        <v>127</v>
      </c>
      <c r="AS268" s="166">
        <v>119</v>
      </c>
      <c r="AT268" s="207"/>
      <c r="AU268" s="170"/>
      <c r="AV268" s="190"/>
      <c r="AW268" s="166"/>
      <c r="AX268" s="208"/>
      <c r="AY268" s="170"/>
      <c r="AZ268" s="45"/>
      <c r="BA268" s="58"/>
      <c r="BB268" s="45"/>
      <c r="BC268" s="46"/>
      <c r="BD268" s="45">
        <v>105</v>
      </c>
      <c r="BE268" s="46">
        <v>126</v>
      </c>
      <c r="BF268" s="45">
        <v>102</v>
      </c>
      <c r="BG268" s="46">
        <v>130</v>
      </c>
      <c r="BH268" s="45">
        <v>165</v>
      </c>
      <c r="BI268" s="46">
        <v>76</v>
      </c>
      <c r="BJ268" s="45"/>
      <c r="BK268" s="46"/>
    </row>
    <row r="269" spans="1:63" ht="13" x14ac:dyDescent="0.25">
      <c r="A269" s="372">
        <v>4312</v>
      </c>
      <c r="B269" s="373" t="s">
        <v>391</v>
      </c>
      <c r="C269" s="360">
        <v>1188</v>
      </c>
      <c r="D269" s="54">
        <v>473</v>
      </c>
      <c r="E269" s="367">
        <v>0.41056218057921634</v>
      </c>
      <c r="F269" s="45">
        <v>317</v>
      </c>
      <c r="G269" s="58">
        <v>150</v>
      </c>
      <c r="H269" s="45">
        <v>311</v>
      </c>
      <c r="I269" s="57">
        <v>149</v>
      </c>
      <c r="J269" s="97"/>
      <c r="K269" s="58"/>
      <c r="L269" s="45"/>
      <c r="M269" s="57"/>
      <c r="N269" s="97"/>
      <c r="O269" s="58"/>
      <c r="P269" s="165"/>
      <c r="Q269" s="166"/>
      <c r="R269" s="207"/>
      <c r="S269" s="170"/>
      <c r="T269" s="165"/>
      <c r="U269" s="166"/>
      <c r="V269" s="97"/>
      <c r="W269" s="58"/>
      <c r="X269" s="165"/>
      <c r="Y269" s="166"/>
      <c r="Z269" s="207"/>
      <c r="AA269" s="170"/>
      <c r="AB269" s="165"/>
      <c r="AC269" s="166"/>
      <c r="AD269" s="207"/>
      <c r="AE269" s="170"/>
      <c r="AF269" s="165"/>
      <c r="AG269" s="166"/>
      <c r="AH269" s="207"/>
      <c r="AI269" s="170"/>
      <c r="AJ269" s="165"/>
      <c r="AK269" s="166"/>
      <c r="AL269" s="207"/>
      <c r="AM269" s="170"/>
      <c r="AN269" s="165"/>
      <c r="AO269" s="166"/>
      <c r="AP269" s="207">
        <v>295</v>
      </c>
      <c r="AQ269" s="170">
        <v>169</v>
      </c>
      <c r="AR269" s="165">
        <v>245</v>
      </c>
      <c r="AS269" s="166">
        <v>212</v>
      </c>
      <c r="AT269" s="207"/>
      <c r="AU269" s="170"/>
      <c r="AV269" s="190"/>
      <c r="AW269" s="166"/>
      <c r="AX269" s="208"/>
      <c r="AY269" s="170"/>
      <c r="AZ269" s="45"/>
      <c r="BA269" s="58"/>
      <c r="BB269" s="45"/>
      <c r="BC269" s="46"/>
      <c r="BD269" s="45">
        <v>189</v>
      </c>
      <c r="BE269" s="46">
        <v>243</v>
      </c>
      <c r="BF269" s="45">
        <v>192</v>
      </c>
      <c r="BG269" s="46">
        <v>242</v>
      </c>
      <c r="BH269" s="45">
        <v>292</v>
      </c>
      <c r="BI269" s="46">
        <v>164</v>
      </c>
      <c r="BJ269" s="45"/>
      <c r="BK269" s="46"/>
    </row>
    <row r="270" spans="1:63" ht="13" x14ac:dyDescent="0.25">
      <c r="A270" s="372">
        <v>4321</v>
      </c>
      <c r="B270" s="373" t="s">
        <v>392</v>
      </c>
      <c r="C270" s="360">
        <v>1069</v>
      </c>
      <c r="D270" s="54">
        <v>284</v>
      </c>
      <c r="E270" s="367">
        <v>0.31431244153414406</v>
      </c>
      <c r="F270" s="45">
        <v>212</v>
      </c>
      <c r="G270" s="58">
        <v>66</v>
      </c>
      <c r="H270" s="45">
        <v>203</v>
      </c>
      <c r="I270" s="57">
        <v>73</v>
      </c>
      <c r="J270" s="97"/>
      <c r="K270" s="58"/>
      <c r="L270" s="45"/>
      <c r="M270" s="57"/>
      <c r="N270" s="97"/>
      <c r="O270" s="58"/>
      <c r="P270" s="165"/>
      <c r="Q270" s="166"/>
      <c r="R270" s="207"/>
      <c r="S270" s="170"/>
      <c r="T270" s="165"/>
      <c r="U270" s="166"/>
      <c r="V270" s="97"/>
      <c r="W270" s="58"/>
      <c r="X270" s="165"/>
      <c r="Y270" s="166"/>
      <c r="Z270" s="207"/>
      <c r="AA270" s="170"/>
      <c r="AB270" s="165"/>
      <c r="AC270" s="166"/>
      <c r="AD270" s="207"/>
      <c r="AE270" s="170"/>
      <c r="AF270" s="165"/>
      <c r="AG270" s="166"/>
      <c r="AH270" s="207"/>
      <c r="AI270" s="170"/>
      <c r="AJ270" s="165"/>
      <c r="AK270" s="166"/>
      <c r="AL270" s="207"/>
      <c r="AM270" s="170"/>
      <c r="AN270" s="165"/>
      <c r="AO270" s="166"/>
      <c r="AP270" s="207">
        <v>177</v>
      </c>
      <c r="AQ270" s="170">
        <v>98</v>
      </c>
      <c r="AR270" s="165">
        <v>157</v>
      </c>
      <c r="AS270" s="166">
        <v>124</v>
      </c>
      <c r="AT270" s="207"/>
      <c r="AU270" s="170"/>
      <c r="AV270" s="190"/>
      <c r="AW270" s="166"/>
      <c r="AX270" s="208"/>
      <c r="AY270" s="170"/>
      <c r="AZ270" s="45"/>
      <c r="BA270" s="58"/>
      <c r="BB270" s="45"/>
      <c r="BC270" s="46"/>
      <c r="BD270" s="45">
        <v>133</v>
      </c>
      <c r="BE270" s="46">
        <v>132</v>
      </c>
      <c r="BF270" s="45">
        <v>128</v>
      </c>
      <c r="BG270" s="46">
        <v>137</v>
      </c>
      <c r="BH270" s="45">
        <v>186</v>
      </c>
      <c r="BI270" s="46">
        <v>88</v>
      </c>
      <c r="BJ270" s="45"/>
      <c r="BK270" s="46"/>
    </row>
    <row r="271" spans="1:63" ht="13" x14ac:dyDescent="0.25">
      <c r="A271" s="372">
        <v>4331</v>
      </c>
      <c r="B271" s="373" t="s">
        <v>393</v>
      </c>
      <c r="C271" s="360">
        <v>1163</v>
      </c>
      <c r="D271" s="54">
        <v>435</v>
      </c>
      <c r="E271" s="367">
        <v>0.36426116838487971</v>
      </c>
      <c r="F271" s="45">
        <v>317</v>
      </c>
      <c r="G271" s="58">
        <v>114</v>
      </c>
      <c r="H271" s="45">
        <v>329</v>
      </c>
      <c r="I271" s="57">
        <v>104</v>
      </c>
      <c r="J271" s="97"/>
      <c r="K271" s="58"/>
      <c r="L271" s="45"/>
      <c r="M271" s="57"/>
      <c r="N271" s="97"/>
      <c r="O271" s="58"/>
      <c r="P271" s="165"/>
      <c r="Q271" s="166"/>
      <c r="R271" s="207"/>
      <c r="S271" s="170"/>
      <c r="T271" s="165"/>
      <c r="U271" s="166"/>
      <c r="V271" s="97"/>
      <c r="W271" s="58"/>
      <c r="X271" s="165"/>
      <c r="Y271" s="166"/>
      <c r="Z271" s="207"/>
      <c r="AA271" s="170"/>
      <c r="AB271" s="165"/>
      <c r="AC271" s="166"/>
      <c r="AD271" s="207"/>
      <c r="AE271" s="170"/>
      <c r="AF271" s="165"/>
      <c r="AG271" s="166"/>
      <c r="AH271" s="207"/>
      <c r="AI271" s="170"/>
      <c r="AJ271" s="165"/>
      <c r="AK271" s="166"/>
      <c r="AL271" s="207"/>
      <c r="AM271" s="170"/>
      <c r="AN271" s="165"/>
      <c r="AO271" s="166"/>
      <c r="AP271" s="207">
        <v>268</v>
      </c>
      <c r="AQ271" s="170">
        <v>151</v>
      </c>
      <c r="AR271" s="165">
        <v>225</v>
      </c>
      <c r="AS271" s="166">
        <v>188</v>
      </c>
      <c r="AT271" s="207"/>
      <c r="AU271" s="170"/>
      <c r="AV271" s="190"/>
      <c r="AW271" s="166"/>
      <c r="AX271" s="208"/>
      <c r="AY271" s="170"/>
      <c r="AZ271" s="45"/>
      <c r="BA271" s="58"/>
      <c r="BB271" s="45"/>
      <c r="BC271" s="46"/>
      <c r="BD271" s="45">
        <v>188</v>
      </c>
      <c r="BE271" s="46">
        <v>211</v>
      </c>
      <c r="BF271" s="45">
        <v>200</v>
      </c>
      <c r="BG271" s="46">
        <v>196</v>
      </c>
      <c r="BH271" s="45">
        <v>268</v>
      </c>
      <c r="BI271" s="46">
        <v>146</v>
      </c>
      <c r="BJ271" s="45"/>
      <c r="BK271" s="46"/>
    </row>
    <row r="272" spans="1:63" ht="13" x14ac:dyDescent="0.25">
      <c r="A272" s="372">
        <v>4341</v>
      </c>
      <c r="B272" s="373" t="s">
        <v>394</v>
      </c>
      <c r="C272" s="360">
        <v>1140</v>
      </c>
      <c r="D272" s="54">
        <v>514</v>
      </c>
      <c r="E272" s="367">
        <v>0.47171453437771976</v>
      </c>
      <c r="F272" s="45">
        <v>349</v>
      </c>
      <c r="G272" s="58">
        <v>160</v>
      </c>
      <c r="H272" s="45">
        <v>353</v>
      </c>
      <c r="I272" s="57">
        <v>156</v>
      </c>
      <c r="J272" s="97"/>
      <c r="K272" s="58"/>
      <c r="L272" s="45"/>
      <c r="M272" s="57"/>
      <c r="N272" s="97"/>
      <c r="O272" s="58"/>
      <c r="P272" s="165"/>
      <c r="Q272" s="166"/>
      <c r="R272" s="207"/>
      <c r="S272" s="170"/>
      <c r="T272" s="165"/>
      <c r="U272" s="166"/>
      <c r="V272" s="97"/>
      <c r="W272" s="58"/>
      <c r="X272" s="165"/>
      <c r="Y272" s="166"/>
      <c r="Z272" s="207"/>
      <c r="AA272" s="170"/>
      <c r="AB272" s="165"/>
      <c r="AC272" s="166"/>
      <c r="AD272" s="207"/>
      <c r="AE272" s="170"/>
      <c r="AF272" s="165"/>
      <c r="AG272" s="166"/>
      <c r="AH272" s="207"/>
      <c r="AI272" s="170"/>
      <c r="AJ272" s="165"/>
      <c r="AK272" s="166"/>
      <c r="AL272" s="207"/>
      <c r="AM272" s="170"/>
      <c r="AN272" s="165"/>
      <c r="AO272" s="166"/>
      <c r="AP272" s="207">
        <v>323</v>
      </c>
      <c r="AQ272" s="170">
        <v>179</v>
      </c>
      <c r="AR272" s="165">
        <v>273</v>
      </c>
      <c r="AS272" s="166">
        <v>220</v>
      </c>
      <c r="AT272" s="207"/>
      <c r="AU272" s="170"/>
      <c r="AV272" s="190"/>
      <c r="AW272" s="166"/>
      <c r="AX272" s="208"/>
      <c r="AY272" s="170"/>
      <c r="AZ272" s="45"/>
      <c r="BA272" s="58"/>
      <c r="BB272" s="45"/>
      <c r="BC272" s="46"/>
      <c r="BD272" s="45">
        <v>238</v>
      </c>
      <c r="BE272" s="46">
        <v>236</v>
      </c>
      <c r="BF272" s="45">
        <v>243</v>
      </c>
      <c r="BG272" s="46">
        <v>231</v>
      </c>
      <c r="BH272" s="45">
        <v>331</v>
      </c>
      <c r="BI272" s="46">
        <v>163</v>
      </c>
      <c r="BJ272" s="45"/>
      <c r="BK272" s="46"/>
    </row>
    <row r="273" spans="1:63" ht="13" x14ac:dyDescent="0.25">
      <c r="A273" s="372">
        <v>4342</v>
      </c>
      <c r="B273" s="373" t="s">
        <v>395</v>
      </c>
      <c r="C273" s="360">
        <v>547</v>
      </c>
      <c r="D273" s="54">
        <v>273</v>
      </c>
      <c r="E273" s="367">
        <v>0.52508960573476704</v>
      </c>
      <c r="F273" s="45">
        <v>185</v>
      </c>
      <c r="G273" s="58">
        <v>82</v>
      </c>
      <c r="H273" s="45">
        <v>188</v>
      </c>
      <c r="I273" s="57">
        <v>77</v>
      </c>
      <c r="J273" s="97"/>
      <c r="K273" s="58"/>
      <c r="L273" s="45"/>
      <c r="M273" s="57"/>
      <c r="N273" s="97"/>
      <c r="O273" s="58"/>
      <c r="P273" s="165"/>
      <c r="Q273" s="166"/>
      <c r="R273" s="207"/>
      <c r="S273" s="170"/>
      <c r="T273" s="165"/>
      <c r="U273" s="166"/>
      <c r="V273" s="97"/>
      <c r="W273" s="58"/>
      <c r="X273" s="165"/>
      <c r="Y273" s="166"/>
      <c r="Z273" s="207"/>
      <c r="AA273" s="170"/>
      <c r="AB273" s="165"/>
      <c r="AC273" s="166"/>
      <c r="AD273" s="207"/>
      <c r="AE273" s="170"/>
      <c r="AF273" s="165"/>
      <c r="AG273" s="166"/>
      <c r="AH273" s="207"/>
      <c r="AI273" s="170"/>
      <c r="AJ273" s="165"/>
      <c r="AK273" s="166"/>
      <c r="AL273" s="207"/>
      <c r="AM273" s="170"/>
      <c r="AN273" s="165"/>
      <c r="AO273" s="166"/>
      <c r="AP273" s="207">
        <v>166</v>
      </c>
      <c r="AQ273" s="170">
        <v>102</v>
      </c>
      <c r="AR273" s="165">
        <v>146</v>
      </c>
      <c r="AS273" s="166">
        <v>124</v>
      </c>
      <c r="AT273" s="207"/>
      <c r="AU273" s="170"/>
      <c r="AV273" s="190"/>
      <c r="AW273" s="166"/>
      <c r="AX273" s="208"/>
      <c r="AY273" s="170"/>
      <c r="AZ273" s="45"/>
      <c r="BA273" s="58"/>
      <c r="BB273" s="45"/>
      <c r="BC273" s="46"/>
      <c r="BD273" s="45">
        <v>107</v>
      </c>
      <c r="BE273" s="46">
        <v>145</v>
      </c>
      <c r="BF273" s="45">
        <v>110</v>
      </c>
      <c r="BG273" s="46">
        <v>146</v>
      </c>
      <c r="BH273" s="45">
        <v>179</v>
      </c>
      <c r="BI273" s="46">
        <v>84</v>
      </c>
      <c r="BJ273" s="45"/>
      <c r="BK273" s="46"/>
    </row>
    <row r="274" spans="1:63" ht="13" x14ac:dyDescent="0.25">
      <c r="A274" s="372">
        <v>4343</v>
      </c>
      <c r="B274" s="373" t="s">
        <v>396</v>
      </c>
      <c r="C274" s="360">
        <v>802</v>
      </c>
      <c r="D274" s="54">
        <v>288</v>
      </c>
      <c r="E274" s="367">
        <v>0.39157372986369271</v>
      </c>
      <c r="F274" s="45">
        <v>234</v>
      </c>
      <c r="G274" s="58">
        <v>51</v>
      </c>
      <c r="H274" s="45">
        <v>207</v>
      </c>
      <c r="I274" s="57">
        <v>72</v>
      </c>
      <c r="J274" s="97"/>
      <c r="K274" s="58"/>
      <c r="L274" s="45"/>
      <c r="M274" s="57"/>
      <c r="N274" s="97"/>
      <c r="O274" s="58"/>
      <c r="P274" s="165"/>
      <c r="Q274" s="166"/>
      <c r="R274" s="207"/>
      <c r="S274" s="170"/>
      <c r="T274" s="165"/>
      <c r="U274" s="166"/>
      <c r="V274" s="207"/>
      <c r="W274" s="170"/>
      <c r="X274" s="165"/>
      <c r="Y274" s="166"/>
      <c r="Z274" s="207"/>
      <c r="AA274" s="170"/>
      <c r="AB274" s="165"/>
      <c r="AC274" s="166"/>
      <c r="AD274" s="207"/>
      <c r="AE274" s="170"/>
      <c r="AF274" s="165"/>
      <c r="AG274" s="166"/>
      <c r="AH274" s="207"/>
      <c r="AI274" s="170"/>
      <c r="AJ274" s="165"/>
      <c r="AK274" s="166"/>
      <c r="AL274" s="207"/>
      <c r="AM274" s="170"/>
      <c r="AN274" s="165"/>
      <c r="AO274" s="166"/>
      <c r="AP274" s="207">
        <v>172</v>
      </c>
      <c r="AQ274" s="170">
        <v>107</v>
      </c>
      <c r="AR274" s="165">
        <v>155</v>
      </c>
      <c r="AS274" s="166">
        <v>128</v>
      </c>
      <c r="AT274" s="207"/>
      <c r="AU274" s="170"/>
      <c r="AV274" s="190"/>
      <c r="AW274" s="166"/>
      <c r="AX274" s="208"/>
      <c r="AY274" s="170"/>
      <c r="AZ274" s="45"/>
      <c r="BA274" s="58"/>
      <c r="BB274" s="45"/>
      <c r="BC274" s="46"/>
      <c r="BD274" s="45">
        <v>113</v>
      </c>
      <c r="BE274" s="46">
        <v>150</v>
      </c>
      <c r="BF274" s="45">
        <v>112</v>
      </c>
      <c r="BG274" s="46">
        <v>155</v>
      </c>
      <c r="BH274" s="45">
        <v>183</v>
      </c>
      <c r="BI274" s="46">
        <v>94</v>
      </c>
      <c r="BJ274" s="45"/>
      <c r="BK274" s="46"/>
    </row>
    <row r="275" spans="1:63" ht="13" x14ac:dyDescent="0.25">
      <c r="A275" s="372">
        <v>4411</v>
      </c>
      <c r="B275" s="373" t="s">
        <v>397</v>
      </c>
      <c r="C275" s="360">
        <v>872</v>
      </c>
      <c r="D275" s="54">
        <v>299</v>
      </c>
      <c r="E275" s="367">
        <v>0.36997635933806144</v>
      </c>
      <c r="F275" s="45">
        <v>224</v>
      </c>
      <c r="G275" s="58">
        <v>74</v>
      </c>
      <c r="H275" s="45">
        <v>234</v>
      </c>
      <c r="I275" s="57">
        <v>63</v>
      </c>
      <c r="J275" s="97"/>
      <c r="K275" s="58"/>
      <c r="L275" s="45"/>
      <c r="M275" s="57"/>
      <c r="N275" s="97"/>
      <c r="O275" s="58"/>
      <c r="P275" s="165"/>
      <c r="Q275" s="166"/>
      <c r="R275" s="207"/>
      <c r="S275" s="170"/>
      <c r="T275" s="165"/>
      <c r="U275" s="166"/>
      <c r="V275" s="207"/>
      <c r="W275" s="170"/>
      <c r="X275" s="165"/>
      <c r="Y275" s="166"/>
      <c r="Z275" s="207"/>
      <c r="AA275" s="170"/>
      <c r="AB275" s="165"/>
      <c r="AC275" s="166"/>
      <c r="AD275" s="207"/>
      <c r="AE275" s="170"/>
      <c r="AF275" s="165"/>
      <c r="AG275" s="166"/>
      <c r="AH275" s="207"/>
      <c r="AI275" s="170"/>
      <c r="AJ275" s="165"/>
      <c r="AK275" s="166"/>
      <c r="AL275" s="207"/>
      <c r="AM275" s="170"/>
      <c r="AN275" s="165"/>
      <c r="AO275" s="166"/>
      <c r="AP275" s="207">
        <v>214</v>
      </c>
      <c r="AQ275" s="170">
        <v>80</v>
      </c>
      <c r="AR275" s="165">
        <v>196</v>
      </c>
      <c r="AS275" s="166">
        <v>96</v>
      </c>
      <c r="AT275" s="207"/>
      <c r="AU275" s="170"/>
      <c r="AV275" s="190"/>
      <c r="AW275" s="166"/>
      <c r="AX275" s="208"/>
      <c r="AY275" s="170"/>
      <c r="AZ275" s="45"/>
      <c r="BA275" s="58"/>
      <c r="BB275" s="45"/>
      <c r="BC275" s="46"/>
      <c r="BD275" s="45"/>
      <c r="BE275" s="46"/>
      <c r="BF275" s="45"/>
      <c r="BG275" s="46"/>
      <c r="BH275" s="45"/>
      <c r="BI275" s="46"/>
      <c r="BJ275" s="45"/>
      <c r="BK275" s="46"/>
    </row>
    <row r="276" spans="1:63" ht="13" x14ac:dyDescent="0.25">
      <c r="A276" s="372">
        <v>4412</v>
      </c>
      <c r="B276" s="373" t="s">
        <v>398</v>
      </c>
      <c r="C276" s="360">
        <v>1224</v>
      </c>
      <c r="D276" s="54">
        <v>433</v>
      </c>
      <c r="E276" s="367">
        <v>0.36296900489396411</v>
      </c>
      <c r="F276" s="45">
        <v>283</v>
      </c>
      <c r="G276" s="58">
        <v>146</v>
      </c>
      <c r="H276" s="45">
        <v>337</v>
      </c>
      <c r="I276" s="57">
        <v>94</v>
      </c>
      <c r="J276" s="97"/>
      <c r="K276" s="58"/>
      <c r="L276" s="45"/>
      <c r="M276" s="57"/>
      <c r="N276" s="97"/>
      <c r="O276" s="58"/>
      <c r="P276" s="165"/>
      <c r="Q276" s="166"/>
      <c r="R276" s="207"/>
      <c r="S276" s="170"/>
      <c r="T276" s="165"/>
      <c r="U276" s="166"/>
      <c r="V276" s="207"/>
      <c r="W276" s="170"/>
      <c r="X276" s="165"/>
      <c r="Y276" s="166"/>
      <c r="Z276" s="207"/>
      <c r="AA276" s="170"/>
      <c r="AB276" s="165"/>
      <c r="AC276" s="166"/>
      <c r="AD276" s="207"/>
      <c r="AE276" s="170"/>
      <c r="AF276" s="165"/>
      <c r="AG276" s="166"/>
      <c r="AH276" s="207"/>
      <c r="AI276" s="170"/>
      <c r="AJ276" s="165"/>
      <c r="AK276" s="166"/>
      <c r="AL276" s="207"/>
      <c r="AM276" s="170"/>
      <c r="AN276" s="165"/>
      <c r="AO276" s="166"/>
      <c r="AP276" s="207">
        <v>294</v>
      </c>
      <c r="AQ276" s="170">
        <v>130</v>
      </c>
      <c r="AR276" s="165">
        <v>247</v>
      </c>
      <c r="AS276" s="166">
        <v>174</v>
      </c>
      <c r="AT276" s="207"/>
      <c r="AU276" s="170"/>
      <c r="AV276" s="190"/>
      <c r="AW276" s="166"/>
      <c r="AX276" s="208"/>
      <c r="AY276" s="170"/>
      <c r="AZ276" s="45"/>
      <c r="BA276" s="58"/>
      <c r="BB276" s="45"/>
      <c r="BC276" s="46"/>
      <c r="BD276" s="45"/>
      <c r="BE276" s="46"/>
      <c r="BF276" s="45"/>
      <c r="BG276" s="46"/>
      <c r="BH276" s="45"/>
      <c r="BI276" s="46"/>
      <c r="BJ276" s="45"/>
      <c r="BK276" s="46"/>
    </row>
    <row r="277" spans="1:63" ht="13" x14ac:dyDescent="0.25">
      <c r="A277" s="372">
        <v>4413</v>
      </c>
      <c r="B277" s="373" t="s">
        <v>773</v>
      </c>
      <c r="C277" s="360">
        <v>1132</v>
      </c>
      <c r="D277" s="54">
        <v>495</v>
      </c>
      <c r="E277" s="367">
        <v>0.44514959202175886</v>
      </c>
      <c r="F277" s="45">
        <v>339</v>
      </c>
      <c r="G277" s="58">
        <v>150</v>
      </c>
      <c r="H277" s="45">
        <v>364</v>
      </c>
      <c r="I277" s="57">
        <v>123</v>
      </c>
      <c r="J277" s="97"/>
      <c r="K277" s="58"/>
      <c r="L277" s="45"/>
      <c r="M277" s="57"/>
      <c r="N277" s="97"/>
      <c r="O277" s="58"/>
      <c r="P277" s="165"/>
      <c r="Q277" s="166"/>
      <c r="R277" s="207"/>
      <c r="S277" s="170"/>
      <c r="T277" s="165"/>
      <c r="U277" s="166"/>
      <c r="V277" s="207"/>
      <c r="W277" s="170"/>
      <c r="X277" s="165"/>
      <c r="Y277" s="166"/>
      <c r="Z277" s="207"/>
      <c r="AA277" s="170"/>
      <c r="AB277" s="165"/>
      <c r="AC277" s="166"/>
      <c r="AD277" s="207"/>
      <c r="AE277" s="170"/>
      <c r="AF277" s="165"/>
      <c r="AG277" s="166"/>
      <c r="AH277" s="207"/>
      <c r="AI277" s="170"/>
      <c r="AJ277" s="165"/>
      <c r="AK277" s="166"/>
      <c r="AL277" s="207"/>
      <c r="AM277" s="170"/>
      <c r="AN277" s="165"/>
      <c r="AO277" s="166"/>
      <c r="AP277" s="207">
        <v>353</v>
      </c>
      <c r="AQ277" s="170">
        <v>126</v>
      </c>
      <c r="AR277" s="165">
        <v>312</v>
      </c>
      <c r="AS277" s="166">
        <v>169</v>
      </c>
      <c r="AT277" s="207"/>
      <c r="AU277" s="170"/>
      <c r="AV277" s="190"/>
      <c r="AW277" s="166"/>
      <c r="AX277" s="208"/>
      <c r="AY277" s="170"/>
      <c r="AZ277" s="45"/>
      <c r="BA277" s="58"/>
      <c r="BB277" s="45"/>
      <c r="BC277" s="46"/>
      <c r="BD277" s="45"/>
      <c r="BE277" s="46"/>
      <c r="BF277" s="45"/>
      <c r="BG277" s="46"/>
      <c r="BH277" s="45"/>
      <c r="BI277" s="46"/>
      <c r="BJ277" s="45"/>
      <c r="BK277" s="46"/>
    </row>
    <row r="278" spans="1:63" ht="13" x14ac:dyDescent="0.25">
      <c r="A278" s="372">
        <v>4421</v>
      </c>
      <c r="B278" s="373" t="s">
        <v>399</v>
      </c>
      <c r="C278" s="360">
        <v>1037</v>
      </c>
      <c r="D278" s="54">
        <v>555</v>
      </c>
      <c r="E278" s="367">
        <v>0.51004784688995219</v>
      </c>
      <c r="F278" s="45">
        <v>385</v>
      </c>
      <c r="G278" s="58">
        <v>167</v>
      </c>
      <c r="H278" s="45">
        <v>409</v>
      </c>
      <c r="I278" s="57">
        <v>134</v>
      </c>
      <c r="J278" s="97"/>
      <c r="K278" s="58"/>
      <c r="L278" s="45"/>
      <c r="M278" s="57"/>
      <c r="N278" s="97"/>
      <c r="O278" s="58"/>
      <c r="P278" s="165"/>
      <c r="Q278" s="166"/>
      <c r="R278" s="207"/>
      <c r="S278" s="170"/>
      <c r="T278" s="165"/>
      <c r="U278" s="166"/>
      <c r="V278" s="207"/>
      <c r="W278" s="170"/>
      <c r="X278" s="165"/>
      <c r="Y278" s="166"/>
      <c r="Z278" s="207"/>
      <c r="AA278" s="170"/>
      <c r="AB278" s="165"/>
      <c r="AC278" s="166"/>
      <c r="AD278" s="207"/>
      <c r="AE278" s="170"/>
      <c r="AF278" s="165"/>
      <c r="AG278" s="166"/>
      <c r="AH278" s="207"/>
      <c r="AI278" s="170"/>
      <c r="AJ278" s="165"/>
      <c r="AK278" s="166"/>
      <c r="AL278" s="207"/>
      <c r="AM278" s="170"/>
      <c r="AN278" s="165"/>
      <c r="AO278" s="166"/>
      <c r="AP278" s="207">
        <v>410</v>
      </c>
      <c r="AQ278" s="170">
        <v>134</v>
      </c>
      <c r="AR278" s="165">
        <v>335</v>
      </c>
      <c r="AS278" s="166">
        <v>202</v>
      </c>
      <c r="AT278" s="207"/>
      <c r="AU278" s="170"/>
      <c r="AV278" s="190"/>
      <c r="AW278" s="166"/>
      <c r="AX278" s="208"/>
      <c r="AY278" s="170"/>
      <c r="AZ278" s="45"/>
      <c r="BA278" s="58"/>
      <c r="BB278" s="45"/>
      <c r="BC278" s="46"/>
      <c r="BD278" s="45"/>
      <c r="BE278" s="46"/>
      <c r="BF278" s="45"/>
      <c r="BG278" s="46"/>
      <c r="BH278" s="45"/>
      <c r="BI278" s="46"/>
      <c r="BJ278" s="45"/>
      <c r="BK278" s="46"/>
    </row>
    <row r="279" spans="1:63" ht="13" x14ac:dyDescent="0.25">
      <c r="A279" s="372">
        <v>4422</v>
      </c>
      <c r="B279" s="373" t="s">
        <v>400</v>
      </c>
      <c r="C279" s="360">
        <v>1242</v>
      </c>
      <c r="D279" s="54">
        <v>548</v>
      </c>
      <c r="E279" s="367">
        <v>0.43099273607748184</v>
      </c>
      <c r="F279" s="45">
        <v>364</v>
      </c>
      <c r="G279" s="58">
        <v>179</v>
      </c>
      <c r="H279" s="45">
        <v>406</v>
      </c>
      <c r="I279" s="57">
        <v>138</v>
      </c>
      <c r="J279" s="97"/>
      <c r="K279" s="58"/>
      <c r="L279" s="45"/>
      <c r="M279" s="57"/>
      <c r="N279" s="97"/>
      <c r="O279" s="58"/>
      <c r="P279" s="165"/>
      <c r="Q279" s="166"/>
      <c r="R279" s="207"/>
      <c r="S279" s="170"/>
      <c r="T279" s="165"/>
      <c r="U279" s="166"/>
      <c r="V279" s="207"/>
      <c r="W279" s="170"/>
      <c r="X279" s="165"/>
      <c r="Y279" s="166"/>
      <c r="Z279" s="207"/>
      <c r="AA279" s="170"/>
      <c r="AB279" s="165"/>
      <c r="AC279" s="166"/>
      <c r="AD279" s="207"/>
      <c r="AE279" s="170"/>
      <c r="AF279" s="165"/>
      <c r="AG279" s="166"/>
      <c r="AH279" s="207"/>
      <c r="AI279" s="170"/>
      <c r="AJ279" s="165"/>
      <c r="AK279" s="166"/>
      <c r="AL279" s="207"/>
      <c r="AM279" s="170"/>
      <c r="AN279" s="165"/>
      <c r="AO279" s="166"/>
      <c r="AP279" s="207">
        <v>408</v>
      </c>
      <c r="AQ279" s="170">
        <v>127</v>
      </c>
      <c r="AR279" s="165">
        <v>353</v>
      </c>
      <c r="AS279" s="166">
        <v>180</v>
      </c>
      <c r="AT279" s="207"/>
      <c r="AU279" s="170"/>
      <c r="AV279" s="190"/>
      <c r="AW279" s="166"/>
      <c r="AX279" s="208"/>
      <c r="AY279" s="170"/>
      <c r="AZ279" s="45"/>
      <c r="BA279" s="58"/>
      <c r="BB279" s="45"/>
      <c r="BC279" s="46"/>
      <c r="BD279" s="45"/>
      <c r="BE279" s="46"/>
      <c r="BF279" s="45"/>
      <c r="BG279" s="46"/>
      <c r="BH279" s="45"/>
      <c r="BI279" s="46"/>
      <c r="BJ279" s="45"/>
      <c r="BK279" s="46"/>
    </row>
    <row r="280" spans="1:63" ht="13" x14ac:dyDescent="0.25">
      <c r="A280" s="372">
        <v>4423</v>
      </c>
      <c r="B280" s="373" t="s">
        <v>401</v>
      </c>
      <c r="C280" s="360">
        <v>1031</v>
      </c>
      <c r="D280" s="54">
        <v>545</v>
      </c>
      <c r="E280" s="367">
        <v>0.51272015655577297</v>
      </c>
      <c r="F280" s="45">
        <v>382</v>
      </c>
      <c r="G280" s="58">
        <v>158</v>
      </c>
      <c r="H280" s="45">
        <v>405</v>
      </c>
      <c r="I280" s="57">
        <v>138</v>
      </c>
      <c r="J280" s="97"/>
      <c r="K280" s="58"/>
      <c r="L280" s="45"/>
      <c r="M280" s="57"/>
      <c r="N280" s="97"/>
      <c r="O280" s="58"/>
      <c r="P280" s="165"/>
      <c r="Q280" s="166"/>
      <c r="R280" s="207"/>
      <c r="S280" s="170"/>
      <c r="T280" s="165"/>
      <c r="U280" s="166"/>
      <c r="V280" s="207"/>
      <c r="W280" s="170"/>
      <c r="X280" s="165"/>
      <c r="Y280" s="166"/>
      <c r="Z280" s="207"/>
      <c r="AA280" s="170"/>
      <c r="AB280" s="165"/>
      <c r="AC280" s="166"/>
      <c r="AD280" s="207"/>
      <c r="AE280" s="170"/>
      <c r="AF280" s="165"/>
      <c r="AG280" s="166"/>
      <c r="AH280" s="207"/>
      <c r="AI280" s="170"/>
      <c r="AJ280" s="165"/>
      <c r="AK280" s="166"/>
      <c r="AL280" s="207"/>
      <c r="AM280" s="170"/>
      <c r="AN280" s="165"/>
      <c r="AO280" s="166"/>
      <c r="AP280" s="207">
        <v>387</v>
      </c>
      <c r="AQ280" s="170">
        <v>145</v>
      </c>
      <c r="AR280" s="165">
        <v>330</v>
      </c>
      <c r="AS280" s="166">
        <v>194</v>
      </c>
      <c r="AT280" s="207"/>
      <c r="AU280" s="170"/>
      <c r="AV280" s="190"/>
      <c r="AW280" s="166"/>
      <c r="AX280" s="208"/>
      <c r="AY280" s="170"/>
      <c r="AZ280" s="45"/>
      <c r="BA280" s="58"/>
      <c r="BB280" s="45"/>
      <c r="BC280" s="46"/>
      <c r="BD280" s="45"/>
      <c r="BE280" s="46"/>
      <c r="BF280" s="45"/>
      <c r="BG280" s="46"/>
      <c r="BH280" s="45"/>
      <c r="BI280" s="46"/>
      <c r="BJ280" s="45">
        <v>442</v>
      </c>
      <c r="BK280" s="46">
        <v>79</v>
      </c>
    </row>
    <row r="281" spans="1:63" ht="13" x14ac:dyDescent="0.25">
      <c r="A281" s="372">
        <v>4431</v>
      </c>
      <c r="B281" s="373" t="s">
        <v>402</v>
      </c>
      <c r="C281" s="360">
        <v>1079</v>
      </c>
      <c r="D281" s="54">
        <v>508</v>
      </c>
      <c r="E281" s="367">
        <v>0.44455747711088506</v>
      </c>
      <c r="F281" s="45">
        <v>376</v>
      </c>
      <c r="G281" s="58">
        <v>128</v>
      </c>
      <c r="H281" s="45">
        <v>385</v>
      </c>
      <c r="I281" s="57">
        <v>118</v>
      </c>
      <c r="J281" s="97"/>
      <c r="K281" s="58"/>
      <c r="L281" s="45"/>
      <c r="M281" s="57"/>
      <c r="N281" s="97"/>
      <c r="O281" s="58"/>
      <c r="P281" s="165"/>
      <c r="Q281" s="166"/>
      <c r="R281" s="207"/>
      <c r="S281" s="170"/>
      <c r="T281" s="165"/>
      <c r="U281" s="166"/>
      <c r="V281" s="207"/>
      <c r="W281" s="170"/>
      <c r="X281" s="165"/>
      <c r="Y281" s="166"/>
      <c r="Z281" s="207"/>
      <c r="AA281" s="170"/>
      <c r="AB281" s="165"/>
      <c r="AC281" s="166"/>
      <c r="AD281" s="207"/>
      <c r="AE281" s="170"/>
      <c r="AF281" s="165"/>
      <c r="AG281" s="166"/>
      <c r="AH281" s="207"/>
      <c r="AI281" s="170"/>
      <c r="AJ281" s="165"/>
      <c r="AK281" s="166"/>
      <c r="AL281" s="207"/>
      <c r="AM281" s="170"/>
      <c r="AN281" s="165"/>
      <c r="AO281" s="166"/>
      <c r="AP281" s="207">
        <v>379</v>
      </c>
      <c r="AQ281" s="170">
        <v>119</v>
      </c>
      <c r="AR281" s="165">
        <v>312</v>
      </c>
      <c r="AS281" s="166">
        <v>177</v>
      </c>
      <c r="AT281" s="207"/>
      <c r="AU281" s="170"/>
      <c r="AV281" s="190"/>
      <c r="AW281" s="166"/>
      <c r="AX281" s="208"/>
      <c r="AY281" s="170"/>
      <c r="AZ281" s="45"/>
      <c r="BA281" s="58"/>
      <c r="BB281" s="45"/>
      <c r="BC281" s="46"/>
      <c r="BD281" s="45"/>
      <c r="BE281" s="46"/>
      <c r="BF281" s="45"/>
      <c r="BG281" s="46"/>
      <c r="BH281" s="45"/>
      <c r="BI281" s="46"/>
      <c r="BJ281" s="45"/>
      <c r="BK281" s="46"/>
    </row>
    <row r="282" spans="1:63" ht="13" x14ac:dyDescent="0.25">
      <c r="A282" s="372">
        <v>4432</v>
      </c>
      <c r="B282" s="373" t="s">
        <v>403</v>
      </c>
      <c r="C282" s="360">
        <v>846</v>
      </c>
      <c r="D282" s="54">
        <v>414</v>
      </c>
      <c r="E282" s="367">
        <v>0.47107438016528924</v>
      </c>
      <c r="F282" s="45">
        <v>282</v>
      </c>
      <c r="G282" s="58">
        <v>130</v>
      </c>
      <c r="H282" s="45">
        <v>293</v>
      </c>
      <c r="I282" s="57">
        <v>114</v>
      </c>
      <c r="J282" s="97"/>
      <c r="K282" s="58"/>
      <c r="L282" s="45"/>
      <c r="M282" s="57"/>
      <c r="N282" s="97"/>
      <c r="O282" s="58"/>
      <c r="P282" s="165"/>
      <c r="Q282" s="166"/>
      <c r="R282" s="207"/>
      <c r="S282" s="170"/>
      <c r="T282" s="165"/>
      <c r="U282" s="166"/>
      <c r="V282" s="207"/>
      <c r="W282" s="170"/>
      <c r="X282" s="165"/>
      <c r="Y282" s="166"/>
      <c r="Z282" s="207"/>
      <c r="AA282" s="170"/>
      <c r="AB282" s="165"/>
      <c r="AC282" s="166"/>
      <c r="AD282" s="207"/>
      <c r="AE282" s="170"/>
      <c r="AF282" s="165"/>
      <c r="AG282" s="166"/>
      <c r="AH282" s="207"/>
      <c r="AI282" s="170"/>
      <c r="AJ282" s="165"/>
      <c r="AK282" s="166"/>
      <c r="AL282" s="207"/>
      <c r="AM282" s="170"/>
      <c r="AN282" s="165"/>
      <c r="AO282" s="166"/>
      <c r="AP282" s="207">
        <v>301</v>
      </c>
      <c r="AQ282" s="170">
        <v>102</v>
      </c>
      <c r="AR282" s="165">
        <v>253</v>
      </c>
      <c r="AS282" s="166">
        <v>143</v>
      </c>
      <c r="AT282" s="207"/>
      <c r="AU282" s="170"/>
      <c r="AV282" s="190"/>
      <c r="AW282" s="166"/>
      <c r="AX282" s="208"/>
      <c r="AY282" s="170"/>
      <c r="AZ282" s="45"/>
      <c r="BA282" s="58"/>
      <c r="BB282" s="45"/>
      <c r="BC282" s="46"/>
      <c r="BD282" s="45"/>
      <c r="BE282" s="46"/>
      <c r="BF282" s="45"/>
      <c r="BG282" s="46"/>
      <c r="BH282" s="45"/>
      <c r="BI282" s="46"/>
      <c r="BJ282" s="45"/>
      <c r="BK282" s="46"/>
    </row>
    <row r="283" spans="1:63" ht="13" x14ac:dyDescent="0.25">
      <c r="A283" s="372">
        <v>4433</v>
      </c>
      <c r="B283" s="373" t="s">
        <v>404</v>
      </c>
      <c r="C283" s="360">
        <v>1565</v>
      </c>
      <c r="D283" s="54">
        <v>756</v>
      </c>
      <c r="E283" s="367">
        <v>0.47594278283485048</v>
      </c>
      <c r="F283" s="45">
        <v>500</v>
      </c>
      <c r="G283" s="58">
        <v>248</v>
      </c>
      <c r="H283" s="45">
        <v>555</v>
      </c>
      <c r="I283" s="57">
        <v>189</v>
      </c>
      <c r="J283" s="97"/>
      <c r="K283" s="58"/>
      <c r="L283" s="45"/>
      <c r="M283" s="57"/>
      <c r="N283" s="97"/>
      <c r="O283" s="58"/>
      <c r="P283" s="165"/>
      <c r="Q283" s="166"/>
      <c r="R283" s="207"/>
      <c r="S283" s="170"/>
      <c r="T283" s="165"/>
      <c r="U283" s="166"/>
      <c r="V283" s="207"/>
      <c r="W283" s="170"/>
      <c r="X283" s="165"/>
      <c r="Y283" s="166"/>
      <c r="Z283" s="207"/>
      <c r="AA283" s="170"/>
      <c r="AB283" s="165"/>
      <c r="AC283" s="166"/>
      <c r="AD283" s="207"/>
      <c r="AE283" s="170"/>
      <c r="AF283" s="165"/>
      <c r="AG283" s="166"/>
      <c r="AH283" s="207"/>
      <c r="AI283" s="170"/>
      <c r="AJ283" s="165"/>
      <c r="AK283" s="166"/>
      <c r="AL283" s="207"/>
      <c r="AM283" s="170"/>
      <c r="AN283" s="165"/>
      <c r="AO283" s="166"/>
      <c r="AP283" s="207">
        <v>506</v>
      </c>
      <c r="AQ283" s="170">
        <v>226</v>
      </c>
      <c r="AR283" s="165">
        <v>413</v>
      </c>
      <c r="AS283" s="166">
        <v>306</v>
      </c>
      <c r="AT283" s="207"/>
      <c r="AU283" s="170"/>
      <c r="AV283" s="190"/>
      <c r="AW283" s="166"/>
      <c r="AX283" s="208"/>
      <c r="AY283" s="170"/>
      <c r="AZ283" s="45"/>
      <c r="BA283" s="58"/>
      <c r="BB283" s="45"/>
      <c r="BC283" s="46"/>
      <c r="BD283" s="45"/>
      <c r="BE283" s="46"/>
      <c r="BF283" s="45"/>
      <c r="BG283" s="46"/>
      <c r="BH283" s="45"/>
      <c r="BI283" s="46"/>
      <c r="BJ283" s="45"/>
      <c r="BK283" s="46"/>
    </row>
    <row r="284" spans="1:63" ht="13" x14ac:dyDescent="0.25">
      <c r="A284" s="372">
        <v>4441</v>
      </c>
      <c r="B284" s="373" t="s">
        <v>405</v>
      </c>
      <c r="C284" s="360">
        <v>946</v>
      </c>
      <c r="D284" s="54">
        <v>350</v>
      </c>
      <c r="E284" s="367">
        <v>0.36468129571577845</v>
      </c>
      <c r="F284" s="45">
        <v>244</v>
      </c>
      <c r="G284" s="58">
        <v>102</v>
      </c>
      <c r="H284" s="45">
        <v>272</v>
      </c>
      <c r="I284" s="57">
        <v>74</v>
      </c>
      <c r="J284" s="97"/>
      <c r="K284" s="58"/>
      <c r="L284" s="45"/>
      <c r="M284" s="57"/>
      <c r="N284" s="97"/>
      <c r="O284" s="58"/>
      <c r="P284" s="165"/>
      <c r="Q284" s="166"/>
      <c r="R284" s="207"/>
      <c r="S284" s="170"/>
      <c r="T284" s="165"/>
      <c r="U284" s="166"/>
      <c r="V284" s="207"/>
      <c r="W284" s="170"/>
      <c r="X284" s="165"/>
      <c r="Y284" s="166"/>
      <c r="Z284" s="207"/>
      <c r="AA284" s="170"/>
      <c r="AB284" s="165"/>
      <c r="AC284" s="166"/>
      <c r="AD284" s="207"/>
      <c r="AE284" s="170"/>
      <c r="AF284" s="165"/>
      <c r="AG284" s="166"/>
      <c r="AH284" s="207"/>
      <c r="AI284" s="170"/>
      <c r="AJ284" s="165"/>
      <c r="AK284" s="166"/>
      <c r="AL284" s="207"/>
      <c r="AM284" s="170"/>
      <c r="AN284" s="165"/>
      <c r="AO284" s="166"/>
      <c r="AP284" s="207">
        <v>237</v>
      </c>
      <c r="AQ284" s="170">
        <v>110</v>
      </c>
      <c r="AR284" s="165">
        <v>193</v>
      </c>
      <c r="AS284" s="166">
        <v>149</v>
      </c>
      <c r="AT284" s="207"/>
      <c r="AU284" s="170"/>
      <c r="AV284" s="190"/>
      <c r="AW284" s="166"/>
      <c r="AX284" s="208"/>
      <c r="AY284" s="170"/>
      <c r="AZ284" s="45"/>
      <c r="BA284" s="58"/>
      <c r="BB284" s="45"/>
      <c r="BC284" s="46"/>
      <c r="BD284" s="45"/>
      <c r="BE284" s="46"/>
      <c r="BF284" s="45"/>
      <c r="BG284" s="46"/>
      <c r="BH284" s="45"/>
      <c r="BI284" s="46"/>
      <c r="BJ284" s="45"/>
      <c r="BK284" s="46"/>
    </row>
    <row r="285" spans="1:63" ht="13" x14ac:dyDescent="0.25">
      <c r="A285" s="372">
        <v>4442</v>
      </c>
      <c r="B285" s="373" t="s">
        <v>406</v>
      </c>
      <c r="C285" s="360">
        <v>1137</v>
      </c>
      <c r="D285" s="54">
        <v>415</v>
      </c>
      <c r="E285" s="367">
        <v>0.3834061135371179</v>
      </c>
      <c r="F285" s="45">
        <v>291</v>
      </c>
      <c r="G285" s="58">
        <v>119</v>
      </c>
      <c r="H285" s="45">
        <v>314</v>
      </c>
      <c r="I285" s="57">
        <v>93</v>
      </c>
      <c r="J285" s="97"/>
      <c r="K285" s="58"/>
      <c r="L285" s="45"/>
      <c r="M285" s="57"/>
      <c r="N285" s="97"/>
      <c r="O285" s="58"/>
      <c r="P285" s="165"/>
      <c r="Q285" s="166"/>
      <c r="R285" s="207"/>
      <c r="S285" s="170"/>
      <c r="T285" s="165"/>
      <c r="U285" s="166"/>
      <c r="V285" s="207"/>
      <c r="W285" s="170"/>
      <c r="X285" s="165"/>
      <c r="Y285" s="166"/>
      <c r="Z285" s="207"/>
      <c r="AA285" s="170"/>
      <c r="AB285" s="165"/>
      <c r="AC285" s="166"/>
      <c r="AD285" s="207"/>
      <c r="AE285" s="170"/>
      <c r="AF285" s="165"/>
      <c r="AG285" s="166"/>
      <c r="AH285" s="207"/>
      <c r="AI285" s="170"/>
      <c r="AJ285" s="165"/>
      <c r="AK285" s="166"/>
      <c r="AL285" s="207"/>
      <c r="AM285" s="170"/>
      <c r="AN285" s="165"/>
      <c r="AO285" s="166"/>
      <c r="AP285" s="207">
        <v>295</v>
      </c>
      <c r="AQ285" s="170">
        <v>111</v>
      </c>
      <c r="AR285" s="165">
        <v>249</v>
      </c>
      <c r="AS285" s="166">
        <v>153</v>
      </c>
      <c r="AT285" s="207"/>
      <c r="AU285" s="170"/>
      <c r="AV285" s="190"/>
      <c r="AW285" s="166"/>
      <c r="AX285" s="208"/>
      <c r="AY285" s="170"/>
      <c r="AZ285" s="45"/>
      <c r="BA285" s="58"/>
      <c r="BB285" s="45"/>
      <c r="BC285" s="46"/>
      <c r="BD285" s="45"/>
      <c r="BE285" s="46"/>
      <c r="BF285" s="45"/>
      <c r="BG285" s="46"/>
      <c r="BH285" s="45"/>
      <c r="BI285" s="46"/>
      <c r="BJ285" s="45"/>
      <c r="BK285" s="46"/>
    </row>
    <row r="286" spans="1:63" ht="13" x14ac:dyDescent="0.25">
      <c r="A286" s="372">
        <v>4443</v>
      </c>
      <c r="B286" s="373" t="s">
        <v>407</v>
      </c>
      <c r="C286" s="360">
        <v>1062</v>
      </c>
      <c r="D286" s="54">
        <v>553</v>
      </c>
      <c r="E286" s="367">
        <v>0.52075471698113207</v>
      </c>
      <c r="F286" s="45">
        <v>350</v>
      </c>
      <c r="G286" s="58">
        <v>195</v>
      </c>
      <c r="H286" s="45">
        <v>379</v>
      </c>
      <c r="I286" s="57">
        <v>167</v>
      </c>
      <c r="J286" s="97"/>
      <c r="K286" s="58"/>
      <c r="L286" s="45"/>
      <c r="M286" s="57"/>
      <c r="N286" s="97"/>
      <c r="O286" s="58"/>
      <c r="P286" s="165"/>
      <c r="Q286" s="166"/>
      <c r="R286" s="207"/>
      <c r="S286" s="170"/>
      <c r="T286" s="165"/>
      <c r="U286" s="166"/>
      <c r="V286" s="207"/>
      <c r="W286" s="170"/>
      <c r="X286" s="165"/>
      <c r="Y286" s="166"/>
      <c r="Z286" s="207"/>
      <c r="AA286" s="170"/>
      <c r="AB286" s="165"/>
      <c r="AC286" s="166"/>
      <c r="AD286" s="207"/>
      <c r="AE286" s="170"/>
      <c r="AF286" s="165"/>
      <c r="AG286" s="166"/>
      <c r="AH286" s="207"/>
      <c r="AI286" s="170"/>
      <c r="AJ286" s="165"/>
      <c r="AK286" s="166"/>
      <c r="AL286" s="207"/>
      <c r="AM286" s="170"/>
      <c r="AN286" s="165"/>
      <c r="AO286" s="166"/>
      <c r="AP286" s="207">
        <v>356</v>
      </c>
      <c r="AQ286" s="170">
        <v>178</v>
      </c>
      <c r="AR286" s="165">
        <v>304</v>
      </c>
      <c r="AS286" s="166">
        <v>227</v>
      </c>
      <c r="AT286" s="207"/>
      <c r="AU286" s="170"/>
      <c r="AV286" s="190"/>
      <c r="AW286" s="166"/>
      <c r="AX286" s="208"/>
      <c r="AY286" s="170"/>
      <c r="AZ286" s="45"/>
      <c r="BA286" s="58"/>
      <c r="BB286" s="45"/>
      <c r="BC286" s="46"/>
      <c r="BD286" s="45"/>
      <c r="BE286" s="46"/>
      <c r="BF286" s="45"/>
      <c r="BG286" s="46"/>
      <c r="BH286" s="45"/>
      <c r="BI286" s="46"/>
      <c r="BJ286" s="45"/>
      <c r="BK286" s="46"/>
    </row>
    <row r="287" spans="1:63" ht="13" x14ac:dyDescent="0.25">
      <c r="A287" s="372">
        <v>4611</v>
      </c>
      <c r="B287" s="373" t="s">
        <v>408</v>
      </c>
      <c r="C287" s="360">
        <v>1288</v>
      </c>
      <c r="D287" s="54">
        <v>645</v>
      </c>
      <c r="E287" s="367">
        <v>0.48357524828113063</v>
      </c>
      <c r="F287" s="45">
        <v>363</v>
      </c>
      <c r="G287" s="58">
        <v>274</v>
      </c>
      <c r="H287" s="45">
        <v>423</v>
      </c>
      <c r="I287" s="57">
        <v>208</v>
      </c>
      <c r="J287" s="97"/>
      <c r="K287" s="58"/>
      <c r="L287" s="45"/>
      <c r="M287" s="57"/>
      <c r="N287" s="97"/>
      <c r="O287" s="58"/>
      <c r="P287" s="165"/>
      <c r="Q287" s="166"/>
      <c r="R287" s="207"/>
      <c r="S287" s="170"/>
      <c r="T287" s="165"/>
      <c r="U287" s="166"/>
      <c r="V287" s="207"/>
      <c r="W287" s="170"/>
      <c r="X287" s="165"/>
      <c r="Y287" s="166"/>
      <c r="Z287" s="207"/>
      <c r="AA287" s="170"/>
      <c r="AB287" s="165"/>
      <c r="AC287" s="166"/>
      <c r="AD287" s="207"/>
      <c r="AE287" s="170"/>
      <c r="AF287" s="165"/>
      <c r="AG287" s="166"/>
      <c r="AH287" s="207"/>
      <c r="AI287" s="170"/>
      <c r="AJ287" s="165"/>
      <c r="AK287" s="166"/>
      <c r="AL287" s="207"/>
      <c r="AM287" s="170"/>
      <c r="AN287" s="165"/>
      <c r="AO287" s="166"/>
      <c r="AP287" s="207">
        <v>410</v>
      </c>
      <c r="AQ287" s="170">
        <v>222</v>
      </c>
      <c r="AR287" s="165">
        <v>336</v>
      </c>
      <c r="AS287" s="166">
        <v>283</v>
      </c>
      <c r="AT287" s="207"/>
      <c r="AU287" s="170"/>
      <c r="AV287" s="190"/>
      <c r="AW287" s="166"/>
      <c r="AX287" s="208"/>
      <c r="AY287" s="170"/>
      <c r="AZ287" s="45"/>
      <c r="BA287" s="58"/>
      <c r="BB287" s="45"/>
      <c r="BC287" s="46"/>
      <c r="BD287" s="45"/>
      <c r="BE287" s="46"/>
      <c r="BF287" s="45"/>
      <c r="BG287" s="46"/>
      <c r="BH287" s="45"/>
      <c r="BI287" s="46"/>
      <c r="BJ287" s="45"/>
      <c r="BK287" s="46"/>
    </row>
    <row r="288" spans="1:63" ht="13" x14ac:dyDescent="0.25">
      <c r="A288" s="372">
        <v>4612</v>
      </c>
      <c r="B288" s="373" t="s">
        <v>409</v>
      </c>
      <c r="C288" s="360">
        <v>577</v>
      </c>
      <c r="D288" s="54">
        <v>173</v>
      </c>
      <c r="E288" s="367">
        <v>0.32456140350877194</v>
      </c>
      <c r="F288" s="45">
        <v>120</v>
      </c>
      <c r="G288" s="58">
        <v>51</v>
      </c>
      <c r="H288" s="45">
        <v>122</v>
      </c>
      <c r="I288" s="57">
        <v>50</v>
      </c>
      <c r="J288" s="97"/>
      <c r="K288" s="58"/>
      <c r="L288" s="45"/>
      <c r="M288" s="57"/>
      <c r="N288" s="97"/>
      <c r="O288" s="58"/>
      <c r="P288" s="165"/>
      <c r="Q288" s="166"/>
      <c r="R288" s="207"/>
      <c r="S288" s="170"/>
      <c r="T288" s="165"/>
      <c r="U288" s="166"/>
      <c r="V288" s="207"/>
      <c r="W288" s="170"/>
      <c r="X288" s="165"/>
      <c r="Y288" s="166"/>
      <c r="Z288" s="207"/>
      <c r="AA288" s="170"/>
      <c r="AB288" s="165"/>
      <c r="AC288" s="166"/>
      <c r="AD288" s="207"/>
      <c r="AE288" s="170"/>
      <c r="AF288" s="165"/>
      <c r="AG288" s="166"/>
      <c r="AH288" s="207"/>
      <c r="AI288" s="170"/>
      <c r="AJ288" s="165"/>
      <c r="AK288" s="166"/>
      <c r="AL288" s="207"/>
      <c r="AM288" s="170"/>
      <c r="AN288" s="165"/>
      <c r="AO288" s="166"/>
      <c r="AP288" s="207">
        <v>122</v>
      </c>
      <c r="AQ288" s="170">
        <v>46</v>
      </c>
      <c r="AR288" s="165">
        <v>106</v>
      </c>
      <c r="AS288" s="166">
        <v>60</v>
      </c>
      <c r="AT288" s="207"/>
      <c r="AU288" s="170"/>
      <c r="AV288" s="190"/>
      <c r="AW288" s="166"/>
      <c r="AX288" s="208"/>
      <c r="AY288" s="170"/>
      <c r="AZ288" s="45"/>
      <c r="BA288" s="58"/>
      <c r="BB288" s="45"/>
      <c r="BC288" s="46"/>
      <c r="BD288" s="45"/>
      <c r="BE288" s="46"/>
      <c r="BF288" s="45"/>
      <c r="BG288" s="46"/>
      <c r="BH288" s="45"/>
      <c r="BI288" s="46"/>
      <c r="BJ288" s="45"/>
      <c r="BK288" s="46"/>
    </row>
    <row r="289" spans="1:63" ht="13" x14ac:dyDescent="0.25">
      <c r="A289" s="372">
        <v>4621</v>
      </c>
      <c r="B289" s="373" t="s">
        <v>410</v>
      </c>
      <c r="C289" s="360">
        <v>982</v>
      </c>
      <c r="D289" s="54">
        <v>395</v>
      </c>
      <c r="E289" s="367">
        <v>0.42604166666666665</v>
      </c>
      <c r="F289" s="45">
        <v>215</v>
      </c>
      <c r="G289" s="58">
        <v>171</v>
      </c>
      <c r="H289" s="45">
        <v>272</v>
      </c>
      <c r="I289" s="57">
        <v>113</v>
      </c>
      <c r="J289" s="97"/>
      <c r="K289" s="58"/>
      <c r="L289" s="45"/>
      <c r="M289" s="57"/>
      <c r="N289" s="97"/>
      <c r="O289" s="58"/>
      <c r="P289" s="165"/>
      <c r="Q289" s="166"/>
      <c r="R289" s="207"/>
      <c r="S289" s="170"/>
      <c r="T289" s="165"/>
      <c r="U289" s="166"/>
      <c r="V289" s="207"/>
      <c r="W289" s="170"/>
      <c r="X289" s="165"/>
      <c r="Y289" s="166"/>
      <c r="Z289" s="207"/>
      <c r="AA289" s="170"/>
      <c r="AB289" s="165"/>
      <c r="AC289" s="166"/>
      <c r="AD289" s="207"/>
      <c r="AE289" s="170"/>
      <c r="AF289" s="165"/>
      <c r="AG289" s="166"/>
      <c r="AH289" s="207"/>
      <c r="AI289" s="170"/>
      <c r="AJ289" s="165"/>
      <c r="AK289" s="166"/>
      <c r="AL289" s="207"/>
      <c r="AM289" s="170"/>
      <c r="AN289" s="165"/>
      <c r="AO289" s="166"/>
      <c r="AP289" s="207">
        <v>225</v>
      </c>
      <c r="AQ289" s="170">
        <v>146</v>
      </c>
      <c r="AR289" s="165">
        <v>172</v>
      </c>
      <c r="AS289" s="166">
        <v>199</v>
      </c>
      <c r="AT289" s="207"/>
      <c r="AU289" s="170"/>
      <c r="AV289" s="190"/>
      <c r="AW289" s="166"/>
      <c r="AX289" s="208"/>
      <c r="AY289" s="170"/>
      <c r="AZ289" s="45"/>
      <c r="BA289" s="58"/>
      <c r="BB289" s="45"/>
      <c r="BC289" s="46"/>
      <c r="BD289" s="45"/>
      <c r="BE289" s="46"/>
      <c r="BF289" s="45"/>
      <c r="BG289" s="46"/>
      <c r="BH289" s="45"/>
      <c r="BI289" s="46"/>
      <c r="BJ289" s="45"/>
      <c r="BK289" s="46"/>
    </row>
    <row r="290" spans="1:63" ht="13" x14ac:dyDescent="0.25">
      <c r="A290" s="372">
        <v>4622</v>
      </c>
      <c r="B290" s="373" t="s">
        <v>411</v>
      </c>
      <c r="C290" s="360">
        <v>580</v>
      </c>
      <c r="D290" s="54">
        <v>277</v>
      </c>
      <c r="E290" s="367">
        <v>0.44876325088339225</v>
      </c>
      <c r="F290" s="45">
        <v>146</v>
      </c>
      <c r="G290" s="58">
        <v>123</v>
      </c>
      <c r="H290" s="45">
        <v>197</v>
      </c>
      <c r="I290" s="57">
        <v>73</v>
      </c>
      <c r="J290" s="97"/>
      <c r="K290" s="58"/>
      <c r="L290" s="45"/>
      <c r="M290" s="57"/>
      <c r="N290" s="97"/>
      <c r="O290" s="58"/>
      <c r="P290" s="165"/>
      <c r="Q290" s="166"/>
      <c r="R290" s="207"/>
      <c r="S290" s="170"/>
      <c r="T290" s="165"/>
      <c r="U290" s="166"/>
      <c r="V290" s="207"/>
      <c r="W290" s="170"/>
      <c r="X290" s="165"/>
      <c r="Y290" s="166"/>
      <c r="Z290" s="207"/>
      <c r="AA290" s="170"/>
      <c r="AB290" s="165"/>
      <c r="AC290" s="166"/>
      <c r="AD290" s="207"/>
      <c r="AE290" s="170"/>
      <c r="AF290" s="165"/>
      <c r="AG290" s="166"/>
      <c r="AH290" s="207"/>
      <c r="AI290" s="170"/>
      <c r="AJ290" s="165"/>
      <c r="AK290" s="166"/>
      <c r="AL290" s="207"/>
      <c r="AM290" s="170"/>
      <c r="AN290" s="165"/>
      <c r="AO290" s="166"/>
      <c r="AP290" s="207">
        <v>169</v>
      </c>
      <c r="AQ290" s="170">
        <v>96</v>
      </c>
      <c r="AR290" s="165">
        <v>135</v>
      </c>
      <c r="AS290" s="166">
        <v>125</v>
      </c>
      <c r="AT290" s="207"/>
      <c r="AU290" s="170"/>
      <c r="AV290" s="190"/>
      <c r="AW290" s="166"/>
      <c r="AX290" s="208"/>
      <c r="AY290" s="170"/>
      <c r="AZ290" s="45"/>
      <c r="BA290" s="58"/>
      <c r="BB290" s="45"/>
      <c r="BC290" s="46"/>
      <c r="BD290" s="45"/>
      <c r="BE290" s="46"/>
      <c r="BF290" s="45"/>
      <c r="BG290" s="46"/>
      <c r="BH290" s="45"/>
      <c r="BI290" s="46"/>
      <c r="BJ290" s="45"/>
      <c r="BK290" s="46"/>
    </row>
    <row r="291" spans="1:63" ht="13" x14ac:dyDescent="0.25">
      <c r="A291" s="372">
        <v>4631</v>
      </c>
      <c r="B291" s="373" t="s">
        <v>412</v>
      </c>
      <c r="C291" s="360">
        <v>1179</v>
      </c>
      <c r="D291" s="54">
        <v>551</v>
      </c>
      <c r="E291" s="367">
        <v>0.46422487223168657</v>
      </c>
      <c r="F291" s="45">
        <v>306</v>
      </c>
      <c r="G291" s="58">
        <v>238</v>
      </c>
      <c r="H291" s="45">
        <v>379</v>
      </c>
      <c r="I291" s="57">
        <v>163</v>
      </c>
      <c r="J291" s="97"/>
      <c r="K291" s="58"/>
      <c r="L291" s="45"/>
      <c r="M291" s="57"/>
      <c r="N291" s="97"/>
      <c r="O291" s="58"/>
      <c r="P291" s="165"/>
      <c r="Q291" s="166"/>
      <c r="R291" s="207"/>
      <c r="S291" s="170"/>
      <c r="T291" s="165"/>
      <c r="U291" s="166"/>
      <c r="V291" s="207"/>
      <c r="W291" s="170"/>
      <c r="X291" s="165"/>
      <c r="Y291" s="166"/>
      <c r="Z291" s="207"/>
      <c r="AA291" s="170"/>
      <c r="AB291" s="165"/>
      <c r="AC291" s="166"/>
      <c r="AD291" s="207"/>
      <c r="AE291" s="170"/>
      <c r="AF291" s="165"/>
      <c r="AG291" s="166"/>
      <c r="AH291" s="207"/>
      <c r="AI291" s="170"/>
      <c r="AJ291" s="165"/>
      <c r="AK291" s="166"/>
      <c r="AL291" s="207"/>
      <c r="AM291" s="170"/>
      <c r="AN291" s="165"/>
      <c r="AO291" s="166"/>
      <c r="AP291" s="207">
        <v>355</v>
      </c>
      <c r="AQ291" s="170">
        <v>186</v>
      </c>
      <c r="AR291" s="165">
        <v>265</v>
      </c>
      <c r="AS291" s="166">
        <v>265</v>
      </c>
      <c r="AT291" s="207"/>
      <c r="AU291" s="170"/>
      <c r="AV291" s="190"/>
      <c r="AW291" s="166"/>
      <c r="AX291" s="208"/>
      <c r="AY291" s="170"/>
      <c r="AZ291" s="45"/>
      <c r="BA291" s="58"/>
      <c r="BB291" s="45"/>
      <c r="BC291" s="46"/>
      <c r="BD291" s="45"/>
      <c r="BE291" s="46"/>
      <c r="BF291" s="45"/>
      <c r="BG291" s="46"/>
      <c r="BH291" s="45"/>
      <c r="BI291" s="46"/>
      <c r="BJ291" s="45"/>
      <c r="BK291" s="46"/>
    </row>
    <row r="292" spans="1:63" ht="13" x14ac:dyDescent="0.25">
      <c r="A292" s="372">
        <v>4632</v>
      </c>
      <c r="B292" s="373" t="s">
        <v>413</v>
      </c>
      <c r="C292" s="360">
        <v>766</v>
      </c>
      <c r="D292" s="54">
        <v>425</v>
      </c>
      <c r="E292" s="367">
        <v>0.5736434108527132</v>
      </c>
      <c r="F292" s="45">
        <v>207</v>
      </c>
      <c r="G292" s="58">
        <v>214</v>
      </c>
      <c r="H292" s="45">
        <v>260</v>
      </c>
      <c r="I292" s="57">
        <v>162</v>
      </c>
      <c r="J292" s="97"/>
      <c r="K292" s="58"/>
      <c r="L292" s="45"/>
      <c r="M292" s="57"/>
      <c r="N292" s="97"/>
      <c r="O292" s="58"/>
      <c r="P292" s="165"/>
      <c r="Q292" s="166"/>
      <c r="R292" s="207"/>
      <c r="S292" s="170"/>
      <c r="T292" s="165"/>
      <c r="U292" s="166"/>
      <c r="V292" s="207"/>
      <c r="W292" s="170"/>
      <c r="X292" s="165"/>
      <c r="Y292" s="166"/>
      <c r="Z292" s="207"/>
      <c r="AA292" s="170"/>
      <c r="AB292" s="165"/>
      <c r="AC292" s="166"/>
      <c r="AD292" s="207"/>
      <c r="AE292" s="170"/>
      <c r="AF292" s="165"/>
      <c r="AG292" s="166"/>
      <c r="AH292" s="207"/>
      <c r="AI292" s="170"/>
      <c r="AJ292" s="165"/>
      <c r="AK292" s="166"/>
      <c r="AL292" s="207"/>
      <c r="AM292" s="170"/>
      <c r="AN292" s="165"/>
      <c r="AO292" s="166"/>
      <c r="AP292" s="207">
        <v>249</v>
      </c>
      <c r="AQ292" s="170">
        <v>168</v>
      </c>
      <c r="AR292" s="165">
        <v>181</v>
      </c>
      <c r="AS292" s="166">
        <v>234</v>
      </c>
      <c r="AT292" s="207"/>
      <c r="AU292" s="170"/>
      <c r="AV292" s="190"/>
      <c r="AW292" s="166"/>
      <c r="AX292" s="208"/>
      <c r="AY292" s="170"/>
      <c r="AZ292" s="45"/>
      <c r="BA292" s="58"/>
      <c r="BB292" s="45"/>
      <c r="BC292" s="46"/>
      <c r="BD292" s="45"/>
      <c r="BE292" s="46"/>
      <c r="BF292" s="45"/>
      <c r="BG292" s="46"/>
      <c r="BH292" s="45"/>
      <c r="BI292" s="46"/>
      <c r="BJ292" s="45"/>
      <c r="BK292" s="46"/>
    </row>
    <row r="293" spans="1:63" ht="13" x14ac:dyDescent="0.25">
      <c r="A293" s="372">
        <v>4641</v>
      </c>
      <c r="B293" s="373" t="s">
        <v>414</v>
      </c>
      <c r="C293" s="360">
        <v>825</v>
      </c>
      <c r="D293" s="54">
        <v>486</v>
      </c>
      <c r="E293" s="367">
        <v>0.55783132530120483</v>
      </c>
      <c r="F293" s="45">
        <v>233</v>
      </c>
      <c r="G293" s="58">
        <v>248</v>
      </c>
      <c r="H293" s="45">
        <v>311</v>
      </c>
      <c r="I293" s="57">
        <v>167</v>
      </c>
      <c r="J293" s="97"/>
      <c r="K293" s="58"/>
      <c r="L293" s="45"/>
      <c r="M293" s="57"/>
      <c r="N293" s="97"/>
      <c r="O293" s="58"/>
      <c r="P293" s="165"/>
      <c r="Q293" s="166"/>
      <c r="R293" s="207"/>
      <c r="S293" s="170"/>
      <c r="T293" s="165"/>
      <c r="U293" s="166"/>
      <c r="V293" s="207"/>
      <c r="W293" s="170"/>
      <c r="X293" s="165"/>
      <c r="Y293" s="166"/>
      <c r="Z293" s="207"/>
      <c r="AA293" s="170"/>
      <c r="AB293" s="165"/>
      <c r="AC293" s="166"/>
      <c r="AD293" s="207"/>
      <c r="AE293" s="170"/>
      <c r="AF293" s="165"/>
      <c r="AG293" s="166"/>
      <c r="AH293" s="207"/>
      <c r="AI293" s="170"/>
      <c r="AJ293" s="165"/>
      <c r="AK293" s="166"/>
      <c r="AL293" s="207"/>
      <c r="AM293" s="170"/>
      <c r="AN293" s="165"/>
      <c r="AO293" s="166"/>
      <c r="AP293" s="207">
        <v>288</v>
      </c>
      <c r="AQ293" s="170">
        <v>189</v>
      </c>
      <c r="AR293" s="165">
        <v>215</v>
      </c>
      <c r="AS293" s="166">
        <v>254</v>
      </c>
      <c r="AT293" s="207"/>
      <c r="AU293" s="170"/>
      <c r="AV293" s="190"/>
      <c r="AW293" s="166"/>
      <c r="AX293" s="208"/>
      <c r="AY293" s="170"/>
      <c r="AZ293" s="45"/>
      <c r="BA293" s="58"/>
      <c r="BB293" s="45"/>
      <c r="BC293" s="46"/>
      <c r="BD293" s="45"/>
      <c r="BE293" s="46"/>
      <c r="BF293" s="45"/>
      <c r="BG293" s="46"/>
      <c r="BH293" s="45"/>
      <c r="BI293" s="46"/>
      <c r="BJ293" s="45"/>
      <c r="BK293" s="46"/>
    </row>
    <row r="294" spans="1:63" ht="13" x14ac:dyDescent="0.25">
      <c r="A294" s="372">
        <v>4642</v>
      </c>
      <c r="B294" s="373" t="s">
        <v>415</v>
      </c>
      <c r="C294" s="360">
        <v>1074</v>
      </c>
      <c r="D294" s="54">
        <v>663</v>
      </c>
      <c r="E294" s="367">
        <v>0.636697247706422</v>
      </c>
      <c r="F294" s="45">
        <v>308</v>
      </c>
      <c r="G294" s="58">
        <v>352</v>
      </c>
      <c r="H294" s="45">
        <v>360</v>
      </c>
      <c r="I294" s="57">
        <v>290</v>
      </c>
      <c r="J294" s="97"/>
      <c r="K294" s="58"/>
      <c r="L294" s="45"/>
      <c r="M294" s="57"/>
      <c r="N294" s="97"/>
      <c r="O294" s="58"/>
      <c r="P294" s="165"/>
      <c r="Q294" s="166"/>
      <c r="R294" s="207"/>
      <c r="S294" s="170"/>
      <c r="T294" s="165"/>
      <c r="U294" s="166"/>
      <c r="V294" s="207"/>
      <c r="W294" s="170"/>
      <c r="X294" s="165"/>
      <c r="Y294" s="166"/>
      <c r="Z294" s="207"/>
      <c r="AA294" s="170"/>
      <c r="AB294" s="165"/>
      <c r="AC294" s="166"/>
      <c r="AD294" s="207"/>
      <c r="AE294" s="170"/>
      <c r="AF294" s="165"/>
      <c r="AG294" s="166"/>
      <c r="AH294" s="207"/>
      <c r="AI294" s="170"/>
      <c r="AJ294" s="165"/>
      <c r="AK294" s="166"/>
      <c r="AL294" s="207"/>
      <c r="AM294" s="170"/>
      <c r="AN294" s="165"/>
      <c r="AO294" s="166"/>
      <c r="AP294" s="207">
        <v>409</v>
      </c>
      <c r="AQ294" s="170">
        <v>244</v>
      </c>
      <c r="AR294" s="165">
        <v>274</v>
      </c>
      <c r="AS294" s="166">
        <v>374</v>
      </c>
      <c r="AT294" s="207"/>
      <c r="AU294" s="170"/>
      <c r="AV294" s="190"/>
      <c r="AW294" s="166"/>
      <c r="AX294" s="208"/>
      <c r="AY294" s="170"/>
      <c r="AZ294" s="45"/>
      <c r="BA294" s="58"/>
      <c r="BB294" s="45"/>
      <c r="BC294" s="46"/>
      <c r="BD294" s="45"/>
      <c r="BE294" s="46"/>
      <c r="BF294" s="45"/>
      <c r="BG294" s="46"/>
      <c r="BH294" s="45"/>
      <c r="BI294" s="46"/>
      <c r="BJ294" s="45"/>
      <c r="BK294" s="46"/>
    </row>
    <row r="295" spans="1:63" ht="13" x14ac:dyDescent="0.25">
      <c r="A295" s="372">
        <v>4911</v>
      </c>
      <c r="B295" s="373" t="s">
        <v>416</v>
      </c>
      <c r="C295" s="360">
        <v>1012</v>
      </c>
      <c r="D295" s="54">
        <v>362</v>
      </c>
      <c r="E295" s="367">
        <v>0.40543161978661496</v>
      </c>
      <c r="F295" s="45">
        <v>238</v>
      </c>
      <c r="G295" s="58">
        <v>121</v>
      </c>
      <c r="H295" s="45">
        <v>239</v>
      </c>
      <c r="I295" s="57">
        <v>113</v>
      </c>
      <c r="J295" s="97"/>
      <c r="K295" s="58"/>
      <c r="L295" s="45"/>
      <c r="M295" s="57"/>
      <c r="N295" s="97"/>
      <c r="O295" s="58"/>
      <c r="P295" s="165"/>
      <c r="Q295" s="166"/>
      <c r="R295" s="207"/>
      <c r="S295" s="170"/>
      <c r="T295" s="165"/>
      <c r="U295" s="166"/>
      <c r="V295" s="207"/>
      <c r="W295" s="170"/>
      <c r="X295" s="165"/>
      <c r="Y295" s="166"/>
      <c r="Z295" s="207"/>
      <c r="AA295" s="170"/>
      <c r="AB295" s="165"/>
      <c r="AC295" s="166"/>
      <c r="AD295" s="207"/>
      <c r="AE295" s="170"/>
      <c r="AF295" s="165"/>
      <c r="AG295" s="166"/>
      <c r="AH295" s="207"/>
      <c r="AI295" s="170"/>
      <c r="AJ295" s="165"/>
      <c r="AK295" s="166"/>
      <c r="AL295" s="207"/>
      <c r="AM295" s="170"/>
      <c r="AN295" s="165"/>
      <c r="AO295" s="166"/>
      <c r="AP295" s="207">
        <v>233</v>
      </c>
      <c r="AQ295" s="170">
        <v>116</v>
      </c>
      <c r="AR295" s="165">
        <v>199</v>
      </c>
      <c r="AS295" s="166">
        <v>141</v>
      </c>
      <c r="AT295" s="207"/>
      <c r="AU295" s="170"/>
      <c r="AV295" s="190"/>
      <c r="AW295" s="166"/>
      <c r="AX295" s="208"/>
      <c r="AY295" s="170"/>
      <c r="AZ295" s="45"/>
      <c r="BA295" s="58"/>
      <c r="BB295" s="45"/>
      <c r="BC295" s="46"/>
      <c r="BD295" s="45"/>
      <c r="BE295" s="46"/>
      <c r="BF295" s="45"/>
      <c r="BG295" s="46"/>
      <c r="BH295" s="45"/>
      <c r="BI295" s="46"/>
      <c r="BJ295" s="45"/>
      <c r="BK295" s="46"/>
    </row>
    <row r="296" spans="1:63" ht="13" x14ac:dyDescent="0.25">
      <c r="A296" s="372">
        <v>4912</v>
      </c>
      <c r="B296" s="373" t="s">
        <v>417</v>
      </c>
      <c r="C296" s="360">
        <v>854</v>
      </c>
      <c r="D296" s="54">
        <v>338</v>
      </c>
      <c r="E296" s="367">
        <v>0.42974238875878218</v>
      </c>
      <c r="F296" s="45">
        <v>234</v>
      </c>
      <c r="G296" s="58">
        <v>102</v>
      </c>
      <c r="H296" s="45">
        <v>225</v>
      </c>
      <c r="I296" s="57">
        <v>108</v>
      </c>
      <c r="J296" s="97"/>
      <c r="K296" s="58"/>
      <c r="L296" s="45"/>
      <c r="M296" s="57"/>
      <c r="N296" s="97"/>
      <c r="O296" s="58"/>
      <c r="P296" s="165"/>
      <c r="Q296" s="166"/>
      <c r="R296" s="207"/>
      <c r="S296" s="170"/>
      <c r="T296" s="165"/>
      <c r="U296" s="166"/>
      <c r="V296" s="207"/>
      <c r="W296" s="170"/>
      <c r="X296" s="165"/>
      <c r="Y296" s="166"/>
      <c r="Z296" s="207"/>
      <c r="AA296" s="170"/>
      <c r="AB296" s="165"/>
      <c r="AC296" s="166"/>
      <c r="AD296" s="207"/>
      <c r="AE296" s="170"/>
      <c r="AF296" s="165"/>
      <c r="AG296" s="166"/>
      <c r="AH296" s="207"/>
      <c r="AI296" s="170"/>
      <c r="AJ296" s="165"/>
      <c r="AK296" s="166"/>
      <c r="AL296" s="207"/>
      <c r="AM296" s="170"/>
      <c r="AN296" s="165"/>
      <c r="AO296" s="166"/>
      <c r="AP296" s="207">
        <v>247</v>
      </c>
      <c r="AQ296" s="170">
        <v>83</v>
      </c>
      <c r="AR296" s="165">
        <v>215</v>
      </c>
      <c r="AS296" s="166">
        <v>112</v>
      </c>
      <c r="AT296" s="207"/>
      <c r="AU296" s="170"/>
      <c r="AV296" s="190"/>
      <c r="AW296" s="166"/>
      <c r="AX296" s="208"/>
      <c r="AY296" s="170"/>
      <c r="AZ296" s="45"/>
      <c r="BA296" s="58"/>
      <c r="BB296" s="45"/>
      <c r="BC296" s="46"/>
      <c r="BD296" s="45"/>
      <c r="BE296" s="46"/>
      <c r="BF296" s="45"/>
      <c r="BG296" s="46"/>
      <c r="BH296" s="45"/>
      <c r="BI296" s="46"/>
      <c r="BJ296" s="45"/>
      <c r="BK296" s="46"/>
    </row>
    <row r="297" spans="1:63" ht="13" x14ac:dyDescent="0.25">
      <c r="A297" s="372">
        <v>4921</v>
      </c>
      <c r="B297" s="373" t="s">
        <v>418</v>
      </c>
      <c r="C297" s="360">
        <v>829</v>
      </c>
      <c r="D297" s="54">
        <v>537</v>
      </c>
      <c r="E297" s="367">
        <v>0.6885441527446301</v>
      </c>
      <c r="F297" s="45">
        <v>322</v>
      </c>
      <c r="G297" s="58">
        <v>208</v>
      </c>
      <c r="H297" s="45">
        <v>281</v>
      </c>
      <c r="I297" s="57">
        <v>248</v>
      </c>
      <c r="J297" s="97"/>
      <c r="K297" s="58"/>
      <c r="L297" s="45"/>
      <c r="M297" s="57"/>
      <c r="N297" s="97"/>
      <c r="O297" s="58"/>
      <c r="P297" s="165"/>
      <c r="Q297" s="166"/>
      <c r="R297" s="207"/>
      <c r="S297" s="170"/>
      <c r="T297" s="165"/>
      <c r="U297" s="166"/>
      <c r="V297" s="207"/>
      <c r="W297" s="170"/>
      <c r="X297" s="165"/>
      <c r="Y297" s="166"/>
      <c r="Z297" s="207"/>
      <c r="AA297" s="170"/>
      <c r="AB297" s="165"/>
      <c r="AC297" s="166"/>
      <c r="AD297" s="207"/>
      <c r="AE297" s="170"/>
      <c r="AF297" s="165"/>
      <c r="AG297" s="166"/>
      <c r="AH297" s="207"/>
      <c r="AI297" s="170"/>
      <c r="AJ297" s="165"/>
      <c r="AK297" s="166"/>
      <c r="AL297" s="207"/>
      <c r="AM297" s="170"/>
      <c r="AN297" s="165"/>
      <c r="AO297" s="166"/>
      <c r="AP297" s="207">
        <v>381</v>
      </c>
      <c r="AQ297" s="170">
        <v>154</v>
      </c>
      <c r="AR297" s="165">
        <v>310</v>
      </c>
      <c r="AS297" s="166">
        <v>217</v>
      </c>
      <c r="AT297" s="207"/>
      <c r="AU297" s="170"/>
      <c r="AV297" s="190"/>
      <c r="AW297" s="166"/>
      <c r="AX297" s="208"/>
      <c r="AY297" s="170"/>
      <c r="AZ297" s="45"/>
      <c r="BA297" s="58"/>
      <c r="BB297" s="45"/>
      <c r="BC297" s="46"/>
      <c r="BD297" s="45"/>
      <c r="BE297" s="46"/>
      <c r="BF297" s="45"/>
      <c r="BG297" s="46"/>
      <c r="BH297" s="45"/>
      <c r="BI297" s="46"/>
      <c r="BJ297" s="45"/>
      <c r="BK297" s="46"/>
    </row>
    <row r="298" spans="1:63" ht="13" x14ac:dyDescent="0.25">
      <c r="A298" s="372">
        <v>4931</v>
      </c>
      <c r="B298" s="373" t="s">
        <v>419</v>
      </c>
      <c r="C298" s="360">
        <v>1589</v>
      </c>
      <c r="D298" s="54">
        <v>772</v>
      </c>
      <c r="E298" s="367">
        <v>0.52302025782688766</v>
      </c>
      <c r="F298" s="45">
        <v>432</v>
      </c>
      <c r="G298" s="58">
        <v>335</v>
      </c>
      <c r="H298" s="45">
        <v>421</v>
      </c>
      <c r="I298" s="57">
        <v>337</v>
      </c>
      <c r="J298" s="97"/>
      <c r="K298" s="58"/>
      <c r="L298" s="45"/>
      <c r="M298" s="57"/>
      <c r="N298" s="97"/>
      <c r="O298" s="58"/>
      <c r="P298" s="165"/>
      <c r="Q298" s="166"/>
      <c r="R298" s="207"/>
      <c r="S298" s="170"/>
      <c r="T298" s="165"/>
      <c r="U298" s="166"/>
      <c r="V298" s="207"/>
      <c r="W298" s="170"/>
      <c r="X298" s="165"/>
      <c r="Y298" s="166"/>
      <c r="Z298" s="207"/>
      <c r="AA298" s="170"/>
      <c r="AB298" s="165"/>
      <c r="AC298" s="166"/>
      <c r="AD298" s="207"/>
      <c r="AE298" s="170"/>
      <c r="AF298" s="165"/>
      <c r="AG298" s="166"/>
      <c r="AH298" s="207"/>
      <c r="AI298" s="170"/>
      <c r="AJ298" s="165"/>
      <c r="AK298" s="166"/>
      <c r="AL298" s="207"/>
      <c r="AM298" s="170"/>
      <c r="AN298" s="165"/>
      <c r="AO298" s="166"/>
      <c r="AP298" s="207">
        <v>525</v>
      </c>
      <c r="AQ298" s="170">
        <v>233</v>
      </c>
      <c r="AR298" s="165">
        <v>422</v>
      </c>
      <c r="AS298" s="166">
        <v>321</v>
      </c>
      <c r="AT298" s="207"/>
      <c r="AU298" s="170"/>
      <c r="AV298" s="190"/>
      <c r="AW298" s="166"/>
      <c r="AX298" s="208"/>
      <c r="AY298" s="170"/>
      <c r="AZ298" s="45"/>
      <c r="BA298" s="58"/>
      <c r="BB298" s="45"/>
      <c r="BC298" s="46"/>
      <c r="BD298" s="45"/>
      <c r="BE298" s="46"/>
      <c r="BF298" s="45"/>
      <c r="BG298" s="46"/>
      <c r="BH298" s="45"/>
      <c r="BI298" s="46"/>
      <c r="BJ298" s="45"/>
      <c r="BK298" s="46"/>
    </row>
    <row r="299" spans="1:63" ht="13" x14ac:dyDescent="0.25">
      <c r="A299" s="372">
        <v>4932</v>
      </c>
      <c r="B299" s="373" t="s">
        <v>420</v>
      </c>
      <c r="C299" s="360">
        <v>780</v>
      </c>
      <c r="D299" s="54">
        <v>488</v>
      </c>
      <c r="E299" s="367">
        <v>0.61278195488721809</v>
      </c>
      <c r="F299" s="45">
        <v>233</v>
      </c>
      <c r="G299" s="58">
        <v>253</v>
      </c>
      <c r="H299" s="45">
        <v>264</v>
      </c>
      <c r="I299" s="57">
        <v>219</v>
      </c>
      <c r="J299" s="97"/>
      <c r="K299" s="58"/>
      <c r="L299" s="45"/>
      <c r="M299" s="57"/>
      <c r="N299" s="97"/>
      <c r="O299" s="58"/>
      <c r="P299" s="165"/>
      <c r="Q299" s="166"/>
      <c r="R299" s="207"/>
      <c r="S299" s="170"/>
      <c r="T299" s="165"/>
      <c r="U299" s="166"/>
      <c r="V299" s="207"/>
      <c r="W299" s="170"/>
      <c r="X299" s="165"/>
      <c r="Y299" s="166"/>
      <c r="Z299" s="207"/>
      <c r="AA299" s="170"/>
      <c r="AB299" s="165"/>
      <c r="AC299" s="166"/>
      <c r="AD299" s="207"/>
      <c r="AE299" s="170"/>
      <c r="AF299" s="165"/>
      <c r="AG299" s="166"/>
      <c r="AH299" s="207"/>
      <c r="AI299" s="170"/>
      <c r="AJ299" s="165"/>
      <c r="AK299" s="166"/>
      <c r="AL299" s="207"/>
      <c r="AM299" s="170"/>
      <c r="AN299" s="165"/>
      <c r="AO299" s="166"/>
      <c r="AP299" s="207">
        <v>325</v>
      </c>
      <c r="AQ299" s="170">
        <v>158</v>
      </c>
      <c r="AR299" s="165">
        <v>245</v>
      </c>
      <c r="AS299" s="166">
        <v>232</v>
      </c>
      <c r="AT299" s="207"/>
      <c r="AU299" s="170"/>
      <c r="AV299" s="190"/>
      <c r="AW299" s="166"/>
      <c r="AX299" s="208"/>
      <c r="AY299" s="170"/>
      <c r="AZ299" s="45"/>
      <c r="BA299" s="58"/>
      <c r="BB299" s="45"/>
      <c r="BC299" s="46"/>
      <c r="BD299" s="45"/>
      <c r="BE299" s="46"/>
      <c r="BF299" s="45"/>
      <c r="BG299" s="46"/>
      <c r="BH299" s="45"/>
      <c r="BI299" s="46"/>
      <c r="BJ299" s="45"/>
      <c r="BK299" s="46"/>
    </row>
    <row r="300" spans="1:63" ht="13" x14ac:dyDescent="0.25">
      <c r="A300" s="372">
        <v>4941</v>
      </c>
      <c r="B300" s="373" t="s">
        <v>421</v>
      </c>
      <c r="C300" s="360">
        <v>1077</v>
      </c>
      <c r="D300" s="54">
        <v>662</v>
      </c>
      <c r="E300" s="367">
        <v>0.65671641791044777</v>
      </c>
      <c r="F300" s="45">
        <v>366</v>
      </c>
      <c r="G300" s="58">
        <v>293</v>
      </c>
      <c r="H300" s="45">
        <v>361</v>
      </c>
      <c r="I300" s="57">
        <v>291</v>
      </c>
      <c r="J300" s="97"/>
      <c r="K300" s="58"/>
      <c r="L300" s="45"/>
      <c r="M300" s="57"/>
      <c r="N300" s="97"/>
      <c r="O300" s="58"/>
      <c r="P300" s="165"/>
      <c r="Q300" s="166"/>
      <c r="R300" s="207"/>
      <c r="S300" s="170"/>
      <c r="T300" s="165"/>
      <c r="U300" s="166"/>
      <c r="V300" s="207"/>
      <c r="W300" s="170"/>
      <c r="X300" s="165"/>
      <c r="Y300" s="166"/>
      <c r="Z300" s="207"/>
      <c r="AA300" s="170"/>
      <c r="AB300" s="165"/>
      <c r="AC300" s="166"/>
      <c r="AD300" s="207"/>
      <c r="AE300" s="170"/>
      <c r="AF300" s="165"/>
      <c r="AG300" s="166"/>
      <c r="AH300" s="207"/>
      <c r="AI300" s="170"/>
      <c r="AJ300" s="165"/>
      <c r="AK300" s="166"/>
      <c r="AL300" s="207"/>
      <c r="AM300" s="170"/>
      <c r="AN300" s="165"/>
      <c r="AO300" s="166"/>
      <c r="AP300" s="207">
        <v>457</v>
      </c>
      <c r="AQ300" s="170">
        <v>194</v>
      </c>
      <c r="AR300" s="165">
        <v>356</v>
      </c>
      <c r="AS300" s="166">
        <v>289</v>
      </c>
      <c r="AT300" s="207"/>
      <c r="AU300" s="170"/>
      <c r="AV300" s="190"/>
      <c r="AW300" s="166"/>
      <c r="AX300" s="208"/>
      <c r="AY300" s="170"/>
      <c r="AZ300" s="45"/>
      <c r="BA300" s="58"/>
      <c r="BB300" s="45"/>
      <c r="BC300" s="46"/>
      <c r="BD300" s="45"/>
      <c r="BE300" s="46"/>
      <c r="BF300" s="45"/>
      <c r="BG300" s="46"/>
      <c r="BH300" s="45"/>
      <c r="BI300" s="46"/>
      <c r="BJ300" s="45"/>
      <c r="BK300" s="46"/>
    </row>
    <row r="301" spans="1:63" ht="13" x14ac:dyDescent="0.25">
      <c r="A301" s="372">
        <v>4942</v>
      </c>
      <c r="B301" s="373" t="s">
        <v>422</v>
      </c>
      <c r="C301" s="360">
        <v>1581</v>
      </c>
      <c r="D301" s="54">
        <v>843</v>
      </c>
      <c r="E301" s="367">
        <v>0.55057618437900124</v>
      </c>
      <c r="F301" s="45">
        <v>492</v>
      </c>
      <c r="G301" s="58">
        <v>346</v>
      </c>
      <c r="H301" s="45">
        <v>542</v>
      </c>
      <c r="I301" s="57">
        <v>293</v>
      </c>
      <c r="J301" s="97"/>
      <c r="K301" s="58"/>
      <c r="L301" s="45"/>
      <c r="M301" s="57"/>
      <c r="N301" s="97"/>
      <c r="O301" s="58"/>
      <c r="P301" s="165"/>
      <c r="Q301" s="166"/>
      <c r="R301" s="207"/>
      <c r="S301" s="170"/>
      <c r="T301" s="165"/>
      <c r="U301" s="166"/>
      <c r="V301" s="207"/>
      <c r="W301" s="170"/>
      <c r="X301" s="165"/>
      <c r="Y301" s="166"/>
      <c r="Z301" s="207"/>
      <c r="AA301" s="170"/>
      <c r="AB301" s="165"/>
      <c r="AC301" s="166"/>
      <c r="AD301" s="207"/>
      <c r="AE301" s="170"/>
      <c r="AF301" s="165"/>
      <c r="AG301" s="166"/>
      <c r="AH301" s="207"/>
      <c r="AI301" s="170"/>
      <c r="AJ301" s="165"/>
      <c r="AK301" s="166"/>
      <c r="AL301" s="207"/>
      <c r="AM301" s="170"/>
      <c r="AN301" s="165"/>
      <c r="AO301" s="166"/>
      <c r="AP301" s="207">
        <v>589</v>
      </c>
      <c r="AQ301" s="170">
        <v>245</v>
      </c>
      <c r="AR301" s="165">
        <v>455</v>
      </c>
      <c r="AS301" s="166">
        <v>368</v>
      </c>
      <c r="AT301" s="207"/>
      <c r="AU301" s="170"/>
      <c r="AV301" s="190"/>
      <c r="AW301" s="166"/>
      <c r="AX301" s="208"/>
      <c r="AY301" s="170"/>
      <c r="AZ301" s="45"/>
      <c r="BA301" s="58"/>
      <c r="BB301" s="45"/>
      <c r="BC301" s="46"/>
      <c r="BD301" s="45"/>
      <c r="BE301" s="46"/>
      <c r="BF301" s="45"/>
      <c r="BG301" s="46"/>
      <c r="BH301" s="45"/>
      <c r="BI301" s="46"/>
      <c r="BJ301" s="45"/>
      <c r="BK301" s="46"/>
    </row>
    <row r="302" spans="1:63" ht="13" x14ac:dyDescent="0.25">
      <c r="A302" s="372">
        <v>5201</v>
      </c>
      <c r="B302" s="373" t="s">
        <v>423</v>
      </c>
      <c r="C302" s="360">
        <v>719</v>
      </c>
      <c r="D302" s="54">
        <v>408</v>
      </c>
      <c r="E302" s="367">
        <v>0.57062937062937058</v>
      </c>
      <c r="F302" s="45">
        <v>287</v>
      </c>
      <c r="G302" s="58">
        <v>119</v>
      </c>
      <c r="H302" s="45">
        <v>251</v>
      </c>
      <c r="I302" s="57">
        <v>151</v>
      </c>
      <c r="J302" s="97"/>
      <c r="K302" s="58"/>
      <c r="L302" s="45"/>
      <c r="M302" s="57"/>
      <c r="N302" s="97"/>
      <c r="O302" s="58"/>
      <c r="P302" s="165"/>
      <c r="Q302" s="166"/>
      <c r="R302" s="207"/>
      <c r="S302" s="170"/>
      <c r="T302" s="165"/>
      <c r="U302" s="166"/>
      <c r="V302" s="207"/>
      <c r="W302" s="170"/>
      <c r="X302" s="165"/>
      <c r="Y302" s="166"/>
      <c r="Z302" s="207"/>
      <c r="AA302" s="170"/>
      <c r="AB302" s="165"/>
      <c r="AC302" s="166"/>
      <c r="AD302" s="207"/>
      <c r="AE302" s="170"/>
      <c r="AF302" s="165"/>
      <c r="AG302" s="166"/>
      <c r="AH302" s="207"/>
      <c r="AI302" s="170"/>
      <c r="AJ302" s="165"/>
      <c r="AK302" s="166"/>
      <c r="AL302" s="207"/>
      <c r="AM302" s="170"/>
      <c r="AN302" s="165"/>
      <c r="AO302" s="166"/>
      <c r="AP302" s="207">
        <v>267</v>
      </c>
      <c r="AQ302" s="170">
        <v>132</v>
      </c>
      <c r="AR302" s="165">
        <v>227</v>
      </c>
      <c r="AS302" s="166">
        <v>176</v>
      </c>
      <c r="AT302" s="207"/>
      <c r="AU302" s="170"/>
      <c r="AV302" s="190"/>
      <c r="AW302" s="166"/>
      <c r="AX302" s="208"/>
      <c r="AY302" s="170"/>
      <c r="AZ302" s="45"/>
      <c r="BA302" s="58"/>
      <c r="BB302" s="45"/>
      <c r="BC302" s="46"/>
      <c r="BD302" s="45"/>
      <c r="BE302" s="46"/>
      <c r="BF302" s="45"/>
      <c r="BG302" s="46"/>
      <c r="BH302" s="45"/>
      <c r="BI302" s="46"/>
      <c r="BJ302" s="45"/>
      <c r="BK302" s="46"/>
    </row>
    <row r="303" spans="1:63" ht="13" x14ac:dyDescent="0.25">
      <c r="A303" s="372">
        <v>5202</v>
      </c>
      <c r="B303" s="373" t="s">
        <v>424</v>
      </c>
      <c r="C303" s="360">
        <v>950</v>
      </c>
      <c r="D303" s="54">
        <v>498</v>
      </c>
      <c r="E303" s="367">
        <v>0.56456776947705445</v>
      </c>
      <c r="F303" s="45">
        <v>347</v>
      </c>
      <c r="G303" s="58">
        <v>145</v>
      </c>
      <c r="H303" s="45">
        <v>314</v>
      </c>
      <c r="I303" s="57">
        <v>171</v>
      </c>
      <c r="J303" s="97"/>
      <c r="K303" s="58"/>
      <c r="L303" s="45"/>
      <c r="M303" s="57"/>
      <c r="N303" s="97"/>
      <c r="O303" s="58"/>
      <c r="P303" s="165"/>
      <c r="Q303" s="166"/>
      <c r="R303" s="207"/>
      <c r="S303" s="170"/>
      <c r="T303" s="165"/>
      <c r="U303" s="166"/>
      <c r="V303" s="207"/>
      <c r="W303" s="170"/>
      <c r="X303" s="165"/>
      <c r="Y303" s="166"/>
      <c r="Z303" s="207"/>
      <c r="AA303" s="170"/>
      <c r="AB303" s="165"/>
      <c r="AC303" s="166"/>
      <c r="AD303" s="207"/>
      <c r="AE303" s="170"/>
      <c r="AF303" s="165"/>
      <c r="AG303" s="166"/>
      <c r="AH303" s="207"/>
      <c r="AI303" s="170"/>
      <c r="AJ303" s="165"/>
      <c r="AK303" s="166"/>
      <c r="AL303" s="207"/>
      <c r="AM303" s="170"/>
      <c r="AN303" s="165"/>
      <c r="AO303" s="166"/>
      <c r="AP303" s="207">
        <v>338</v>
      </c>
      <c r="AQ303" s="170">
        <v>146</v>
      </c>
      <c r="AR303" s="165">
        <v>303</v>
      </c>
      <c r="AS303" s="166">
        <v>180</v>
      </c>
      <c r="AT303" s="207"/>
      <c r="AU303" s="170"/>
      <c r="AV303" s="190"/>
      <c r="AW303" s="166"/>
      <c r="AX303" s="208"/>
      <c r="AY303" s="170"/>
      <c r="AZ303" s="45"/>
      <c r="BA303" s="58"/>
      <c r="BB303" s="45"/>
      <c r="BC303" s="46"/>
      <c r="BD303" s="45"/>
      <c r="BE303" s="46"/>
      <c r="BF303" s="45"/>
      <c r="BG303" s="46"/>
      <c r="BH303" s="45"/>
      <c r="BI303" s="46"/>
      <c r="BJ303" s="45"/>
      <c r="BK303" s="46"/>
    </row>
    <row r="304" spans="1:63" ht="13" x14ac:dyDescent="0.25">
      <c r="A304" s="372">
        <v>5203</v>
      </c>
      <c r="B304" s="373" t="s">
        <v>425</v>
      </c>
      <c r="C304" s="360">
        <v>1042</v>
      </c>
      <c r="D304" s="54">
        <v>475</v>
      </c>
      <c r="E304" s="367">
        <v>0.52432969215491554</v>
      </c>
      <c r="F304" s="45">
        <v>300</v>
      </c>
      <c r="G304" s="58">
        <v>166</v>
      </c>
      <c r="H304" s="45">
        <v>243</v>
      </c>
      <c r="I304" s="57">
        <v>220</v>
      </c>
      <c r="J304" s="97"/>
      <c r="K304" s="58"/>
      <c r="L304" s="45"/>
      <c r="M304" s="57"/>
      <c r="N304" s="97"/>
      <c r="O304" s="58"/>
      <c r="P304" s="165"/>
      <c r="Q304" s="166"/>
      <c r="R304" s="207"/>
      <c r="S304" s="170"/>
      <c r="T304" s="165"/>
      <c r="U304" s="166"/>
      <c r="V304" s="207"/>
      <c r="W304" s="170"/>
      <c r="X304" s="165"/>
      <c r="Y304" s="166"/>
      <c r="Z304" s="207"/>
      <c r="AA304" s="170"/>
      <c r="AB304" s="165"/>
      <c r="AC304" s="166"/>
      <c r="AD304" s="207"/>
      <c r="AE304" s="170"/>
      <c r="AF304" s="165"/>
      <c r="AG304" s="166"/>
      <c r="AH304" s="207"/>
      <c r="AI304" s="170"/>
      <c r="AJ304" s="165"/>
      <c r="AK304" s="166"/>
      <c r="AL304" s="207"/>
      <c r="AM304" s="170"/>
      <c r="AN304" s="165"/>
      <c r="AO304" s="166"/>
      <c r="AP304" s="207">
        <v>348</v>
      </c>
      <c r="AQ304" s="170">
        <v>113</v>
      </c>
      <c r="AR304" s="165">
        <v>315</v>
      </c>
      <c r="AS304" s="166">
        <v>149</v>
      </c>
      <c r="AT304" s="207"/>
      <c r="AU304" s="170"/>
      <c r="AV304" s="190"/>
      <c r="AW304" s="166"/>
      <c r="AX304" s="208"/>
      <c r="AY304" s="170"/>
      <c r="AZ304" s="45"/>
      <c r="BA304" s="58"/>
      <c r="BB304" s="45"/>
      <c r="BC304" s="46"/>
      <c r="BD304" s="45"/>
      <c r="BE304" s="46"/>
      <c r="BF304" s="45"/>
      <c r="BG304" s="46"/>
      <c r="BH304" s="45"/>
      <c r="BI304" s="46"/>
      <c r="BJ304" s="45"/>
      <c r="BK304" s="46"/>
    </row>
    <row r="305" spans="1:63" ht="13" x14ac:dyDescent="0.25">
      <c r="A305" s="372">
        <v>5204</v>
      </c>
      <c r="B305" s="373" t="s">
        <v>426</v>
      </c>
      <c r="C305" s="360">
        <v>793</v>
      </c>
      <c r="D305" s="54">
        <v>384</v>
      </c>
      <c r="E305" s="367">
        <v>0.52212389380530977</v>
      </c>
      <c r="F305" s="45">
        <v>242</v>
      </c>
      <c r="G305" s="58">
        <v>136</v>
      </c>
      <c r="H305" s="45">
        <v>238</v>
      </c>
      <c r="I305" s="57">
        <v>138</v>
      </c>
      <c r="J305" s="97"/>
      <c r="K305" s="58"/>
      <c r="L305" s="45"/>
      <c r="M305" s="57"/>
      <c r="N305" s="97"/>
      <c r="O305" s="58"/>
      <c r="P305" s="165"/>
      <c r="Q305" s="166"/>
      <c r="R305" s="207"/>
      <c r="S305" s="170"/>
      <c r="T305" s="165"/>
      <c r="U305" s="166"/>
      <c r="V305" s="207"/>
      <c r="W305" s="170"/>
      <c r="X305" s="165"/>
      <c r="Y305" s="166"/>
      <c r="Z305" s="207"/>
      <c r="AA305" s="170"/>
      <c r="AB305" s="165"/>
      <c r="AC305" s="166"/>
      <c r="AD305" s="207"/>
      <c r="AE305" s="170"/>
      <c r="AF305" s="165"/>
      <c r="AG305" s="166"/>
      <c r="AH305" s="207"/>
      <c r="AI305" s="170"/>
      <c r="AJ305" s="165"/>
      <c r="AK305" s="166"/>
      <c r="AL305" s="207"/>
      <c r="AM305" s="170"/>
      <c r="AN305" s="165"/>
      <c r="AO305" s="166"/>
      <c r="AP305" s="207">
        <v>238</v>
      </c>
      <c r="AQ305" s="170">
        <v>134</v>
      </c>
      <c r="AR305" s="165">
        <v>180</v>
      </c>
      <c r="AS305" s="166">
        <v>195</v>
      </c>
      <c r="AT305" s="207"/>
      <c r="AU305" s="170"/>
      <c r="AV305" s="190"/>
      <c r="AW305" s="166"/>
      <c r="AX305" s="208"/>
      <c r="AY305" s="170"/>
      <c r="AZ305" s="45"/>
      <c r="BA305" s="58"/>
      <c r="BB305" s="45"/>
      <c r="BC305" s="46"/>
      <c r="BD305" s="45"/>
      <c r="BE305" s="46"/>
      <c r="BF305" s="45"/>
      <c r="BG305" s="46"/>
      <c r="BH305" s="45"/>
      <c r="BI305" s="46"/>
      <c r="BJ305" s="45"/>
      <c r="BK305" s="46"/>
    </row>
    <row r="306" spans="1:63" ht="13" x14ac:dyDescent="0.25">
      <c r="A306" s="372">
        <v>5205</v>
      </c>
      <c r="B306" s="373" t="s">
        <v>427</v>
      </c>
      <c r="C306" s="360">
        <v>966</v>
      </c>
      <c r="D306" s="54">
        <v>339</v>
      </c>
      <c r="E306" s="367">
        <v>0.40105820105820106</v>
      </c>
      <c r="F306" s="45">
        <v>209</v>
      </c>
      <c r="G306" s="58">
        <v>124</v>
      </c>
      <c r="H306" s="45">
        <v>206</v>
      </c>
      <c r="I306" s="57">
        <v>129</v>
      </c>
      <c r="J306" s="97"/>
      <c r="K306" s="58"/>
      <c r="L306" s="45"/>
      <c r="M306" s="57"/>
      <c r="N306" s="97"/>
      <c r="O306" s="58"/>
      <c r="P306" s="165"/>
      <c r="Q306" s="166"/>
      <c r="R306" s="207"/>
      <c r="S306" s="170"/>
      <c r="T306" s="165"/>
      <c r="U306" s="166"/>
      <c r="V306" s="207"/>
      <c r="W306" s="170"/>
      <c r="X306" s="165"/>
      <c r="Y306" s="166"/>
      <c r="Z306" s="207"/>
      <c r="AA306" s="170"/>
      <c r="AB306" s="165"/>
      <c r="AC306" s="166"/>
      <c r="AD306" s="207"/>
      <c r="AE306" s="170"/>
      <c r="AF306" s="165"/>
      <c r="AG306" s="166"/>
      <c r="AH306" s="207"/>
      <c r="AI306" s="170"/>
      <c r="AJ306" s="165"/>
      <c r="AK306" s="166"/>
      <c r="AL306" s="207"/>
      <c r="AM306" s="170"/>
      <c r="AN306" s="165"/>
      <c r="AO306" s="166"/>
      <c r="AP306" s="207">
        <v>209</v>
      </c>
      <c r="AQ306" s="170">
        <v>121</v>
      </c>
      <c r="AR306" s="165">
        <v>156</v>
      </c>
      <c r="AS306" s="166">
        <v>172</v>
      </c>
      <c r="AT306" s="207"/>
      <c r="AU306" s="170"/>
      <c r="AV306" s="190"/>
      <c r="AW306" s="166"/>
      <c r="AX306" s="208"/>
      <c r="AY306" s="170"/>
      <c r="AZ306" s="45"/>
      <c r="BA306" s="58"/>
      <c r="BB306" s="45"/>
      <c r="BC306" s="46"/>
      <c r="BD306" s="45"/>
      <c r="BE306" s="46"/>
      <c r="BF306" s="45"/>
      <c r="BG306" s="46"/>
      <c r="BH306" s="45"/>
      <c r="BI306" s="46"/>
      <c r="BJ306" s="45"/>
      <c r="BK306" s="46"/>
    </row>
    <row r="307" spans="1:63" ht="13" x14ac:dyDescent="0.25">
      <c r="A307" s="372">
        <v>5206</v>
      </c>
      <c r="B307" s="373" t="s">
        <v>428</v>
      </c>
      <c r="C307" s="360">
        <v>808</v>
      </c>
      <c r="D307" s="54">
        <v>402</v>
      </c>
      <c r="E307" s="367">
        <v>0.52065081351689613</v>
      </c>
      <c r="F307" s="45">
        <v>256</v>
      </c>
      <c r="G307" s="58">
        <v>143</v>
      </c>
      <c r="H307" s="45">
        <v>264</v>
      </c>
      <c r="I307" s="57">
        <v>130</v>
      </c>
      <c r="J307" s="97"/>
      <c r="K307" s="58"/>
      <c r="L307" s="45"/>
      <c r="M307" s="57"/>
      <c r="N307" s="97"/>
      <c r="O307" s="58"/>
      <c r="P307" s="165"/>
      <c r="Q307" s="166"/>
      <c r="R307" s="207"/>
      <c r="S307" s="170"/>
      <c r="T307" s="165"/>
      <c r="U307" s="166"/>
      <c r="V307" s="207"/>
      <c r="W307" s="170"/>
      <c r="X307" s="165"/>
      <c r="Y307" s="166"/>
      <c r="Z307" s="207"/>
      <c r="AA307" s="170"/>
      <c r="AB307" s="165"/>
      <c r="AC307" s="166"/>
      <c r="AD307" s="207"/>
      <c r="AE307" s="170"/>
      <c r="AF307" s="165"/>
      <c r="AG307" s="166"/>
      <c r="AH307" s="207"/>
      <c r="AI307" s="170"/>
      <c r="AJ307" s="165"/>
      <c r="AK307" s="166"/>
      <c r="AL307" s="207"/>
      <c r="AM307" s="170"/>
      <c r="AN307" s="165"/>
      <c r="AO307" s="166"/>
      <c r="AP307" s="207">
        <v>255</v>
      </c>
      <c r="AQ307" s="170">
        <v>136</v>
      </c>
      <c r="AR307" s="165">
        <v>184</v>
      </c>
      <c r="AS307" s="166">
        <v>209</v>
      </c>
      <c r="AT307" s="207"/>
      <c r="AU307" s="170"/>
      <c r="AV307" s="190"/>
      <c r="AW307" s="166"/>
      <c r="AX307" s="208"/>
      <c r="AY307" s="170"/>
      <c r="AZ307" s="45"/>
      <c r="BA307" s="58"/>
      <c r="BB307" s="45"/>
      <c r="BC307" s="46"/>
      <c r="BD307" s="45"/>
      <c r="BE307" s="46"/>
      <c r="BF307" s="45"/>
      <c r="BG307" s="46"/>
      <c r="BH307" s="45"/>
      <c r="BI307" s="46"/>
      <c r="BJ307" s="45"/>
      <c r="BK307" s="46"/>
    </row>
    <row r="308" spans="1:63" ht="13" x14ac:dyDescent="0.25">
      <c r="A308" s="372">
        <v>5207</v>
      </c>
      <c r="B308" s="373" t="s">
        <v>429</v>
      </c>
      <c r="C308" s="360">
        <v>676</v>
      </c>
      <c r="D308" s="54">
        <v>266</v>
      </c>
      <c r="E308" s="367">
        <v>0.45601173020527858</v>
      </c>
      <c r="F308" s="45">
        <v>205</v>
      </c>
      <c r="G308" s="58">
        <v>58</v>
      </c>
      <c r="H308" s="45">
        <v>181</v>
      </c>
      <c r="I308" s="57">
        <v>79</v>
      </c>
      <c r="J308" s="97"/>
      <c r="K308" s="58"/>
      <c r="L308" s="45"/>
      <c r="M308" s="57"/>
      <c r="N308" s="97"/>
      <c r="O308" s="58"/>
      <c r="P308" s="165"/>
      <c r="Q308" s="166"/>
      <c r="R308" s="207"/>
      <c r="S308" s="170"/>
      <c r="T308" s="165"/>
      <c r="U308" s="166"/>
      <c r="V308" s="207"/>
      <c r="W308" s="170"/>
      <c r="X308" s="165"/>
      <c r="Y308" s="166"/>
      <c r="Z308" s="207"/>
      <c r="AA308" s="170"/>
      <c r="AB308" s="165"/>
      <c r="AC308" s="166"/>
      <c r="AD308" s="207"/>
      <c r="AE308" s="170"/>
      <c r="AF308" s="165"/>
      <c r="AG308" s="166"/>
      <c r="AH308" s="207"/>
      <c r="AI308" s="170"/>
      <c r="AJ308" s="165"/>
      <c r="AK308" s="166"/>
      <c r="AL308" s="207"/>
      <c r="AM308" s="170"/>
      <c r="AN308" s="165"/>
      <c r="AO308" s="166"/>
      <c r="AP308" s="207">
        <v>167</v>
      </c>
      <c r="AQ308" s="170">
        <v>91</v>
      </c>
      <c r="AR308" s="165">
        <v>138</v>
      </c>
      <c r="AS308" s="166">
        <v>118</v>
      </c>
      <c r="AT308" s="207"/>
      <c r="AU308" s="170"/>
      <c r="AV308" s="190"/>
      <c r="AW308" s="166"/>
      <c r="AX308" s="208"/>
      <c r="AY308" s="170"/>
      <c r="AZ308" s="45"/>
      <c r="BA308" s="58"/>
      <c r="BB308" s="45"/>
      <c r="BC308" s="46"/>
      <c r="BD308" s="45"/>
      <c r="BE308" s="46"/>
      <c r="BF308" s="45"/>
      <c r="BG308" s="46"/>
      <c r="BH308" s="45"/>
      <c r="BI308" s="46"/>
      <c r="BJ308" s="45"/>
      <c r="BK308" s="46"/>
    </row>
    <row r="309" spans="1:63" ht="13" x14ac:dyDescent="0.25">
      <c r="A309" s="372">
        <v>5208</v>
      </c>
      <c r="B309" s="373" t="s">
        <v>430</v>
      </c>
      <c r="C309" s="360">
        <v>889</v>
      </c>
      <c r="D309" s="54">
        <v>522</v>
      </c>
      <c r="E309" s="367">
        <v>0.62996594778660608</v>
      </c>
      <c r="F309" s="45">
        <v>389</v>
      </c>
      <c r="G309" s="58">
        <v>132</v>
      </c>
      <c r="H309" s="45">
        <v>330</v>
      </c>
      <c r="I309" s="57">
        <v>182</v>
      </c>
      <c r="J309" s="97"/>
      <c r="K309" s="58"/>
      <c r="L309" s="45"/>
      <c r="M309" s="57"/>
      <c r="N309" s="97"/>
      <c r="O309" s="58"/>
      <c r="P309" s="165"/>
      <c r="Q309" s="166"/>
      <c r="R309" s="207"/>
      <c r="S309" s="170"/>
      <c r="T309" s="165"/>
      <c r="U309" s="166"/>
      <c r="V309" s="207"/>
      <c r="W309" s="170"/>
      <c r="X309" s="165"/>
      <c r="Y309" s="166"/>
      <c r="Z309" s="207"/>
      <c r="AA309" s="170"/>
      <c r="AB309" s="165"/>
      <c r="AC309" s="166"/>
      <c r="AD309" s="207"/>
      <c r="AE309" s="170"/>
      <c r="AF309" s="165"/>
      <c r="AG309" s="166"/>
      <c r="AH309" s="207"/>
      <c r="AI309" s="170"/>
      <c r="AJ309" s="165"/>
      <c r="AK309" s="166"/>
      <c r="AL309" s="207"/>
      <c r="AM309" s="170"/>
      <c r="AN309" s="165"/>
      <c r="AO309" s="166"/>
      <c r="AP309" s="207">
        <v>350</v>
      </c>
      <c r="AQ309" s="170">
        <v>169</v>
      </c>
      <c r="AR309" s="165">
        <v>297</v>
      </c>
      <c r="AS309" s="166">
        <v>221</v>
      </c>
      <c r="AT309" s="207"/>
      <c r="AU309" s="170"/>
      <c r="AV309" s="190"/>
      <c r="AW309" s="166"/>
      <c r="AX309" s="208"/>
      <c r="AY309" s="170"/>
      <c r="AZ309" s="45"/>
      <c r="BA309" s="58"/>
      <c r="BB309" s="45"/>
      <c r="BC309" s="46"/>
      <c r="BD309" s="45"/>
      <c r="BE309" s="46"/>
      <c r="BF309" s="45"/>
      <c r="BG309" s="46"/>
      <c r="BH309" s="45"/>
      <c r="BI309" s="46"/>
      <c r="BJ309" s="45"/>
      <c r="BK309" s="46"/>
    </row>
    <row r="310" spans="1:63" ht="13" x14ac:dyDescent="0.25">
      <c r="A310" s="372">
        <v>5301</v>
      </c>
      <c r="B310" s="373" t="s">
        <v>431</v>
      </c>
      <c r="C310" s="360">
        <v>1458</v>
      </c>
      <c r="D310" s="54">
        <v>984</v>
      </c>
      <c r="E310" s="367">
        <v>0.72284908321579688</v>
      </c>
      <c r="F310" s="45">
        <v>736</v>
      </c>
      <c r="G310" s="58">
        <v>242</v>
      </c>
      <c r="H310" s="45">
        <v>668</v>
      </c>
      <c r="I310" s="57">
        <v>296</v>
      </c>
      <c r="J310" s="97"/>
      <c r="K310" s="58"/>
      <c r="L310" s="45"/>
      <c r="M310" s="57"/>
      <c r="N310" s="97"/>
      <c r="O310" s="58"/>
      <c r="P310" s="165"/>
      <c r="Q310" s="166"/>
      <c r="R310" s="207"/>
      <c r="S310" s="170"/>
      <c r="T310" s="165"/>
      <c r="U310" s="166"/>
      <c r="V310" s="207"/>
      <c r="W310" s="170"/>
      <c r="X310" s="165"/>
      <c r="Y310" s="166"/>
      <c r="Z310" s="207"/>
      <c r="AA310" s="170"/>
      <c r="AB310" s="165"/>
      <c r="AC310" s="166"/>
      <c r="AD310" s="207"/>
      <c r="AE310" s="170"/>
      <c r="AF310" s="165"/>
      <c r="AG310" s="166"/>
      <c r="AH310" s="207"/>
      <c r="AI310" s="170"/>
      <c r="AJ310" s="165"/>
      <c r="AK310" s="166"/>
      <c r="AL310" s="207"/>
      <c r="AM310" s="170"/>
      <c r="AN310" s="165"/>
      <c r="AO310" s="166"/>
      <c r="AP310" s="207">
        <v>804</v>
      </c>
      <c r="AQ310" s="170">
        <v>161</v>
      </c>
      <c r="AR310" s="165">
        <v>737</v>
      </c>
      <c r="AS310" s="166">
        <v>238</v>
      </c>
      <c r="AT310" s="207"/>
      <c r="AU310" s="170"/>
      <c r="AV310" s="190"/>
      <c r="AW310" s="166"/>
      <c r="AX310" s="208"/>
      <c r="AY310" s="170"/>
      <c r="AZ310" s="45"/>
      <c r="BA310" s="58"/>
      <c r="BB310" s="45"/>
      <c r="BC310" s="46"/>
      <c r="BD310" s="45"/>
      <c r="BE310" s="46"/>
      <c r="BF310" s="45"/>
      <c r="BG310" s="46"/>
      <c r="BH310" s="45"/>
      <c r="BI310" s="46"/>
      <c r="BJ310" s="45"/>
      <c r="BK310" s="46"/>
    </row>
    <row r="311" spans="1:63" ht="13" x14ac:dyDescent="0.25">
      <c r="A311" s="372">
        <v>5302</v>
      </c>
      <c r="B311" s="373" t="s">
        <v>432</v>
      </c>
      <c r="C311" s="360">
        <v>1439</v>
      </c>
      <c r="D311" s="54">
        <v>971</v>
      </c>
      <c r="E311" s="367">
        <v>0.70027816411682897</v>
      </c>
      <c r="F311" s="45">
        <v>756</v>
      </c>
      <c r="G311" s="58">
        <v>211</v>
      </c>
      <c r="H311" s="45">
        <v>636</v>
      </c>
      <c r="I311" s="57">
        <v>316</v>
      </c>
      <c r="J311" s="97"/>
      <c r="K311" s="58"/>
      <c r="L311" s="45"/>
      <c r="M311" s="57"/>
      <c r="N311" s="97"/>
      <c r="O311" s="58"/>
      <c r="P311" s="165"/>
      <c r="Q311" s="166"/>
      <c r="R311" s="207"/>
      <c r="S311" s="170"/>
      <c r="T311" s="165"/>
      <c r="U311" s="166"/>
      <c r="V311" s="207"/>
      <c r="W311" s="170"/>
      <c r="X311" s="165"/>
      <c r="Y311" s="166"/>
      <c r="Z311" s="207"/>
      <c r="AA311" s="170"/>
      <c r="AB311" s="165"/>
      <c r="AC311" s="166"/>
      <c r="AD311" s="207"/>
      <c r="AE311" s="170"/>
      <c r="AF311" s="165"/>
      <c r="AG311" s="166"/>
      <c r="AH311" s="207"/>
      <c r="AI311" s="170"/>
      <c r="AJ311" s="165"/>
      <c r="AK311" s="166"/>
      <c r="AL311" s="207"/>
      <c r="AM311" s="170"/>
      <c r="AN311" s="165"/>
      <c r="AO311" s="166"/>
      <c r="AP311" s="207">
        <v>768</v>
      </c>
      <c r="AQ311" s="170">
        <v>181</v>
      </c>
      <c r="AR311" s="165">
        <v>719</v>
      </c>
      <c r="AS311" s="166">
        <v>240</v>
      </c>
      <c r="AT311" s="207"/>
      <c r="AU311" s="170"/>
      <c r="AV311" s="190"/>
      <c r="AW311" s="166"/>
      <c r="AX311" s="208"/>
      <c r="AY311" s="170"/>
      <c r="AZ311" s="45"/>
      <c r="BA311" s="58"/>
      <c r="BB311" s="45"/>
      <c r="BC311" s="46"/>
      <c r="BD311" s="45"/>
      <c r="BE311" s="46"/>
      <c r="BF311" s="45"/>
      <c r="BG311" s="46"/>
      <c r="BH311" s="45"/>
      <c r="BI311" s="46"/>
      <c r="BJ311" s="45"/>
      <c r="BK311" s="46"/>
    </row>
    <row r="312" spans="1:63" ht="13" x14ac:dyDescent="0.25">
      <c r="A312" s="372">
        <v>5303</v>
      </c>
      <c r="B312" s="373" t="s">
        <v>433</v>
      </c>
      <c r="C312" s="360">
        <v>1458</v>
      </c>
      <c r="D312" s="54">
        <v>955</v>
      </c>
      <c r="E312" s="367">
        <v>0.6794692737430168</v>
      </c>
      <c r="F312" s="45">
        <v>753</v>
      </c>
      <c r="G312" s="58">
        <v>197</v>
      </c>
      <c r="H312" s="45">
        <v>650</v>
      </c>
      <c r="I312" s="57">
        <v>288</v>
      </c>
      <c r="J312" s="97"/>
      <c r="K312" s="58"/>
      <c r="L312" s="45"/>
      <c r="M312" s="57"/>
      <c r="N312" s="97"/>
      <c r="O312" s="58"/>
      <c r="P312" s="165"/>
      <c r="Q312" s="166"/>
      <c r="R312" s="207"/>
      <c r="S312" s="170"/>
      <c r="T312" s="165"/>
      <c r="U312" s="166"/>
      <c r="V312" s="207"/>
      <c r="W312" s="170"/>
      <c r="X312" s="45"/>
      <c r="Y312" s="57"/>
      <c r="Z312" s="207"/>
      <c r="AA312" s="170"/>
      <c r="AB312" s="165"/>
      <c r="AC312" s="166"/>
      <c r="AD312" s="207"/>
      <c r="AE312" s="170"/>
      <c r="AF312" s="165"/>
      <c r="AG312" s="166"/>
      <c r="AH312" s="207"/>
      <c r="AI312" s="170"/>
      <c r="AJ312" s="165"/>
      <c r="AK312" s="166"/>
      <c r="AL312" s="207"/>
      <c r="AM312" s="170"/>
      <c r="AN312" s="165"/>
      <c r="AO312" s="166"/>
      <c r="AP312" s="207">
        <v>789</v>
      </c>
      <c r="AQ312" s="170">
        <v>153</v>
      </c>
      <c r="AR312" s="165">
        <v>708</v>
      </c>
      <c r="AS312" s="166">
        <v>236</v>
      </c>
      <c r="AT312" s="207"/>
      <c r="AU312" s="170"/>
      <c r="AV312" s="190"/>
      <c r="AW312" s="166"/>
      <c r="AX312" s="208"/>
      <c r="AY312" s="170"/>
      <c r="AZ312" s="45"/>
      <c r="BA312" s="58"/>
      <c r="BB312" s="45"/>
      <c r="BC312" s="46"/>
      <c r="BD312" s="45"/>
      <c r="BE312" s="46"/>
      <c r="BF312" s="45"/>
      <c r="BG312" s="46"/>
      <c r="BH312" s="45"/>
      <c r="BI312" s="46"/>
      <c r="BJ312" s="45"/>
      <c r="BK312" s="46"/>
    </row>
    <row r="313" spans="1:63" ht="13" x14ac:dyDescent="0.25">
      <c r="A313" s="372">
        <v>5304</v>
      </c>
      <c r="B313" s="373" t="s">
        <v>434</v>
      </c>
      <c r="C313" s="360">
        <v>1361</v>
      </c>
      <c r="D313" s="54">
        <v>803</v>
      </c>
      <c r="E313" s="367">
        <v>0.60215827338129502</v>
      </c>
      <c r="F313" s="45">
        <v>630</v>
      </c>
      <c r="G313" s="58">
        <v>169</v>
      </c>
      <c r="H313" s="45">
        <v>589</v>
      </c>
      <c r="I313" s="57">
        <v>202</v>
      </c>
      <c r="J313" s="97"/>
      <c r="K313" s="58"/>
      <c r="L313" s="45"/>
      <c r="M313" s="57"/>
      <c r="N313" s="97"/>
      <c r="O313" s="58"/>
      <c r="P313" s="165"/>
      <c r="Q313" s="166"/>
      <c r="R313" s="207"/>
      <c r="S313" s="170"/>
      <c r="T313" s="165"/>
      <c r="U313" s="166"/>
      <c r="V313" s="207"/>
      <c r="W313" s="170"/>
      <c r="X313" s="165"/>
      <c r="Y313" s="166"/>
      <c r="Z313" s="207"/>
      <c r="AA313" s="170"/>
      <c r="AB313" s="165"/>
      <c r="AC313" s="166"/>
      <c r="AD313" s="207"/>
      <c r="AE313" s="170"/>
      <c r="AF313" s="165"/>
      <c r="AG313" s="166"/>
      <c r="AH313" s="207"/>
      <c r="AI313" s="170"/>
      <c r="AJ313" s="165"/>
      <c r="AK313" s="166"/>
      <c r="AL313" s="207"/>
      <c r="AM313" s="170"/>
      <c r="AN313" s="165"/>
      <c r="AO313" s="166"/>
      <c r="AP313" s="207">
        <v>622</v>
      </c>
      <c r="AQ313" s="170">
        <v>166</v>
      </c>
      <c r="AR313" s="165">
        <v>574</v>
      </c>
      <c r="AS313" s="166">
        <v>216</v>
      </c>
      <c r="AT313" s="207"/>
      <c r="AU313" s="170"/>
      <c r="AV313" s="190"/>
      <c r="AW313" s="166"/>
      <c r="AX313" s="208"/>
      <c r="AY313" s="170"/>
      <c r="AZ313" s="45"/>
      <c r="BA313" s="58"/>
      <c r="BB313" s="45"/>
      <c r="BC313" s="46"/>
      <c r="BD313" s="45"/>
      <c r="BE313" s="46"/>
      <c r="BF313" s="45"/>
      <c r="BG313" s="46"/>
      <c r="BH313" s="45"/>
      <c r="BI313" s="46"/>
      <c r="BJ313" s="45"/>
      <c r="BK313" s="46"/>
    </row>
    <row r="314" spans="1:63" ht="13" x14ac:dyDescent="0.25">
      <c r="A314" s="372">
        <v>5305</v>
      </c>
      <c r="B314" s="373" t="s">
        <v>435</v>
      </c>
      <c r="C314" s="360">
        <v>1350</v>
      </c>
      <c r="D314" s="54">
        <v>918</v>
      </c>
      <c r="E314" s="367">
        <v>0.71250000000000002</v>
      </c>
      <c r="F314" s="45">
        <v>721</v>
      </c>
      <c r="G314" s="58">
        <v>195</v>
      </c>
      <c r="H314" s="45">
        <v>630</v>
      </c>
      <c r="I314" s="57">
        <v>276</v>
      </c>
      <c r="J314" s="97"/>
      <c r="K314" s="58"/>
      <c r="L314" s="45"/>
      <c r="M314" s="57"/>
      <c r="N314" s="97"/>
      <c r="O314" s="58"/>
      <c r="P314" s="165"/>
      <c r="Q314" s="166"/>
      <c r="R314" s="207"/>
      <c r="S314" s="170"/>
      <c r="T314" s="165"/>
      <c r="U314" s="166"/>
      <c r="V314" s="207"/>
      <c r="W314" s="170"/>
      <c r="X314" s="165"/>
      <c r="Y314" s="166"/>
      <c r="Z314" s="207"/>
      <c r="AA314" s="170"/>
      <c r="AB314" s="165"/>
      <c r="AC314" s="166"/>
      <c r="AD314" s="207"/>
      <c r="AE314" s="170"/>
      <c r="AF314" s="165"/>
      <c r="AG314" s="166"/>
      <c r="AH314" s="207"/>
      <c r="AI314" s="170"/>
      <c r="AJ314" s="165"/>
      <c r="AK314" s="166"/>
      <c r="AL314" s="207"/>
      <c r="AM314" s="170"/>
      <c r="AN314" s="165"/>
      <c r="AO314" s="166"/>
      <c r="AP314" s="207">
        <v>770</v>
      </c>
      <c r="AQ314" s="170">
        <v>135</v>
      </c>
      <c r="AR314" s="165">
        <v>683</v>
      </c>
      <c r="AS314" s="166">
        <v>219</v>
      </c>
      <c r="AT314" s="207"/>
      <c r="AU314" s="170"/>
      <c r="AV314" s="190"/>
      <c r="AW314" s="166"/>
      <c r="AX314" s="208"/>
      <c r="AY314" s="170"/>
      <c r="AZ314" s="45"/>
      <c r="BA314" s="58"/>
      <c r="BB314" s="45"/>
      <c r="BC314" s="46"/>
      <c r="BD314" s="45"/>
      <c r="BE314" s="46"/>
      <c r="BF314" s="45"/>
      <c r="BG314" s="46"/>
      <c r="BH314" s="45"/>
      <c r="BI314" s="46"/>
      <c r="BJ314" s="45"/>
      <c r="BK314" s="46"/>
    </row>
    <row r="315" spans="1:63" ht="13" x14ac:dyDescent="0.25">
      <c r="A315" s="372">
        <v>5501</v>
      </c>
      <c r="B315" s="373" t="s">
        <v>438</v>
      </c>
      <c r="C315" s="360">
        <v>831</v>
      </c>
      <c r="D315" s="54">
        <v>526</v>
      </c>
      <c r="E315" s="367">
        <v>0.69474969474969472</v>
      </c>
      <c r="F315" s="45">
        <v>410</v>
      </c>
      <c r="G315" s="58">
        <v>112</v>
      </c>
      <c r="H315" s="45">
        <v>338</v>
      </c>
      <c r="I315" s="57">
        <v>173</v>
      </c>
      <c r="J315" s="97"/>
      <c r="K315" s="58"/>
      <c r="L315" s="45"/>
      <c r="M315" s="57"/>
      <c r="N315" s="97"/>
      <c r="O315" s="58"/>
      <c r="P315" s="165"/>
      <c r="Q315" s="166"/>
      <c r="R315" s="207"/>
      <c r="S315" s="170"/>
      <c r="T315" s="165"/>
      <c r="U315" s="166"/>
      <c r="V315" s="207"/>
      <c r="W315" s="170"/>
      <c r="X315" s="165"/>
      <c r="Y315" s="166"/>
      <c r="Z315" s="207"/>
      <c r="AA315" s="170"/>
      <c r="AB315" s="165"/>
      <c r="AC315" s="166"/>
      <c r="AD315" s="207"/>
      <c r="AE315" s="170"/>
      <c r="AF315" s="165"/>
      <c r="AG315" s="166"/>
      <c r="AH315" s="207"/>
      <c r="AI315" s="170"/>
      <c r="AJ315" s="165"/>
      <c r="AK315" s="166"/>
      <c r="AL315" s="207"/>
      <c r="AM315" s="170"/>
      <c r="AN315" s="165"/>
      <c r="AO315" s="166"/>
      <c r="AP315" s="207">
        <v>394</v>
      </c>
      <c r="AQ315" s="170">
        <v>126</v>
      </c>
      <c r="AR315" s="165">
        <v>338</v>
      </c>
      <c r="AS315" s="166">
        <v>172</v>
      </c>
      <c r="AT315" s="207"/>
      <c r="AU315" s="170"/>
      <c r="AV315" s="190"/>
      <c r="AW315" s="166"/>
      <c r="AX315" s="208"/>
      <c r="AY315" s="170"/>
      <c r="AZ315" s="45"/>
      <c r="BA315" s="58"/>
      <c r="BB315" s="45"/>
      <c r="BC315" s="46"/>
      <c r="BD315" s="45"/>
      <c r="BE315" s="46"/>
      <c r="BF315" s="45"/>
      <c r="BG315" s="46"/>
      <c r="BH315" s="45"/>
      <c r="BI315" s="46"/>
      <c r="BJ315" s="45"/>
      <c r="BK315" s="46"/>
    </row>
    <row r="316" spans="1:63" ht="13" x14ac:dyDescent="0.25">
      <c r="A316" s="372">
        <v>5502</v>
      </c>
      <c r="B316" s="373" t="s">
        <v>439</v>
      </c>
      <c r="C316" s="360">
        <v>811</v>
      </c>
      <c r="D316" s="54">
        <v>507</v>
      </c>
      <c r="E316" s="367">
        <v>0.69543773119605423</v>
      </c>
      <c r="F316" s="45">
        <v>326</v>
      </c>
      <c r="G316" s="58">
        <v>176</v>
      </c>
      <c r="H316" s="45">
        <v>288</v>
      </c>
      <c r="I316" s="57">
        <v>209</v>
      </c>
      <c r="J316" s="97"/>
      <c r="K316" s="58"/>
      <c r="L316" s="45"/>
      <c r="M316" s="57"/>
      <c r="N316" s="97"/>
      <c r="O316" s="58"/>
      <c r="P316" s="165"/>
      <c r="Q316" s="166"/>
      <c r="R316" s="207"/>
      <c r="S316" s="170"/>
      <c r="T316" s="165"/>
      <c r="U316" s="166"/>
      <c r="V316" s="207"/>
      <c r="W316" s="170"/>
      <c r="X316" s="165"/>
      <c r="Y316" s="166"/>
      <c r="Z316" s="207"/>
      <c r="AA316" s="170"/>
      <c r="AB316" s="165"/>
      <c r="AC316" s="166"/>
      <c r="AD316" s="207"/>
      <c r="AE316" s="170"/>
      <c r="AF316" s="165"/>
      <c r="AG316" s="166"/>
      <c r="AH316" s="207"/>
      <c r="AI316" s="170"/>
      <c r="AJ316" s="165"/>
      <c r="AK316" s="166"/>
      <c r="AL316" s="207"/>
      <c r="AM316" s="170"/>
      <c r="AN316" s="165"/>
      <c r="AO316" s="166"/>
      <c r="AP316" s="207">
        <v>362</v>
      </c>
      <c r="AQ316" s="170">
        <v>133</v>
      </c>
      <c r="AR316" s="165">
        <v>313</v>
      </c>
      <c r="AS316" s="166">
        <v>176</v>
      </c>
      <c r="AT316" s="207"/>
      <c r="AU316" s="170"/>
      <c r="AV316" s="190"/>
      <c r="AW316" s="166"/>
      <c r="AX316" s="208"/>
      <c r="AY316" s="170"/>
      <c r="AZ316" s="45"/>
      <c r="BA316" s="58"/>
      <c r="BB316" s="45"/>
      <c r="BC316" s="46"/>
      <c r="BD316" s="45"/>
      <c r="BE316" s="46"/>
      <c r="BF316" s="45"/>
      <c r="BG316" s="46"/>
      <c r="BH316" s="45"/>
      <c r="BI316" s="46"/>
      <c r="BJ316" s="45"/>
      <c r="BK316" s="46"/>
    </row>
    <row r="317" spans="1:63" ht="13" x14ac:dyDescent="0.25">
      <c r="A317" s="372">
        <v>5503</v>
      </c>
      <c r="B317" s="373" t="s">
        <v>440</v>
      </c>
      <c r="C317" s="360">
        <v>639</v>
      </c>
      <c r="D317" s="54">
        <v>451</v>
      </c>
      <c r="E317" s="367">
        <v>0.73058637083993661</v>
      </c>
      <c r="F317" s="45">
        <v>320</v>
      </c>
      <c r="G317" s="58">
        <v>126</v>
      </c>
      <c r="H317" s="45">
        <v>296</v>
      </c>
      <c r="I317" s="57">
        <v>150</v>
      </c>
      <c r="J317" s="97"/>
      <c r="K317" s="58"/>
      <c r="L317" s="45"/>
      <c r="M317" s="57"/>
      <c r="N317" s="97"/>
      <c r="O317" s="58"/>
      <c r="P317" s="165"/>
      <c r="Q317" s="166"/>
      <c r="R317" s="207"/>
      <c r="S317" s="170"/>
      <c r="T317" s="165"/>
      <c r="U317" s="166"/>
      <c r="V317" s="207"/>
      <c r="W317" s="170"/>
      <c r="X317" s="165"/>
      <c r="Y317" s="166"/>
      <c r="Z317" s="207"/>
      <c r="AA317" s="170"/>
      <c r="AB317" s="165"/>
      <c r="AC317" s="166"/>
      <c r="AD317" s="207"/>
      <c r="AE317" s="170"/>
      <c r="AF317" s="165"/>
      <c r="AG317" s="166"/>
      <c r="AH317" s="207"/>
      <c r="AI317" s="170"/>
      <c r="AJ317" s="165"/>
      <c r="AK317" s="166"/>
      <c r="AL317" s="207"/>
      <c r="AM317" s="170"/>
      <c r="AN317" s="165"/>
      <c r="AO317" s="166"/>
      <c r="AP317" s="207">
        <v>317</v>
      </c>
      <c r="AQ317" s="170">
        <v>126</v>
      </c>
      <c r="AR317" s="165">
        <v>265</v>
      </c>
      <c r="AS317" s="166">
        <v>177</v>
      </c>
      <c r="AT317" s="207"/>
      <c r="AU317" s="170"/>
      <c r="AV317" s="190"/>
      <c r="AW317" s="166"/>
      <c r="AX317" s="208"/>
      <c r="AY317" s="170"/>
      <c r="AZ317" s="45"/>
      <c r="BA317" s="58"/>
      <c r="BB317" s="45"/>
      <c r="BC317" s="46"/>
      <c r="BD317" s="45"/>
      <c r="BE317" s="46"/>
      <c r="BF317" s="45"/>
      <c r="BG317" s="46"/>
      <c r="BH317" s="45"/>
      <c r="BI317" s="46"/>
      <c r="BJ317" s="45"/>
      <c r="BK317" s="46"/>
    </row>
    <row r="318" spans="1:63" ht="13" x14ac:dyDescent="0.25">
      <c r="A318" s="372">
        <v>5504</v>
      </c>
      <c r="B318" s="373" t="s">
        <v>441</v>
      </c>
      <c r="C318" s="360">
        <v>864</v>
      </c>
      <c r="D318" s="54">
        <v>594</v>
      </c>
      <c r="E318" s="367">
        <v>0.74597701149425288</v>
      </c>
      <c r="F318" s="45">
        <v>427</v>
      </c>
      <c r="G318" s="58">
        <v>165</v>
      </c>
      <c r="H318" s="45">
        <v>370</v>
      </c>
      <c r="I318" s="57">
        <v>210</v>
      </c>
      <c r="J318" s="97"/>
      <c r="K318" s="58"/>
      <c r="L318" s="45"/>
      <c r="M318" s="57"/>
      <c r="N318" s="97"/>
      <c r="O318" s="58"/>
      <c r="P318" s="165"/>
      <c r="Q318" s="166"/>
      <c r="R318" s="207"/>
      <c r="S318" s="170"/>
      <c r="T318" s="165"/>
      <c r="U318" s="166"/>
      <c r="V318" s="207"/>
      <c r="W318" s="170"/>
      <c r="X318" s="165"/>
      <c r="Y318" s="166"/>
      <c r="Z318" s="207"/>
      <c r="AA318" s="170"/>
      <c r="AB318" s="165"/>
      <c r="AC318" s="166"/>
      <c r="AD318" s="207"/>
      <c r="AE318" s="170"/>
      <c r="AF318" s="165"/>
      <c r="AG318" s="166"/>
      <c r="AH318" s="207"/>
      <c r="AI318" s="170"/>
      <c r="AJ318" s="165"/>
      <c r="AK318" s="166"/>
      <c r="AL318" s="207"/>
      <c r="AM318" s="170"/>
      <c r="AN318" s="165"/>
      <c r="AO318" s="166"/>
      <c r="AP318" s="207">
        <v>435</v>
      </c>
      <c r="AQ318" s="170">
        <v>145</v>
      </c>
      <c r="AR318" s="165">
        <v>371</v>
      </c>
      <c r="AS318" s="166">
        <v>204</v>
      </c>
      <c r="AT318" s="207"/>
      <c r="AU318" s="170"/>
      <c r="AV318" s="190"/>
      <c r="AW318" s="166"/>
      <c r="AX318" s="208"/>
      <c r="AY318" s="170"/>
      <c r="AZ318" s="45"/>
      <c r="BA318" s="58"/>
      <c r="BB318" s="45"/>
      <c r="BC318" s="46"/>
      <c r="BD318" s="45"/>
      <c r="BE318" s="46"/>
      <c r="BF318" s="45"/>
      <c r="BG318" s="46"/>
      <c r="BH318" s="45"/>
      <c r="BI318" s="46"/>
      <c r="BJ318" s="45"/>
      <c r="BK318" s="46"/>
    </row>
    <row r="319" spans="1:63" ht="13" x14ac:dyDescent="0.25">
      <c r="A319" s="372">
        <v>5601</v>
      </c>
      <c r="B319" s="373" t="s">
        <v>442</v>
      </c>
      <c r="C319" s="360">
        <v>1053</v>
      </c>
      <c r="D319" s="54">
        <v>655</v>
      </c>
      <c r="E319" s="367">
        <v>0.6644486692015209</v>
      </c>
      <c r="F319" s="45">
        <v>391</v>
      </c>
      <c r="G319" s="58">
        <v>259</v>
      </c>
      <c r="H319" s="45">
        <v>358</v>
      </c>
      <c r="I319" s="57">
        <v>278</v>
      </c>
      <c r="J319" s="97"/>
      <c r="K319" s="58"/>
      <c r="L319" s="45"/>
      <c r="M319" s="57"/>
      <c r="N319" s="97"/>
      <c r="O319" s="58"/>
      <c r="P319" s="165"/>
      <c r="Q319" s="166"/>
      <c r="R319" s="207"/>
      <c r="S319" s="170"/>
      <c r="T319" s="165"/>
      <c r="U319" s="166"/>
      <c r="V319" s="207"/>
      <c r="W319" s="170"/>
      <c r="X319" s="165"/>
      <c r="Y319" s="166"/>
      <c r="Z319" s="207"/>
      <c r="AA319" s="170"/>
      <c r="AB319" s="165"/>
      <c r="AC319" s="166"/>
      <c r="AD319" s="207"/>
      <c r="AE319" s="170"/>
      <c r="AF319" s="165"/>
      <c r="AG319" s="166"/>
      <c r="AH319" s="207"/>
      <c r="AI319" s="170"/>
      <c r="AJ319" s="165"/>
      <c r="AK319" s="166"/>
      <c r="AL319" s="207"/>
      <c r="AM319" s="170"/>
      <c r="AN319" s="165">
        <v>330</v>
      </c>
      <c r="AO319" s="166">
        <v>312</v>
      </c>
      <c r="AP319" s="207">
        <v>418</v>
      </c>
      <c r="AQ319" s="170">
        <v>224</v>
      </c>
      <c r="AR319" s="165">
        <v>312</v>
      </c>
      <c r="AS319" s="166">
        <v>324</v>
      </c>
      <c r="AT319" s="207"/>
      <c r="AU319" s="170"/>
      <c r="AV319" s="190"/>
      <c r="AW319" s="166"/>
      <c r="AX319" s="208"/>
      <c r="AY319" s="170"/>
      <c r="AZ319" s="45"/>
      <c r="BA319" s="58"/>
      <c r="BB319" s="45"/>
      <c r="BC319" s="46"/>
      <c r="BD319" s="45"/>
      <c r="BE319" s="46"/>
      <c r="BF319" s="45"/>
      <c r="BG319" s="46"/>
      <c r="BH319" s="45"/>
      <c r="BI319" s="46"/>
      <c r="BJ319" s="45"/>
      <c r="BK319" s="46"/>
    </row>
    <row r="320" spans="1:63" ht="13" x14ac:dyDescent="0.25">
      <c r="A320" s="372">
        <v>5602</v>
      </c>
      <c r="B320" s="373" t="s">
        <v>443</v>
      </c>
      <c r="C320" s="360">
        <v>1009</v>
      </c>
      <c r="D320" s="54">
        <v>600</v>
      </c>
      <c r="E320" s="367">
        <v>0.64606181455633105</v>
      </c>
      <c r="F320" s="45">
        <v>330</v>
      </c>
      <c r="G320" s="58">
        <v>263</v>
      </c>
      <c r="H320" s="45">
        <v>303</v>
      </c>
      <c r="I320" s="57">
        <v>282</v>
      </c>
      <c r="J320" s="97"/>
      <c r="K320" s="58"/>
      <c r="L320" s="45"/>
      <c r="M320" s="57"/>
      <c r="N320" s="97"/>
      <c r="O320" s="58"/>
      <c r="P320" s="165"/>
      <c r="Q320" s="166"/>
      <c r="R320" s="207"/>
      <c r="S320" s="170"/>
      <c r="T320" s="165"/>
      <c r="U320" s="166"/>
      <c r="V320" s="207"/>
      <c r="W320" s="170"/>
      <c r="X320" s="165"/>
      <c r="Y320" s="166"/>
      <c r="Z320" s="207"/>
      <c r="AA320" s="170"/>
      <c r="AB320" s="165"/>
      <c r="AC320" s="166"/>
      <c r="AD320" s="207"/>
      <c r="AE320" s="170"/>
      <c r="AF320" s="165"/>
      <c r="AG320" s="166"/>
      <c r="AH320" s="207"/>
      <c r="AI320" s="170"/>
      <c r="AJ320" s="165"/>
      <c r="AK320" s="166"/>
      <c r="AL320" s="207"/>
      <c r="AM320" s="170"/>
      <c r="AN320" s="165">
        <v>307</v>
      </c>
      <c r="AO320" s="166">
        <v>277</v>
      </c>
      <c r="AP320" s="207">
        <v>396</v>
      </c>
      <c r="AQ320" s="170">
        <v>196</v>
      </c>
      <c r="AR320" s="165">
        <v>303</v>
      </c>
      <c r="AS320" s="166">
        <v>287</v>
      </c>
      <c r="AT320" s="207"/>
      <c r="AU320" s="170"/>
      <c r="AV320" s="190"/>
      <c r="AW320" s="166"/>
      <c r="AX320" s="208"/>
      <c r="AY320" s="170"/>
      <c r="AZ320" s="45"/>
      <c r="BA320" s="58"/>
      <c r="BB320" s="45"/>
      <c r="BC320" s="46"/>
      <c r="BD320" s="45"/>
      <c r="BE320" s="46"/>
      <c r="BF320" s="45"/>
      <c r="BG320" s="46"/>
      <c r="BH320" s="45"/>
      <c r="BI320" s="46"/>
      <c r="BJ320" s="45"/>
      <c r="BK320" s="46"/>
    </row>
    <row r="321" spans="1:63" ht="13" x14ac:dyDescent="0.25">
      <c r="A321" s="372">
        <v>5603</v>
      </c>
      <c r="B321" s="373" t="s">
        <v>444</v>
      </c>
      <c r="C321" s="360">
        <v>1381</v>
      </c>
      <c r="D321" s="54">
        <v>921</v>
      </c>
      <c r="E321" s="367">
        <v>0.68637346791636622</v>
      </c>
      <c r="F321" s="45">
        <v>599</v>
      </c>
      <c r="G321" s="58">
        <v>311</v>
      </c>
      <c r="H321" s="45">
        <v>592</v>
      </c>
      <c r="I321" s="57">
        <v>308</v>
      </c>
      <c r="J321" s="97"/>
      <c r="K321" s="58"/>
      <c r="L321" s="45"/>
      <c r="M321" s="57"/>
      <c r="N321" s="97"/>
      <c r="O321" s="58"/>
      <c r="P321" s="165"/>
      <c r="Q321" s="166"/>
      <c r="R321" s="207"/>
      <c r="S321" s="170"/>
      <c r="T321" s="165"/>
      <c r="U321" s="166"/>
      <c r="V321" s="207"/>
      <c r="W321" s="170"/>
      <c r="X321" s="165"/>
      <c r="Y321" s="166"/>
      <c r="Z321" s="207"/>
      <c r="AA321" s="170"/>
      <c r="AB321" s="165"/>
      <c r="AC321" s="166"/>
      <c r="AD321" s="207"/>
      <c r="AE321" s="170"/>
      <c r="AF321" s="165"/>
      <c r="AG321" s="166"/>
      <c r="AH321" s="207"/>
      <c r="AI321" s="170"/>
      <c r="AJ321" s="165"/>
      <c r="AK321" s="166"/>
      <c r="AL321" s="207"/>
      <c r="AM321" s="170"/>
      <c r="AN321" s="165">
        <v>521</v>
      </c>
      <c r="AO321" s="166">
        <v>377</v>
      </c>
      <c r="AP321" s="207">
        <v>667</v>
      </c>
      <c r="AQ321" s="170">
        <v>238</v>
      </c>
      <c r="AR321" s="165">
        <v>518</v>
      </c>
      <c r="AS321" s="166">
        <v>379</v>
      </c>
      <c r="AT321" s="207"/>
      <c r="AU321" s="170"/>
      <c r="AV321" s="190"/>
      <c r="AW321" s="166"/>
      <c r="AX321" s="208"/>
      <c r="AY321" s="170"/>
      <c r="AZ321" s="45"/>
      <c r="BA321" s="58"/>
      <c r="BB321" s="45"/>
      <c r="BC321" s="46"/>
      <c r="BD321" s="45"/>
      <c r="BE321" s="46"/>
      <c r="BF321" s="45"/>
      <c r="BG321" s="46"/>
      <c r="BH321" s="45"/>
      <c r="BI321" s="46"/>
      <c r="BJ321" s="45"/>
      <c r="BK321" s="46"/>
    </row>
    <row r="322" spans="1:63" ht="13" x14ac:dyDescent="0.25">
      <c r="A322" s="372">
        <v>5604</v>
      </c>
      <c r="B322" s="373" t="s">
        <v>445</v>
      </c>
      <c r="C322" s="360">
        <v>1357</v>
      </c>
      <c r="D322" s="54">
        <v>884</v>
      </c>
      <c r="E322" s="367">
        <v>0.72180451127819545</v>
      </c>
      <c r="F322" s="45">
        <v>512</v>
      </c>
      <c r="G322" s="58">
        <v>362</v>
      </c>
      <c r="H322" s="45">
        <v>482</v>
      </c>
      <c r="I322" s="57">
        <v>383</v>
      </c>
      <c r="J322" s="97"/>
      <c r="K322" s="58"/>
      <c r="L322" s="45"/>
      <c r="M322" s="57"/>
      <c r="N322" s="97"/>
      <c r="O322" s="58"/>
      <c r="P322" s="165"/>
      <c r="Q322" s="166"/>
      <c r="R322" s="207"/>
      <c r="S322" s="170"/>
      <c r="T322" s="165"/>
      <c r="U322" s="166"/>
      <c r="V322" s="207"/>
      <c r="W322" s="170"/>
      <c r="X322" s="165"/>
      <c r="Y322" s="166"/>
      <c r="Z322" s="207"/>
      <c r="AA322" s="170"/>
      <c r="AB322" s="165"/>
      <c r="AC322" s="166"/>
      <c r="AD322" s="207"/>
      <c r="AE322" s="170"/>
      <c r="AF322" s="165"/>
      <c r="AG322" s="166"/>
      <c r="AH322" s="207"/>
      <c r="AI322" s="170"/>
      <c r="AJ322" s="165"/>
      <c r="AK322" s="166"/>
      <c r="AL322" s="207"/>
      <c r="AM322" s="170"/>
      <c r="AN322" s="165">
        <v>437</v>
      </c>
      <c r="AO322" s="166">
        <v>428</v>
      </c>
      <c r="AP322" s="207">
        <v>528</v>
      </c>
      <c r="AQ322" s="170">
        <v>337</v>
      </c>
      <c r="AR322" s="165">
        <v>395</v>
      </c>
      <c r="AS322" s="166">
        <v>468</v>
      </c>
      <c r="AT322" s="207"/>
      <c r="AU322" s="170"/>
      <c r="AV322" s="190"/>
      <c r="AW322" s="166"/>
      <c r="AX322" s="208"/>
      <c r="AY322" s="170"/>
      <c r="AZ322" s="45"/>
      <c r="BA322" s="58"/>
      <c r="BB322" s="45"/>
      <c r="BC322" s="46"/>
      <c r="BD322" s="45"/>
      <c r="BE322" s="46"/>
      <c r="BF322" s="45"/>
      <c r="BG322" s="46"/>
      <c r="BH322" s="45"/>
      <c r="BI322" s="46"/>
      <c r="BJ322" s="45"/>
      <c r="BK322" s="46"/>
    </row>
    <row r="323" spans="1:63" ht="13" x14ac:dyDescent="0.25">
      <c r="A323" s="372">
        <v>5605</v>
      </c>
      <c r="B323" s="373" t="s">
        <v>446</v>
      </c>
      <c r="C323" s="360">
        <v>1257</v>
      </c>
      <c r="D323" s="54">
        <v>768</v>
      </c>
      <c r="E323" s="367">
        <v>0.66771653543307086</v>
      </c>
      <c r="F323" s="45">
        <v>421</v>
      </c>
      <c r="G323" s="58">
        <v>340</v>
      </c>
      <c r="H323" s="45">
        <v>427</v>
      </c>
      <c r="I323" s="57">
        <v>334</v>
      </c>
      <c r="J323" s="97"/>
      <c r="K323" s="58"/>
      <c r="L323" s="45"/>
      <c r="M323" s="57"/>
      <c r="N323" s="97"/>
      <c r="O323" s="58"/>
      <c r="P323" s="165"/>
      <c r="Q323" s="166"/>
      <c r="R323" s="207"/>
      <c r="S323" s="170"/>
      <c r="T323" s="165"/>
      <c r="U323" s="166"/>
      <c r="V323" s="207"/>
      <c r="W323" s="170"/>
      <c r="X323" s="165"/>
      <c r="Y323" s="166"/>
      <c r="Z323" s="207"/>
      <c r="AA323" s="170"/>
      <c r="AB323" s="165"/>
      <c r="AC323" s="166"/>
      <c r="AD323" s="207"/>
      <c r="AE323" s="170"/>
      <c r="AF323" s="165"/>
      <c r="AG323" s="166"/>
      <c r="AH323" s="207"/>
      <c r="AI323" s="170"/>
      <c r="AJ323" s="165"/>
      <c r="AK323" s="166"/>
      <c r="AL323" s="207"/>
      <c r="AM323" s="170"/>
      <c r="AN323" s="165">
        <v>362</v>
      </c>
      <c r="AO323" s="166">
        <v>387</v>
      </c>
      <c r="AP323" s="207">
        <v>475</v>
      </c>
      <c r="AQ323" s="170">
        <v>282</v>
      </c>
      <c r="AR323" s="165">
        <v>339</v>
      </c>
      <c r="AS323" s="166">
        <v>416</v>
      </c>
      <c r="AT323" s="207"/>
      <c r="AU323" s="170"/>
      <c r="AV323" s="190"/>
      <c r="AW323" s="166"/>
      <c r="AX323" s="208"/>
      <c r="AY323" s="170"/>
      <c r="AZ323" s="45"/>
      <c r="BA323" s="58"/>
      <c r="BB323" s="45"/>
      <c r="BC323" s="46"/>
      <c r="BD323" s="45"/>
      <c r="BE323" s="46"/>
      <c r="BF323" s="45"/>
      <c r="BG323" s="46"/>
      <c r="BH323" s="45"/>
      <c r="BI323" s="46"/>
      <c r="BJ323" s="45"/>
      <c r="BK323" s="46"/>
    </row>
    <row r="324" spans="1:63" ht="13" x14ac:dyDescent="0.25">
      <c r="A324" s="372">
        <v>5606</v>
      </c>
      <c r="B324" s="373" t="s">
        <v>447</v>
      </c>
      <c r="C324" s="360">
        <v>1238</v>
      </c>
      <c r="D324" s="54">
        <v>863</v>
      </c>
      <c r="E324" s="367">
        <v>0.70695102685624012</v>
      </c>
      <c r="F324" s="45">
        <v>505</v>
      </c>
      <c r="G324" s="58">
        <v>353</v>
      </c>
      <c r="H324" s="45">
        <v>503</v>
      </c>
      <c r="I324" s="57">
        <v>341</v>
      </c>
      <c r="J324" s="97"/>
      <c r="K324" s="58"/>
      <c r="L324" s="45"/>
      <c r="M324" s="57"/>
      <c r="N324" s="97"/>
      <c r="O324" s="58"/>
      <c r="P324" s="165"/>
      <c r="Q324" s="166"/>
      <c r="R324" s="207"/>
      <c r="S324" s="170"/>
      <c r="T324" s="165"/>
      <c r="U324" s="166"/>
      <c r="V324" s="207"/>
      <c r="W324" s="170"/>
      <c r="X324" s="165"/>
      <c r="Y324" s="166"/>
      <c r="Z324" s="207"/>
      <c r="AA324" s="170"/>
      <c r="AB324" s="165"/>
      <c r="AC324" s="166"/>
      <c r="AD324" s="207"/>
      <c r="AE324" s="170"/>
      <c r="AF324" s="165"/>
      <c r="AG324" s="166"/>
      <c r="AH324" s="207"/>
      <c r="AI324" s="170"/>
      <c r="AJ324" s="165"/>
      <c r="AK324" s="166"/>
      <c r="AL324" s="207"/>
      <c r="AM324" s="170"/>
      <c r="AN324" s="165">
        <v>389</v>
      </c>
      <c r="AO324" s="166">
        <v>455</v>
      </c>
      <c r="AP324" s="207">
        <v>540</v>
      </c>
      <c r="AQ324" s="170">
        <v>308</v>
      </c>
      <c r="AR324" s="165">
        <v>397</v>
      </c>
      <c r="AS324" s="166">
        <v>452</v>
      </c>
      <c r="AT324" s="207"/>
      <c r="AU324" s="170"/>
      <c r="AV324" s="190"/>
      <c r="AW324" s="166"/>
      <c r="AX324" s="208"/>
      <c r="AY324" s="170"/>
      <c r="AZ324" s="45"/>
      <c r="BA324" s="58"/>
      <c r="BB324" s="45"/>
      <c r="BC324" s="46"/>
      <c r="BD324" s="45"/>
      <c r="BE324" s="46"/>
      <c r="BF324" s="45"/>
      <c r="BG324" s="46"/>
      <c r="BH324" s="45"/>
      <c r="BI324" s="46"/>
      <c r="BJ324" s="45"/>
      <c r="BK324" s="46"/>
    </row>
    <row r="325" spans="1:63" ht="13" x14ac:dyDescent="0.25">
      <c r="A325" s="372">
        <v>5607</v>
      </c>
      <c r="B325" s="373" t="s">
        <v>448</v>
      </c>
      <c r="C325" s="360">
        <v>1389</v>
      </c>
      <c r="D325" s="54">
        <v>842</v>
      </c>
      <c r="E325" s="367">
        <v>0.61639824304538804</v>
      </c>
      <c r="F325" s="45">
        <v>490</v>
      </c>
      <c r="G325" s="58">
        <v>336</v>
      </c>
      <c r="H325" s="45">
        <v>539</v>
      </c>
      <c r="I325" s="57">
        <v>295</v>
      </c>
      <c r="J325" s="97"/>
      <c r="K325" s="58"/>
      <c r="L325" s="45"/>
      <c r="M325" s="57"/>
      <c r="N325" s="97"/>
      <c r="O325" s="58"/>
      <c r="P325" s="165"/>
      <c r="Q325" s="166"/>
      <c r="R325" s="207"/>
      <c r="S325" s="170"/>
      <c r="T325" s="165"/>
      <c r="U325" s="166"/>
      <c r="V325" s="207"/>
      <c r="W325" s="170"/>
      <c r="X325" s="165"/>
      <c r="Y325" s="166"/>
      <c r="Z325" s="207"/>
      <c r="AA325" s="170"/>
      <c r="AB325" s="165"/>
      <c r="AC325" s="166"/>
      <c r="AD325" s="207"/>
      <c r="AE325" s="170"/>
      <c r="AF325" s="165"/>
      <c r="AG325" s="166"/>
      <c r="AH325" s="207"/>
      <c r="AI325" s="170"/>
      <c r="AJ325" s="165"/>
      <c r="AK325" s="166"/>
      <c r="AL325" s="207"/>
      <c r="AM325" s="170"/>
      <c r="AN325" s="165">
        <v>400</v>
      </c>
      <c r="AO325" s="166">
        <v>426</v>
      </c>
      <c r="AP325" s="207">
        <v>510</v>
      </c>
      <c r="AQ325" s="170">
        <v>309</v>
      </c>
      <c r="AR325" s="165">
        <v>384</v>
      </c>
      <c r="AS325" s="166">
        <v>436</v>
      </c>
      <c r="AT325" s="207"/>
      <c r="AU325" s="170"/>
      <c r="AV325" s="190"/>
      <c r="AW325" s="166"/>
      <c r="AX325" s="208"/>
      <c r="AY325" s="170"/>
      <c r="AZ325" s="45"/>
      <c r="BA325" s="58"/>
      <c r="BB325" s="45"/>
      <c r="BC325" s="46"/>
      <c r="BD325" s="45"/>
      <c r="BE325" s="46"/>
      <c r="BF325" s="45"/>
      <c r="BG325" s="46"/>
      <c r="BH325" s="45"/>
      <c r="BI325" s="46"/>
      <c r="BJ325" s="45"/>
      <c r="BK325" s="46"/>
    </row>
    <row r="326" spans="1:63" ht="13" x14ac:dyDescent="0.25">
      <c r="A326" s="372">
        <v>5608</v>
      </c>
      <c r="B326" s="373" t="s">
        <v>449</v>
      </c>
      <c r="C326" s="360">
        <v>1260</v>
      </c>
      <c r="D326" s="54">
        <v>825</v>
      </c>
      <c r="E326" s="367">
        <v>0.67149758454106279</v>
      </c>
      <c r="F326" s="45">
        <v>493</v>
      </c>
      <c r="G326" s="58">
        <v>317</v>
      </c>
      <c r="H326" s="45">
        <v>533</v>
      </c>
      <c r="I326" s="57">
        <v>277</v>
      </c>
      <c r="J326" s="97"/>
      <c r="K326" s="58"/>
      <c r="L326" s="45"/>
      <c r="M326" s="57"/>
      <c r="N326" s="97"/>
      <c r="O326" s="58"/>
      <c r="P326" s="165"/>
      <c r="Q326" s="166"/>
      <c r="R326" s="207"/>
      <c r="S326" s="170"/>
      <c r="T326" s="165"/>
      <c r="U326" s="166"/>
      <c r="V326" s="207"/>
      <c r="W326" s="170"/>
      <c r="X326" s="165"/>
      <c r="Y326" s="166"/>
      <c r="Z326" s="207"/>
      <c r="AA326" s="170"/>
      <c r="AB326" s="165"/>
      <c r="AC326" s="166"/>
      <c r="AD326" s="207"/>
      <c r="AE326" s="170"/>
      <c r="AF326" s="165"/>
      <c r="AG326" s="166"/>
      <c r="AH326" s="207"/>
      <c r="AI326" s="170"/>
      <c r="AJ326" s="165"/>
      <c r="AK326" s="166"/>
      <c r="AL326" s="207"/>
      <c r="AM326" s="170"/>
      <c r="AN326" s="165">
        <v>408</v>
      </c>
      <c r="AO326" s="166">
        <v>399</v>
      </c>
      <c r="AP326" s="207">
        <v>532</v>
      </c>
      <c r="AQ326" s="170">
        <v>280</v>
      </c>
      <c r="AR326" s="165">
        <v>408</v>
      </c>
      <c r="AS326" s="166">
        <v>397</v>
      </c>
      <c r="AT326" s="207"/>
      <c r="AU326" s="170"/>
      <c r="AV326" s="190"/>
      <c r="AW326" s="166"/>
      <c r="AX326" s="208"/>
      <c r="AY326" s="170"/>
      <c r="AZ326" s="45"/>
      <c r="BA326" s="58"/>
      <c r="BB326" s="45"/>
      <c r="BC326" s="46"/>
      <c r="BD326" s="45"/>
      <c r="BE326" s="46"/>
      <c r="BF326" s="45"/>
      <c r="BG326" s="46"/>
      <c r="BH326" s="45"/>
      <c r="BI326" s="46"/>
      <c r="BJ326" s="45"/>
      <c r="BK326" s="46"/>
    </row>
    <row r="327" spans="1:63" ht="13" x14ac:dyDescent="0.25">
      <c r="A327" s="372">
        <v>5609</v>
      </c>
      <c r="B327" s="373" t="s">
        <v>450</v>
      </c>
      <c r="C327" s="360">
        <v>1354</v>
      </c>
      <c r="D327" s="54">
        <v>949</v>
      </c>
      <c r="E327" s="367">
        <v>0.7332350773765659</v>
      </c>
      <c r="F327" s="45">
        <v>602</v>
      </c>
      <c r="G327" s="58">
        <v>339</v>
      </c>
      <c r="H327" s="45">
        <v>580</v>
      </c>
      <c r="I327" s="57">
        <v>352</v>
      </c>
      <c r="J327" s="97"/>
      <c r="K327" s="58"/>
      <c r="L327" s="45"/>
      <c r="M327" s="57"/>
      <c r="N327" s="97"/>
      <c r="O327" s="58"/>
      <c r="P327" s="165"/>
      <c r="Q327" s="166"/>
      <c r="R327" s="207"/>
      <c r="S327" s="170"/>
      <c r="T327" s="165"/>
      <c r="U327" s="166"/>
      <c r="V327" s="207"/>
      <c r="W327" s="170"/>
      <c r="X327" s="165"/>
      <c r="Y327" s="166"/>
      <c r="Z327" s="207"/>
      <c r="AA327" s="170"/>
      <c r="AB327" s="165"/>
      <c r="AC327" s="166"/>
      <c r="AD327" s="207"/>
      <c r="AE327" s="170"/>
      <c r="AF327" s="165"/>
      <c r="AG327" s="166"/>
      <c r="AH327" s="207"/>
      <c r="AI327" s="170"/>
      <c r="AJ327" s="165"/>
      <c r="AK327" s="166"/>
      <c r="AL327" s="207"/>
      <c r="AM327" s="170"/>
      <c r="AN327" s="165">
        <v>513</v>
      </c>
      <c r="AO327" s="166">
        <v>412</v>
      </c>
      <c r="AP327" s="207">
        <v>655</v>
      </c>
      <c r="AQ327" s="170">
        <v>285</v>
      </c>
      <c r="AR327" s="165">
        <v>498</v>
      </c>
      <c r="AS327" s="166">
        <v>435</v>
      </c>
      <c r="AT327" s="207"/>
      <c r="AU327" s="170"/>
      <c r="AV327" s="190"/>
      <c r="AW327" s="166"/>
      <c r="AX327" s="208"/>
      <c r="AY327" s="170"/>
      <c r="AZ327" s="45"/>
      <c r="BA327" s="58"/>
      <c r="BB327" s="45"/>
      <c r="BC327" s="46"/>
      <c r="BD327" s="45"/>
      <c r="BE327" s="46"/>
      <c r="BF327" s="45"/>
      <c r="BG327" s="46"/>
      <c r="BH327" s="45"/>
      <c r="BI327" s="46"/>
      <c r="BJ327" s="45"/>
      <c r="BK327" s="46"/>
    </row>
    <row r="328" spans="1:63" ht="13" x14ac:dyDescent="0.25">
      <c r="A328" s="372">
        <v>5610</v>
      </c>
      <c r="B328" s="373" t="s">
        <v>451</v>
      </c>
      <c r="C328" s="360">
        <v>974</v>
      </c>
      <c r="D328" s="54">
        <v>650</v>
      </c>
      <c r="E328" s="367">
        <v>0.69543147208121825</v>
      </c>
      <c r="F328" s="45">
        <v>348</v>
      </c>
      <c r="G328" s="58">
        <v>297</v>
      </c>
      <c r="H328" s="45">
        <v>354</v>
      </c>
      <c r="I328" s="57">
        <v>290</v>
      </c>
      <c r="J328" s="97"/>
      <c r="K328" s="58"/>
      <c r="L328" s="45"/>
      <c r="M328" s="57"/>
      <c r="N328" s="97"/>
      <c r="O328" s="58"/>
      <c r="P328" s="165"/>
      <c r="Q328" s="166"/>
      <c r="R328" s="207"/>
      <c r="S328" s="170"/>
      <c r="T328" s="165"/>
      <c r="U328" s="166"/>
      <c r="V328" s="207"/>
      <c r="W328" s="170"/>
      <c r="X328" s="165"/>
      <c r="Y328" s="166"/>
      <c r="Z328" s="207"/>
      <c r="AA328" s="170"/>
      <c r="AB328" s="165"/>
      <c r="AC328" s="166"/>
      <c r="AD328" s="207"/>
      <c r="AE328" s="170"/>
      <c r="AF328" s="165"/>
      <c r="AG328" s="166"/>
      <c r="AH328" s="207"/>
      <c r="AI328" s="170"/>
      <c r="AJ328" s="165"/>
      <c r="AK328" s="166"/>
      <c r="AL328" s="207"/>
      <c r="AM328" s="170"/>
      <c r="AN328" s="165">
        <v>297</v>
      </c>
      <c r="AO328" s="166">
        <v>339</v>
      </c>
      <c r="AP328" s="207">
        <v>381</v>
      </c>
      <c r="AQ328" s="170">
        <v>260</v>
      </c>
      <c r="AR328" s="165">
        <v>260</v>
      </c>
      <c r="AS328" s="166">
        <v>376</v>
      </c>
      <c r="AT328" s="207"/>
      <c r="AU328" s="170"/>
      <c r="AV328" s="190"/>
      <c r="AW328" s="166"/>
      <c r="AX328" s="208"/>
      <c r="AY328" s="170"/>
      <c r="AZ328" s="45"/>
      <c r="BA328" s="58"/>
      <c r="BB328" s="45"/>
      <c r="BC328" s="46"/>
      <c r="BD328" s="45"/>
      <c r="BE328" s="46"/>
      <c r="BF328" s="45"/>
      <c r="BG328" s="46"/>
      <c r="BH328" s="45"/>
      <c r="BI328" s="46"/>
      <c r="BJ328" s="45"/>
      <c r="BK328" s="46"/>
    </row>
    <row r="329" spans="1:63" ht="13" x14ac:dyDescent="0.25">
      <c r="A329" s="372">
        <v>5611</v>
      </c>
      <c r="B329" s="373" t="s">
        <v>452</v>
      </c>
      <c r="C329" s="360">
        <v>1499</v>
      </c>
      <c r="D329" s="54">
        <v>830</v>
      </c>
      <c r="E329" s="367">
        <v>0.60626702997275206</v>
      </c>
      <c r="F329" s="45">
        <v>520</v>
      </c>
      <c r="G329" s="58">
        <v>303</v>
      </c>
      <c r="H329" s="45">
        <v>499</v>
      </c>
      <c r="I329" s="57">
        <v>317</v>
      </c>
      <c r="J329" s="97"/>
      <c r="K329" s="58"/>
      <c r="L329" s="45"/>
      <c r="M329" s="57"/>
      <c r="N329" s="97"/>
      <c r="O329" s="58"/>
      <c r="P329" s="165"/>
      <c r="Q329" s="166"/>
      <c r="R329" s="207"/>
      <c r="S329" s="170"/>
      <c r="T329" s="165"/>
      <c r="U329" s="166"/>
      <c r="V329" s="207"/>
      <c r="W329" s="170"/>
      <c r="X329" s="165"/>
      <c r="Y329" s="166"/>
      <c r="Z329" s="207"/>
      <c r="AA329" s="170"/>
      <c r="AB329" s="165"/>
      <c r="AC329" s="166"/>
      <c r="AD329" s="207"/>
      <c r="AE329" s="170"/>
      <c r="AF329" s="165"/>
      <c r="AG329" s="166"/>
      <c r="AH329" s="207"/>
      <c r="AI329" s="170"/>
      <c r="AJ329" s="165"/>
      <c r="AK329" s="166"/>
      <c r="AL329" s="207"/>
      <c r="AM329" s="170"/>
      <c r="AN329" s="165">
        <v>439</v>
      </c>
      <c r="AO329" s="166">
        <v>367</v>
      </c>
      <c r="AP329" s="207">
        <v>560</v>
      </c>
      <c r="AQ329" s="170">
        <v>251</v>
      </c>
      <c r="AR329" s="165">
        <v>454</v>
      </c>
      <c r="AS329" s="166">
        <v>352</v>
      </c>
      <c r="AT329" s="207"/>
      <c r="AU329" s="170"/>
      <c r="AV329" s="190"/>
      <c r="AW329" s="166"/>
      <c r="AX329" s="208"/>
      <c r="AY329" s="170"/>
      <c r="AZ329" s="45"/>
      <c r="BA329" s="58"/>
      <c r="BB329" s="45"/>
      <c r="BC329" s="46"/>
      <c r="BD329" s="45"/>
      <c r="BE329" s="46"/>
      <c r="BF329" s="45"/>
      <c r="BG329" s="46"/>
      <c r="BH329" s="45"/>
      <c r="BI329" s="46"/>
      <c r="BJ329" s="45"/>
      <c r="BK329" s="46"/>
    </row>
    <row r="330" spans="1:63" ht="13" x14ac:dyDescent="0.25">
      <c r="A330" s="372">
        <v>5612</v>
      </c>
      <c r="B330" s="373" t="s">
        <v>453</v>
      </c>
      <c r="C330" s="360">
        <v>1467</v>
      </c>
      <c r="D330" s="54">
        <v>891</v>
      </c>
      <c r="E330" s="367">
        <v>0.64533696392103468</v>
      </c>
      <c r="F330" s="45">
        <v>532</v>
      </c>
      <c r="G330" s="58">
        <v>349</v>
      </c>
      <c r="H330" s="45">
        <v>551</v>
      </c>
      <c r="I330" s="57">
        <v>325</v>
      </c>
      <c r="J330" s="97"/>
      <c r="K330" s="58"/>
      <c r="L330" s="45"/>
      <c r="M330" s="57"/>
      <c r="N330" s="97"/>
      <c r="O330" s="58"/>
      <c r="P330" s="165"/>
      <c r="Q330" s="166"/>
      <c r="R330" s="207"/>
      <c r="S330" s="170"/>
      <c r="T330" s="165"/>
      <c r="U330" s="166"/>
      <c r="V330" s="207"/>
      <c r="W330" s="170"/>
      <c r="X330" s="165"/>
      <c r="Y330" s="166"/>
      <c r="Z330" s="207"/>
      <c r="AA330" s="170"/>
      <c r="AB330" s="165"/>
      <c r="AC330" s="166"/>
      <c r="AD330" s="207"/>
      <c r="AE330" s="170"/>
      <c r="AF330" s="165"/>
      <c r="AG330" s="166"/>
      <c r="AH330" s="207"/>
      <c r="AI330" s="170"/>
      <c r="AJ330" s="165"/>
      <c r="AK330" s="166"/>
      <c r="AL330" s="207"/>
      <c r="AM330" s="170"/>
      <c r="AN330" s="165">
        <v>441</v>
      </c>
      <c r="AO330" s="166">
        <v>421</v>
      </c>
      <c r="AP330" s="207">
        <v>560</v>
      </c>
      <c r="AQ330" s="170">
        <v>313</v>
      </c>
      <c r="AR330" s="165">
        <v>431</v>
      </c>
      <c r="AS330" s="166">
        <v>437</v>
      </c>
      <c r="AT330" s="207"/>
      <c r="AU330" s="170"/>
      <c r="AV330" s="190"/>
      <c r="AW330" s="166"/>
      <c r="AX330" s="208"/>
      <c r="AY330" s="170"/>
      <c r="AZ330" s="45"/>
      <c r="BA330" s="58"/>
      <c r="BB330" s="45"/>
      <c r="BC330" s="46"/>
      <c r="BD330" s="45"/>
      <c r="BE330" s="46"/>
      <c r="BF330" s="45"/>
      <c r="BG330" s="46"/>
      <c r="BH330" s="45"/>
      <c r="BI330" s="46"/>
      <c r="BJ330" s="45"/>
      <c r="BK330" s="46"/>
    </row>
    <row r="331" spans="1:63" ht="13" x14ac:dyDescent="0.25">
      <c r="A331" s="372">
        <v>5613</v>
      </c>
      <c r="B331" s="373" t="s">
        <v>454</v>
      </c>
      <c r="C331" s="360">
        <v>777</v>
      </c>
      <c r="D331" s="54">
        <v>486</v>
      </c>
      <c r="E331" s="367">
        <v>0.6692913385826772</v>
      </c>
      <c r="F331" s="45">
        <v>288</v>
      </c>
      <c r="G331" s="58">
        <v>191</v>
      </c>
      <c r="H331" s="45">
        <v>267</v>
      </c>
      <c r="I331" s="57">
        <v>210</v>
      </c>
      <c r="J331" s="97"/>
      <c r="K331" s="58"/>
      <c r="L331" s="45"/>
      <c r="M331" s="57"/>
      <c r="N331" s="97"/>
      <c r="O331" s="58"/>
      <c r="P331" s="165"/>
      <c r="Q331" s="166"/>
      <c r="R331" s="207"/>
      <c r="S331" s="170"/>
      <c r="T331" s="165"/>
      <c r="U331" s="166"/>
      <c r="V331" s="207"/>
      <c r="W331" s="170"/>
      <c r="X331" s="165"/>
      <c r="Y331" s="166"/>
      <c r="Z331" s="207"/>
      <c r="AA331" s="170"/>
      <c r="AB331" s="165"/>
      <c r="AC331" s="166"/>
      <c r="AD331" s="207"/>
      <c r="AE331" s="170"/>
      <c r="AF331" s="165"/>
      <c r="AG331" s="166"/>
      <c r="AH331" s="207"/>
      <c r="AI331" s="170"/>
      <c r="AJ331" s="165"/>
      <c r="AK331" s="166"/>
      <c r="AL331" s="207"/>
      <c r="AM331" s="170"/>
      <c r="AN331" s="165">
        <v>239</v>
      </c>
      <c r="AO331" s="166">
        <v>243</v>
      </c>
      <c r="AP331" s="207">
        <v>304</v>
      </c>
      <c r="AQ331" s="170">
        <v>180</v>
      </c>
      <c r="AR331" s="165">
        <v>225</v>
      </c>
      <c r="AS331" s="166">
        <v>257</v>
      </c>
      <c r="AT331" s="207"/>
      <c r="AU331" s="170"/>
      <c r="AV331" s="190"/>
      <c r="AW331" s="166"/>
      <c r="AX331" s="208"/>
      <c r="AY331" s="170"/>
      <c r="AZ331" s="45"/>
      <c r="BA331" s="58"/>
      <c r="BB331" s="45"/>
      <c r="BC331" s="46"/>
      <c r="BD331" s="45"/>
      <c r="BE331" s="46"/>
      <c r="BF331" s="45"/>
      <c r="BG331" s="46"/>
      <c r="BH331" s="45"/>
      <c r="BI331" s="46"/>
      <c r="BJ331" s="45"/>
      <c r="BK331" s="46"/>
    </row>
    <row r="332" spans="1:63" ht="13" x14ac:dyDescent="0.25">
      <c r="A332" s="372">
        <v>5614</v>
      </c>
      <c r="B332" s="373" t="s">
        <v>455</v>
      </c>
      <c r="C332" s="360">
        <v>1236</v>
      </c>
      <c r="D332" s="54">
        <v>847</v>
      </c>
      <c r="E332" s="367">
        <v>0.65728077232502014</v>
      </c>
      <c r="F332" s="45">
        <v>541</v>
      </c>
      <c r="G332" s="58">
        <v>299</v>
      </c>
      <c r="H332" s="45">
        <v>557</v>
      </c>
      <c r="I332" s="57">
        <v>277</v>
      </c>
      <c r="J332" s="97"/>
      <c r="K332" s="58"/>
      <c r="L332" s="45"/>
      <c r="M332" s="57"/>
      <c r="N332" s="97"/>
      <c r="O332" s="58"/>
      <c r="P332" s="165"/>
      <c r="Q332" s="166"/>
      <c r="R332" s="207"/>
      <c r="S332" s="170"/>
      <c r="T332" s="165"/>
      <c r="U332" s="166"/>
      <c r="V332" s="207"/>
      <c r="W332" s="170"/>
      <c r="X332" s="165"/>
      <c r="Y332" s="166"/>
      <c r="Z332" s="207"/>
      <c r="AA332" s="170"/>
      <c r="AB332" s="165"/>
      <c r="AC332" s="166"/>
      <c r="AD332" s="207"/>
      <c r="AE332" s="170"/>
      <c r="AF332" s="165"/>
      <c r="AG332" s="166"/>
      <c r="AH332" s="207"/>
      <c r="AI332" s="170"/>
      <c r="AJ332" s="165"/>
      <c r="AK332" s="166"/>
      <c r="AL332" s="207"/>
      <c r="AM332" s="170"/>
      <c r="AN332" s="165">
        <v>470</v>
      </c>
      <c r="AO332" s="166">
        <v>348</v>
      </c>
      <c r="AP332" s="207">
        <v>571</v>
      </c>
      <c r="AQ332" s="170">
        <v>262</v>
      </c>
      <c r="AR332" s="165">
        <v>487</v>
      </c>
      <c r="AS332" s="166">
        <v>337</v>
      </c>
      <c r="AT332" s="207"/>
      <c r="AU332" s="170"/>
      <c r="AV332" s="190"/>
      <c r="AW332" s="166"/>
      <c r="AX332" s="208"/>
      <c r="AY332" s="170"/>
      <c r="AZ332" s="45"/>
      <c r="BA332" s="58"/>
      <c r="BB332" s="45"/>
      <c r="BC332" s="46"/>
      <c r="BD332" s="45"/>
      <c r="BE332" s="46"/>
      <c r="BF332" s="45"/>
      <c r="BG332" s="46"/>
      <c r="BH332" s="45"/>
      <c r="BI332" s="46"/>
      <c r="BJ332" s="45"/>
      <c r="BK332" s="46"/>
    </row>
    <row r="333" spans="1:63" ht="13" x14ac:dyDescent="0.25">
      <c r="A333" s="372">
        <v>5615</v>
      </c>
      <c r="B333" s="373" t="s">
        <v>456</v>
      </c>
      <c r="C333" s="360">
        <v>1334</v>
      </c>
      <c r="D333" s="54">
        <v>800</v>
      </c>
      <c r="E333" s="367">
        <v>0.61106899166034878</v>
      </c>
      <c r="F333" s="45">
        <v>483</v>
      </c>
      <c r="G333" s="58">
        <v>308</v>
      </c>
      <c r="H333" s="45">
        <v>510</v>
      </c>
      <c r="I333" s="57">
        <v>279</v>
      </c>
      <c r="J333" s="97"/>
      <c r="K333" s="58"/>
      <c r="L333" s="45"/>
      <c r="M333" s="57"/>
      <c r="N333" s="97"/>
      <c r="O333" s="58"/>
      <c r="P333" s="165"/>
      <c r="Q333" s="166"/>
      <c r="R333" s="207"/>
      <c r="S333" s="170"/>
      <c r="T333" s="165"/>
      <c r="U333" s="166"/>
      <c r="V333" s="207"/>
      <c r="W333" s="170"/>
      <c r="X333" s="165"/>
      <c r="Y333" s="166"/>
      <c r="Z333" s="207"/>
      <c r="AA333" s="170"/>
      <c r="AB333" s="165"/>
      <c r="AC333" s="166"/>
      <c r="AD333" s="207"/>
      <c r="AE333" s="170"/>
      <c r="AF333" s="165"/>
      <c r="AG333" s="166"/>
      <c r="AH333" s="207"/>
      <c r="AI333" s="170"/>
      <c r="AJ333" s="165"/>
      <c r="AK333" s="166"/>
      <c r="AL333" s="207"/>
      <c r="AM333" s="170"/>
      <c r="AN333" s="165">
        <v>406</v>
      </c>
      <c r="AO333" s="166">
        <v>372</v>
      </c>
      <c r="AP333" s="207">
        <v>506</v>
      </c>
      <c r="AQ333" s="170">
        <v>281</v>
      </c>
      <c r="AR333" s="165">
        <v>407</v>
      </c>
      <c r="AS333" s="166">
        <v>373</v>
      </c>
      <c r="AT333" s="207"/>
      <c r="AU333" s="170"/>
      <c r="AV333" s="190"/>
      <c r="AW333" s="166"/>
      <c r="AX333" s="208"/>
      <c r="AY333" s="170"/>
      <c r="AZ333" s="45"/>
      <c r="BA333" s="58"/>
      <c r="BB333" s="45"/>
      <c r="BC333" s="46"/>
      <c r="BD333" s="45"/>
      <c r="BE333" s="46"/>
      <c r="BF333" s="45"/>
      <c r="BG333" s="46"/>
      <c r="BH333" s="45"/>
      <c r="BI333" s="46"/>
      <c r="BJ333" s="45"/>
      <c r="BK333" s="46"/>
    </row>
    <row r="334" spans="1:63" ht="13" x14ac:dyDescent="0.25">
      <c r="A334" s="372">
        <v>5616</v>
      </c>
      <c r="B334" s="373" t="s">
        <v>457</v>
      </c>
      <c r="C334" s="360">
        <v>544</v>
      </c>
      <c r="D334" s="54">
        <v>381</v>
      </c>
      <c r="E334" s="367">
        <v>0.69189189189189193</v>
      </c>
      <c r="F334" s="45">
        <v>219</v>
      </c>
      <c r="G334" s="58">
        <v>158</v>
      </c>
      <c r="H334" s="45">
        <v>234</v>
      </c>
      <c r="I334" s="57">
        <v>143</v>
      </c>
      <c r="J334" s="97"/>
      <c r="K334" s="58"/>
      <c r="L334" s="45"/>
      <c r="M334" s="57"/>
      <c r="N334" s="97"/>
      <c r="O334" s="58"/>
      <c r="P334" s="165"/>
      <c r="Q334" s="166"/>
      <c r="R334" s="207"/>
      <c r="S334" s="170"/>
      <c r="T334" s="165"/>
      <c r="U334" s="166"/>
      <c r="V334" s="207"/>
      <c r="W334" s="170"/>
      <c r="X334" s="165"/>
      <c r="Y334" s="166"/>
      <c r="Z334" s="207"/>
      <c r="AA334" s="170"/>
      <c r="AB334" s="165"/>
      <c r="AC334" s="166"/>
      <c r="AD334" s="207"/>
      <c r="AE334" s="170"/>
      <c r="AF334" s="165"/>
      <c r="AG334" s="166"/>
      <c r="AH334" s="207"/>
      <c r="AI334" s="170"/>
      <c r="AJ334" s="165"/>
      <c r="AK334" s="166"/>
      <c r="AL334" s="207"/>
      <c r="AM334" s="170"/>
      <c r="AN334" s="165">
        <v>226</v>
      </c>
      <c r="AO334" s="166">
        <v>147</v>
      </c>
      <c r="AP334" s="207">
        <v>267</v>
      </c>
      <c r="AQ334" s="170">
        <v>104</v>
      </c>
      <c r="AR334" s="165">
        <v>210</v>
      </c>
      <c r="AS334" s="166">
        <v>163</v>
      </c>
      <c r="AT334" s="207"/>
      <c r="AU334" s="170"/>
      <c r="AV334" s="190"/>
      <c r="AW334" s="166"/>
      <c r="AX334" s="208"/>
      <c r="AY334" s="170"/>
      <c r="AZ334" s="45"/>
      <c r="BA334" s="58"/>
      <c r="BB334" s="45"/>
      <c r="BC334" s="46"/>
      <c r="BD334" s="45"/>
      <c r="BE334" s="46"/>
      <c r="BF334" s="45"/>
      <c r="BG334" s="46"/>
      <c r="BH334" s="45"/>
      <c r="BI334" s="46"/>
      <c r="BJ334" s="45"/>
      <c r="BK334" s="46"/>
    </row>
    <row r="335" spans="1:63" ht="13" x14ac:dyDescent="0.25">
      <c r="A335" s="372">
        <v>5617</v>
      </c>
      <c r="B335" s="373" t="s">
        <v>458</v>
      </c>
      <c r="C335" s="360">
        <v>1285</v>
      </c>
      <c r="D335" s="54">
        <v>866</v>
      </c>
      <c r="E335" s="367">
        <v>0.66640926640926645</v>
      </c>
      <c r="F335" s="45">
        <v>509</v>
      </c>
      <c r="G335" s="58">
        <v>347</v>
      </c>
      <c r="H335" s="45">
        <v>523</v>
      </c>
      <c r="I335" s="57">
        <v>322</v>
      </c>
      <c r="J335" s="97"/>
      <c r="K335" s="58"/>
      <c r="L335" s="45"/>
      <c r="M335" s="57"/>
      <c r="N335" s="97"/>
      <c r="O335" s="58"/>
      <c r="P335" s="165"/>
      <c r="Q335" s="166"/>
      <c r="R335" s="207"/>
      <c r="S335" s="170"/>
      <c r="T335" s="165"/>
      <c r="U335" s="166"/>
      <c r="V335" s="207"/>
      <c r="W335" s="170"/>
      <c r="X335" s="165"/>
      <c r="Y335" s="166"/>
      <c r="Z335" s="207"/>
      <c r="AA335" s="170"/>
      <c r="AB335" s="165"/>
      <c r="AC335" s="166"/>
      <c r="AD335" s="207"/>
      <c r="AE335" s="170"/>
      <c r="AF335" s="165"/>
      <c r="AG335" s="166"/>
      <c r="AH335" s="207"/>
      <c r="AI335" s="170"/>
      <c r="AJ335" s="165"/>
      <c r="AK335" s="166"/>
      <c r="AL335" s="207"/>
      <c r="AM335" s="170"/>
      <c r="AN335" s="165">
        <v>425</v>
      </c>
      <c r="AO335" s="166">
        <v>415</v>
      </c>
      <c r="AP335" s="207">
        <v>557</v>
      </c>
      <c r="AQ335" s="170">
        <v>296</v>
      </c>
      <c r="AR335" s="165">
        <v>423</v>
      </c>
      <c r="AS335" s="166">
        <v>421</v>
      </c>
      <c r="AT335" s="207"/>
      <c r="AU335" s="170"/>
      <c r="AV335" s="190"/>
      <c r="AW335" s="166"/>
      <c r="AX335" s="208"/>
      <c r="AY335" s="170"/>
      <c r="AZ335" s="45"/>
      <c r="BA335" s="58"/>
      <c r="BB335" s="45"/>
      <c r="BC335" s="46"/>
      <c r="BD335" s="45"/>
      <c r="BE335" s="46"/>
      <c r="BF335" s="45"/>
      <c r="BG335" s="46"/>
      <c r="BH335" s="45"/>
      <c r="BI335" s="46"/>
      <c r="BJ335" s="45"/>
      <c r="BK335" s="46"/>
    </row>
    <row r="336" spans="1:63" ht="13" x14ac:dyDescent="0.25">
      <c r="A336" s="372">
        <v>5618</v>
      </c>
      <c r="B336" s="373" t="s">
        <v>459</v>
      </c>
      <c r="C336" s="360">
        <v>1186</v>
      </c>
      <c r="D336" s="54">
        <v>808</v>
      </c>
      <c r="E336" s="367">
        <v>0.72098976109215018</v>
      </c>
      <c r="F336" s="45">
        <v>485</v>
      </c>
      <c r="G336" s="58">
        <v>317</v>
      </c>
      <c r="H336" s="45">
        <v>450</v>
      </c>
      <c r="I336" s="57">
        <v>340</v>
      </c>
      <c r="J336" s="97"/>
      <c r="K336" s="58"/>
      <c r="L336" s="45"/>
      <c r="M336" s="57"/>
      <c r="N336" s="97"/>
      <c r="O336" s="58"/>
      <c r="P336" s="165"/>
      <c r="Q336" s="166"/>
      <c r="R336" s="207"/>
      <c r="S336" s="170"/>
      <c r="T336" s="165"/>
      <c r="U336" s="166"/>
      <c r="V336" s="207"/>
      <c r="W336" s="170"/>
      <c r="X336" s="165"/>
      <c r="Y336" s="166"/>
      <c r="Z336" s="207"/>
      <c r="AA336" s="170"/>
      <c r="AB336" s="165"/>
      <c r="AC336" s="166"/>
      <c r="AD336" s="207"/>
      <c r="AE336" s="170"/>
      <c r="AF336" s="165"/>
      <c r="AG336" s="166"/>
      <c r="AH336" s="207"/>
      <c r="AI336" s="170"/>
      <c r="AJ336" s="165"/>
      <c r="AK336" s="166"/>
      <c r="AL336" s="207"/>
      <c r="AM336" s="170"/>
      <c r="AN336" s="165">
        <v>429</v>
      </c>
      <c r="AO336" s="166">
        <v>355</v>
      </c>
      <c r="AP336" s="207">
        <v>532</v>
      </c>
      <c r="AQ336" s="170">
        <v>259</v>
      </c>
      <c r="AR336" s="165">
        <v>409</v>
      </c>
      <c r="AS336" s="166">
        <v>382</v>
      </c>
      <c r="AT336" s="207"/>
      <c r="AU336" s="170"/>
      <c r="AV336" s="190"/>
      <c r="AW336" s="166"/>
      <c r="AX336" s="208"/>
      <c r="AY336" s="170"/>
      <c r="AZ336" s="45"/>
      <c r="BA336" s="58"/>
      <c r="BB336" s="45"/>
      <c r="BC336" s="46"/>
      <c r="BD336" s="45"/>
      <c r="BE336" s="46"/>
      <c r="BF336" s="45"/>
      <c r="BG336" s="46"/>
      <c r="BH336" s="45"/>
      <c r="BI336" s="46"/>
      <c r="BJ336" s="45"/>
      <c r="BK336" s="46"/>
    </row>
    <row r="337" spans="1:63" ht="13" x14ac:dyDescent="0.25">
      <c r="A337" s="372">
        <v>5619</v>
      </c>
      <c r="B337" s="373" t="s">
        <v>460</v>
      </c>
      <c r="C337" s="360">
        <v>783</v>
      </c>
      <c r="D337" s="54">
        <v>514</v>
      </c>
      <c r="E337" s="367">
        <v>0.69708994708994709</v>
      </c>
      <c r="F337" s="45">
        <v>306</v>
      </c>
      <c r="G337" s="58">
        <v>202</v>
      </c>
      <c r="H337" s="45">
        <v>317</v>
      </c>
      <c r="I337" s="57">
        <v>186</v>
      </c>
      <c r="J337" s="97"/>
      <c r="K337" s="58"/>
      <c r="L337" s="45"/>
      <c r="M337" s="57"/>
      <c r="N337" s="97"/>
      <c r="O337" s="58"/>
      <c r="P337" s="165"/>
      <c r="Q337" s="166"/>
      <c r="R337" s="207"/>
      <c r="S337" s="170"/>
      <c r="T337" s="165"/>
      <c r="U337" s="166"/>
      <c r="V337" s="207"/>
      <c r="W337" s="170"/>
      <c r="X337" s="165"/>
      <c r="Y337" s="166"/>
      <c r="Z337" s="207"/>
      <c r="AA337" s="170"/>
      <c r="AB337" s="165"/>
      <c r="AC337" s="166"/>
      <c r="AD337" s="207"/>
      <c r="AE337" s="170"/>
      <c r="AF337" s="165"/>
      <c r="AG337" s="166"/>
      <c r="AH337" s="207"/>
      <c r="AI337" s="170"/>
      <c r="AJ337" s="165"/>
      <c r="AK337" s="166"/>
      <c r="AL337" s="207"/>
      <c r="AM337" s="170"/>
      <c r="AN337" s="165">
        <v>262</v>
      </c>
      <c r="AO337" s="166">
        <v>239</v>
      </c>
      <c r="AP337" s="207">
        <v>335</v>
      </c>
      <c r="AQ337" s="170">
        <v>171</v>
      </c>
      <c r="AR337" s="165">
        <v>244</v>
      </c>
      <c r="AS337" s="166">
        <v>257</v>
      </c>
      <c r="AT337" s="207"/>
      <c r="AU337" s="170"/>
      <c r="AV337" s="190"/>
      <c r="AW337" s="166"/>
      <c r="AX337" s="208"/>
      <c r="AY337" s="170"/>
      <c r="AZ337" s="45"/>
      <c r="BA337" s="58"/>
      <c r="BB337" s="45"/>
      <c r="BC337" s="46"/>
      <c r="BD337" s="45"/>
      <c r="BE337" s="46"/>
      <c r="BF337" s="45"/>
      <c r="BG337" s="46"/>
      <c r="BH337" s="45"/>
      <c r="BI337" s="46"/>
      <c r="BJ337" s="45"/>
      <c r="BK337" s="46"/>
    </row>
    <row r="338" spans="1:63" ht="13" x14ac:dyDescent="0.25">
      <c r="A338" s="372">
        <v>5620</v>
      </c>
      <c r="B338" s="373" t="s">
        <v>461</v>
      </c>
      <c r="C338" s="360">
        <v>739</v>
      </c>
      <c r="D338" s="54">
        <v>504</v>
      </c>
      <c r="E338" s="367">
        <v>0.70539419087136934</v>
      </c>
      <c r="F338" s="45">
        <v>333</v>
      </c>
      <c r="G338" s="58">
        <v>165</v>
      </c>
      <c r="H338" s="45">
        <v>308</v>
      </c>
      <c r="I338" s="57">
        <v>184</v>
      </c>
      <c r="J338" s="97"/>
      <c r="K338" s="58"/>
      <c r="L338" s="45"/>
      <c r="M338" s="57"/>
      <c r="N338" s="97"/>
      <c r="O338" s="58"/>
      <c r="P338" s="165"/>
      <c r="Q338" s="166"/>
      <c r="R338" s="207"/>
      <c r="S338" s="170"/>
      <c r="T338" s="165"/>
      <c r="U338" s="166"/>
      <c r="V338" s="207"/>
      <c r="W338" s="170"/>
      <c r="X338" s="165"/>
      <c r="Y338" s="166"/>
      <c r="Z338" s="207"/>
      <c r="AA338" s="170"/>
      <c r="AB338" s="165"/>
      <c r="AC338" s="166"/>
      <c r="AD338" s="207"/>
      <c r="AE338" s="170"/>
      <c r="AF338" s="165"/>
      <c r="AG338" s="166"/>
      <c r="AH338" s="207"/>
      <c r="AI338" s="170"/>
      <c r="AJ338" s="165"/>
      <c r="AK338" s="166"/>
      <c r="AL338" s="207"/>
      <c r="AM338" s="170"/>
      <c r="AN338" s="165">
        <v>248</v>
      </c>
      <c r="AO338" s="166">
        <v>239</v>
      </c>
      <c r="AP338" s="207">
        <v>318</v>
      </c>
      <c r="AQ338" s="170">
        <v>170</v>
      </c>
      <c r="AR338" s="165">
        <v>251</v>
      </c>
      <c r="AS338" s="166">
        <v>236</v>
      </c>
      <c r="AT338" s="207"/>
      <c r="AU338" s="170"/>
      <c r="AV338" s="190"/>
      <c r="AW338" s="166"/>
      <c r="AX338" s="208"/>
      <c r="AY338" s="170"/>
      <c r="AZ338" s="45"/>
      <c r="BA338" s="58"/>
      <c r="BB338" s="45"/>
      <c r="BC338" s="46"/>
      <c r="BD338" s="45"/>
      <c r="BE338" s="46"/>
      <c r="BF338" s="45"/>
      <c r="BG338" s="46"/>
      <c r="BH338" s="45"/>
      <c r="BI338" s="46"/>
      <c r="BJ338" s="45"/>
      <c r="BK338" s="46"/>
    </row>
    <row r="339" spans="1:63" ht="13" x14ac:dyDescent="0.25">
      <c r="A339" s="372">
        <v>5621</v>
      </c>
      <c r="B339" s="373" t="s">
        <v>462</v>
      </c>
      <c r="C339" s="360">
        <v>1081</v>
      </c>
      <c r="D339" s="54">
        <v>735</v>
      </c>
      <c r="E339" s="367">
        <v>0.66850828729281764</v>
      </c>
      <c r="F339" s="45">
        <v>455</v>
      </c>
      <c r="G339" s="58">
        <v>274</v>
      </c>
      <c r="H339" s="45">
        <v>452</v>
      </c>
      <c r="I339" s="57">
        <v>266</v>
      </c>
      <c r="J339" s="97"/>
      <c r="K339" s="58"/>
      <c r="L339" s="45"/>
      <c r="M339" s="57"/>
      <c r="N339" s="97"/>
      <c r="O339" s="58"/>
      <c r="P339" s="165"/>
      <c r="Q339" s="166"/>
      <c r="R339" s="207"/>
      <c r="S339" s="170"/>
      <c r="T339" s="165"/>
      <c r="U339" s="166"/>
      <c r="V339" s="207"/>
      <c r="W339" s="170"/>
      <c r="X339" s="165"/>
      <c r="Y339" s="166"/>
      <c r="Z339" s="207"/>
      <c r="AA339" s="170"/>
      <c r="AB339" s="165"/>
      <c r="AC339" s="166"/>
      <c r="AD339" s="207"/>
      <c r="AE339" s="170"/>
      <c r="AF339" s="165"/>
      <c r="AG339" s="166"/>
      <c r="AH339" s="207"/>
      <c r="AI339" s="170"/>
      <c r="AJ339" s="165"/>
      <c r="AK339" s="166"/>
      <c r="AL339" s="207"/>
      <c r="AM339" s="170"/>
      <c r="AN339" s="165">
        <v>387</v>
      </c>
      <c r="AO339" s="166">
        <v>332</v>
      </c>
      <c r="AP339" s="207">
        <v>476</v>
      </c>
      <c r="AQ339" s="170">
        <v>242</v>
      </c>
      <c r="AR339" s="165">
        <v>375</v>
      </c>
      <c r="AS339" s="166">
        <v>335</v>
      </c>
      <c r="AT339" s="207"/>
      <c r="AU339" s="170"/>
      <c r="AV339" s="190"/>
      <c r="AW339" s="166"/>
      <c r="AX339" s="208"/>
      <c r="AY339" s="170"/>
      <c r="AZ339" s="45"/>
      <c r="BA339" s="58"/>
      <c r="BB339" s="45"/>
      <c r="BC339" s="46"/>
      <c r="BD339" s="45"/>
      <c r="BE339" s="46"/>
      <c r="BF339" s="45"/>
      <c r="BG339" s="46"/>
      <c r="BH339" s="45"/>
      <c r="BI339" s="46"/>
      <c r="BJ339" s="45"/>
      <c r="BK339" s="46"/>
    </row>
    <row r="340" spans="1:63" ht="13" x14ac:dyDescent="0.25">
      <c r="A340" s="372">
        <v>5622</v>
      </c>
      <c r="B340" s="373" t="s">
        <v>463</v>
      </c>
      <c r="C340" s="360">
        <v>640</v>
      </c>
      <c r="D340" s="54">
        <v>414</v>
      </c>
      <c r="E340" s="367">
        <v>0.66085578446909665</v>
      </c>
      <c r="F340" s="45">
        <v>253</v>
      </c>
      <c r="G340" s="58">
        <v>155</v>
      </c>
      <c r="H340" s="45">
        <v>249</v>
      </c>
      <c r="I340" s="57">
        <v>160</v>
      </c>
      <c r="J340" s="97"/>
      <c r="K340" s="58"/>
      <c r="L340" s="45"/>
      <c r="M340" s="57"/>
      <c r="N340" s="97"/>
      <c r="O340" s="58"/>
      <c r="P340" s="165"/>
      <c r="Q340" s="166"/>
      <c r="R340" s="207"/>
      <c r="S340" s="170"/>
      <c r="T340" s="165"/>
      <c r="U340" s="166"/>
      <c r="V340" s="207"/>
      <c r="W340" s="170"/>
      <c r="X340" s="165"/>
      <c r="Y340" s="166"/>
      <c r="Z340" s="207"/>
      <c r="AA340" s="170"/>
      <c r="AB340" s="165"/>
      <c r="AC340" s="166"/>
      <c r="AD340" s="207"/>
      <c r="AE340" s="170"/>
      <c r="AF340" s="165"/>
      <c r="AG340" s="166"/>
      <c r="AH340" s="207"/>
      <c r="AI340" s="170"/>
      <c r="AJ340" s="165"/>
      <c r="AK340" s="166"/>
      <c r="AL340" s="207"/>
      <c r="AM340" s="170"/>
      <c r="AN340" s="165">
        <v>192</v>
      </c>
      <c r="AO340" s="166">
        <v>213</v>
      </c>
      <c r="AP340" s="207">
        <v>264</v>
      </c>
      <c r="AQ340" s="170">
        <v>144</v>
      </c>
      <c r="AR340" s="165">
        <v>210</v>
      </c>
      <c r="AS340" s="166">
        <v>195</v>
      </c>
      <c r="AT340" s="207"/>
      <c r="AU340" s="170"/>
      <c r="AV340" s="190"/>
      <c r="AW340" s="166"/>
      <c r="AX340" s="208"/>
      <c r="AY340" s="170"/>
      <c r="AZ340" s="45"/>
      <c r="BA340" s="58"/>
      <c r="BB340" s="45"/>
      <c r="BC340" s="46"/>
      <c r="BD340" s="45"/>
      <c r="BE340" s="46"/>
      <c r="BF340" s="45"/>
      <c r="BG340" s="46"/>
      <c r="BH340" s="45"/>
      <c r="BI340" s="46"/>
      <c r="BJ340" s="45"/>
      <c r="BK340" s="46"/>
    </row>
    <row r="341" spans="1:63" ht="13" x14ac:dyDescent="0.25">
      <c r="A341" s="372">
        <v>5623</v>
      </c>
      <c r="B341" s="373" t="s">
        <v>464</v>
      </c>
      <c r="C341" s="360">
        <v>868</v>
      </c>
      <c r="D341" s="54">
        <v>547</v>
      </c>
      <c r="E341" s="367">
        <v>0.67049368541905852</v>
      </c>
      <c r="F341" s="45">
        <v>350</v>
      </c>
      <c r="G341" s="58">
        <v>189</v>
      </c>
      <c r="H341" s="45">
        <v>353</v>
      </c>
      <c r="I341" s="57">
        <v>184</v>
      </c>
      <c r="J341" s="97"/>
      <c r="K341" s="58"/>
      <c r="L341" s="45"/>
      <c r="M341" s="57"/>
      <c r="N341" s="97"/>
      <c r="O341" s="58"/>
      <c r="P341" s="165"/>
      <c r="Q341" s="166"/>
      <c r="R341" s="207"/>
      <c r="S341" s="170"/>
      <c r="T341" s="165"/>
      <c r="U341" s="166"/>
      <c r="V341" s="207"/>
      <c r="W341" s="170"/>
      <c r="X341" s="165"/>
      <c r="Y341" s="166"/>
      <c r="Z341" s="207"/>
      <c r="AA341" s="170"/>
      <c r="AB341" s="165"/>
      <c r="AC341" s="166"/>
      <c r="AD341" s="207"/>
      <c r="AE341" s="170"/>
      <c r="AF341" s="165"/>
      <c r="AG341" s="166"/>
      <c r="AH341" s="207"/>
      <c r="AI341" s="170"/>
      <c r="AJ341" s="165"/>
      <c r="AK341" s="166"/>
      <c r="AL341" s="207"/>
      <c r="AM341" s="170"/>
      <c r="AN341" s="165">
        <v>307</v>
      </c>
      <c r="AO341" s="166">
        <v>233</v>
      </c>
      <c r="AP341" s="207">
        <v>397</v>
      </c>
      <c r="AQ341" s="170">
        <v>147</v>
      </c>
      <c r="AR341" s="165">
        <v>302</v>
      </c>
      <c r="AS341" s="166">
        <v>240</v>
      </c>
      <c r="AT341" s="207"/>
      <c r="AU341" s="170"/>
      <c r="AV341" s="190"/>
      <c r="AW341" s="166"/>
      <c r="AX341" s="208"/>
      <c r="AY341" s="170"/>
      <c r="AZ341" s="45"/>
      <c r="BA341" s="58"/>
      <c r="BB341" s="45"/>
      <c r="BC341" s="46"/>
      <c r="BD341" s="45"/>
      <c r="BE341" s="46"/>
      <c r="BF341" s="45"/>
      <c r="BG341" s="46"/>
      <c r="BH341" s="45"/>
      <c r="BI341" s="46"/>
      <c r="BJ341" s="45"/>
      <c r="BK341" s="46"/>
    </row>
    <row r="342" spans="1:63" ht="13" x14ac:dyDescent="0.25">
      <c r="A342" s="372">
        <v>5624</v>
      </c>
      <c r="B342" s="373" t="s">
        <v>465</v>
      </c>
      <c r="C342" s="360">
        <v>754</v>
      </c>
      <c r="D342" s="54">
        <v>479</v>
      </c>
      <c r="E342" s="367">
        <v>0.62312925170068023</v>
      </c>
      <c r="F342" s="45">
        <v>291</v>
      </c>
      <c r="G342" s="58">
        <v>186</v>
      </c>
      <c r="H342" s="45">
        <v>319</v>
      </c>
      <c r="I342" s="57">
        <v>153</v>
      </c>
      <c r="J342" s="97"/>
      <c r="K342" s="58"/>
      <c r="L342" s="45"/>
      <c r="M342" s="57"/>
      <c r="N342" s="97"/>
      <c r="O342" s="58"/>
      <c r="P342" s="165"/>
      <c r="Q342" s="166"/>
      <c r="R342" s="207"/>
      <c r="S342" s="170"/>
      <c r="T342" s="165"/>
      <c r="U342" s="166"/>
      <c r="V342" s="207"/>
      <c r="W342" s="170"/>
      <c r="X342" s="165"/>
      <c r="Y342" s="166"/>
      <c r="Z342" s="207"/>
      <c r="AA342" s="170"/>
      <c r="AB342" s="165"/>
      <c r="AC342" s="166"/>
      <c r="AD342" s="207"/>
      <c r="AE342" s="170"/>
      <c r="AF342" s="165"/>
      <c r="AG342" s="166"/>
      <c r="AH342" s="207"/>
      <c r="AI342" s="170"/>
      <c r="AJ342" s="165"/>
      <c r="AK342" s="166"/>
      <c r="AL342" s="207"/>
      <c r="AM342" s="170"/>
      <c r="AN342" s="165">
        <v>223</v>
      </c>
      <c r="AO342" s="166">
        <v>242</v>
      </c>
      <c r="AP342" s="207">
        <v>311</v>
      </c>
      <c r="AQ342" s="170">
        <v>158</v>
      </c>
      <c r="AR342" s="165">
        <v>215</v>
      </c>
      <c r="AS342" s="166">
        <v>256</v>
      </c>
      <c r="AT342" s="207"/>
      <c r="AU342" s="170"/>
      <c r="AV342" s="190"/>
      <c r="AW342" s="166"/>
      <c r="AX342" s="208"/>
      <c r="AY342" s="170"/>
      <c r="AZ342" s="45"/>
      <c r="BA342" s="58"/>
      <c r="BB342" s="45"/>
      <c r="BC342" s="46"/>
      <c r="BD342" s="45"/>
      <c r="BE342" s="46"/>
      <c r="BF342" s="45"/>
      <c r="BG342" s="46"/>
      <c r="BH342" s="45"/>
      <c r="BI342" s="46"/>
      <c r="BJ342" s="45"/>
      <c r="BK342" s="46"/>
    </row>
    <row r="343" spans="1:63" ht="13" x14ac:dyDescent="0.25">
      <c r="A343" s="372">
        <v>5625</v>
      </c>
      <c r="B343" s="373" t="s">
        <v>466</v>
      </c>
      <c r="C343" s="360">
        <v>695</v>
      </c>
      <c r="D343" s="54">
        <v>372</v>
      </c>
      <c r="E343" s="367">
        <v>0.62105263157894741</v>
      </c>
      <c r="F343" s="45">
        <v>202</v>
      </c>
      <c r="G343" s="58">
        <v>164</v>
      </c>
      <c r="H343" s="45">
        <v>199</v>
      </c>
      <c r="I343" s="57">
        <v>167</v>
      </c>
      <c r="J343" s="97"/>
      <c r="K343" s="58"/>
      <c r="L343" s="45"/>
      <c r="M343" s="57"/>
      <c r="N343" s="97"/>
      <c r="O343" s="58"/>
      <c r="P343" s="165"/>
      <c r="Q343" s="166"/>
      <c r="R343" s="207"/>
      <c r="S343" s="170"/>
      <c r="T343" s="165"/>
      <c r="U343" s="166"/>
      <c r="V343" s="207"/>
      <c r="W343" s="170"/>
      <c r="X343" s="165"/>
      <c r="Y343" s="166"/>
      <c r="Z343" s="207"/>
      <c r="AA343" s="170"/>
      <c r="AB343" s="165"/>
      <c r="AC343" s="166"/>
      <c r="AD343" s="207"/>
      <c r="AE343" s="170"/>
      <c r="AF343" s="165"/>
      <c r="AG343" s="166"/>
      <c r="AH343" s="207"/>
      <c r="AI343" s="170"/>
      <c r="AJ343" s="165"/>
      <c r="AK343" s="166"/>
      <c r="AL343" s="207"/>
      <c r="AM343" s="170"/>
      <c r="AN343" s="165">
        <v>158</v>
      </c>
      <c r="AO343" s="166">
        <v>195</v>
      </c>
      <c r="AP343" s="207">
        <v>194</v>
      </c>
      <c r="AQ343" s="170">
        <v>169</v>
      </c>
      <c r="AR343" s="165">
        <v>159</v>
      </c>
      <c r="AS343" s="166">
        <v>203</v>
      </c>
      <c r="AT343" s="207"/>
      <c r="AU343" s="170"/>
      <c r="AV343" s="190"/>
      <c r="AW343" s="166"/>
      <c r="AX343" s="208"/>
      <c r="AY343" s="170"/>
      <c r="AZ343" s="45"/>
      <c r="BA343" s="58"/>
      <c r="BB343" s="45"/>
      <c r="BC343" s="46"/>
      <c r="BD343" s="45"/>
      <c r="BE343" s="46"/>
      <c r="BF343" s="45"/>
      <c r="BG343" s="46"/>
      <c r="BH343" s="45"/>
      <c r="BI343" s="46"/>
      <c r="BJ343" s="45"/>
      <c r="BK343" s="46"/>
    </row>
    <row r="344" spans="1:63" ht="13" x14ac:dyDescent="0.25">
      <c r="A344" s="372">
        <v>5626</v>
      </c>
      <c r="B344" s="373" t="s">
        <v>467</v>
      </c>
      <c r="C344" s="360">
        <v>1074</v>
      </c>
      <c r="D344" s="54">
        <v>717</v>
      </c>
      <c r="E344" s="367">
        <v>0.68181818181818177</v>
      </c>
      <c r="F344" s="45">
        <v>436</v>
      </c>
      <c r="G344" s="58">
        <v>275</v>
      </c>
      <c r="H344" s="45">
        <v>418</v>
      </c>
      <c r="I344" s="57">
        <v>290</v>
      </c>
      <c r="J344" s="97"/>
      <c r="K344" s="58"/>
      <c r="L344" s="45"/>
      <c r="M344" s="57"/>
      <c r="N344" s="97"/>
      <c r="O344" s="58"/>
      <c r="P344" s="165"/>
      <c r="Q344" s="166"/>
      <c r="R344" s="207"/>
      <c r="S344" s="170"/>
      <c r="T344" s="165"/>
      <c r="U344" s="166"/>
      <c r="V344" s="207"/>
      <c r="W344" s="170"/>
      <c r="X344" s="165"/>
      <c r="Y344" s="166"/>
      <c r="Z344" s="207"/>
      <c r="AA344" s="170"/>
      <c r="AB344" s="165"/>
      <c r="AC344" s="166"/>
      <c r="AD344" s="207"/>
      <c r="AE344" s="170"/>
      <c r="AF344" s="165"/>
      <c r="AG344" s="166"/>
      <c r="AH344" s="207"/>
      <c r="AI344" s="170"/>
      <c r="AJ344" s="165"/>
      <c r="AK344" s="166"/>
      <c r="AL344" s="207"/>
      <c r="AM344" s="170"/>
      <c r="AN344" s="165">
        <v>384</v>
      </c>
      <c r="AO344" s="166">
        <v>315</v>
      </c>
      <c r="AP344" s="207">
        <v>488</v>
      </c>
      <c r="AQ344" s="170">
        <v>219</v>
      </c>
      <c r="AR344" s="165">
        <v>362</v>
      </c>
      <c r="AS344" s="166">
        <v>337</v>
      </c>
      <c r="AT344" s="207"/>
      <c r="AU344" s="170"/>
      <c r="AV344" s="190"/>
      <c r="AW344" s="166"/>
      <c r="AX344" s="208"/>
      <c r="AY344" s="170"/>
      <c r="AZ344" s="45"/>
      <c r="BA344" s="58"/>
      <c r="BB344" s="45"/>
      <c r="BC344" s="46"/>
      <c r="BD344" s="45"/>
      <c r="BE344" s="46"/>
      <c r="BF344" s="45"/>
      <c r="BG344" s="46"/>
      <c r="BH344" s="45"/>
      <c r="BI344" s="46"/>
      <c r="BJ344" s="45"/>
      <c r="BK344" s="46"/>
    </row>
    <row r="345" spans="1:63" ht="13" x14ac:dyDescent="0.25">
      <c r="A345" s="372">
        <v>5627</v>
      </c>
      <c r="B345" s="373" t="s">
        <v>468</v>
      </c>
      <c r="C345" s="360">
        <v>1149</v>
      </c>
      <c r="D345" s="54">
        <v>812</v>
      </c>
      <c r="E345" s="367">
        <v>0.71668137687555167</v>
      </c>
      <c r="F345" s="45">
        <v>495</v>
      </c>
      <c r="G345" s="58">
        <v>309</v>
      </c>
      <c r="H345" s="45">
        <v>493</v>
      </c>
      <c r="I345" s="57">
        <v>307</v>
      </c>
      <c r="J345" s="97"/>
      <c r="K345" s="58"/>
      <c r="L345" s="45"/>
      <c r="M345" s="57"/>
      <c r="N345" s="97"/>
      <c r="O345" s="58"/>
      <c r="P345" s="165"/>
      <c r="Q345" s="166"/>
      <c r="R345" s="207"/>
      <c r="S345" s="170"/>
      <c r="T345" s="165"/>
      <c r="U345" s="166"/>
      <c r="V345" s="207"/>
      <c r="W345" s="170"/>
      <c r="X345" s="165"/>
      <c r="Y345" s="166"/>
      <c r="Z345" s="207"/>
      <c r="AA345" s="170"/>
      <c r="AB345" s="165"/>
      <c r="AC345" s="166"/>
      <c r="AD345" s="207"/>
      <c r="AE345" s="170"/>
      <c r="AF345" s="165"/>
      <c r="AG345" s="166"/>
      <c r="AH345" s="207"/>
      <c r="AI345" s="170"/>
      <c r="AJ345" s="165"/>
      <c r="AK345" s="166"/>
      <c r="AL345" s="207"/>
      <c r="AM345" s="170"/>
      <c r="AN345" s="165">
        <v>423</v>
      </c>
      <c r="AO345" s="166">
        <v>369</v>
      </c>
      <c r="AP345" s="207">
        <v>549</v>
      </c>
      <c r="AQ345" s="170">
        <v>249</v>
      </c>
      <c r="AR345" s="165">
        <v>431</v>
      </c>
      <c r="AS345" s="166">
        <v>363</v>
      </c>
      <c r="AT345" s="207"/>
      <c r="AU345" s="170"/>
      <c r="AV345" s="190"/>
      <c r="AW345" s="166"/>
      <c r="AX345" s="208"/>
      <c r="AY345" s="170"/>
      <c r="AZ345" s="45"/>
      <c r="BA345" s="58"/>
      <c r="BB345" s="45"/>
      <c r="BC345" s="46"/>
      <c r="BD345" s="45"/>
      <c r="BE345" s="46"/>
      <c r="BF345" s="45"/>
      <c r="BG345" s="46"/>
      <c r="BH345" s="45"/>
      <c r="BI345" s="46"/>
      <c r="BJ345" s="45"/>
      <c r="BK345" s="46"/>
    </row>
    <row r="346" spans="1:63" ht="13" x14ac:dyDescent="0.25">
      <c r="A346" s="372">
        <v>5628</v>
      </c>
      <c r="B346" s="373" t="s">
        <v>469</v>
      </c>
      <c r="C346" s="360">
        <v>920</v>
      </c>
      <c r="D346" s="54">
        <v>592</v>
      </c>
      <c r="E346" s="367">
        <v>0.63815789473684215</v>
      </c>
      <c r="F346" s="45">
        <v>373</v>
      </c>
      <c r="G346" s="58">
        <v>208</v>
      </c>
      <c r="H346" s="45">
        <v>389</v>
      </c>
      <c r="I346" s="57">
        <v>195</v>
      </c>
      <c r="J346" s="97"/>
      <c r="K346" s="58"/>
      <c r="L346" s="45"/>
      <c r="M346" s="57"/>
      <c r="N346" s="97"/>
      <c r="O346" s="58"/>
      <c r="P346" s="165"/>
      <c r="Q346" s="166"/>
      <c r="R346" s="207"/>
      <c r="S346" s="170"/>
      <c r="T346" s="165"/>
      <c r="U346" s="166"/>
      <c r="V346" s="207"/>
      <c r="W346" s="170"/>
      <c r="X346" s="165"/>
      <c r="Y346" s="166"/>
      <c r="Z346" s="207"/>
      <c r="AA346" s="170"/>
      <c r="AB346" s="165"/>
      <c r="AC346" s="166"/>
      <c r="AD346" s="207"/>
      <c r="AE346" s="170"/>
      <c r="AF346" s="165"/>
      <c r="AG346" s="166"/>
      <c r="AH346" s="207"/>
      <c r="AI346" s="170"/>
      <c r="AJ346" s="165"/>
      <c r="AK346" s="166"/>
      <c r="AL346" s="207"/>
      <c r="AM346" s="170"/>
      <c r="AN346" s="165">
        <v>299</v>
      </c>
      <c r="AO346" s="166">
        <v>278</v>
      </c>
      <c r="AP346" s="207">
        <v>390</v>
      </c>
      <c r="AQ346" s="170">
        <v>191</v>
      </c>
      <c r="AR346" s="165">
        <v>288</v>
      </c>
      <c r="AS346" s="166">
        <v>290</v>
      </c>
      <c r="AT346" s="207"/>
      <c r="AU346" s="170"/>
      <c r="AV346" s="190"/>
      <c r="AW346" s="166"/>
      <c r="AX346" s="208"/>
      <c r="AY346" s="170"/>
      <c r="AZ346" s="45"/>
      <c r="BA346" s="58"/>
      <c r="BB346" s="45"/>
      <c r="BC346" s="46"/>
      <c r="BD346" s="45"/>
      <c r="BE346" s="46"/>
      <c r="BF346" s="45"/>
      <c r="BG346" s="46"/>
      <c r="BH346" s="45"/>
      <c r="BI346" s="46"/>
      <c r="BJ346" s="45"/>
      <c r="BK346" s="46"/>
    </row>
    <row r="347" spans="1:63" ht="13" x14ac:dyDescent="0.25">
      <c r="A347" s="372">
        <v>5629</v>
      </c>
      <c r="B347" s="373" t="s">
        <v>470</v>
      </c>
      <c r="C347" s="360">
        <v>664</v>
      </c>
      <c r="D347" s="54">
        <v>456</v>
      </c>
      <c r="E347" s="367">
        <v>0.70420420420420415</v>
      </c>
      <c r="F347" s="45">
        <v>272</v>
      </c>
      <c r="G347" s="58">
        <v>179</v>
      </c>
      <c r="H347" s="45">
        <v>261</v>
      </c>
      <c r="I347" s="57">
        <v>191</v>
      </c>
      <c r="J347" s="97"/>
      <c r="K347" s="58"/>
      <c r="L347" s="45"/>
      <c r="M347" s="57"/>
      <c r="N347" s="97"/>
      <c r="O347" s="58"/>
      <c r="P347" s="165"/>
      <c r="Q347" s="166"/>
      <c r="R347" s="207"/>
      <c r="S347" s="170"/>
      <c r="T347" s="165"/>
      <c r="U347" s="166"/>
      <c r="V347" s="207"/>
      <c r="W347" s="170"/>
      <c r="X347" s="165"/>
      <c r="Y347" s="166"/>
      <c r="Z347" s="207"/>
      <c r="AA347" s="170"/>
      <c r="AB347" s="165"/>
      <c r="AC347" s="166"/>
      <c r="AD347" s="207"/>
      <c r="AE347" s="170"/>
      <c r="AF347" s="165"/>
      <c r="AG347" s="166"/>
      <c r="AH347" s="207"/>
      <c r="AI347" s="170"/>
      <c r="AJ347" s="165"/>
      <c r="AK347" s="166"/>
      <c r="AL347" s="207"/>
      <c r="AM347" s="170"/>
      <c r="AN347" s="165">
        <v>239</v>
      </c>
      <c r="AO347" s="166">
        <v>208</v>
      </c>
      <c r="AP347" s="207">
        <v>300</v>
      </c>
      <c r="AQ347" s="170">
        <v>149</v>
      </c>
      <c r="AR347" s="165">
        <v>243</v>
      </c>
      <c r="AS347" s="166">
        <v>204</v>
      </c>
      <c r="AT347" s="207"/>
      <c r="AU347" s="170"/>
      <c r="AV347" s="190"/>
      <c r="AW347" s="166"/>
      <c r="AX347" s="208"/>
      <c r="AY347" s="170"/>
      <c r="AZ347" s="45"/>
      <c r="BA347" s="58"/>
      <c r="BB347" s="45"/>
      <c r="BC347" s="46"/>
      <c r="BD347" s="45"/>
      <c r="BE347" s="46"/>
      <c r="BF347" s="45"/>
      <c r="BG347" s="46"/>
      <c r="BH347" s="45"/>
      <c r="BI347" s="46"/>
      <c r="BJ347" s="45"/>
      <c r="BK347" s="46"/>
    </row>
    <row r="348" spans="1:63" ht="13" x14ac:dyDescent="0.25">
      <c r="A348" s="372">
        <v>5630</v>
      </c>
      <c r="B348" s="373" t="s">
        <v>471</v>
      </c>
      <c r="C348" s="360">
        <v>1236</v>
      </c>
      <c r="D348" s="54">
        <v>810</v>
      </c>
      <c r="E348" s="367">
        <v>0.65592264302981462</v>
      </c>
      <c r="F348" s="45">
        <v>479</v>
      </c>
      <c r="G348" s="58">
        <v>319</v>
      </c>
      <c r="H348" s="45">
        <v>512</v>
      </c>
      <c r="I348" s="57">
        <v>285</v>
      </c>
      <c r="J348" s="97"/>
      <c r="K348" s="58"/>
      <c r="L348" s="45"/>
      <c r="M348" s="57"/>
      <c r="N348" s="97"/>
      <c r="O348" s="58"/>
      <c r="P348" s="165"/>
      <c r="Q348" s="166"/>
      <c r="R348" s="207"/>
      <c r="S348" s="170"/>
      <c r="T348" s="165"/>
      <c r="U348" s="166"/>
      <c r="V348" s="207"/>
      <c r="W348" s="170"/>
      <c r="X348" s="165"/>
      <c r="Y348" s="166"/>
      <c r="Z348" s="207"/>
      <c r="AA348" s="170"/>
      <c r="AB348" s="165"/>
      <c r="AC348" s="166"/>
      <c r="AD348" s="207"/>
      <c r="AE348" s="170"/>
      <c r="AF348" s="165"/>
      <c r="AG348" s="166"/>
      <c r="AH348" s="207"/>
      <c r="AI348" s="170"/>
      <c r="AJ348" s="165"/>
      <c r="AK348" s="166"/>
      <c r="AL348" s="207"/>
      <c r="AM348" s="170"/>
      <c r="AN348" s="165">
        <v>430</v>
      </c>
      <c r="AO348" s="166">
        <v>372</v>
      </c>
      <c r="AP348" s="207">
        <v>564</v>
      </c>
      <c r="AQ348" s="170">
        <v>234</v>
      </c>
      <c r="AR348" s="165">
        <v>421</v>
      </c>
      <c r="AS348" s="166">
        <v>377</v>
      </c>
      <c r="AT348" s="207"/>
      <c r="AU348" s="170"/>
      <c r="AV348" s="190"/>
      <c r="AW348" s="166"/>
      <c r="AX348" s="208"/>
      <c r="AY348" s="170"/>
      <c r="AZ348" s="45"/>
      <c r="BA348" s="58"/>
      <c r="BB348" s="45"/>
      <c r="BC348" s="46"/>
      <c r="BD348" s="45"/>
      <c r="BE348" s="46"/>
      <c r="BF348" s="45"/>
      <c r="BG348" s="46"/>
      <c r="BH348" s="45"/>
      <c r="BI348" s="46"/>
      <c r="BJ348" s="45"/>
      <c r="BK348" s="46"/>
    </row>
    <row r="349" spans="1:63" ht="13" x14ac:dyDescent="0.25">
      <c r="A349" s="372">
        <v>5631</v>
      </c>
      <c r="B349" s="373" t="s">
        <v>472</v>
      </c>
      <c r="C349" s="360">
        <v>786</v>
      </c>
      <c r="D349" s="54">
        <v>461</v>
      </c>
      <c r="E349" s="367">
        <v>0.59873417721518984</v>
      </c>
      <c r="F349" s="45">
        <v>276</v>
      </c>
      <c r="G349" s="58">
        <v>180</v>
      </c>
      <c r="H349" s="45">
        <v>281</v>
      </c>
      <c r="I349" s="57">
        <v>173</v>
      </c>
      <c r="J349" s="97"/>
      <c r="K349" s="58"/>
      <c r="L349" s="45"/>
      <c r="M349" s="57"/>
      <c r="N349" s="97"/>
      <c r="O349" s="58"/>
      <c r="P349" s="165"/>
      <c r="Q349" s="166"/>
      <c r="R349" s="207"/>
      <c r="S349" s="170"/>
      <c r="T349" s="165"/>
      <c r="U349" s="166"/>
      <c r="V349" s="207"/>
      <c r="W349" s="170"/>
      <c r="X349" s="165"/>
      <c r="Y349" s="166"/>
      <c r="Z349" s="207"/>
      <c r="AA349" s="170"/>
      <c r="AB349" s="165"/>
      <c r="AC349" s="166"/>
      <c r="AD349" s="207"/>
      <c r="AE349" s="170"/>
      <c r="AF349" s="165"/>
      <c r="AG349" s="166"/>
      <c r="AH349" s="207"/>
      <c r="AI349" s="170"/>
      <c r="AJ349" s="165"/>
      <c r="AK349" s="166"/>
      <c r="AL349" s="207"/>
      <c r="AM349" s="170"/>
      <c r="AN349" s="165">
        <v>262</v>
      </c>
      <c r="AO349" s="166">
        <v>185</v>
      </c>
      <c r="AP349" s="207">
        <v>315</v>
      </c>
      <c r="AQ349" s="170">
        <v>136</v>
      </c>
      <c r="AR349" s="165">
        <v>257</v>
      </c>
      <c r="AS349" s="166">
        <v>192</v>
      </c>
      <c r="AT349" s="207"/>
      <c r="AU349" s="170"/>
      <c r="AV349" s="190"/>
      <c r="AW349" s="166"/>
      <c r="AX349" s="208"/>
      <c r="AY349" s="170"/>
      <c r="AZ349" s="45"/>
      <c r="BA349" s="58"/>
      <c r="BB349" s="45"/>
      <c r="BC349" s="46"/>
      <c r="BD349" s="45"/>
      <c r="BE349" s="46"/>
      <c r="BF349" s="45"/>
      <c r="BG349" s="46"/>
      <c r="BH349" s="45"/>
      <c r="BI349" s="46"/>
      <c r="BJ349" s="45"/>
      <c r="BK349" s="46"/>
    </row>
    <row r="350" spans="1:63" ht="13" x14ac:dyDescent="0.25">
      <c r="A350" s="372">
        <v>5632</v>
      </c>
      <c r="B350" s="373" t="s">
        <v>473</v>
      </c>
      <c r="C350" s="360">
        <v>1275</v>
      </c>
      <c r="D350" s="54">
        <v>747</v>
      </c>
      <c r="E350" s="367">
        <v>0.62872841444270011</v>
      </c>
      <c r="F350" s="45">
        <v>475</v>
      </c>
      <c r="G350" s="58">
        <v>267</v>
      </c>
      <c r="H350" s="45">
        <v>453</v>
      </c>
      <c r="I350" s="57">
        <v>276</v>
      </c>
      <c r="J350" s="97"/>
      <c r="K350" s="58"/>
      <c r="L350" s="45"/>
      <c r="M350" s="57"/>
      <c r="N350" s="97"/>
      <c r="O350" s="58"/>
      <c r="P350" s="165"/>
      <c r="Q350" s="166"/>
      <c r="R350" s="207"/>
      <c r="S350" s="170"/>
      <c r="T350" s="165"/>
      <c r="U350" s="166"/>
      <c r="V350" s="207"/>
      <c r="W350" s="170"/>
      <c r="X350" s="165"/>
      <c r="Y350" s="166"/>
      <c r="Z350" s="207"/>
      <c r="AA350" s="170"/>
      <c r="AB350" s="165"/>
      <c r="AC350" s="166"/>
      <c r="AD350" s="207"/>
      <c r="AE350" s="170"/>
      <c r="AF350" s="165"/>
      <c r="AG350" s="166"/>
      <c r="AH350" s="207"/>
      <c r="AI350" s="170"/>
      <c r="AJ350" s="165"/>
      <c r="AK350" s="166"/>
      <c r="AL350" s="207"/>
      <c r="AM350" s="170"/>
      <c r="AN350" s="165">
        <v>368</v>
      </c>
      <c r="AO350" s="166">
        <v>351</v>
      </c>
      <c r="AP350" s="207">
        <v>493</v>
      </c>
      <c r="AQ350" s="170">
        <v>238</v>
      </c>
      <c r="AR350" s="165">
        <v>392</v>
      </c>
      <c r="AS350" s="166">
        <v>333</v>
      </c>
      <c r="AT350" s="207"/>
      <c r="AU350" s="170"/>
      <c r="AV350" s="190"/>
      <c r="AW350" s="166"/>
      <c r="AX350" s="208"/>
      <c r="AY350" s="170"/>
      <c r="AZ350" s="45"/>
      <c r="BA350" s="58"/>
      <c r="BB350" s="45"/>
      <c r="BC350" s="46"/>
      <c r="BD350" s="45"/>
      <c r="BE350" s="46"/>
      <c r="BF350" s="45"/>
      <c r="BG350" s="46"/>
      <c r="BH350" s="45"/>
      <c r="BI350" s="46"/>
      <c r="BJ350" s="45"/>
      <c r="BK350" s="46"/>
    </row>
    <row r="351" spans="1:63" ht="13" x14ac:dyDescent="0.25">
      <c r="A351" s="372">
        <v>5801</v>
      </c>
      <c r="B351" s="373" t="s">
        <v>474</v>
      </c>
      <c r="C351" s="360">
        <v>525</v>
      </c>
      <c r="D351" s="54">
        <v>211</v>
      </c>
      <c r="E351" s="367">
        <v>0.36811023622047245</v>
      </c>
      <c r="F351" s="45">
        <v>132</v>
      </c>
      <c r="G351" s="58">
        <v>75</v>
      </c>
      <c r="H351" s="45">
        <v>145</v>
      </c>
      <c r="I351" s="57">
        <v>58</v>
      </c>
      <c r="J351" s="97"/>
      <c r="K351" s="58"/>
      <c r="L351" s="45"/>
      <c r="M351" s="57"/>
      <c r="N351" s="97"/>
      <c r="O351" s="58"/>
      <c r="P351" s="165"/>
      <c r="Q351" s="166"/>
      <c r="R351" s="207"/>
      <c r="S351" s="170"/>
      <c r="T351" s="165"/>
      <c r="U351" s="166"/>
      <c r="V351" s="207"/>
      <c r="W351" s="170"/>
      <c r="X351" s="165"/>
      <c r="Y351" s="166"/>
      <c r="Z351" s="207"/>
      <c r="AA351" s="170"/>
      <c r="AB351" s="165"/>
      <c r="AC351" s="166"/>
      <c r="AD351" s="207"/>
      <c r="AE351" s="170"/>
      <c r="AF351" s="165"/>
      <c r="AG351" s="166"/>
      <c r="AH351" s="207"/>
      <c r="AI351" s="170"/>
      <c r="AJ351" s="165"/>
      <c r="AK351" s="166"/>
      <c r="AL351" s="207"/>
      <c r="AM351" s="170"/>
      <c r="AN351" s="165"/>
      <c r="AO351" s="166"/>
      <c r="AP351" s="207">
        <v>115</v>
      </c>
      <c r="AQ351" s="170">
        <v>89</v>
      </c>
      <c r="AR351" s="165">
        <v>93</v>
      </c>
      <c r="AS351" s="166">
        <v>116</v>
      </c>
      <c r="AT351" s="207"/>
      <c r="AU351" s="170"/>
      <c r="AV351" s="190"/>
      <c r="AW351" s="166"/>
      <c r="AX351" s="208"/>
      <c r="AY351" s="170"/>
      <c r="AZ351" s="45"/>
      <c r="BA351" s="58"/>
      <c r="BB351" s="45"/>
      <c r="BC351" s="46"/>
      <c r="BD351" s="45"/>
      <c r="BE351" s="46"/>
      <c r="BF351" s="45"/>
      <c r="BG351" s="46"/>
      <c r="BH351" s="45"/>
      <c r="BI351" s="46"/>
      <c r="BJ351" s="45"/>
      <c r="BK351" s="46"/>
    </row>
    <row r="352" spans="1:63" ht="13" x14ac:dyDescent="0.25">
      <c r="A352" s="372">
        <v>5901</v>
      </c>
      <c r="B352" s="373" t="s">
        <v>475</v>
      </c>
      <c r="C352" s="360">
        <v>1169</v>
      </c>
      <c r="D352" s="54">
        <v>751</v>
      </c>
      <c r="E352" s="367">
        <v>0.71126164267569858</v>
      </c>
      <c r="F352" s="45">
        <v>248</v>
      </c>
      <c r="G352" s="58">
        <v>499</v>
      </c>
      <c r="H352" s="45">
        <v>315</v>
      </c>
      <c r="I352" s="57">
        <v>420</v>
      </c>
      <c r="J352" s="97"/>
      <c r="K352" s="58"/>
      <c r="L352" s="45"/>
      <c r="M352" s="57"/>
      <c r="N352" s="97"/>
      <c r="O352" s="58"/>
      <c r="P352" s="165"/>
      <c r="Q352" s="166"/>
      <c r="R352" s="207"/>
      <c r="S352" s="170"/>
      <c r="T352" s="165"/>
      <c r="U352" s="166"/>
      <c r="V352" s="207"/>
      <c r="W352" s="170"/>
      <c r="X352" s="165"/>
      <c r="Y352" s="166"/>
      <c r="Z352" s="207"/>
      <c r="AA352" s="170"/>
      <c r="AB352" s="165"/>
      <c r="AC352" s="166"/>
      <c r="AD352" s="207"/>
      <c r="AE352" s="170"/>
      <c r="AF352" s="165">
        <v>270</v>
      </c>
      <c r="AG352" s="166">
        <v>469</v>
      </c>
      <c r="AH352" s="207"/>
      <c r="AI352" s="170"/>
      <c r="AJ352" s="165"/>
      <c r="AK352" s="166"/>
      <c r="AL352" s="207"/>
      <c r="AM352" s="170"/>
      <c r="AN352" s="165"/>
      <c r="AO352" s="166"/>
      <c r="AP352" s="207">
        <v>349</v>
      </c>
      <c r="AQ352" s="170">
        <v>396</v>
      </c>
      <c r="AR352" s="165">
        <v>223</v>
      </c>
      <c r="AS352" s="166">
        <v>515</v>
      </c>
      <c r="AT352" s="207"/>
      <c r="AU352" s="170"/>
      <c r="AV352" s="190"/>
      <c r="AW352" s="166"/>
      <c r="AX352" s="208"/>
      <c r="AY352" s="170"/>
      <c r="AZ352" s="45"/>
      <c r="BA352" s="58"/>
      <c r="BB352" s="45"/>
      <c r="BC352" s="46"/>
      <c r="BD352" s="45"/>
      <c r="BE352" s="46"/>
      <c r="BF352" s="45"/>
      <c r="BG352" s="46"/>
      <c r="BH352" s="45"/>
      <c r="BI352" s="46"/>
      <c r="BJ352" s="45"/>
      <c r="BK352" s="46"/>
    </row>
    <row r="353" spans="1:63" ht="13" x14ac:dyDescent="0.25">
      <c r="A353" s="372">
        <v>5902</v>
      </c>
      <c r="B353" s="373" t="s">
        <v>476</v>
      </c>
      <c r="C353" s="360">
        <v>1061</v>
      </c>
      <c r="D353" s="54">
        <v>479</v>
      </c>
      <c r="E353" s="367">
        <v>0.46402877697841727</v>
      </c>
      <c r="F353" s="45">
        <v>295</v>
      </c>
      <c r="G353" s="58">
        <v>183</v>
      </c>
      <c r="H353" s="45">
        <v>331</v>
      </c>
      <c r="I353" s="57">
        <v>140</v>
      </c>
      <c r="J353" s="97"/>
      <c r="K353" s="58"/>
      <c r="L353" s="45"/>
      <c r="M353" s="57"/>
      <c r="N353" s="97"/>
      <c r="O353" s="58"/>
      <c r="P353" s="165"/>
      <c r="Q353" s="166"/>
      <c r="R353" s="207"/>
      <c r="S353" s="170"/>
      <c r="T353" s="165"/>
      <c r="U353" s="166"/>
      <c r="V353" s="207"/>
      <c r="W353" s="170"/>
      <c r="X353" s="165"/>
      <c r="Y353" s="166"/>
      <c r="Z353" s="207"/>
      <c r="AA353" s="170"/>
      <c r="AB353" s="165"/>
      <c r="AC353" s="166"/>
      <c r="AD353" s="207"/>
      <c r="AE353" s="170"/>
      <c r="AF353" s="165">
        <v>191</v>
      </c>
      <c r="AG353" s="166">
        <v>272</v>
      </c>
      <c r="AH353" s="207"/>
      <c r="AI353" s="170"/>
      <c r="AJ353" s="165"/>
      <c r="AK353" s="166"/>
      <c r="AL353" s="207"/>
      <c r="AM353" s="170"/>
      <c r="AN353" s="165"/>
      <c r="AO353" s="166"/>
      <c r="AP353" s="207">
        <v>273</v>
      </c>
      <c r="AQ353" s="170">
        <v>196</v>
      </c>
      <c r="AR353" s="165">
        <v>215</v>
      </c>
      <c r="AS353" s="166">
        <v>250</v>
      </c>
      <c r="AT353" s="207"/>
      <c r="AU353" s="170"/>
      <c r="AV353" s="190"/>
      <c r="AW353" s="166"/>
      <c r="AX353" s="208"/>
      <c r="AY353" s="170"/>
      <c r="AZ353" s="45"/>
      <c r="BA353" s="58"/>
      <c r="BB353" s="45"/>
      <c r="BC353" s="46"/>
      <c r="BD353" s="45"/>
      <c r="BE353" s="46"/>
      <c r="BF353" s="45"/>
      <c r="BG353" s="46"/>
      <c r="BH353" s="45"/>
      <c r="BI353" s="46"/>
      <c r="BJ353" s="45"/>
      <c r="BK353" s="46"/>
    </row>
    <row r="354" spans="1:63" ht="13" x14ac:dyDescent="0.25">
      <c r="A354" s="372">
        <v>5903</v>
      </c>
      <c r="B354" s="373" t="s">
        <v>477</v>
      </c>
      <c r="C354" s="360">
        <v>1198</v>
      </c>
      <c r="D354" s="54">
        <v>475</v>
      </c>
      <c r="E354" s="367">
        <v>0.43760399334442596</v>
      </c>
      <c r="F354" s="45">
        <v>277</v>
      </c>
      <c r="G354" s="58">
        <v>192</v>
      </c>
      <c r="H354" s="45">
        <v>304</v>
      </c>
      <c r="I354" s="57">
        <v>166</v>
      </c>
      <c r="J354" s="97"/>
      <c r="K354" s="58"/>
      <c r="L354" s="45"/>
      <c r="M354" s="57"/>
      <c r="N354" s="97"/>
      <c r="O354" s="58"/>
      <c r="P354" s="165"/>
      <c r="Q354" s="166"/>
      <c r="R354" s="207"/>
      <c r="S354" s="170"/>
      <c r="T354" s="165"/>
      <c r="U354" s="166"/>
      <c r="V354" s="207"/>
      <c r="W354" s="170"/>
      <c r="X354" s="165"/>
      <c r="Y354" s="166"/>
      <c r="Z354" s="207"/>
      <c r="AA354" s="170"/>
      <c r="AB354" s="165"/>
      <c r="AC354" s="166"/>
      <c r="AD354" s="207"/>
      <c r="AE354" s="170"/>
      <c r="AF354" s="165">
        <v>191</v>
      </c>
      <c r="AG354" s="166">
        <v>273</v>
      </c>
      <c r="AH354" s="207"/>
      <c r="AI354" s="170"/>
      <c r="AJ354" s="165"/>
      <c r="AK354" s="166"/>
      <c r="AL354" s="207"/>
      <c r="AM354" s="170"/>
      <c r="AN354" s="165"/>
      <c r="AO354" s="166"/>
      <c r="AP354" s="207">
        <v>282</v>
      </c>
      <c r="AQ354" s="170">
        <v>185</v>
      </c>
      <c r="AR354" s="165">
        <v>213</v>
      </c>
      <c r="AS354" s="166">
        <v>254</v>
      </c>
      <c r="AT354" s="207"/>
      <c r="AU354" s="170"/>
      <c r="AV354" s="190"/>
      <c r="AW354" s="166"/>
      <c r="AX354" s="208"/>
      <c r="AY354" s="170"/>
      <c r="AZ354" s="45"/>
      <c r="BA354" s="58"/>
      <c r="BB354" s="45"/>
      <c r="BC354" s="46"/>
      <c r="BD354" s="45"/>
      <c r="BE354" s="46"/>
      <c r="BF354" s="45"/>
      <c r="BG354" s="46"/>
      <c r="BH354" s="45"/>
      <c r="BI354" s="46"/>
      <c r="BJ354" s="45"/>
      <c r="BK354" s="46"/>
    </row>
    <row r="355" spans="1:63" ht="13" x14ac:dyDescent="0.25">
      <c r="A355" s="372">
        <v>5904</v>
      </c>
      <c r="B355" s="373" t="s">
        <v>478</v>
      </c>
      <c r="C355" s="360">
        <v>1075</v>
      </c>
      <c r="D355" s="54">
        <v>381</v>
      </c>
      <c r="E355" s="367">
        <v>0.34444444444444444</v>
      </c>
      <c r="F355" s="45">
        <v>247</v>
      </c>
      <c r="G355" s="58">
        <v>134</v>
      </c>
      <c r="H355" s="45">
        <v>285</v>
      </c>
      <c r="I355" s="57">
        <v>94</v>
      </c>
      <c r="J355" s="97"/>
      <c r="K355" s="58"/>
      <c r="L355" s="45"/>
      <c r="M355" s="57"/>
      <c r="N355" s="97"/>
      <c r="O355" s="58"/>
      <c r="P355" s="165"/>
      <c r="Q355" s="166"/>
      <c r="R355" s="207"/>
      <c r="S355" s="170"/>
      <c r="T355" s="165"/>
      <c r="U355" s="166"/>
      <c r="V355" s="207"/>
      <c r="W355" s="170"/>
      <c r="X355" s="165"/>
      <c r="Y355" s="166"/>
      <c r="Z355" s="207"/>
      <c r="AA355" s="170"/>
      <c r="AB355" s="165"/>
      <c r="AC355" s="166"/>
      <c r="AD355" s="207"/>
      <c r="AE355" s="170"/>
      <c r="AF355" s="165">
        <v>160</v>
      </c>
      <c r="AG355" s="166">
        <v>212</v>
      </c>
      <c r="AH355" s="207"/>
      <c r="AI355" s="170"/>
      <c r="AJ355" s="165"/>
      <c r="AK355" s="166"/>
      <c r="AL355" s="207"/>
      <c r="AM355" s="170"/>
      <c r="AN355" s="165"/>
      <c r="AO355" s="166"/>
      <c r="AP355" s="207">
        <v>234</v>
      </c>
      <c r="AQ355" s="170">
        <v>140</v>
      </c>
      <c r="AR355" s="165">
        <v>182</v>
      </c>
      <c r="AS355" s="166">
        <v>190</v>
      </c>
      <c r="AT355" s="207"/>
      <c r="AU355" s="170"/>
      <c r="AV355" s="190"/>
      <c r="AW355" s="166"/>
      <c r="AX355" s="208"/>
      <c r="AY355" s="170"/>
      <c r="AZ355" s="45"/>
      <c r="BA355" s="58"/>
      <c r="BB355" s="45"/>
      <c r="BC355" s="46"/>
      <c r="BD355" s="45"/>
      <c r="BE355" s="46"/>
      <c r="BF355" s="45"/>
      <c r="BG355" s="46"/>
      <c r="BH355" s="45"/>
      <c r="BI355" s="46"/>
      <c r="BJ355" s="45"/>
      <c r="BK355" s="46"/>
    </row>
    <row r="356" spans="1:63" ht="13" x14ac:dyDescent="0.25">
      <c r="A356" s="372">
        <v>5905</v>
      </c>
      <c r="B356" s="373" t="s">
        <v>479</v>
      </c>
      <c r="C356" s="360">
        <v>1317</v>
      </c>
      <c r="D356" s="54">
        <v>788</v>
      </c>
      <c r="E356" s="367">
        <v>0.67097264437689974</v>
      </c>
      <c r="F356" s="45">
        <v>325</v>
      </c>
      <c r="G356" s="58">
        <v>456</v>
      </c>
      <c r="H356" s="45">
        <v>384</v>
      </c>
      <c r="I356" s="57">
        <v>390</v>
      </c>
      <c r="J356" s="97"/>
      <c r="K356" s="58"/>
      <c r="L356" s="45"/>
      <c r="M356" s="57"/>
      <c r="N356" s="97"/>
      <c r="O356" s="58"/>
      <c r="P356" s="165"/>
      <c r="Q356" s="166"/>
      <c r="R356" s="207"/>
      <c r="S356" s="170"/>
      <c r="T356" s="165"/>
      <c r="U356" s="166"/>
      <c r="V356" s="207"/>
      <c r="W356" s="170"/>
      <c r="X356" s="165"/>
      <c r="Y356" s="166"/>
      <c r="Z356" s="207"/>
      <c r="AA356" s="170"/>
      <c r="AB356" s="165"/>
      <c r="AC356" s="166"/>
      <c r="AD356" s="207"/>
      <c r="AE356" s="170"/>
      <c r="AF356" s="165">
        <v>365</v>
      </c>
      <c r="AG356" s="166">
        <v>406</v>
      </c>
      <c r="AH356" s="207"/>
      <c r="AI356" s="170"/>
      <c r="AJ356" s="165"/>
      <c r="AK356" s="166"/>
      <c r="AL356" s="207"/>
      <c r="AM356" s="170"/>
      <c r="AN356" s="165"/>
      <c r="AO356" s="166"/>
      <c r="AP356" s="207">
        <v>423</v>
      </c>
      <c r="AQ356" s="170">
        <v>348</v>
      </c>
      <c r="AR356" s="165">
        <v>319</v>
      </c>
      <c r="AS356" s="166">
        <v>448</v>
      </c>
      <c r="AT356" s="207"/>
      <c r="AU356" s="170"/>
      <c r="AV356" s="190"/>
      <c r="AW356" s="166"/>
      <c r="AX356" s="208"/>
      <c r="AY356" s="170"/>
      <c r="AZ356" s="45"/>
      <c r="BA356" s="58"/>
      <c r="BB356" s="45"/>
      <c r="BC356" s="46"/>
      <c r="BD356" s="45"/>
      <c r="BE356" s="46"/>
      <c r="BF356" s="45"/>
      <c r="BG356" s="46"/>
      <c r="BH356" s="45"/>
      <c r="BI356" s="46"/>
      <c r="BJ356" s="45"/>
      <c r="BK356" s="46"/>
    </row>
    <row r="357" spans="1:63" ht="13" x14ac:dyDescent="0.25">
      <c r="A357" s="372">
        <v>5906</v>
      </c>
      <c r="B357" s="373" t="s">
        <v>480</v>
      </c>
      <c r="C357" s="360">
        <v>1329</v>
      </c>
      <c r="D357" s="54">
        <v>740</v>
      </c>
      <c r="E357" s="367">
        <v>0.65830721003134796</v>
      </c>
      <c r="F357" s="45">
        <v>258</v>
      </c>
      <c r="G357" s="58">
        <v>475</v>
      </c>
      <c r="H357" s="45">
        <v>347</v>
      </c>
      <c r="I357" s="57">
        <v>382</v>
      </c>
      <c r="J357" s="97"/>
      <c r="K357" s="58"/>
      <c r="L357" s="45"/>
      <c r="M357" s="57"/>
      <c r="N357" s="97"/>
      <c r="O357" s="58"/>
      <c r="P357" s="165"/>
      <c r="Q357" s="166"/>
      <c r="R357" s="207"/>
      <c r="S357" s="170"/>
      <c r="T357" s="165"/>
      <c r="U357" s="166"/>
      <c r="V357" s="207"/>
      <c r="W357" s="170"/>
      <c r="X357" s="165"/>
      <c r="Y357" s="166"/>
      <c r="Z357" s="207"/>
      <c r="AA357" s="170"/>
      <c r="AB357" s="165"/>
      <c r="AC357" s="166"/>
      <c r="AD357" s="207"/>
      <c r="AE357" s="170"/>
      <c r="AF357" s="165">
        <v>225</v>
      </c>
      <c r="AG357" s="166">
        <v>499</v>
      </c>
      <c r="AH357" s="207"/>
      <c r="AI357" s="170"/>
      <c r="AJ357" s="165"/>
      <c r="AK357" s="166"/>
      <c r="AL357" s="207"/>
      <c r="AM357" s="170"/>
      <c r="AN357" s="165"/>
      <c r="AO357" s="166"/>
      <c r="AP357" s="207">
        <v>386</v>
      </c>
      <c r="AQ357" s="170">
        <v>346</v>
      </c>
      <c r="AR357" s="165">
        <v>221</v>
      </c>
      <c r="AS357" s="166">
        <v>505</v>
      </c>
      <c r="AT357" s="207"/>
      <c r="AU357" s="170"/>
      <c r="AV357" s="190"/>
      <c r="AW357" s="166"/>
      <c r="AX357" s="208"/>
      <c r="AY357" s="170"/>
      <c r="AZ357" s="45"/>
      <c r="BA357" s="58"/>
      <c r="BB357" s="45"/>
      <c r="BC357" s="46"/>
      <c r="BD357" s="45"/>
      <c r="BE357" s="46"/>
      <c r="BF357" s="45"/>
      <c r="BG357" s="46"/>
      <c r="BH357" s="45"/>
      <c r="BI357" s="46"/>
      <c r="BJ357" s="45"/>
      <c r="BK357" s="46"/>
    </row>
    <row r="358" spans="1:63" ht="13" x14ac:dyDescent="0.25">
      <c r="A358" s="372">
        <v>5907</v>
      </c>
      <c r="B358" s="373" t="s">
        <v>481</v>
      </c>
      <c r="C358" s="360">
        <v>1179</v>
      </c>
      <c r="D358" s="54">
        <v>694</v>
      </c>
      <c r="E358" s="367">
        <v>0.66181506849315064</v>
      </c>
      <c r="F358" s="45">
        <v>243</v>
      </c>
      <c r="G358" s="58">
        <v>442</v>
      </c>
      <c r="H358" s="45">
        <v>288</v>
      </c>
      <c r="I358" s="57">
        <v>390</v>
      </c>
      <c r="J358" s="97"/>
      <c r="K358" s="58"/>
      <c r="L358" s="45"/>
      <c r="M358" s="57"/>
      <c r="N358" s="97"/>
      <c r="O358" s="58"/>
      <c r="P358" s="165"/>
      <c r="Q358" s="166"/>
      <c r="R358" s="207"/>
      <c r="S358" s="170"/>
      <c r="T358" s="165"/>
      <c r="U358" s="166"/>
      <c r="V358" s="207"/>
      <c r="W358" s="170"/>
      <c r="X358" s="165"/>
      <c r="Y358" s="166"/>
      <c r="Z358" s="207"/>
      <c r="AA358" s="170"/>
      <c r="AB358" s="165"/>
      <c r="AC358" s="166"/>
      <c r="AD358" s="207"/>
      <c r="AE358" s="170"/>
      <c r="AF358" s="165">
        <v>323</v>
      </c>
      <c r="AG358" s="166">
        <v>353</v>
      </c>
      <c r="AH358" s="207"/>
      <c r="AI358" s="170"/>
      <c r="AJ358" s="165"/>
      <c r="AK358" s="166"/>
      <c r="AL358" s="207"/>
      <c r="AM358" s="170"/>
      <c r="AN358" s="165"/>
      <c r="AO358" s="166"/>
      <c r="AP358" s="207">
        <v>381</v>
      </c>
      <c r="AQ358" s="170">
        <v>304</v>
      </c>
      <c r="AR358" s="165">
        <v>263</v>
      </c>
      <c r="AS358" s="166">
        <v>419</v>
      </c>
      <c r="AT358" s="207"/>
      <c r="AU358" s="170"/>
      <c r="AV358" s="190"/>
      <c r="AW358" s="166"/>
      <c r="AX358" s="208"/>
      <c r="AY358" s="170"/>
      <c r="AZ358" s="45"/>
      <c r="BA358" s="58"/>
      <c r="BB358" s="45"/>
      <c r="BC358" s="46"/>
      <c r="BD358" s="45"/>
      <c r="BE358" s="46"/>
      <c r="BF358" s="45"/>
      <c r="BG358" s="46"/>
      <c r="BH358" s="45"/>
      <c r="BI358" s="46"/>
      <c r="BJ358" s="45"/>
      <c r="BK358" s="46"/>
    </row>
    <row r="359" spans="1:63" ht="13" x14ac:dyDescent="0.25">
      <c r="A359" s="372">
        <v>5908</v>
      </c>
      <c r="B359" s="373" t="s">
        <v>482</v>
      </c>
      <c r="C359" s="360">
        <v>1447</v>
      </c>
      <c r="D359" s="54">
        <v>740</v>
      </c>
      <c r="E359" s="367">
        <v>0.57689530685920576</v>
      </c>
      <c r="F359" s="45">
        <v>393</v>
      </c>
      <c r="G359" s="58">
        <v>341</v>
      </c>
      <c r="H359" s="45">
        <v>440</v>
      </c>
      <c r="I359" s="57">
        <v>287</v>
      </c>
      <c r="J359" s="97"/>
      <c r="K359" s="58"/>
      <c r="L359" s="45"/>
      <c r="M359" s="57"/>
      <c r="N359" s="97"/>
      <c r="O359" s="58"/>
      <c r="P359" s="165"/>
      <c r="Q359" s="166"/>
      <c r="R359" s="207"/>
      <c r="S359" s="170"/>
      <c r="T359" s="165"/>
      <c r="U359" s="166"/>
      <c r="V359" s="207"/>
      <c r="W359" s="170"/>
      <c r="X359" s="165"/>
      <c r="Y359" s="166"/>
      <c r="Z359" s="207"/>
      <c r="AA359" s="170"/>
      <c r="AB359" s="165"/>
      <c r="AC359" s="166"/>
      <c r="AD359" s="207"/>
      <c r="AE359" s="170"/>
      <c r="AF359" s="165">
        <v>299</v>
      </c>
      <c r="AG359" s="166">
        <v>424</v>
      </c>
      <c r="AH359" s="207"/>
      <c r="AI359" s="170"/>
      <c r="AJ359" s="165"/>
      <c r="AK359" s="166"/>
      <c r="AL359" s="207"/>
      <c r="AM359" s="170"/>
      <c r="AN359" s="165"/>
      <c r="AO359" s="166"/>
      <c r="AP359" s="207">
        <v>422</v>
      </c>
      <c r="AQ359" s="170">
        <v>305</v>
      </c>
      <c r="AR359" s="165">
        <v>319</v>
      </c>
      <c r="AS359" s="166">
        <v>406</v>
      </c>
      <c r="AT359" s="207"/>
      <c r="AU359" s="170"/>
      <c r="AV359" s="190"/>
      <c r="AW359" s="166"/>
      <c r="AX359" s="208"/>
      <c r="AY359" s="170"/>
      <c r="AZ359" s="45"/>
      <c r="BA359" s="58"/>
      <c r="BB359" s="45"/>
      <c r="BC359" s="46"/>
      <c r="BD359" s="45"/>
      <c r="BE359" s="46"/>
      <c r="BF359" s="45"/>
      <c r="BG359" s="46"/>
      <c r="BH359" s="45"/>
      <c r="BI359" s="46"/>
      <c r="BJ359" s="45"/>
      <c r="BK359" s="46"/>
    </row>
    <row r="360" spans="1:63" ht="13" x14ac:dyDescent="0.25">
      <c r="A360" s="372">
        <v>5909</v>
      </c>
      <c r="B360" s="373" t="s">
        <v>483</v>
      </c>
      <c r="C360" s="360">
        <v>826</v>
      </c>
      <c r="D360" s="54">
        <v>509</v>
      </c>
      <c r="E360" s="367">
        <v>0.69377990430622005</v>
      </c>
      <c r="F360" s="45">
        <v>187</v>
      </c>
      <c r="G360" s="58">
        <v>316</v>
      </c>
      <c r="H360" s="45">
        <v>254</v>
      </c>
      <c r="I360" s="57">
        <v>250</v>
      </c>
      <c r="J360" s="97"/>
      <c r="K360" s="58"/>
      <c r="L360" s="45"/>
      <c r="M360" s="57"/>
      <c r="N360" s="97"/>
      <c r="O360" s="58"/>
      <c r="P360" s="165"/>
      <c r="Q360" s="166"/>
      <c r="R360" s="207"/>
      <c r="S360" s="170"/>
      <c r="T360" s="165"/>
      <c r="U360" s="166"/>
      <c r="V360" s="207"/>
      <c r="W360" s="170"/>
      <c r="X360" s="165"/>
      <c r="Y360" s="166"/>
      <c r="Z360" s="207"/>
      <c r="AA360" s="170"/>
      <c r="AB360" s="165"/>
      <c r="AC360" s="166"/>
      <c r="AD360" s="207"/>
      <c r="AE360" s="170"/>
      <c r="AF360" s="165">
        <v>195</v>
      </c>
      <c r="AG360" s="166">
        <v>307</v>
      </c>
      <c r="AH360" s="207"/>
      <c r="AI360" s="170"/>
      <c r="AJ360" s="165"/>
      <c r="AK360" s="166"/>
      <c r="AL360" s="207"/>
      <c r="AM360" s="170"/>
      <c r="AN360" s="165"/>
      <c r="AO360" s="166"/>
      <c r="AP360" s="207">
        <v>234</v>
      </c>
      <c r="AQ360" s="170">
        <v>268</v>
      </c>
      <c r="AR360" s="165">
        <v>160</v>
      </c>
      <c r="AS360" s="166">
        <v>341</v>
      </c>
      <c r="AT360" s="207"/>
      <c r="AU360" s="170"/>
      <c r="AV360" s="190"/>
      <c r="AW360" s="166"/>
      <c r="AX360" s="208"/>
      <c r="AY360" s="170"/>
      <c r="AZ360" s="45"/>
      <c r="BA360" s="58"/>
      <c r="BB360" s="45"/>
      <c r="BC360" s="46"/>
      <c r="BD360" s="45"/>
      <c r="BE360" s="46"/>
      <c r="BF360" s="45"/>
      <c r="BG360" s="46"/>
      <c r="BH360" s="45"/>
      <c r="BI360" s="46"/>
      <c r="BJ360" s="45"/>
      <c r="BK360" s="46"/>
    </row>
    <row r="361" spans="1:63" ht="13" x14ac:dyDescent="0.25">
      <c r="A361" s="372">
        <v>5910</v>
      </c>
      <c r="B361" s="373" t="s">
        <v>484</v>
      </c>
      <c r="C361" s="360">
        <v>1345</v>
      </c>
      <c r="D361" s="54">
        <v>564</v>
      </c>
      <c r="E361" s="367">
        <v>0.45216741405082211</v>
      </c>
      <c r="F361" s="45">
        <v>282</v>
      </c>
      <c r="G361" s="58">
        <v>280</v>
      </c>
      <c r="H361" s="45">
        <v>336</v>
      </c>
      <c r="I361" s="57">
        <v>219</v>
      </c>
      <c r="J361" s="97"/>
      <c r="K361" s="58"/>
      <c r="L361" s="45"/>
      <c r="M361" s="57"/>
      <c r="N361" s="97"/>
      <c r="O361" s="58"/>
      <c r="P361" s="165"/>
      <c r="Q361" s="166"/>
      <c r="R361" s="207"/>
      <c r="S361" s="170"/>
      <c r="T361" s="165"/>
      <c r="U361" s="166"/>
      <c r="V361" s="207"/>
      <c r="W361" s="170"/>
      <c r="X361" s="165"/>
      <c r="Y361" s="166"/>
      <c r="Z361" s="207"/>
      <c r="AA361" s="170"/>
      <c r="AB361" s="165"/>
      <c r="AC361" s="166"/>
      <c r="AD361" s="207"/>
      <c r="AE361" s="170"/>
      <c r="AF361" s="165">
        <v>243</v>
      </c>
      <c r="AG361" s="166">
        <v>305</v>
      </c>
      <c r="AH361" s="207"/>
      <c r="AI361" s="170"/>
      <c r="AJ361" s="165"/>
      <c r="AK361" s="166"/>
      <c r="AL361" s="207"/>
      <c r="AM361" s="170"/>
      <c r="AN361" s="165"/>
      <c r="AO361" s="166"/>
      <c r="AP361" s="207">
        <v>323</v>
      </c>
      <c r="AQ361" s="170">
        <v>230</v>
      </c>
      <c r="AR361" s="165">
        <v>262</v>
      </c>
      <c r="AS361" s="166">
        <v>291</v>
      </c>
      <c r="AT361" s="207"/>
      <c r="AU361" s="170"/>
      <c r="AV361" s="190"/>
      <c r="AW361" s="166"/>
      <c r="AX361" s="208"/>
      <c r="AY361" s="170"/>
      <c r="AZ361" s="45"/>
      <c r="BA361" s="58"/>
      <c r="BB361" s="45"/>
      <c r="BC361" s="46"/>
      <c r="BD361" s="45"/>
      <c r="BE361" s="46"/>
      <c r="BF361" s="45"/>
      <c r="BG361" s="46"/>
      <c r="BH361" s="45"/>
      <c r="BI361" s="46"/>
      <c r="BJ361" s="45"/>
      <c r="BK361" s="46"/>
    </row>
    <row r="362" spans="1:63" ht="13" x14ac:dyDescent="0.25">
      <c r="A362" s="372">
        <v>5911</v>
      </c>
      <c r="B362" s="373" t="s">
        <v>485</v>
      </c>
      <c r="C362" s="360">
        <v>851</v>
      </c>
      <c r="D362" s="54">
        <v>433</v>
      </c>
      <c r="E362" s="367">
        <v>0.56908665105386413</v>
      </c>
      <c r="F362" s="45">
        <v>231</v>
      </c>
      <c r="G362" s="58">
        <v>197</v>
      </c>
      <c r="H362" s="45">
        <v>253</v>
      </c>
      <c r="I362" s="57">
        <v>176</v>
      </c>
      <c r="J362" s="97"/>
      <c r="K362" s="58"/>
      <c r="L362" s="45"/>
      <c r="M362" s="57"/>
      <c r="N362" s="97"/>
      <c r="O362" s="58"/>
      <c r="P362" s="165"/>
      <c r="Q362" s="166"/>
      <c r="R362" s="207"/>
      <c r="S362" s="170"/>
      <c r="T362" s="165"/>
      <c r="U362" s="166"/>
      <c r="V362" s="207"/>
      <c r="W362" s="170"/>
      <c r="X362" s="165"/>
      <c r="Y362" s="166"/>
      <c r="Z362" s="207"/>
      <c r="AA362" s="170"/>
      <c r="AB362" s="165"/>
      <c r="AC362" s="166"/>
      <c r="AD362" s="207"/>
      <c r="AE362" s="170"/>
      <c r="AF362" s="165">
        <v>234</v>
      </c>
      <c r="AG362" s="166">
        <v>189</v>
      </c>
      <c r="AH362" s="207"/>
      <c r="AI362" s="170"/>
      <c r="AJ362" s="165"/>
      <c r="AK362" s="166"/>
      <c r="AL362" s="207"/>
      <c r="AM362" s="170"/>
      <c r="AN362" s="165"/>
      <c r="AO362" s="166"/>
      <c r="AP362" s="207">
        <v>263</v>
      </c>
      <c r="AQ362" s="170">
        <v>160</v>
      </c>
      <c r="AR362" s="165">
        <v>202</v>
      </c>
      <c r="AS362" s="166">
        <v>219</v>
      </c>
      <c r="AT362" s="207"/>
      <c r="AU362" s="170"/>
      <c r="AV362" s="190"/>
      <c r="AW362" s="166"/>
      <c r="AX362" s="208"/>
      <c r="AY362" s="170"/>
      <c r="AZ362" s="45"/>
      <c r="BA362" s="58"/>
      <c r="BB362" s="45"/>
      <c r="BC362" s="46"/>
      <c r="BD362" s="45"/>
      <c r="BE362" s="46"/>
      <c r="BF362" s="45"/>
      <c r="BG362" s="46"/>
      <c r="BH362" s="45"/>
      <c r="BI362" s="46"/>
      <c r="BJ362" s="45"/>
      <c r="BK362" s="46"/>
    </row>
    <row r="363" spans="1:63" ht="13" x14ac:dyDescent="0.25">
      <c r="A363" s="372">
        <v>5912</v>
      </c>
      <c r="B363" s="373" t="s">
        <v>486</v>
      </c>
      <c r="C363" s="360">
        <v>1183</v>
      </c>
      <c r="D363" s="54">
        <v>758</v>
      </c>
      <c r="E363" s="367">
        <v>0.73429541595925296</v>
      </c>
      <c r="F363" s="45">
        <v>267</v>
      </c>
      <c r="G363" s="58">
        <v>474</v>
      </c>
      <c r="H363" s="45">
        <v>333</v>
      </c>
      <c r="I363" s="57">
        <v>416</v>
      </c>
      <c r="J363" s="97"/>
      <c r="K363" s="58"/>
      <c r="L363" s="45"/>
      <c r="M363" s="57"/>
      <c r="N363" s="97"/>
      <c r="O363" s="58"/>
      <c r="P363" s="165"/>
      <c r="Q363" s="166"/>
      <c r="R363" s="207"/>
      <c r="S363" s="170"/>
      <c r="T363" s="165"/>
      <c r="U363" s="166"/>
      <c r="V363" s="207"/>
      <c r="W363" s="170"/>
      <c r="X363" s="165"/>
      <c r="Y363" s="166"/>
      <c r="Z363" s="207"/>
      <c r="AA363" s="170"/>
      <c r="AB363" s="165"/>
      <c r="AC363" s="166"/>
      <c r="AD363" s="207"/>
      <c r="AE363" s="170"/>
      <c r="AF363" s="165">
        <v>321</v>
      </c>
      <c r="AG363" s="166">
        <v>426</v>
      </c>
      <c r="AH363" s="207"/>
      <c r="AI363" s="170"/>
      <c r="AJ363" s="165"/>
      <c r="AK363" s="166"/>
      <c r="AL363" s="207"/>
      <c r="AM363" s="170"/>
      <c r="AN363" s="165"/>
      <c r="AO363" s="166"/>
      <c r="AP363" s="207">
        <v>414</v>
      </c>
      <c r="AQ363" s="170">
        <v>332</v>
      </c>
      <c r="AR363" s="165">
        <v>260</v>
      </c>
      <c r="AS363" s="166">
        <v>484</v>
      </c>
      <c r="AT363" s="207"/>
      <c r="AU363" s="170"/>
      <c r="AV363" s="190"/>
      <c r="AW363" s="166"/>
      <c r="AX363" s="208"/>
      <c r="AY363" s="170"/>
      <c r="AZ363" s="45"/>
      <c r="BA363" s="58"/>
      <c r="BB363" s="45"/>
      <c r="BC363" s="46"/>
      <c r="BD363" s="45"/>
      <c r="BE363" s="46"/>
      <c r="BF363" s="45"/>
      <c r="BG363" s="46"/>
      <c r="BH363" s="45"/>
      <c r="BI363" s="46"/>
      <c r="BJ363" s="45"/>
      <c r="BK363" s="46"/>
    </row>
    <row r="364" spans="1:63" ht="13" x14ac:dyDescent="0.25">
      <c r="A364" s="372">
        <v>5913</v>
      </c>
      <c r="B364" s="373" t="s">
        <v>487</v>
      </c>
      <c r="C364" s="360">
        <v>1034</v>
      </c>
      <c r="D364" s="54">
        <v>409</v>
      </c>
      <c r="E364" s="367">
        <v>0.38483412322274879</v>
      </c>
      <c r="F364" s="45">
        <v>243</v>
      </c>
      <c r="G364" s="58">
        <v>162</v>
      </c>
      <c r="H364" s="45">
        <v>259</v>
      </c>
      <c r="I364" s="57">
        <v>143</v>
      </c>
      <c r="J364" s="97"/>
      <c r="K364" s="58"/>
      <c r="L364" s="45"/>
      <c r="M364" s="57"/>
      <c r="N364" s="97"/>
      <c r="O364" s="58"/>
      <c r="P364" s="165"/>
      <c r="Q364" s="166"/>
      <c r="R364" s="207"/>
      <c r="S364" s="170"/>
      <c r="T364" s="165"/>
      <c r="U364" s="166"/>
      <c r="V364" s="207"/>
      <c r="W364" s="170"/>
      <c r="X364" s="165"/>
      <c r="Y364" s="166"/>
      <c r="Z364" s="207"/>
      <c r="AA364" s="170"/>
      <c r="AB364" s="165"/>
      <c r="AC364" s="166"/>
      <c r="AD364" s="207"/>
      <c r="AE364" s="170"/>
      <c r="AF364" s="165">
        <v>199</v>
      </c>
      <c r="AG364" s="166">
        <v>195</v>
      </c>
      <c r="AH364" s="207"/>
      <c r="AI364" s="170"/>
      <c r="AJ364" s="165"/>
      <c r="AK364" s="166"/>
      <c r="AL364" s="207"/>
      <c r="AM364" s="170"/>
      <c r="AN364" s="165"/>
      <c r="AO364" s="166"/>
      <c r="AP364" s="207">
        <v>256</v>
      </c>
      <c r="AQ364" s="170">
        <v>144</v>
      </c>
      <c r="AR364" s="165">
        <v>206</v>
      </c>
      <c r="AS364" s="166">
        <v>192</v>
      </c>
      <c r="AT364" s="207"/>
      <c r="AU364" s="170"/>
      <c r="AV364" s="190"/>
      <c r="AW364" s="166"/>
      <c r="AX364" s="208"/>
      <c r="AY364" s="170"/>
      <c r="AZ364" s="45"/>
      <c r="BA364" s="58"/>
      <c r="BB364" s="45"/>
      <c r="BC364" s="46"/>
      <c r="BD364" s="45"/>
      <c r="BE364" s="46"/>
      <c r="BF364" s="45"/>
      <c r="BG364" s="46"/>
      <c r="BH364" s="45"/>
      <c r="BI364" s="46"/>
      <c r="BJ364" s="45"/>
      <c r="BK364" s="46"/>
    </row>
    <row r="365" spans="1:63" ht="13" x14ac:dyDescent="0.25">
      <c r="A365" s="372">
        <v>5914</v>
      </c>
      <c r="B365" s="373" t="s">
        <v>488</v>
      </c>
      <c r="C365" s="360">
        <v>1359</v>
      </c>
      <c r="D365" s="54">
        <v>732</v>
      </c>
      <c r="E365" s="367">
        <v>0.62058823529411766</v>
      </c>
      <c r="F365" s="45">
        <v>331</v>
      </c>
      <c r="G365" s="58">
        <v>392</v>
      </c>
      <c r="H365" s="45">
        <v>362</v>
      </c>
      <c r="I365" s="57">
        <v>362</v>
      </c>
      <c r="J365" s="97"/>
      <c r="K365" s="58"/>
      <c r="L365" s="45"/>
      <c r="M365" s="57"/>
      <c r="N365" s="97"/>
      <c r="O365" s="58"/>
      <c r="P365" s="165"/>
      <c r="Q365" s="166"/>
      <c r="R365" s="207"/>
      <c r="S365" s="170"/>
      <c r="T365" s="165"/>
      <c r="U365" s="166"/>
      <c r="V365" s="207"/>
      <c r="W365" s="170"/>
      <c r="X365" s="165"/>
      <c r="Y365" s="166"/>
      <c r="Z365" s="207"/>
      <c r="AA365" s="170"/>
      <c r="AB365" s="165"/>
      <c r="AC365" s="166"/>
      <c r="AD365" s="207"/>
      <c r="AE365" s="170"/>
      <c r="AF365" s="165">
        <v>309</v>
      </c>
      <c r="AG365" s="166">
        <v>402</v>
      </c>
      <c r="AH365" s="207"/>
      <c r="AI365" s="170"/>
      <c r="AJ365" s="165"/>
      <c r="AK365" s="166"/>
      <c r="AL365" s="207"/>
      <c r="AM365" s="170"/>
      <c r="AN365" s="165"/>
      <c r="AO365" s="166"/>
      <c r="AP365" s="207">
        <v>417</v>
      </c>
      <c r="AQ365" s="170">
        <v>302</v>
      </c>
      <c r="AR365" s="165">
        <v>297</v>
      </c>
      <c r="AS365" s="166">
        <v>417</v>
      </c>
      <c r="AT365" s="207"/>
      <c r="AU365" s="170"/>
      <c r="AV365" s="190"/>
      <c r="AW365" s="166"/>
      <c r="AX365" s="208"/>
      <c r="AY365" s="170"/>
      <c r="AZ365" s="45"/>
      <c r="BA365" s="58"/>
      <c r="BB365" s="45"/>
      <c r="BC365" s="46"/>
      <c r="BD365" s="45"/>
      <c r="BE365" s="46"/>
      <c r="BF365" s="45"/>
      <c r="BG365" s="46"/>
      <c r="BH365" s="45"/>
      <c r="BI365" s="46"/>
      <c r="BJ365" s="45"/>
      <c r="BK365" s="46"/>
    </row>
    <row r="366" spans="1:63" ht="13" x14ac:dyDescent="0.25">
      <c r="A366" s="372">
        <v>5915</v>
      </c>
      <c r="B366" s="373" t="s">
        <v>489</v>
      </c>
      <c r="C366" s="360">
        <v>566</v>
      </c>
      <c r="D366" s="54">
        <v>273</v>
      </c>
      <c r="E366" s="367">
        <v>0.52135231316725983</v>
      </c>
      <c r="F366" s="45">
        <v>118</v>
      </c>
      <c r="G366" s="58">
        <v>155</v>
      </c>
      <c r="H366" s="45">
        <v>146</v>
      </c>
      <c r="I366" s="57">
        <v>120</v>
      </c>
      <c r="J366" s="97"/>
      <c r="K366" s="58"/>
      <c r="L366" s="45"/>
      <c r="M366" s="57"/>
      <c r="N366" s="97"/>
      <c r="O366" s="58"/>
      <c r="P366" s="165"/>
      <c r="Q366" s="166"/>
      <c r="R366" s="207"/>
      <c r="S366" s="170"/>
      <c r="T366" s="165"/>
      <c r="U366" s="166"/>
      <c r="V366" s="207"/>
      <c r="W366" s="170"/>
      <c r="X366" s="165"/>
      <c r="Y366" s="166"/>
      <c r="Z366" s="207"/>
      <c r="AA366" s="170"/>
      <c r="AB366" s="165"/>
      <c r="AC366" s="166"/>
      <c r="AD366" s="207"/>
      <c r="AE366" s="170"/>
      <c r="AF366" s="165">
        <v>136</v>
      </c>
      <c r="AG366" s="166">
        <v>129</v>
      </c>
      <c r="AH366" s="207"/>
      <c r="AI366" s="170"/>
      <c r="AJ366" s="165"/>
      <c r="AK366" s="166"/>
      <c r="AL366" s="207"/>
      <c r="AM366" s="170"/>
      <c r="AN366" s="165"/>
      <c r="AO366" s="166"/>
      <c r="AP366" s="207">
        <v>170</v>
      </c>
      <c r="AQ366" s="170">
        <v>100</v>
      </c>
      <c r="AR366" s="165">
        <v>125</v>
      </c>
      <c r="AS366" s="166">
        <v>139</v>
      </c>
      <c r="AT366" s="207"/>
      <c r="AU366" s="170"/>
      <c r="AV366" s="190"/>
      <c r="AW366" s="166"/>
      <c r="AX366" s="208"/>
      <c r="AY366" s="170"/>
      <c r="AZ366" s="45"/>
      <c r="BA366" s="58"/>
      <c r="BB366" s="45"/>
      <c r="BC366" s="46"/>
      <c r="BD366" s="45"/>
      <c r="BE366" s="46"/>
      <c r="BF366" s="45"/>
      <c r="BG366" s="46"/>
      <c r="BH366" s="45"/>
      <c r="BI366" s="46"/>
      <c r="BJ366" s="45"/>
      <c r="BK366" s="46"/>
    </row>
    <row r="367" spans="1:63" ht="13" x14ac:dyDescent="0.25">
      <c r="A367" s="372">
        <v>5916</v>
      </c>
      <c r="B367" s="373" t="s">
        <v>490</v>
      </c>
      <c r="C367" s="360">
        <v>521</v>
      </c>
      <c r="D367" s="54">
        <v>235</v>
      </c>
      <c r="E367" s="367">
        <v>0.45940594059405943</v>
      </c>
      <c r="F367" s="45">
        <v>158</v>
      </c>
      <c r="G367" s="58">
        <v>75</v>
      </c>
      <c r="H367" s="45">
        <v>175</v>
      </c>
      <c r="I367" s="57">
        <v>59</v>
      </c>
      <c r="J367" s="97"/>
      <c r="K367" s="58"/>
      <c r="L367" s="45"/>
      <c r="M367" s="57"/>
      <c r="N367" s="97"/>
      <c r="O367" s="58"/>
      <c r="P367" s="165"/>
      <c r="Q367" s="166"/>
      <c r="R367" s="207"/>
      <c r="S367" s="170"/>
      <c r="T367" s="165"/>
      <c r="U367" s="166"/>
      <c r="V367" s="207"/>
      <c r="W367" s="170"/>
      <c r="X367" s="165"/>
      <c r="Y367" s="166"/>
      <c r="Z367" s="207"/>
      <c r="AA367" s="170"/>
      <c r="AB367" s="165"/>
      <c r="AC367" s="166"/>
      <c r="AD367" s="207"/>
      <c r="AE367" s="170"/>
      <c r="AF367" s="165">
        <v>116</v>
      </c>
      <c r="AG367" s="166">
        <v>116</v>
      </c>
      <c r="AH367" s="207"/>
      <c r="AI367" s="170"/>
      <c r="AJ367" s="165"/>
      <c r="AK367" s="166"/>
      <c r="AL367" s="207"/>
      <c r="AM367" s="170"/>
      <c r="AN367" s="165"/>
      <c r="AO367" s="166"/>
      <c r="AP367" s="207">
        <v>165</v>
      </c>
      <c r="AQ367" s="170">
        <v>63</v>
      </c>
      <c r="AR367" s="165">
        <v>143</v>
      </c>
      <c r="AS367" s="166">
        <v>89</v>
      </c>
      <c r="AT367" s="207"/>
      <c r="AU367" s="170"/>
      <c r="AV367" s="190"/>
      <c r="AW367" s="166"/>
      <c r="AX367" s="208"/>
      <c r="AY367" s="170"/>
      <c r="AZ367" s="45"/>
      <c r="BA367" s="58"/>
      <c r="BB367" s="45"/>
      <c r="BC367" s="46"/>
      <c r="BD367" s="45"/>
      <c r="BE367" s="46"/>
      <c r="BF367" s="45"/>
      <c r="BG367" s="46"/>
      <c r="BH367" s="45"/>
      <c r="BI367" s="46"/>
      <c r="BJ367" s="45"/>
      <c r="BK367" s="46"/>
    </row>
    <row r="368" spans="1:63" ht="13" x14ac:dyDescent="0.25">
      <c r="A368" s="372">
        <v>5917</v>
      </c>
      <c r="B368" s="373" t="s">
        <v>491</v>
      </c>
      <c r="C368" s="360">
        <v>1182</v>
      </c>
      <c r="D368" s="54">
        <v>748</v>
      </c>
      <c r="E368" s="367">
        <v>0.71294718909710397</v>
      </c>
      <c r="F368" s="45">
        <v>257</v>
      </c>
      <c r="G368" s="58">
        <v>486</v>
      </c>
      <c r="H368" s="45">
        <v>354</v>
      </c>
      <c r="I368" s="57">
        <v>379</v>
      </c>
      <c r="J368" s="97"/>
      <c r="K368" s="58"/>
      <c r="L368" s="45"/>
      <c r="M368" s="57"/>
      <c r="N368" s="97"/>
      <c r="O368" s="58"/>
      <c r="P368" s="165"/>
      <c r="Q368" s="166"/>
      <c r="R368" s="207"/>
      <c r="S368" s="170"/>
      <c r="T368" s="165"/>
      <c r="U368" s="166"/>
      <c r="V368" s="207"/>
      <c r="W368" s="170"/>
      <c r="X368" s="165"/>
      <c r="Y368" s="166"/>
      <c r="Z368" s="207"/>
      <c r="AA368" s="170"/>
      <c r="AB368" s="165"/>
      <c r="AC368" s="166"/>
      <c r="AD368" s="207"/>
      <c r="AE368" s="170"/>
      <c r="AF368" s="165">
        <v>334</v>
      </c>
      <c r="AG368" s="166">
        <v>398</v>
      </c>
      <c r="AH368" s="207"/>
      <c r="AI368" s="170"/>
      <c r="AJ368" s="165"/>
      <c r="AK368" s="166"/>
      <c r="AL368" s="207"/>
      <c r="AM368" s="170"/>
      <c r="AN368" s="165"/>
      <c r="AO368" s="166"/>
      <c r="AP368" s="207">
        <v>416</v>
      </c>
      <c r="AQ368" s="170">
        <v>313</v>
      </c>
      <c r="AR368" s="165">
        <v>285</v>
      </c>
      <c r="AS368" s="166">
        <v>444</v>
      </c>
      <c r="AT368" s="207"/>
      <c r="AU368" s="170"/>
      <c r="AV368" s="190"/>
      <c r="AW368" s="166"/>
      <c r="AX368" s="208"/>
      <c r="AY368" s="170"/>
      <c r="AZ368" s="45"/>
      <c r="BA368" s="58"/>
      <c r="BB368" s="45"/>
      <c r="BC368" s="46"/>
      <c r="BD368" s="45"/>
      <c r="BE368" s="46"/>
      <c r="BF368" s="45"/>
      <c r="BG368" s="46"/>
      <c r="BH368" s="45"/>
      <c r="BI368" s="46"/>
      <c r="BJ368" s="45"/>
      <c r="BK368" s="46"/>
    </row>
    <row r="369" spans="1:63" ht="13" x14ac:dyDescent="0.25">
      <c r="A369" s="372">
        <v>5918</v>
      </c>
      <c r="B369" s="373" t="s">
        <v>492</v>
      </c>
      <c r="C369" s="360">
        <v>1238</v>
      </c>
      <c r="D369" s="54">
        <v>524</v>
      </c>
      <c r="E369" s="367">
        <v>0.47263681592039802</v>
      </c>
      <c r="F369" s="45">
        <v>279</v>
      </c>
      <c r="G369" s="58">
        <v>244</v>
      </c>
      <c r="H369" s="45">
        <v>277</v>
      </c>
      <c r="I369" s="57">
        <v>234</v>
      </c>
      <c r="J369" s="97"/>
      <c r="K369" s="58"/>
      <c r="L369" s="45"/>
      <c r="M369" s="57"/>
      <c r="N369" s="97"/>
      <c r="O369" s="58"/>
      <c r="P369" s="165"/>
      <c r="Q369" s="166"/>
      <c r="R369" s="207"/>
      <c r="S369" s="170"/>
      <c r="T369" s="165"/>
      <c r="U369" s="166"/>
      <c r="V369" s="207"/>
      <c r="W369" s="170"/>
      <c r="X369" s="165"/>
      <c r="Y369" s="166"/>
      <c r="Z369" s="207"/>
      <c r="AA369" s="170"/>
      <c r="AB369" s="165"/>
      <c r="AC369" s="166"/>
      <c r="AD369" s="207"/>
      <c r="AE369" s="170"/>
      <c r="AF369" s="165">
        <v>274</v>
      </c>
      <c r="AG369" s="166">
        <v>234</v>
      </c>
      <c r="AH369" s="207"/>
      <c r="AI369" s="170"/>
      <c r="AJ369" s="165"/>
      <c r="AK369" s="166"/>
      <c r="AL369" s="207"/>
      <c r="AM369" s="170"/>
      <c r="AN369" s="165"/>
      <c r="AO369" s="166"/>
      <c r="AP369" s="207">
        <v>341</v>
      </c>
      <c r="AQ369" s="170">
        <v>173</v>
      </c>
      <c r="AR369" s="165">
        <v>262</v>
      </c>
      <c r="AS369" s="166">
        <v>244</v>
      </c>
      <c r="AT369" s="207"/>
      <c r="AU369" s="170"/>
      <c r="AV369" s="190"/>
      <c r="AW369" s="166"/>
      <c r="AX369" s="208"/>
      <c r="AY369" s="170"/>
      <c r="AZ369" s="45"/>
      <c r="BA369" s="58"/>
      <c r="BB369" s="45"/>
      <c r="BC369" s="46"/>
      <c r="BD369" s="45"/>
      <c r="BE369" s="46"/>
      <c r="BF369" s="45"/>
      <c r="BG369" s="46"/>
      <c r="BH369" s="45"/>
      <c r="BI369" s="46"/>
      <c r="BJ369" s="45"/>
      <c r="BK369" s="46"/>
    </row>
    <row r="370" spans="1:63" ht="13" x14ac:dyDescent="0.25">
      <c r="A370" s="372">
        <v>5919</v>
      </c>
      <c r="B370" s="373" t="s">
        <v>493</v>
      </c>
      <c r="C370" s="360">
        <v>1165</v>
      </c>
      <c r="D370" s="54">
        <v>633</v>
      </c>
      <c r="E370" s="367">
        <v>0.58479020979020979</v>
      </c>
      <c r="F370" s="45">
        <v>278</v>
      </c>
      <c r="G370" s="58">
        <v>346</v>
      </c>
      <c r="H370" s="45">
        <v>304</v>
      </c>
      <c r="I370" s="57">
        <v>319</v>
      </c>
      <c r="J370" s="97"/>
      <c r="K370" s="58"/>
      <c r="L370" s="45"/>
      <c r="M370" s="57"/>
      <c r="N370" s="97"/>
      <c r="O370" s="58"/>
      <c r="P370" s="165"/>
      <c r="Q370" s="166"/>
      <c r="R370" s="207"/>
      <c r="S370" s="170"/>
      <c r="T370" s="165"/>
      <c r="U370" s="166"/>
      <c r="V370" s="207"/>
      <c r="W370" s="170"/>
      <c r="X370" s="165"/>
      <c r="Y370" s="166"/>
      <c r="Z370" s="207"/>
      <c r="AA370" s="170"/>
      <c r="AB370" s="165"/>
      <c r="AC370" s="166"/>
      <c r="AD370" s="207"/>
      <c r="AE370" s="170"/>
      <c r="AF370" s="165">
        <v>293</v>
      </c>
      <c r="AG370" s="166">
        <v>326</v>
      </c>
      <c r="AH370" s="207"/>
      <c r="AI370" s="170"/>
      <c r="AJ370" s="165"/>
      <c r="AK370" s="166"/>
      <c r="AL370" s="207"/>
      <c r="AM370" s="170"/>
      <c r="AN370" s="165"/>
      <c r="AO370" s="166"/>
      <c r="AP370" s="207">
        <v>347</v>
      </c>
      <c r="AQ370" s="170">
        <v>270</v>
      </c>
      <c r="AR370" s="165">
        <v>250</v>
      </c>
      <c r="AS370" s="166">
        <v>369</v>
      </c>
      <c r="AT370" s="207"/>
      <c r="AU370" s="170"/>
      <c r="AV370" s="190"/>
      <c r="AW370" s="166"/>
      <c r="AX370" s="208"/>
      <c r="AY370" s="170"/>
      <c r="AZ370" s="45"/>
      <c r="BA370" s="58"/>
      <c r="BB370" s="45"/>
      <c r="BC370" s="46"/>
      <c r="BD370" s="45"/>
      <c r="BE370" s="46"/>
      <c r="BF370" s="45"/>
      <c r="BG370" s="46"/>
      <c r="BH370" s="45"/>
      <c r="BI370" s="46"/>
      <c r="BJ370" s="45"/>
      <c r="BK370" s="46"/>
    </row>
    <row r="371" spans="1:63" ht="13" x14ac:dyDescent="0.25">
      <c r="A371" s="372">
        <v>5920</v>
      </c>
      <c r="B371" s="373" t="s">
        <v>494</v>
      </c>
      <c r="C371" s="360">
        <v>1193</v>
      </c>
      <c r="D371" s="54">
        <v>494</v>
      </c>
      <c r="E371" s="367">
        <v>0.47236180904522612</v>
      </c>
      <c r="F371" s="45">
        <v>324</v>
      </c>
      <c r="G371" s="58">
        <v>163</v>
      </c>
      <c r="H371" s="45">
        <v>322</v>
      </c>
      <c r="I371" s="57">
        <v>166</v>
      </c>
      <c r="J371" s="97"/>
      <c r="K371" s="58"/>
      <c r="L371" s="45"/>
      <c r="M371" s="57"/>
      <c r="N371" s="97"/>
      <c r="O371" s="58"/>
      <c r="P371" s="165"/>
      <c r="Q371" s="166"/>
      <c r="R371" s="207"/>
      <c r="S371" s="170"/>
      <c r="T371" s="165"/>
      <c r="U371" s="166"/>
      <c r="V371" s="207"/>
      <c r="W371" s="170"/>
      <c r="X371" s="165"/>
      <c r="Y371" s="166"/>
      <c r="Z371" s="207"/>
      <c r="AA371" s="170"/>
      <c r="AB371" s="165"/>
      <c r="AC371" s="166"/>
      <c r="AD371" s="207"/>
      <c r="AE371" s="170"/>
      <c r="AF371" s="165">
        <v>240</v>
      </c>
      <c r="AG371" s="166">
        <v>244</v>
      </c>
      <c r="AH371" s="207"/>
      <c r="AI371" s="170"/>
      <c r="AJ371" s="165"/>
      <c r="AK371" s="166"/>
      <c r="AL371" s="207"/>
      <c r="AM371" s="170"/>
      <c r="AN371" s="165"/>
      <c r="AO371" s="166"/>
      <c r="AP371" s="207">
        <v>310</v>
      </c>
      <c r="AQ371" s="170">
        <v>176</v>
      </c>
      <c r="AR371" s="165">
        <v>248</v>
      </c>
      <c r="AS371" s="166">
        <v>234</v>
      </c>
      <c r="AT371" s="207"/>
      <c r="AU371" s="170"/>
      <c r="AV371" s="190"/>
      <c r="AW371" s="166"/>
      <c r="AX371" s="208"/>
      <c r="AY371" s="170"/>
      <c r="AZ371" s="45"/>
      <c r="BA371" s="58"/>
      <c r="BB371" s="45"/>
      <c r="BC371" s="46"/>
      <c r="BD371" s="45"/>
      <c r="BE371" s="46"/>
      <c r="BF371" s="45"/>
      <c r="BG371" s="46"/>
      <c r="BH371" s="45"/>
      <c r="BI371" s="46"/>
      <c r="BJ371" s="45"/>
      <c r="BK371" s="46"/>
    </row>
    <row r="372" spans="1:63" ht="13" x14ac:dyDescent="0.25">
      <c r="A372" s="372">
        <v>5921</v>
      </c>
      <c r="B372" s="373" t="s">
        <v>495</v>
      </c>
      <c r="C372" s="360">
        <v>957</v>
      </c>
      <c r="D372" s="54">
        <v>480</v>
      </c>
      <c r="E372" s="367">
        <v>0.57754010695187163</v>
      </c>
      <c r="F372" s="45">
        <v>269</v>
      </c>
      <c r="G372" s="58">
        <v>208</v>
      </c>
      <c r="H372" s="45">
        <v>274</v>
      </c>
      <c r="I372" s="57">
        <v>196</v>
      </c>
      <c r="J372" s="97"/>
      <c r="K372" s="58"/>
      <c r="L372" s="45"/>
      <c r="M372" s="57"/>
      <c r="N372" s="97"/>
      <c r="O372" s="58"/>
      <c r="P372" s="165"/>
      <c r="Q372" s="166"/>
      <c r="R372" s="207"/>
      <c r="S372" s="170"/>
      <c r="T372" s="165"/>
      <c r="U372" s="166"/>
      <c r="V372" s="207"/>
      <c r="W372" s="170"/>
      <c r="X372" s="165"/>
      <c r="Y372" s="166"/>
      <c r="Z372" s="207"/>
      <c r="AA372" s="170"/>
      <c r="AB372" s="165"/>
      <c r="AC372" s="166"/>
      <c r="AD372" s="207"/>
      <c r="AE372" s="170"/>
      <c r="AF372" s="165">
        <v>201</v>
      </c>
      <c r="AG372" s="166">
        <v>266</v>
      </c>
      <c r="AH372" s="207"/>
      <c r="AI372" s="170"/>
      <c r="AJ372" s="165"/>
      <c r="AK372" s="166"/>
      <c r="AL372" s="207"/>
      <c r="AM372" s="170"/>
      <c r="AN372" s="165"/>
      <c r="AO372" s="166"/>
      <c r="AP372" s="207">
        <v>288</v>
      </c>
      <c r="AQ372" s="170">
        <v>184</v>
      </c>
      <c r="AR372" s="165">
        <v>197</v>
      </c>
      <c r="AS372" s="166">
        <v>273</v>
      </c>
      <c r="AT372" s="207"/>
      <c r="AU372" s="170"/>
      <c r="AV372" s="190"/>
      <c r="AW372" s="166"/>
      <c r="AX372" s="208"/>
      <c r="AY372" s="170"/>
      <c r="AZ372" s="45"/>
      <c r="BA372" s="58"/>
      <c r="BB372" s="45"/>
      <c r="BC372" s="46"/>
      <c r="BD372" s="45"/>
      <c r="BE372" s="46"/>
      <c r="BF372" s="45"/>
      <c r="BG372" s="46"/>
      <c r="BH372" s="45"/>
      <c r="BI372" s="46"/>
      <c r="BJ372" s="45"/>
      <c r="BK372" s="46"/>
    </row>
    <row r="373" spans="1:63" ht="13" x14ac:dyDescent="0.25">
      <c r="A373" s="372">
        <v>5922</v>
      </c>
      <c r="B373" s="373" t="s">
        <v>496</v>
      </c>
      <c r="C373" s="360">
        <v>1150</v>
      </c>
      <c r="D373" s="54">
        <v>495</v>
      </c>
      <c r="E373" s="367">
        <v>0.46256684491978611</v>
      </c>
      <c r="F373" s="45">
        <v>262</v>
      </c>
      <c r="G373" s="58">
        <v>229</v>
      </c>
      <c r="H373" s="45">
        <v>303</v>
      </c>
      <c r="I373" s="57">
        <v>179</v>
      </c>
      <c r="J373" s="97"/>
      <c r="K373" s="58"/>
      <c r="L373" s="45"/>
      <c r="M373" s="57"/>
      <c r="N373" s="97"/>
      <c r="O373" s="58"/>
      <c r="P373" s="165"/>
      <c r="Q373" s="166"/>
      <c r="R373" s="207"/>
      <c r="S373" s="170"/>
      <c r="T373" s="165"/>
      <c r="U373" s="166"/>
      <c r="V373" s="207"/>
      <c r="W373" s="170"/>
      <c r="X373" s="165"/>
      <c r="Y373" s="166"/>
      <c r="Z373" s="207"/>
      <c r="AA373" s="170"/>
      <c r="AB373" s="165"/>
      <c r="AC373" s="166"/>
      <c r="AD373" s="207"/>
      <c r="AE373" s="170"/>
      <c r="AF373" s="165">
        <v>204</v>
      </c>
      <c r="AG373" s="166">
        <v>276</v>
      </c>
      <c r="AH373" s="207"/>
      <c r="AI373" s="170"/>
      <c r="AJ373" s="165"/>
      <c r="AK373" s="166"/>
      <c r="AL373" s="207"/>
      <c r="AM373" s="170"/>
      <c r="AN373" s="165"/>
      <c r="AO373" s="166"/>
      <c r="AP373" s="207">
        <v>300</v>
      </c>
      <c r="AQ373" s="170">
        <v>183</v>
      </c>
      <c r="AR373" s="165">
        <v>239</v>
      </c>
      <c r="AS373" s="166">
        <v>240</v>
      </c>
      <c r="AT373" s="207"/>
      <c r="AU373" s="170"/>
      <c r="AV373" s="190"/>
      <c r="AW373" s="166"/>
      <c r="AX373" s="208"/>
      <c r="AY373" s="170"/>
      <c r="AZ373" s="45"/>
      <c r="BA373" s="58"/>
      <c r="BB373" s="45"/>
      <c r="BC373" s="46"/>
      <c r="BD373" s="45"/>
      <c r="BE373" s="46"/>
      <c r="BF373" s="45"/>
      <c r="BG373" s="46"/>
      <c r="BH373" s="45"/>
      <c r="BI373" s="46"/>
      <c r="BJ373" s="45"/>
      <c r="BK373" s="46"/>
    </row>
    <row r="374" spans="1:63" ht="13" x14ac:dyDescent="0.25">
      <c r="A374" s="372">
        <v>5923</v>
      </c>
      <c r="B374" s="373" t="s">
        <v>497</v>
      </c>
      <c r="C374" s="360">
        <v>694</v>
      </c>
      <c r="D374" s="54">
        <v>224</v>
      </c>
      <c r="E374" s="367">
        <v>0.349002849002849</v>
      </c>
      <c r="F374" s="45">
        <v>145</v>
      </c>
      <c r="G374" s="58">
        <v>75</v>
      </c>
      <c r="H374" s="45">
        <v>150</v>
      </c>
      <c r="I374" s="57">
        <v>73</v>
      </c>
      <c r="J374" s="97"/>
      <c r="K374" s="58"/>
      <c r="L374" s="45"/>
      <c r="M374" s="57"/>
      <c r="N374" s="97"/>
      <c r="O374" s="58"/>
      <c r="P374" s="165"/>
      <c r="Q374" s="166"/>
      <c r="R374" s="207"/>
      <c r="S374" s="170"/>
      <c r="T374" s="165"/>
      <c r="U374" s="166"/>
      <c r="V374" s="207"/>
      <c r="W374" s="170"/>
      <c r="X374" s="165"/>
      <c r="Y374" s="166"/>
      <c r="Z374" s="207"/>
      <c r="AA374" s="170"/>
      <c r="AB374" s="165"/>
      <c r="AC374" s="166"/>
      <c r="AD374" s="207"/>
      <c r="AE374" s="170"/>
      <c r="AF374" s="165">
        <v>91</v>
      </c>
      <c r="AG374" s="166">
        <v>121</v>
      </c>
      <c r="AH374" s="207"/>
      <c r="AI374" s="170"/>
      <c r="AJ374" s="165"/>
      <c r="AK374" s="166"/>
      <c r="AL374" s="207"/>
      <c r="AM374" s="170"/>
      <c r="AN374" s="165"/>
      <c r="AO374" s="166"/>
      <c r="AP374" s="207">
        <v>132</v>
      </c>
      <c r="AQ374" s="170">
        <v>85</v>
      </c>
      <c r="AR374" s="165">
        <v>113</v>
      </c>
      <c r="AS374" s="166">
        <v>102</v>
      </c>
      <c r="AT374" s="207"/>
      <c r="AU374" s="170"/>
      <c r="AV374" s="190"/>
      <c r="AW374" s="166"/>
      <c r="AX374" s="208"/>
      <c r="AY374" s="170"/>
      <c r="AZ374" s="45"/>
      <c r="BA374" s="58"/>
      <c r="BB374" s="45"/>
      <c r="BC374" s="46"/>
      <c r="BD374" s="45"/>
      <c r="BE374" s="46"/>
      <c r="BF374" s="45"/>
      <c r="BG374" s="46"/>
      <c r="BH374" s="45"/>
      <c r="BI374" s="46"/>
      <c r="BJ374" s="45"/>
      <c r="BK374" s="46"/>
    </row>
    <row r="375" spans="1:63" ht="13" x14ac:dyDescent="0.25">
      <c r="A375" s="372">
        <v>5924</v>
      </c>
      <c r="B375" s="373" t="s">
        <v>498</v>
      </c>
      <c r="C375" s="360">
        <v>1126</v>
      </c>
      <c r="D375" s="54">
        <v>464</v>
      </c>
      <c r="E375" s="367">
        <v>0.45852324521422061</v>
      </c>
      <c r="F375" s="45">
        <v>297</v>
      </c>
      <c r="G375" s="58">
        <v>162</v>
      </c>
      <c r="H375" s="45">
        <v>307</v>
      </c>
      <c r="I375" s="57">
        <v>147</v>
      </c>
      <c r="J375" s="97"/>
      <c r="K375" s="58"/>
      <c r="L375" s="45"/>
      <c r="M375" s="57"/>
      <c r="N375" s="97"/>
      <c r="O375" s="58"/>
      <c r="P375" s="165"/>
      <c r="Q375" s="166"/>
      <c r="R375" s="207"/>
      <c r="S375" s="170"/>
      <c r="T375" s="165"/>
      <c r="U375" s="166"/>
      <c r="V375" s="207"/>
      <c r="W375" s="170"/>
      <c r="X375" s="165"/>
      <c r="Y375" s="166"/>
      <c r="Z375" s="207"/>
      <c r="AA375" s="170"/>
      <c r="AB375" s="165"/>
      <c r="AC375" s="166"/>
      <c r="AD375" s="207"/>
      <c r="AE375" s="170"/>
      <c r="AF375" s="165">
        <v>197</v>
      </c>
      <c r="AG375" s="166">
        <v>250</v>
      </c>
      <c r="AH375" s="207"/>
      <c r="AI375" s="170"/>
      <c r="AJ375" s="165"/>
      <c r="AK375" s="166"/>
      <c r="AL375" s="207"/>
      <c r="AM375" s="170"/>
      <c r="AN375" s="165"/>
      <c r="AO375" s="166"/>
      <c r="AP375" s="207">
        <v>307</v>
      </c>
      <c r="AQ375" s="170">
        <v>149</v>
      </c>
      <c r="AR375" s="165">
        <v>248</v>
      </c>
      <c r="AS375" s="166">
        <v>206</v>
      </c>
      <c r="AT375" s="207"/>
      <c r="AU375" s="170"/>
      <c r="AV375" s="190"/>
      <c r="AW375" s="166"/>
      <c r="AX375" s="208"/>
      <c r="AY375" s="170"/>
      <c r="AZ375" s="45"/>
      <c r="BA375" s="58"/>
      <c r="BB375" s="45"/>
      <c r="BC375" s="46"/>
      <c r="BD375" s="45"/>
      <c r="BE375" s="46"/>
      <c r="BF375" s="45"/>
      <c r="BG375" s="46"/>
      <c r="BH375" s="45"/>
      <c r="BI375" s="46"/>
      <c r="BJ375" s="45"/>
      <c r="BK375" s="46"/>
    </row>
    <row r="376" spans="1:63" ht="13" x14ac:dyDescent="0.25">
      <c r="A376" s="372">
        <v>5925</v>
      </c>
      <c r="B376" s="373" t="s">
        <v>499</v>
      </c>
      <c r="C376" s="360">
        <v>1242</v>
      </c>
      <c r="D376" s="54">
        <v>489</v>
      </c>
      <c r="E376" s="367">
        <v>0.46030473135525263</v>
      </c>
      <c r="F376" s="45">
        <v>333</v>
      </c>
      <c r="G376" s="58">
        <v>154</v>
      </c>
      <c r="H376" s="45">
        <v>317</v>
      </c>
      <c r="I376" s="57">
        <v>165</v>
      </c>
      <c r="J376" s="97"/>
      <c r="K376" s="58"/>
      <c r="L376" s="45"/>
      <c r="M376" s="57"/>
      <c r="N376" s="97"/>
      <c r="O376" s="58"/>
      <c r="P376" s="165"/>
      <c r="Q376" s="166"/>
      <c r="R376" s="207"/>
      <c r="S376" s="170"/>
      <c r="T376" s="165"/>
      <c r="U376" s="166"/>
      <c r="V376" s="207"/>
      <c r="W376" s="170"/>
      <c r="X376" s="165"/>
      <c r="Y376" s="166"/>
      <c r="Z376" s="207"/>
      <c r="AA376" s="170"/>
      <c r="AB376" s="165"/>
      <c r="AC376" s="166"/>
      <c r="AD376" s="207"/>
      <c r="AE376" s="170"/>
      <c r="AF376" s="165">
        <v>193</v>
      </c>
      <c r="AG376" s="166">
        <v>290</v>
      </c>
      <c r="AH376" s="207"/>
      <c r="AI376" s="170"/>
      <c r="AJ376" s="165"/>
      <c r="AK376" s="166"/>
      <c r="AL376" s="207"/>
      <c r="AM376" s="170"/>
      <c r="AN376" s="165"/>
      <c r="AO376" s="166"/>
      <c r="AP376" s="207">
        <v>270</v>
      </c>
      <c r="AQ376" s="170">
        <v>211</v>
      </c>
      <c r="AR376" s="165">
        <v>216</v>
      </c>
      <c r="AS376" s="166">
        <v>262</v>
      </c>
      <c r="AT376" s="207"/>
      <c r="AU376" s="170"/>
      <c r="AV376" s="190"/>
      <c r="AW376" s="166"/>
      <c r="AX376" s="208"/>
      <c r="AY376" s="170"/>
      <c r="AZ376" s="45"/>
      <c r="BA376" s="58"/>
      <c r="BB376" s="45"/>
      <c r="BC376" s="46"/>
      <c r="BD376" s="45"/>
      <c r="BE376" s="46"/>
      <c r="BF376" s="45"/>
      <c r="BG376" s="46"/>
      <c r="BH376" s="45"/>
      <c r="BI376" s="46"/>
      <c r="BJ376" s="45"/>
      <c r="BK376" s="46"/>
    </row>
    <row r="377" spans="1:63" ht="13" x14ac:dyDescent="0.25">
      <c r="A377" s="372">
        <v>5926</v>
      </c>
      <c r="B377" s="373" t="s">
        <v>500</v>
      </c>
      <c r="C377" s="360">
        <v>1325</v>
      </c>
      <c r="D377" s="54">
        <v>539</v>
      </c>
      <c r="E377" s="367">
        <v>0.43290371493555724</v>
      </c>
      <c r="F377" s="45">
        <v>359</v>
      </c>
      <c r="G377" s="58">
        <v>174</v>
      </c>
      <c r="H377" s="45">
        <v>359</v>
      </c>
      <c r="I377" s="57">
        <v>169</v>
      </c>
      <c r="J377" s="97"/>
      <c r="K377" s="58"/>
      <c r="L377" s="45"/>
      <c r="M377" s="57"/>
      <c r="N377" s="97"/>
      <c r="O377" s="58"/>
      <c r="P377" s="165"/>
      <c r="Q377" s="166"/>
      <c r="R377" s="207"/>
      <c r="S377" s="170"/>
      <c r="T377" s="165"/>
      <c r="U377" s="166"/>
      <c r="V377" s="207"/>
      <c r="W377" s="170"/>
      <c r="X377" s="165"/>
      <c r="Y377" s="166"/>
      <c r="Z377" s="207"/>
      <c r="AA377" s="170"/>
      <c r="AB377" s="165"/>
      <c r="AC377" s="166"/>
      <c r="AD377" s="207"/>
      <c r="AE377" s="170"/>
      <c r="AF377" s="165">
        <v>194</v>
      </c>
      <c r="AG377" s="166">
        <v>333</v>
      </c>
      <c r="AH377" s="207"/>
      <c r="AI377" s="170"/>
      <c r="AJ377" s="165"/>
      <c r="AK377" s="166"/>
      <c r="AL377" s="207"/>
      <c r="AM377" s="170"/>
      <c r="AN377" s="165"/>
      <c r="AO377" s="166"/>
      <c r="AP377" s="207">
        <v>317</v>
      </c>
      <c r="AQ377" s="170">
        <v>213</v>
      </c>
      <c r="AR377" s="165">
        <v>253</v>
      </c>
      <c r="AS377" s="166">
        <v>278</v>
      </c>
      <c r="AT377" s="207"/>
      <c r="AU377" s="170"/>
      <c r="AV377" s="190"/>
      <c r="AW377" s="166"/>
      <c r="AX377" s="208"/>
      <c r="AY377" s="170"/>
      <c r="AZ377" s="45"/>
      <c r="BA377" s="58"/>
      <c r="BB377" s="45"/>
      <c r="BC377" s="46"/>
      <c r="BD377" s="45"/>
      <c r="BE377" s="46"/>
      <c r="BF377" s="45"/>
      <c r="BG377" s="46"/>
      <c r="BH377" s="45"/>
      <c r="BI377" s="46"/>
      <c r="BJ377" s="45"/>
      <c r="BK377" s="46"/>
    </row>
    <row r="378" spans="1:63" ht="13" x14ac:dyDescent="0.25">
      <c r="A378" s="372">
        <v>5927</v>
      </c>
      <c r="B378" s="373" t="s">
        <v>501</v>
      </c>
      <c r="C378" s="360">
        <v>1102</v>
      </c>
      <c r="D378" s="54">
        <v>743</v>
      </c>
      <c r="E378" s="367">
        <v>0.71101321585903088</v>
      </c>
      <c r="F378" s="45">
        <v>264</v>
      </c>
      <c r="G378" s="58">
        <v>473</v>
      </c>
      <c r="H378" s="45">
        <v>336</v>
      </c>
      <c r="I378" s="57">
        <v>382</v>
      </c>
      <c r="J378" s="97"/>
      <c r="K378" s="58"/>
      <c r="L378" s="45"/>
      <c r="M378" s="57"/>
      <c r="N378" s="97"/>
      <c r="O378" s="58"/>
      <c r="P378" s="165"/>
      <c r="Q378" s="166"/>
      <c r="R378" s="207"/>
      <c r="S378" s="170"/>
      <c r="T378" s="165"/>
      <c r="U378" s="166"/>
      <c r="V378" s="207"/>
      <c r="W378" s="170"/>
      <c r="X378" s="165"/>
      <c r="Y378" s="166"/>
      <c r="Z378" s="207"/>
      <c r="AA378" s="170"/>
      <c r="AB378" s="165"/>
      <c r="AC378" s="166"/>
      <c r="AD378" s="207"/>
      <c r="AE378" s="170"/>
      <c r="AF378" s="165">
        <v>313</v>
      </c>
      <c r="AG378" s="166">
        <v>403</v>
      </c>
      <c r="AH378" s="207"/>
      <c r="AI378" s="170"/>
      <c r="AJ378" s="165"/>
      <c r="AK378" s="166"/>
      <c r="AL378" s="207"/>
      <c r="AM378" s="170"/>
      <c r="AN378" s="165"/>
      <c r="AO378" s="166"/>
      <c r="AP378" s="207">
        <v>416</v>
      </c>
      <c r="AQ378" s="170">
        <v>313</v>
      </c>
      <c r="AR378" s="165">
        <v>277</v>
      </c>
      <c r="AS378" s="166">
        <v>446</v>
      </c>
      <c r="AT378" s="207"/>
      <c r="AU378" s="170"/>
      <c r="AV378" s="190"/>
      <c r="AW378" s="166"/>
      <c r="AX378" s="208"/>
      <c r="AY378" s="170"/>
      <c r="AZ378" s="45"/>
      <c r="BA378" s="58"/>
      <c r="BB378" s="45"/>
      <c r="BC378" s="46"/>
      <c r="BD378" s="45"/>
      <c r="BE378" s="46"/>
      <c r="BF378" s="45"/>
      <c r="BG378" s="46"/>
      <c r="BH378" s="45"/>
      <c r="BI378" s="46"/>
      <c r="BJ378" s="45"/>
      <c r="BK378" s="46"/>
    </row>
    <row r="379" spans="1:63" ht="13" x14ac:dyDescent="0.25">
      <c r="A379" s="372">
        <v>5928</v>
      </c>
      <c r="B379" s="373" t="s">
        <v>502</v>
      </c>
      <c r="C379" s="360">
        <v>1306</v>
      </c>
      <c r="D379" s="54">
        <v>730</v>
      </c>
      <c r="E379" s="367">
        <v>0.60278207109737247</v>
      </c>
      <c r="F379" s="45">
        <v>301</v>
      </c>
      <c r="G379" s="58">
        <v>425</v>
      </c>
      <c r="H379" s="45">
        <v>364</v>
      </c>
      <c r="I379" s="57">
        <v>357</v>
      </c>
      <c r="J379" s="97"/>
      <c r="K379" s="58"/>
      <c r="L379" s="45"/>
      <c r="M379" s="57"/>
      <c r="N379" s="97"/>
      <c r="O379" s="58"/>
      <c r="P379" s="165"/>
      <c r="Q379" s="166"/>
      <c r="R379" s="207"/>
      <c r="S379" s="170"/>
      <c r="T379" s="165"/>
      <c r="U379" s="166"/>
      <c r="V379" s="207"/>
      <c r="W379" s="170"/>
      <c r="X379" s="165"/>
      <c r="Y379" s="166"/>
      <c r="Z379" s="207"/>
      <c r="AA379" s="170"/>
      <c r="AB379" s="165"/>
      <c r="AC379" s="166"/>
      <c r="AD379" s="207"/>
      <c r="AE379" s="170"/>
      <c r="AF379" s="165">
        <v>282</v>
      </c>
      <c r="AG379" s="166">
        <v>436</v>
      </c>
      <c r="AH379" s="207"/>
      <c r="AI379" s="170"/>
      <c r="AJ379" s="165"/>
      <c r="AK379" s="166"/>
      <c r="AL379" s="207"/>
      <c r="AM379" s="170"/>
      <c r="AN379" s="165"/>
      <c r="AO379" s="166"/>
      <c r="AP379" s="207">
        <v>395</v>
      </c>
      <c r="AQ379" s="170">
        <v>325</v>
      </c>
      <c r="AR379" s="165">
        <v>261</v>
      </c>
      <c r="AS379" s="166">
        <v>454</v>
      </c>
      <c r="AT379" s="207"/>
      <c r="AU379" s="170"/>
      <c r="AV379" s="190"/>
      <c r="AW379" s="166"/>
      <c r="AX379" s="208"/>
      <c r="AY379" s="170"/>
      <c r="AZ379" s="45"/>
      <c r="BA379" s="58"/>
      <c r="BB379" s="45"/>
      <c r="BC379" s="46"/>
      <c r="BD379" s="45"/>
      <c r="BE379" s="46"/>
      <c r="BF379" s="45"/>
      <c r="BG379" s="46"/>
      <c r="BH379" s="45"/>
      <c r="BI379" s="46"/>
      <c r="BJ379" s="45"/>
      <c r="BK379" s="46"/>
    </row>
    <row r="380" spans="1:63" ht="13" x14ac:dyDescent="0.25">
      <c r="A380" s="372">
        <v>5929</v>
      </c>
      <c r="B380" s="373" t="s">
        <v>503</v>
      </c>
      <c r="C380" s="360">
        <v>1172</v>
      </c>
      <c r="D380" s="54">
        <v>338</v>
      </c>
      <c r="E380" s="367">
        <v>0.27806122448979592</v>
      </c>
      <c r="F380" s="45">
        <v>203</v>
      </c>
      <c r="G380" s="58">
        <v>133</v>
      </c>
      <c r="H380" s="45">
        <v>233</v>
      </c>
      <c r="I380" s="57">
        <v>100</v>
      </c>
      <c r="J380" s="97"/>
      <c r="K380" s="58"/>
      <c r="L380" s="45"/>
      <c r="M380" s="57"/>
      <c r="N380" s="97"/>
      <c r="O380" s="58"/>
      <c r="P380" s="165"/>
      <c r="Q380" s="166"/>
      <c r="R380" s="207"/>
      <c r="S380" s="170"/>
      <c r="T380" s="165"/>
      <c r="U380" s="166"/>
      <c r="V380" s="207"/>
      <c r="W380" s="170"/>
      <c r="X380" s="165"/>
      <c r="Y380" s="166"/>
      <c r="Z380" s="207"/>
      <c r="AA380" s="170"/>
      <c r="AB380" s="165"/>
      <c r="AC380" s="166"/>
      <c r="AD380" s="207"/>
      <c r="AE380" s="170"/>
      <c r="AF380" s="165">
        <v>131</v>
      </c>
      <c r="AG380" s="166">
        <v>199</v>
      </c>
      <c r="AH380" s="207"/>
      <c r="AI380" s="170"/>
      <c r="AJ380" s="165"/>
      <c r="AK380" s="166"/>
      <c r="AL380" s="207"/>
      <c r="AM380" s="170"/>
      <c r="AN380" s="165"/>
      <c r="AO380" s="166"/>
      <c r="AP380" s="207">
        <v>208</v>
      </c>
      <c r="AQ380" s="170">
        <v>121</v>
      </c>
      <c r="AR380" s="165">
        <v>170</v>
      </c>
      <c r="AS380" s="166">
        <v>157</v>
      </c>
      <c r="AT380" s="207"/>
      <c r="AU380" s="170"/>
      <c r="AV380" s="190"/>
      <c r="AW380" s="166"/>
      <c r="AX380" s="208"/>
      <c r="AY380" s="170"/>
      <c r="AZ380" s="45"/>
      <c r="BA380" s="58"/>
      <c r="BB380" s="45"/>
      <c r="BC380" s="46"/>
      <c r="BD380" s="45"/>
      <c r="BE380" s="46"/>
      <c r="BF380" s="45"/>
      <c r="BG380" s="46"/>
      <c r="BH380" s="45"/>
      <c r="BI380" s="46"/>
      <c r="BJ380" s="45"/>
      <c r="BK380" s="46"/>
    </row>
    <row r="381" spans="1:63" ht="13" x14ac:dyDescent="0.25">
      <c r="A381" s="372">
        <v>5930</v>
      </c>
      <c r="B381" s="373" t="s">
        <v>504</v>
      </c>
      <c r="C381" s="360">
        <v>966</v>
      </c>
      <c r="D381" s="54">
        <v>352</v>
      </c>
      <c r="E381" s="367">
        <v>0.40043057050592035</v>
      </c>
      <c r="F381" s="45">
        <v>272</v>
      </c>
      <c r="G381" s="58">
        <v>78</v>
      </c>
      <c r="H381" s="45">
        <v>262</v>
      </c>
      <c r="I381" s="57">
        <v>83</v>
      </c>
      <c r="J381" s="97"/>
      <c r="K381" s="58"/>
      <c r="L381" s="45"/>
      <c r="M381" s="57"/>
      <c r="N381" s="97"/>
      <c r="O381" s="58"/>
      <c r="P381" s="165"/>
      <c r="Q381" s="166"/>
      <c r="R381" s="207"/>
      <c r="S381" s="170"/>
      <c r="T381" s="165"/>
      <c r="U381" s="166"/>
      <c r="V381" s="207"/>
      <c r="W381" s="170"/>
      <c r="X381" s="165"/>
      <c r="Y381" s="166"/>
      <c r="Z381" s="207"/>
      <c r="AA381" s="170"/>
      <c r="AB381" s="165"/>
      <c r="AC381" s="166"/>
      <c r="AD381" s="207"/>
      <c r="AE381" s="170"/>
      <c r="AF381" s="165">
        <v>152</v>
      </c>
      <c r="AG381" s="166">
        <v>189</v>
      </c>
      <c r="AH381" s="207"/>
      <c r="AI381" s="170"/>
      <c r="AJ381" s="165"/>
      <c r="AK381" s="166"/>
      <c r="AL381" s="207"/>
      <c r="AM381" s="170"/>
      <c r="AN381" s="165"/>
      <c r="AO381" s="166"/>
      <c r="AP381" s="207">
        <v>215</v>
      </c>
      <c r="AQ381" s="170">
        <v>135</v>
      </c>
      <c r="AR381" s="165">
        <v>202</v>
      </c>
      <c r="AS381" s="166">
        <v>145</v>
      </c>
      <c r="AT381" s="207"/>
      <c r="AU381" s="170"/>
      <c r="AV381" s="190"/>
      <c r="AW381" s="166"/>
      <c r="AX381" s="208"/>
      <c r="AY381" s="170"/>
      <c r="AZ381" s="45"/>
      <c r="BA381" s="58"/>
      <c r="BB381" s="45"/>
      <c r="BC381" s="46"/>
      <c r="BD381" s="45"/>
      <c r="BE381" s="46"/>
      <c r="BF381" s="45"/>
      <c r="BG381" s="46"/>
      <c r="BH381" s="45"/>
      <c r="BI381" s="46"/>
      <c r="BJ381" s="45"/>
      <c r="BK381" s="46"/>
    </row>
    <row r="382" spans="1:63" ht="13" x14ac:dyDescent="0.25">
      <c r="A382" s="372">
        <v>5931</v>
      </c>
      <c r="B382" s="373" t="s">
        <v>505</v>
      </c>
      <c r="C382" s="360">
        <v>1175</v>
      </c>
      <c r="D382" s="54">
        <v>524</v>
      </c>
      <c r="E382" s="367">
        <v>0.50545759865659112</v>
      </c>
      <c r="F382" s="45">
        <v>288</v>
      </c>
      <c r="G382" s="58">
        <v>231</v>
      </c>
      <c r="H382" s="45">
        <v>299</v>
      </c>
      <c r="I382" s="57">
        <v>216</v>
      </c>
      <c r="J382" s="97"/>
      <c r="K382" s="58"/>
      <c r="L382" s="45"/>
      <c r="M382" s="57"/>
      <c r="N382" s="97"/>
      <c r="O382" s="58"/>
      <c r="P382" s="165"/>
      <c r="Q382" s="166"/>
      <c r="R382" s="207"/>
      <c r="S382" s="170"/>
      <c r="T382" s="165"/>
      <c r="U382" s="166"/>
      <c r="V382" s="207"/>
      <c r="W382" s="170"/>
      <c r="X382" s="165"/>
      <c r="Y382" s="166"/>
      <c r="Z382" s="207"/>
      <c r="AA382" s="170"/>
      <c r="AB382" s="165"/>
      <c r="AC382" s="166"/>
      <c r="AD382" s="207"/>
      <c r="AE382" s="170"/>
      <c r="AF382" s="165">
        <v>250</v>
      </c>
      <c r="AG382" s="166">
        <v>255</v>
      </c>
      <c r="AH382" s="207"/>
      <c r="AI382" s="170"/>
      <c r="AJ382" s="165"/>
      <c r="AK382" s="166"/>
      <c r="AL382" s="207"/>
      <c r="AM382" s="170"/>
      <c r="AN382" s="165"/>
      <c r="AO382" s="166"/>
      <c r="AP382" s="207">
        <v>297</v>
      </c>
      <c r="AQ382" s="170">
        <v>215</v>
      </c>
      <c r="AR382" s="165">
        <v>231</v>
      </c>
      <c r="AS382" s="166">
        <v>280</v>
      </c>
      <c r="AT382" s="207"/>
      <c r="AU382" s="170"/>
      <c r="AV382" s="190"/>
      <c r="AW382" s="166"/>
      <c r="AX382" s="208"/>
      <c r="AY382" s="170"/>
      <c r="AZ382" s="45"/>
      <c r="BA382" s="58"/>
      <c r="BB382" s="45"/>
      <c r="BC382" s="46"/>
      <c r="BD382" s="45"/>
      <c r="BE382" s="46"/>
      <c r="BF382" s="45"/>
      <c r="BG382" s="46"/>
      <c r="BH382" s="45"/>
      <c r="BI382" s="46"/>
      <c r="BJ382" s="45"/>
      <c r="BK382" s="46"/>
    </row>
    <row r="383" spans="1:63" ht="13" x14ac:dyDescent="0.25">
      <c r="A383" s="372">
        <v>5932</v>
      </c>
      <c r="B383" s="373" t="s">
        <v>506</v>
      </c>
      <c r="C383" s="360">
        <v>480</v>
      </c>
      <c r="D383" s="54">
        <v>178</v>
      </c>
      <c r="E383" s="367">
        <v>0.38200000000000001</v>
      </c>
      <c r="F383" s="45">
        <v>96</v>
      </c>
      <c r="G383" s="58">
        <v>81</v>
      </c>
      <c r="H383" s="45">
        <v>102</v>
      </c>
      <c r="I383" s="57">
        <v>75</v>
      </c>
      <c r="J383" s="97"/>
      <c r="K383" s="58"/>
      <c r="L383" s="45"/>
      <c r="M383" s="57"/>
      <c r="N383" s="97"/>
      <c r="O383" s="58"/>
      <c r="P383" s="165"/>
      <c r="Q383" s="166"/>
      <c r="R383" s="207"/>
      <c r="S383" s="170"/>
      <c r="T383" s="165"/>
      <c r="U383" s="166"/>
      <c r="V383" s="207"/>
      <c r="W383" s="170"/>
      <c r="X383" s="165"/>
      <c r="Y383" s="166"/>
      <c r="Z383" s="207"/>
      <c r="AA383" s="170"/>
      <c r="AB383" s="165"/>
      <c r="AC383" s="166"/>
      <c r="AD383" s="207"/>
      <c r="AE383" s="170"/>
      <c r="AF383" s="165">
        <v>81</v>
      </c>
      <c r="AG383" s="166">
        <v>96</v>
      </c>
      <c r="AH383" s="207"/>
      <c r="AI383" s="170"/>
      <c r="AJ383" s="165"/>
      <c r="AK383" s="166"/>
      <c r="AL383" s="207"/>
      <c r="AM383" s="170"/>
      <c r="AN383" s="165"/>
      <c r="AO383" s="166"/>
      <c r="AP383" s="207">
        <v>122</v>
      </c>
      <c r="AQ383" s="170">
        <v>55</v>
      </c>
      <c r="AR383" s="165">
        <v>91</v>
      </c>
      <c r="AS383" s="166">
        <v>86</v>
      </c>
      <c r="AT383" s="207"/>
      <c r="AU383" s="170"/>
      <c r="AV383" s="190"/>
      <c r="AW383" s="166"/>
      <c r="AX383" s="208"/>
      <c r="AY383" s="170"/>
      <c r="AZ383" s="45"/>
      <c r="BA383" s="58"/>
      <c r="BB383" s="45"/>
      <c r="BC383" s="46"/>
      <c r="BD383" s="45"/>
      <c r="BE383" s="46"/>
      <c r="BF383" s="45"/>
      <c r="BG383" s="46"/>
      <c r="BH383" s="45"/>
      <c r="BI383" s="46"/>
      <c r="BJ383" s="45"/>
      <c r="BK383" s="46"/>
    </row>
    <row r="384" spans="1:63" ht="13" x14ac:dyDescent="0.25">
      <c r="A384" s="372">
        <v>5933</v>
      </c>
      <c r="B384" s="373" t="s">
        <v>507</v>
      </c>
      <c r="C384" s="360">
        <v>1171</v>
      </c>
      <c r="D384" s="54">
        <v>508</v>
      </c>
      <c r="E384" s="367">
        <v>0.45122985581000846</v>
      </c>
      <c r="F384" s="45">
        <v>304</v>
      </c>
      <c r="G384" s="58">
        <v>200</v>
      </c>
      <c r="H384" s="45">
        <v>310</v>
      </c>
      <c r="I384" s="57">
        <v>194</v>
      </c>
      <c r="J384" s="97"/>
      <c r="K384" s="58"/>
      <c r="L384" s="45"/>
      <c r="M384" s="57"/>
      <c r="N384" s="97"/>
      <c r="O384" s="58"/>
      <c r="P384" s="165"/>
      <c r="Q384" s="166"/>
      <c r="R384" s="207"/>
      <c r="S384" s="170"/>
      <c r="T384" s="165"/>
      <c r="U384" s="166"/>
      <c r="V384" s="207"/>
      <c r="W384" s="170"/>
      <c r="X384" s="165"/>
      <c r="Y384" s="166"/>
      <c r="Z384" s="207"/>
      <c r="AA384" s="170"/>
      <c r="AB384" s="165"/>
      <c r="AC384" s="166"/>
      <c r="AD384" s="207"/>
      <c r="AE384" s="170"/>
      <c r="AF384" s="165">
        <v>203</v>
      </c>
      <c r="AG384" s="166">
        <v>294</v>
      </c>
      <c r="AH384" s="207"/>
      <c r="AI384" s="170"/>
      <c r="AJ384" s="165"/>
      <c r="AK384" s="166"/>
      <c r="AL384" s="207"/>
      <c r="AM384" s="170"/>
      <c r="AN384" s="165"/>
      <c r="AO384" s="166"/>
      <c r="AP384" s="207">
        <v>307</v>
      </c>
      <c r="AQ384" s="170">
        <v>193</v>
      </c>
      <c r="AR384" s="165">
        <v>216</v>
      </c>
      <c r="AS384" s="166">
        <v>282</v>
      </c>
      <c r="AT384" s="207"/>
      <c r="AU384" s="170"/>
      <c r="AV384" s="190"/>
      <c r="AW384" s="166"/>
      <c r="AX384" s="208"/>
      <c r="AY384" s="170"/>
      <c r="AZ384" s="45"/>
      <c r="BA384" s="58"/>
      <c r="BB384" s="45"/>
      <c r="BC384" s="46"/>
      <c r="BD384" s="45"/>
      <c r="BE384" s="46"/>
      <c r="BF384" s="45"/>
      <c r="BG384" s="46"/>
      <c r="BH384" s="45"/>
      <c r="BI384" s="46"/>
      <c r="BJ384" s="45"/>
      <c r="BK384" s="46"/>
    </row>
    <row r="385" spans="1:63" ht="13" x14ac:dyDescent="0.25">
      <c r="A385" s="372">
        <v>5934</v>
      </c>
      <c r="B385" s="373" t="s">
        <v>508</v>
      </c>
      <c r="C385" s="360">
        <v>1030</v>
      </c>
      <c r="D385" s="54">
        <v>375</v>
      </c>
      <c r="E385" s="367">
        <v>0.37668593448940269</v>
      </c>
      <c r="F385" s="45">
        <v>243</v>
      </c>
      <c r="G385" s="58">
        <v>130</v>
      </c>
      <c r="H385" s="45">
        <v>245</v>
      </c>
      <c r="I385" s="57">
        <v>126</v>
      </c>
      <c r="J385" s="97"/>
      <c r="K385" s="58"/>
      <c r="L385" s="45"/>
      <c r="M385" s="57"/>
      <c r="N385" s="97"/>
      <c r="O385" s="58"/>
      <c r="P385" s="165"/>
      <c r="Q385" s="166"/>
      <c r="R385" s="207"/>
      <c r="S385" s="170"/>
      <c r="T385" s="165"/>
      <c r="U385" s="166"/>
      <c r="V385" s="207"/>
      <c r="W385" s="170"/>
      <c r="X385" s="165"/>
      <c r="Y385" s="166"/>
      <c r="Z385" s="207"/>
      <c r="AA385" s="170"/>
      <c r="AB385" s="165"/>
      <c r="AC385" s="166"/>
      <c r="AD385" s="207"/>
      <c r="AE385" s="170"/>
      <c r="AF385" s="165">
        <v>160</v>
      </c>
      <c r="AG385" s="166">
        <v>205</v>
      </c>
      <c r="AH385" s="207"/>
      <c r="AI385" s="170"/>
      <c r="AJ385" s="165"/>
      <c r="AK385" s="166"/>
      <c r="AL385" s="207"/>
      <c r="AM385" s="170"/>
      <c r="AN385" s="165"/>
      <c r="AO385" s="166"/>
      <c r="AP385" s="207">
        <v>231</v>
      </c>
      <c r="AQ385" s="170">
        <v>138</v>
      </c>
      <c r="AR385" s="165">
        <v>189</v>
      </c>
      <c r="AS385" s="166">
        <v>175</v>
      </c>
      <c r="AT385" s="207"/>
      <c r="AU385" s="170"/>
      <c r="AV385" s="190"/>
      <c r="AW385" s="166"/>
      <c r="AX385" s="208"/>
      <c r="AY385" s="170"/>
      <c r="AZ385" s="45"/>
      <c r="BA385" s="58"/>
      <c r="BB385" s="45"/>
      <c r="BC385" s="46"/>
      <c r="BD385" s="45"/>
      <c r="BE385" s="46"/>
      <c r="BF385" s="45"/>
      <c r="BG385" s="46"/>
      <c r="BH385" s="45"/>
      <c r="BI385" s="46"/>
      <c r="BJ385" s="45"/>
      <c r="BK385" s="46"/>
    </row>
    <row r="386" spans="1:63" ht="13" x14ac:dyDescent="0.25">
      <c r="A386" s="372">
        <v>5935</v>
      </c>
      <c r="B386" s="373" t="s">
        <v>509</v>
      </c>
      <c r="C386" s="360">
        <v>475</v>
      </c>
      <c r="D386" s="54">
        <v>279</v>
      </c>
      <c r="E386" s="367">
        <v>0.62236286919831219</v>
      </c>
      <c r="F386" s="45">
        <v>139</v>
      </c>
      <c r="G386" s="58">
        <v>140</v>
      </c>
      <c r="H386" s="45">
        <v>152</v>
      </c>
      <c r="I386" s="57">
        <v>125</v>
      </c>
      <c r="J386" s="97"/>
      <c r="K386" s="58"/>
      <c r="L386" s="45"/>
      <c r="M386" s="57"/>
      <c r="N386" s="97"/>
      <c r="O386" s="58"/>
      <c r="P386" s="165"/>
      <c r="Q386" s="166"/>
      <c r="R386" s="207"/>
      <c r="S386" s="170"/>
      <c r="T386" s="165"/>
      <c r="U386" s="166"/>
      <c r="V386" s="207"/>
      <c r="W386" s="170"/>
      <c r="X386" s="165"/>
      <c r="Y386" s="166"/>
      <c r="Z386" s="207"/>
      <c r="AA386" s="170"/>
      <c r="AB386" s="165"/>
      <c r="AC386" s="166"/>
      <c r="AD386" s="207"/>
      <c r="AE386" s="170"/>
      <c r="AF386" s="165">
        <v>104</v>
      </c>
      <c r="AG386" s="166">
        <v>171</v>
      </c>
      <c r="AH386" s="207"/>
      <c r="AI386" s="170"/>
      <c r="AJ386" s="165"/>
      <c r="AK386" s="166"/>
      <c r="AL386" s="207"/>
      <c r="AM386" s="170"/>
      <c r="AN386" s="165"/>
      <c r="AO386" s="166"/>
      <c r="AP386" s="207">
        <v>145</v>
      </c>
      <c r="AQ386" s="170">
        <v>131</v>
      </c>
      <c r="AR386" s="165">
        <v>100</v>
      </c>
      <c r="AS386" s="166">
        <v>175</v>
      </c>
      <c r="AT386" s="207"/>
      <c r="AU386" s="170"/>
      <c r="AV386" s="190"/>
      <c r="AW386" s="166"/>
      <c r="AX386" s="208"/>
      <c r="AY386" s="170"/>
      <c r="AZ386" s="45"/>
      <c r="BA386" s="58"/>
      <c r="BB386" s="45"/>
      <c r="BC386" s="46"/>
      <c r="BD386" s="45"/>
      <c r="BE386" s="46"/>
      <c r="BF386" s="45"/>
      <c r="BG386" s="46"/>
      <c r="BH386" s="45"/>
      <c r="BI386" s="46"/>
      <c r="BJ386" s="45"/>
      <c r="BK386" s="46"/>
    </row>
    <row r="387" spans="1:63" ht="13" x14ac:dyDescent="0.25">
      <c r="A387" s="372">
        <v>5936</v>
      </c>
      <c r="B387" s="373" t="s">
        <v>510</v>
      </c>
      <c r="C387" s="360">
        <v>1239</v>
      </c>
      <c r="D387" s="54">
        <v>572</v>
      </c>
      <c r="E387" s="367">
        <v>0.49920634920634921</v>
      </c>
      <c r="F387" s="45">
        <v>323</v>
      </c>
      <c r="G387" s="58">
        <v>244</v>
      </c>
      <c r="H387" s="45">
        <v>356</v>
      </c>
      <c r="I387" s="57">
        <v>208</v>
      </c>
      <c r="J387" s="97"/>
      <c r="K387" s="58"/>
      <c r="L387" s="45"/>
      <c r="M387" s="57"/>
      <c r="N387" s="97"/>
      <c r="O387" s="58"/>
      <c r="P387" s="165"/>
      <c r="Q387" s="166"/>
      <c r="R387" s="207"/>
      <c r="S387" s="170"/>
      <c r="T387" s="165"/>
      <c r="U387" s="166"/>
      <c r="V387" s="207"/>
      <c r="W387" s="170"/>
      <c r="X387" s="165"/>
      <c r="Y387" s="166"/>
      <c r="Z387" s="207"/>
      <c r="AA387" s="170"/>
      <c r="AB387" s="165"/>
      <c r="AC387" s="166"/>
      <c r="AD387" s="207"/>
      <c r="AE387" s="170"/>
      <c r="AF387" s="165">
        <v>243</v>
      </c>
      <c r="AG387" s="166">
        <v>312</v>
      </c>
      <c r="AH387" s="207"/>
      <c r="AI387" s="170"/>
      <c r="AJ387" s="165"/>
      <c r="AK387" s="166"/>
      <c r="AL387" s="207"/>
      <c r="AM387" s="170"/>
      <c r="AN387" s="165"/>
      <c r="AO387" s="166"/>
      <c r="AP387" s="207">
        <v>333</v>
      </c>
      <c r="AQ387" s="170">
        <v>224</v>
      </c>
      <c r="AR387" s="165">
        <v>257</v>
      </c>
      <c r="AS387" s="166">
        <v>299</v>
      </c>
      <c r="AT387" s="207"/>
      <c r="AU387" s="170"/>
      <c r="AV387" s="190"/>
      <c r="AW387" s="166"/>
      <c r="AX387" s="208"/>
      <c r="AY387" s="170"/>
      <c r="AZ387" s="45"/>
      <c r="BA387" s="58"/>
      <c r="BB387" s="45"/>
      <c r="BC387" s="46"/>
      <c r="BD387" s="45"/>
      <c r="BE387" s="46"/>
      <c r="BF387" s="45"/>
      <c r="BG387" s="46"/>
      <c r="BH387" s="45"/>
      <c r="BI387" s="46"/>
      <c r="BJ387" s="45"/>
      <c r="BK387" s="46"/>
    </row>
    <row r="388" spans="1:63" ht="13" x14ac:dyDescent="0.25">
      <c r="A388" s="372">
        <v>5937</v>
      </c>
      <c r="B388" s="373" t="s">
        <v>511</v>
      </c>
      <c r="C388" s="360">
        <v>1334</v>
      </c>
      <c r="D388" s="54">
        <v>548</v>
      </c>
      <c r="E388" s="367">
        <v>0.45857988165680474</v>
      </c>
      <c r="F388" s="45">
        <v>398</v>
      </c>
      <c r="G388" s="58">
        <v>148</v>
      </c>
      <c r="H388" s="45">
        <v>389</v>
      </c>
      <c r="I388" s="57">
        <v>149</v>
      </c>
      <c r="J388" s="97"/>
      <c r="K388" s="58"/>
      <c r="L388" s="45"/>
      <c r="M388" s="57"/>
      <c r="N388" s="97"/>
      <c r="O388" s="58"/>
      <c r="P388" s="165"/>
      <c r="Q388" s="166"/>
      <c r="R388" s="207"/>
      <c r="S388" s="170"/>
      <c r="T388" s="165"/>
      <c r="U388" s="166"/>
      <c r="V388" s="207"/>
      <c r="W388" s="170"/>
      <c r="X388" s="165"/>
      <c r="Y388" s="166"/>
      <c r="Z388" s="207"/>
      <c r="AA388" s="170"/>
      <c r="AB388" s="165"/>
      <c r="AC388" s="166"/>
      <c r="AD388" s="207"/>
      <c r="AE388" s="170"/>
      <c r="AF388" s="165">
        <v>265</v>
      </c>
      <c r="AG388" s="166">
        <v>273</v>
      </c>
      <c r="AH388" s="207"/>
      <c r="AI388" s="170"/>
      <c r="AJ388" s="165"/>
      <c r="AK388" s="166"/>
      <c r="AL388" s="207"/>
      <c r="AM388" s="170"/>
      <c r="AN388" s="165"/>
      <c r="AO388" s="166"/>
      <c r="AP388" s="207">
        <v>366</v>
      </c>
      <c r="AQ388" s="170">
        <v>171</v>
      </c>
      <c r="AR388" s="165">
        <v>324</v>
      </c>
      <c r="AS388" s="166">
        <v>211</v>
      </c>
      <c r="AT388" s="207"/>
      <c r="AU388" s="170"/>
      <c r="AV388" s="190"/>
      <c r="AW388" s="166"/>
      <c r="AX388" s="208"/>
      <c r="AY388" s="170"/>
      <c r="AZ388" s="45"/>
      <c r="BA388" s="58"/>
      <c r="BB388" s="45"/>
      <c r="BC388" s="46"/>
      <c r="BD388" s="45"/>
      <c r="BE388" s="46"/>
      <c r="BF388" s="45"/>
      <c r="BG388" s="46"/>
      <c r="BH388" s="45"/>
      <c r="BI388" s="46"/>
      <c r="BJ388" s="45"/>
      <c r="BK388" s="46"/>
    </row>
    <row r="389" spans="1:63" ht="13" x14ac:dyDescent="0.25">
      <c r="A389" s="372">
        <v>5938</v>
      </c>
      <c r="B389" s="373" t="s">
        <v>512</v>
      </c>
      <c r="C389" s="360">
        <v>685</v>
      </c>
      <c r="D389" s="54">
        <v>340</v>
      </c>
      <c r="E389" s="367">
        <v>0.53846153846153844</v>
      </c>
      <c r="F389" s="45">
        <v>222</v>
      </c>
      <c r="G389" s="58">
        <v>115</v>
      </c>
      <c r="H389" s="45">
        <v>214</v>
      </c>
      <c r="I389" s="57">
        <v>122</v>
      </c>
      <c r="J389" s="97"/>
      <c r="K389" s="58"/>
      <c r="L389" s="45"/>
      <c r="M389" s="57"/>
      <c r="N389" s="97"/>
      <c r="O389" s="58"/>
      <c r="P389" s="165"/>
      <c r="Q389" s="166"/>
      <c r="R389" s="207"/>
      <c r="S389" s="170"/>
      <c r="T389" s="165"/>
      <c r="U389" s="166"/>
      <c r="V389" s="207"/>
      <c r="W389" s="170"/>
      <c r="X389" s="165"/>
      <c r="Y389" s="166"/>
      <c r="Z389" s="207"/>
      <c r="AA389" s="170"/>
      <c r="AB389" s="165"/>
      <c r="AC389" s="166"/>
      <c r="AD389" s="207"/>
      <c r="AE389" s="170"/>
      <c r="AF389" s="165">
        <v>120</v>
      </c>
      <c r="AG389" s="166">
        <v>208</v>
      </c>
      <c r="AH389" s="207"/>
      <c r="AI389" s="170"/>
      <c r="AJ389" s="165"/>
      <c r="AK389" s="166"/>
      <c r="AL389" s="207"/>
      <c r="AM389" s="170"/>
      <c r="AN389" s="165"/>
      <c r="AO389" s="166"/>
      <c r="AP389" s="207">
        <v>180</v>
      </c>
      <c r="AQ389" s="170">
        <v>149</v>
      </c>
      <c r="AR389" s="165">
        <v>143</v>
      </c>
      <c r="AS389" s="166">
        <v>185</v>
      </c>
      <c r="AT389" s="207"/>
      <c r="AU389" s="170"/>
      <c r="AV389" s="190"/>
      <c r="AW389" s="166"/>
      <c r="AX389" s="208"/>
      <c r="AY389" s="170"/>
      <c r="AZ389" s="45"/>
      <c r="BA389" s="58"/>
      <c r="BB389" s="45"/>
      <c r="BC389" s="46"/>
      <c r="BD389" s="45"/>
      <c r="BE389" s="46"/>
      <c r="BF389" s="45"/>
      <c r="BG389" s="46"/>
      <c r="BH389" s="45"/>
      <c r="BI389" s="46"/>
      <c r="BJ389" s="45"/>
      <c r="BK389" s="46"/>
    </row>
    <row r="390" spans="1:63" ht="13" x14ac:dyDescent="0.25">
      <c r="A390" s="372">
        <v>6201</v>
      </c>
      <c r="B390" s="373" t="s">
        <v>513</v>
      </c>
      <c r="C390" s="360">
        <v>165</v>
      </c>
      <c r="D390" s="54">
        <v>103</v>
      </c>
      <c r="E390" s="367">
        <v>0.63005780346820806</v>
      </c>
      <c r="F390" s="45">
        <v>70</v>
      </c>
      <c r="G390" s="58">
        <v>31</v>
      </c>
      <c r="H390" s="45">
        <v>76</v>
      </c>
      <c r="I390" s="57">
        <v>27</v>
      </c>
      <c r="J390" s="97"/>
      <c r="K390" s="58"/>
      <c r="L390" s="45"/>
      <c r="M390" s="57"/>
      <c r="N390" s="97"/>
      <c r="O390" s="58"/>
      <c r="P390" s="165"/>
      <c r="Q390" s="166"/>
      <c r="R390" s="207"/>
      <c r="S390" s="170"/>
      <c r="T390" s="165"/>
      <c r="U390" s="166"/>
      <c r="V390" s="207"/>
      <c r="W390" s="170"/>
      <c r="X390" s="165"/>
      <c r="Y390" s="166"/>
      <c r="Z390" s="207"/>
      <c r="AA390" s="170"/>
      <c r="AB390" s="165"/>
      <c r="AC390" s="166"/>
      <c r="AD390" s="207"/>
      <c r="AE390" s="170"/>
      <c r="AF390" s="165"/>
      <c r="AG390" s="166"/>
      <c r="AH390" s="207"/>
      <c r="AI390" s="170"/>
      <c r="AJ390" s="165"/>
      <c r="AK390" s="166"/>
      <c r="AL390" s="207"/>
      <c r="AM390" s="170"/>
      <c r="AN390" s="165"/>
      <c r="AO390" s="166"/>
      <c r="AP390" s="207">
        <v>80</v>
      </c>
      <c r="AQ390" s="170">
        <v>21</v>
      </c>
      <c r="AR390" s="165">
        <v>60</v>
      </c>
      <c r="AS390" s="166">
        <v>42</v>
      </c>
      <c r="AT390" s="207"/>
      <c r="AU390" s="170"/>
      <c r="AV390" s="190"/>
      <c r="AW390" s="166"/>
      <c r="AX390" s="208"/>
      <c r="AY390" s="170"/>
      <c r="AZ390" s="45"/>
      <c r="BA390" s="58"/>
      <c r="BB390" s="45"/>
      <c r="BC390" s="46"/>
      <c r="BD390" s="45"/>
      <c r="BE390" s="46"/>
      <c r="BF390" s="45"/>
      <c r="BG390" s="46"/>
      <c r="BH390" s="45"/>
      <c r="BI390" s="46"/>
      <c r="BJ390" s="45"/>
      <c r="BK390" s="46"/>
    </row>
    <row r="391" spans="1:63" ht="13" x14ac:dyDescent="0.25">
      <c r="A391" s="372">
        <v>6202</v>
      </c>
      <c r="B391" s="373" t="s">
        <v>514</v>
      </c>
      <c r="C391" s="360">
        <v>378</v>
      </c>
      <c r="D391" s="54">
        <v>194</v>
      </c>
      <c r="E391" s="367">
        <v>0.55759162303664922</v>
      </c>
      <c r="F391" s="45">
        <v>142</v>
      </c>
      <c r="G391" s="58">
        <v>52</v>
      </c>
      <c r="H391" s="45">
        <v>141</v>
      </c>
      <c r="I391" s="57">
        <v>53</v>
      </c>
      <c r="J391" s="97"/>
      <c r="K391" s="58"/>
      <c r="L391" s="45"/>
      <c r="M391" s="57"/>
      <c r="N391" s="97"/>
      <c r="O391" s="58"/>
      <c r="P391" s="165"/>
      <c r="Q391" s="166"/>
      <c r="R391" s="207"/>
      <c r="S391" s="170"/>
      <c r="T391" s="165"/>
      <c r="U391" s="166"/>
      <c r="V391" s="207"/>
      <c r="W391" s="170"/>
      <c r="X391" s="165"/>
      <c r="Y391" s="166"/>
      <c r="Z391" s="207"/>
      <c r="AA391" s="170"/>
      <c r="AB391" s="165"/>
      <c r="AC391" s="166"/>
      <c r="AD391" s="207"/>
      <c r="AE391" s="170"/>
      <c r="AF391" s="165"/>
      <c r="AG391" s="166"/>
      <c r="AH391" s="207"/>
      <c r="AI391" s="170"/>
      <c r="AJ391" s="165"/>
      <c r="AK391" s="166"/>
      <c r="AL391" s="207"/>
      <c r="AM391" s="170"/>
      <c r="AN391" s="165"/>
      <c r="AO391" s="166"/>
      <c r="AP391" s="207">
        <v>138</v>
      </c>
      <c r="AQ391" s="170">
        <v>56</v>
      </c>
      <c r="AR391" s="165">
        <v>113</v>
      </c>
      <c r="AS391" s="166">
        <v>81</v>
      </c>
      <c r="AT391" s="207"/>
      <c r="AU391" s="170"/>
      <c r="AV391" s="190"/>
      <c r="AW391" s="166"/>
      <c r="AX391" s="208"/>
      <c r="AY391" s="170"/>
      <c r="AZ391" s="45"/>
      <c r="BA391" s="58"/>
      <c r="BB391" s="45"/>
      <c r="BC391" s="46"/>
      <c r="BD391" s="45"/>
      <c r="BE391" s="46"/>
      <c r="BF391" s="45"/>
      <c r="BG391" s="46"/>
      <c r="BH391" s="45"/>
      <c r="BI391" s="46"/>
      <c r="BJ391" s="45"/>
      <c r="BK391" s="46"/>
    </row>
    <row r="392" spans="1:63" ht="13" x14ac:dyDescent="0.25">
      <c r="A392" s="372">
        <v>6203</v>
      </c>
      <c r="B392" s="373" t="s">
        <v>515</v>
      </c>
      <c r="C392" s="360">
        <v>430</v>
      </c>
      <c r="D392" s="54">
        <v>317</v>
      </c>
      <c r="E392" s="367">
        <v>0.77197149643705465</v>
      </c>
      <c r="F392" s="45">
        <v>243</v>
      </c>
      <c r="G392" s="58">
        <v>70</v>
      </c>
      <c r="H392" s="45">
        <v>231</v>
      </c>
      <c r="I392" s="57">
        <v>78</v>
      </c>
      <c r="J392" s="97"/>
      <c r="K392" s="58"/>
      <c r="L392" s="45"/>
      <c r="M392" s="57"/>
      <c r="N392" s="97"/>
      <c r="O392" s="58"/>
      <c r="P392" s="165"/>
      <c r="Q392" s="166"/>
      <c r="R392" s="207"/>
      <c r="S392" s="170"/>
      <c r="T392" s="165"/>
      <c r="U392" s="166"/>
      <c r="V392" s="207"/>
      <c r="W392" s="170"/>
      <c r="X392" s="165"/>
      <c r="Y392" s="166"/>
      <c r="Z392" s="207"/>
      <c r="AA392" s="170"/>
      <c r="AB392" s="165"/>
      <c r="AC392" s="166"/>
      <c r="AD392" s="207"/>
      <c r="AE392" s="170"/>
      <c r="AF392" s="165"/>
      <c r="AG392" s="166"/>
      <c r="AH392" s="207"/>
      <c r="AI392" s="170"/>
      <c r="AJ392" s="165"/>
      <c r="AK392" s="166"/>
      <c r="AL392" s="207"/>
      <c r="AM392" s="170"/>
      <c r="AN392" s="165"/>
      <c r="AO392" s="166"/>
      <c r="AP392" s="207">
        <v>264</v>
      </c>
      <c r="AQ392" s="170">
        <v>52</v>
      </c>
      <c r="AR392" s="165">
        <v>232</v>
      </c>
      <c r="AS392" s="166">
        <v>85</v>
      </c>
      <c r="AT392" s="207"/>
      <c r="AU392" s="170"/>
      <c r="AV392" s="190"/>
      <c r="AW392" s="166"/>
      <c r="AX392" s="208"/>
      <c r="AY392" s="170"/>
      <c r="AZ392" s="45"/>
      <c r="BA392" s="58"/>
      <c r="BB392" s="45"/>
      <c r="BC392" s="46"/>
      <c r="BD392" s="45"/>
      <c r="BE392" s="46"/>
      <c r="BF392" s="45"/>
      <c r="BG392" s="46"/>
      <c r="BH392" s="45"/>
      <c r="BI392" s="46"/>
      <c r="BJ392" s="45"/>
      <c r="BK392" s="46"/>
    </row>
    <row r="393" spans="1:63" ht="13" x14ac:dyDescent="0.25">
      <c r="A393" s="372">
        <v>6204</v>
      </c>
      <c r="B393" s="373" t="s">
        <v>516</v>
      </c>
      <c r="C393" s="360">
        <v>582</v>
      </c>
      <c r="D393" s="54">
        <v>217</v>
      </c>
      <c r="E393" s="367">
        <v>0.38009787928221861</v>
      </c>
      <c r="F393" s="45">
        <v>183</v>
      </c>
      <c r="G393" s="58">
        <v>32</v>
      </c>
      <c r="H393" s="45">
        <v>177</v>
      </c>
      <c r="I393" s="57">
        <v>37</v>
      </c>
      <c r="J393" s="97"/>
      <c r="K393" s="58"/>
      <c r="L393" s="45"/>
      <c r="M393" s="57"/>
      <c r="N393" s="97"/>
      <c r="O393" s="58"/>
      <c r="P393" s="165"/>
      <c r="Q393" s="166"/>
      <c r="R393" s="207"/>
      <c r="S393" s="170"/>
      <c r="T393" s="165"/>
      <c r="U393" s="166"/>
      <c r="V393" s="207"/>
      <c r="W393" s="170"/>
      <c r="X393" s="165"/>
      <c r="Y393" s="166"/>
      <c r="Z393" s="207"/>
      <c r="AA393" s="170"/>
      <c r="AB393" s="165"/>
      <c r="AC393" s="166"/>
      <c r="AD393" s="207"/>
      <c r="AE393" s="170"/>
      <c r="AF393" s="165"/>
      <c r="AG393" s="166"/>
      <c r="AH393" s="207"/>
      <c r="AI393" s="170"/>
      <c r="AJ393" s="165"/>
      <c r="AK393" s="166"/>
      <c r="AL393" s="207"/>
      <c r="AM393" s="170"/>
      <c r="AN393" s="165"/>
      <c r="AO393" s="166"/>
      <c r="AP393" s="207">
        <v>151</v>
      </c>
      <c r="AQ393" s="170">
        <v>59</v>
      </c>
      <c r="AR393" s="165">
        <v>146</v>
      </c>
      <c r="AS393" s="166">
        <v>66</v>
      </c>
      <c r="AT393" s="207"/>
      <c r="AU393" s="170"/>
      <c r="AV393" s="190"/>
      <c r="AW393" s="166"/>
      <c r="AX393" s="208"/>
      <c r="AY393" s="170"/>
      <c r="AZ393" s="45"/>
      <c r="BA393" s="58"/>
      <c r="BB393" s="45"/>
      <c r="BC393" s="46"/>
      <c r="BD393" s="45"/>
      <c r="BE393" s="46"/>
      <c r="BF393" s="45"/>
      <c r="BG393" s="46"/>
      <c r="BH393" s="45"/>
      <c r="BI393" s="46"/>
      <c r="BJ393" s="45"/>
      <c r="BK393" s="46"/>
    </row>
    <row r="394" spans="1:63" ht="13" x14ac:dyDescent="0.25">
      <c r="A394" s="372">
        <v>6205</v>
      </c>
      <c r="B394" s="373" t="s">
        <v>517</v>
      </c>
      <c r="C394" s="360">
        <v>349</v>
      </c>
      <c r="D394" s="54">
        <v>171</v>
      </c>
      <c r="E394" s="367">
        <v>0.57558139534883723</v>
      </c>
      <c r="F394" s="45">
        <v>116</v>
      </c>
      <c r="G394" s="58">
        <v>55</v>
      </c>
      <c r="H394" s="45">
        <v>109</v>
      </c>
      <c r="I394" s="57">
        <v>62</v>
      </c>
      <c r="J394" s="97"/>
      <c r="K394" s="58"/>
      <c r="L394" s="45"/>
      <c r="M394" s="57"/>
      <c r="N394" s="97"/>
      <c r="O394" s="58"/>
      <c r="P394" s="165"/>
      <c r="Q394" s="166"/>
      <c r="R394" s="207"/>
      <c r="S394" s="170"/>
      <c r="T394" s="165"/>
      <c r="U394" s="166"/>
      <c r="V394" s="207"/>
      <c r="W394" s="170"/>
      <c r="X394" s="165"/>
      <c r="Y394" s="166"/>
      <c r="Z394" s="207"/>
      <c r="AA394" s="170"/>
      <c r="AB394" s="165"/>
      <c r="AC394" s="166"/>
      <c r="AD394" s="207"/>
      <c r="AE394" s="170"/>
      <c r="AF394" s="165"/>
      <c r="AG394" s="166"/>
      <c r="AH394" s="207"/>
      <c r="AI394" s="170"/>
      <c r="AJ394" s="165"/>
      <c r="AK394" s="166"/>
      <c r="AL394" s="207"/>
      <c r="AM394" s="170"/>
      <c r="AN394" s="165"/>
      <c r="AO394" s="166"/>
      <c r="AP394" s="207">
        <v>120</v>
      </c>
      <c r="AQ394" s="170">
        <v>49</v>
      </c>
      <c r="AR394" s="165">
        <v>101</v>
      </c>
      <c r="AS394" s="166">
        <v>70</v>
      </c>
      <c r="AT394" s="207"/>
      <c r="AU394" s="170"/>
      <c r="AV394" s="190"/>
      <c r="AW394" s="166"/>
      <c r="AX394" s="208"/>
      <c r="AY394" s="170"/>
      <c r="AZ394" s="45"/>
      <c r="BA394" s="58"/>
      <c r="BB394" s="45"/>
      <c r="BC394" s="46"/>
      <c r="BD394" s="45"/>
      <c r="BE394" s="46"/>
      <c r="BF394" s="45"/>
      <c r="BG394" s="46"/>
      <c r="BH394" s="45"/>
      <c r="BI394" s="46"/>
      <c r="BJ394" s="45"/>
      <c r="BK394" s="46"/>
    </row>
    <row r="395" spans="1:63" ht="13" x14ac:dyDescent="0.25">
      <c r="A395" s="372">
        <v>6206</v>
      </c>
      <c r="B395" s="373" t="s">
        <v>518</v>
      </c>
      <c r="C395" s="360">
        <v>619</v>
      </c>
      <c r="D395" s="54">
        <v>350</v>
      </c>
      <c r="E395" s="367">
        <v>0.5545023696682464</v>
      </c>
      <c r="F395" s="45">
        <v>233</v>
      </c>
      <c r="G395" s="58">
        <v>116</v>
      </c>
      <c r="H395" s="45">
        <v>237</v>
      </c>
      <c r="I395" s="57">
        <v>110</v>
      </c>
      <c r="J395" s="97"/>
      <c r="K395" s="58"/>
      <c r="L395" s="45"/>
      <c r="M395" s="57"/>
      <c r="N395" s="97"/>
      <c r="O395" s="58"/>
      <c r="P395" s="165"/>
      <c r="Q395" s="166"/>
      <c r="R395" s="207"/>
      <c r="S395" s="170"/>
      <c r="T395" s="165"/>
      <c r="U395" s="166"/>
      <c r="V395" s="207"/>
      <c r="W395" s="170"/>
      <c r="X395" s="165"/>
      <c r="Y395" s="166"/>
      <c r="Z395" s="207"/>
      <c r="AA395" s="170"/>
      <c r="AB395" s="165"/>
      <c r="AC395" s="166"/>
      <c r="AD395" s="207"/>
      <c r="AE395" s="170"/>
      <c r="AF395" s="165"/>
      <c r="AG395" s="166"/>
      <c r="AH395" s="207"/>
      <c r="AI395" s="170"/>
      <c r="AJ395" s="165"/>
      <c r="AK395" s="166"/>
      <c r="AL395" s="207"/>
      <c r="AM395" s="170"/>
      <c r="AN395" s="165"/>
      <c r="AO395" s="166"/>
      <c r="AP395" s="207">
        <v>263</v>
      </c>
      <c r="AQ395" s="170">
        <v>71</v>
      </c>
      <c r="AR395" s="165">
        <v>236</v>
      </c>
      <c r="AS395" s="166">
        <v>103</v>
      </c>
      <c r="AT395" s="207"/>
      <c r="AU395" s="170"/>
      <c r="AV395" s="190"/>
      <c r="AW395" s="166"/>
      <c r="AX395" s="208"/>
      <c r="AY395" s="170"/>
      <c r="AZ395" s="45"/>
      <c r="BA395" s="58"/>
      <c r="BB395" s="45"/>
      <c r="BC395" s="46"/>
      <c r="BD395" s="45"/>
      <c r="BE395" s="46"/>
      <c r="BF395" s="45"/>
      <c r="BG395" s="46"/>
      <c r="BH395" s="45"/>
      <c r="BI395" s="46"/>
      <c r="BJ395" s="45"/>
      <c r="BK395" s="46"/>
    </row>
    <row r="396" spans="1:63" ht="13" x14ac:dyDescent="0.25">
      <c r="A396" s="372">
        <v>6207</v>
      </c>
      <c r="B396" s="373" t="s">
        <v>519</v>
      </c>
      <c r="C396" s="360">
        <v>811</v>
      </c>
      <c r="D396" s="54">
        <v>432</v>
      </c>
      <c r="E396" s="367">
        <v>0.56860321384425216</v>
      </c>
      <c r="F396" s="45">
        <v>321</v>
      </c>
      <c r="G396" s="58">
        <v>104</v>
      </c>
      <c r="H396" s="45">
        <v>290</v>
      </c>
      <c r="I396" s="57">
        <v>136</v>
      </c>
      <c r="J396" s="97"/>
      <c r="K396" s="58"/>
      <c r="L396" s="45"/>
      <c r="M396" s="57"/>
      <c r="N396" s="97"/>
      <c r="O396" s="58"/>
      <c r="P396" s="165"/>
      <c r="Q396" s="166"/>
      <c r="R396" s="207"/>
      <c r="S396" s="170"/>
      <c r="T396" s="165"/>
      <c r="U396" s="166"/>
      <c r="V396" s="207"/>
      <c r="W396" s="170"/>
      <c r="X396" s="165"/>
      <c r="Y396" s="166"/>
      <c r="Z396" s="207"/>
      <c r="AA396" s="170"/>
      <c r="AB396" s="165"/>
      <c r="AC396" s="166"/>
      <c r="AD396" s="207"/>
      <c r="AE396" s="170"/>
      <c r="AF396" s="165"/>
      <c r="AG396" s="166"/>
      <c r="AH396" s="207"/>
      <c r="AI396" s="170"/>
      <c r="AJ396" s="165"/>
      <c r="AK396" s="166"/>
      <c r="AL396" s="207"/>
      <c r="AM396" s="170"/>
      <c r="AN396" s="165"/>
      <c r="AO396" s="166"/>
      <c r="AP396" s="207">
        <v>335</v>
      </c>
      <c r="AQ396" s="170">
        <v>85</v>
      </c>
      <c r="AR396" s="165">
        <v>284</v>
      </c>
      <c r="AS396" s="166">
        <v>135</v>
      </c>
      <c r="AT396" s="207"/>
      <c r="AU396" s="170"/>
      <c r="AV396" s="190"/>
      <c r="AW396" s="166"/>
      <c r="AX396" s="208"/>
      <c r="AY396" s="170"/>
      <c r="AZ396" s="45"/>
      <c r="BA396" s="58"/>
      <c r="BB396" s="45"/>
      <c r="BC396" s="46"/>
      <c r="BD396" s="45"/>
      <c r="BE396" s="46"/>
      <c r="BF396" s="45"/>
      <c r="BG396" s="46"/>
      <c r="BH396" s="45"/>
      <c r="BI396" s="46"/>
      <c r="BJ396" s="45"/>
      <c r="BK396" s="46"/>
    </row>
    <row r="397" spans="1:63" ht="13" x14ac:dyDescent="0.25">
      <c r="A397" s="372">
        <v>6208</v>
      </c>
      <c r="B397" s="373" t="s">
        <v>520</v>
      </c>
      <c r="C397" s="360">
        <v>1</v>
      </c>
      <c r="D397" s="54">
        <v>1</v>
      </c>
      <c r="E397" s="367">
        <v>0.5</v>
      </c>
      <c r="F397" s="45">
        <v>1</v>
      </c>
      <c r="G397" s="58">
        <v>0</v>
      </c>
      <c r="H397" s="45">
        <v>1</v>
      </c>
      <c r="I397" s="57">
        <v>0</v>
      </c>
      <c r="J397" s="97"/>
      <c r="K397" s="58"/>
      <c r="L397" s="45"/>
      <c r="M397" s="57"/>
      <c r="N397" s="97"/>
      <c r="O397" s="58"/>
      <c r="P397" s="165"/>
      <c r="Q397" s="166"/>
      <c r="R397" s="207"/>
      <c r="S397" s="170"/>
      <c r="T397" s="165"/>
      <c r="U397" s="166"/>
      <c r="V397" s="207"/>
      <c r="W397" s="170"/>
      <c r="X397" s="165"/>
      <c r="Y397" s="166"/>
      <c r="Z397" s="207"/>
      <c r="AA397" s="170"/>
      <c r="AB397" s="165"/>
      <c r="AC397" s="166"/>
      <c r="AD397" s="207"/>
      <c r="AE397" s="170"/>
      <c r="AF397" s="165"/>
      <c r="AG397" s="166"/>
      <c r="AH397" s="207"/>
      <c r="AI397" s="170"/>
      <c r="AJ397" s="165"/>
      <c r="AK397" s="166"/>
      <c r="AL397" s="207"/>
      <c r="AM397" s="170"/>
      <c r="AN397" s="165"/>
      <c r="AO397" s="166"/>
      <c r="AP397" s="207">
        <v>1</v>
      </c>
      <c r="AQ397" s="170">
        <v>0</v>
      </c>
      <c r="AR397" s="165">
        <v>1</v>
      </c>
      <c r="AS397" s="166">
        <v>0</v>
      </c>
      <c r="AT397" s="207"/>
      <c r="AU397" s="170"/>
      <c r="AV397" s="190"/>
      <c r="AW397" s="166"/>
      <c r="AX397" s="208"/>
      <c r="AY397" s="170"/>
      <c r="AZ397" s="45"/>
      <c r="BA397" s="58"/>
      <c r="BB397" s="45"/>
      <c r="BC397" s="46"/>
      <c r="BD397" s="45"/>
      <c r="BE397" s="46"/>
      <c r="BF397" s="45"/>
      <c r="BG397" s="46"/>
      <c r="BH397" s="45"/>
      <c r="BI397" s="46"/>
      <c r="BJ397" s="45"/>
      <c r="BK397" s="46"/>
    </row>
    <row r="398" spans="1:63" ht="13" x14ac:dyDescent="0.25">
      <c r="A398" s="372">
        <v>6209</v>
      </c>
      <c r="B398" s="373" t="s">
        <v>521</v>
      </c>
      <c r="C398" s="360">
        <v>95</v>
      </c>
      <c r="D398" s="54">
        <v>42</v>
      </c>
      <c r="E398" s="367">
        <v>0.38709677419354838</v>
      </c>
      <c r="F398" s="45">
        <v>34</v>
      </c>
      <c r="G398" s="58">
        <v>8</v>
      </c>
      <c r="H398" s="45">
        <v>36</v>
      </c>
      <c r="I398" s="57">
        <v>6</v>
      </c>
      <c r="J398" s="97"/>
      <c r="K398" s="58"/>
      <c r="L398" s="45"/>
      <c r="M398" s="57"/>
      <c r="N398" s="97"/>
      <c r="O398" s="58"/>
      <c r="P398" s="165"/>
      <c r="Q398" s="166"/>
      <c r="R398" s="207"/>
      <c r="S398" s="170"/>
      <c r="T398" s="165"/>
      <c r="U398" s="166"/>
      <c r="V398" s="207"/>
      <c r="W398" s="170"/>
      <c r="X398" s="165"/>
      <c r="Y398" s="166"/>
      <c r="Z398" s="207"/>
      <c r="AA398" s="170"/>
      <c r="AB398" s="165"/>
      <c r="AC398" s="166"/>
      <c r="AD398" s="207"/>
      <c r="AE398" s="170"/>
      <c r="AF398" s="165"/>
      <c r="AG398" s="166"/>
      <c r="AH398" s="207"/>
      <c r="AI398" s="170"/>
      <c r="AJ398" s="165"/>
      <c r="AK398" s="166"/>
      <c r="AL398" s="207"/>
      <c r="AM398" s="170"/>
      <c r="AN398" s="165"/>
      <c r="AO398" s="166"/>
      <c r="AP398" s="207">
        <v>30</v>
      </c>
      <c r="AQ398" s="170">
        <v>12</v>
      </c>
      <c r="AR398" s="165">
        <v>28</v>
      </c>
      <c r="AS398" s="166">
        <v>14</v>
      </c>
      <c r="AT398" s="207"/>
      <c r="AU398" s="170"/>
      <c r="AV398" s="190"/>
      <c r="AW398" s="166"/>
      <c r="AX398" s="208"/>
      <c r="AY398" s="170"/>
      <c r="AZ398" s="45"/>
      <c r="BA398" s="58"/>
      <c r="BB398" s="45"/>
      <c r="BC398" s="46"/>
      <c r="BD398" s="45"/>
      <c r="BE398" s="46"/>
      <c r="BF398" s="45"/>
      <c r="BG398" s="46"/>
      <c r="BH398" s="45"/>
      <c r="BI398" s="46"/>
      <c r="BJ398" s="45"/>
      <c r="BK398" s="46"/>
    </row>
    <row r="399" spans="1:63" ht="13" x14ac:dyDescent="0.25">
      <c r="A399" s="372">
        <v>6401</v>
      </c>
      <c r="B399" s="373" t="s">
        <v>522</v>
      </c>
      <c r="C399" s="360">
        <v>1467</v>
      </c>
      <c r="D399" s="54">
        <v>696</v>
      </c>
      <c r="E399" s="367">
        <v>0.57784011220196352</v>
      </c>
      <c r="F399" s="45">
        <v>295</v>
      </c>
      <c r="G399" s="58">
        <v>397</v>
      </c>
      <c r="H399" s="45">
        <v>367</v>
      </c>
      <c r="I399" s="57">
        <v>316</v>
      </c>
      <c r="J399" s="97"/>
      <c r="K399" s="58"/>
      <c r="L399" s="45"/>
      <c r="M399" s="57"/>
      <c r="N399" s="97"/>
      <c r="O399" s="58"/>
      <c r="P399" s="165"/>
      <c r="Q399" s="166"/>
      <c r="R399" s="207"/>
      <c r="S399" s="170"/>
      <c r="T399" s="165"/>
      <c r="U399" s="166"/>
      <c r="V399" s="207"/>
      <c r="W399" s="170"/>
      <c r="X399" s="165"/>
      <c r="Y399" s="166"/>
      <c r="Z399" s="207"/>
      <c r="AA399" s="170"/>
      <c r="AB399" s="165"/>
      <c r="AC399" s="166"/>
      <c r="AD399" s="207"/>
      <c r="AE399" s="170"/>
      <c r="AF399" s="165"/>
      <c r="AG399" s="166"/>
      <c r="AH399" s="207"/>
      <c r="AI399" s="170"/>
      <c r="AJ399" s="165"/>
      <c r="AK399" s="166"/>
      <c r="AL399" s="207"/>
      <c r="AM399" s="170"/>
      <c r="AN399" s="165"/>
      <c r="AO399" s="166"/>
      <c r="AP399" s="207">
        <v>377</v>
      </c>
      <c r="AQ399" s="170">
        <v>305</v>
      </c>
      <c r="AR399" s="165">
        <v>273</v>
      </c>
      <c r="AS399" s="166">
        <v>412</v>
      </c>
      <c r="AT399" s="207"/>
      <c r="AU399" s="170"/>
      <c r="AV399" s="190"/>
      <c r="AW399" s="166"/>
      <c r="AX399" s="208"/>
      <c r="AY399" s="170"/>
      <c r="AZ399" s="45"/>
      <c r="BA399" s="58"/>
      <c r="BB399" s="45"/>
      <c r="BC399" s="46"/>
      <c r="BD399" s="45"/>
      <c r="BE399" s="46"/>
      <c r="BF399" s="45"/>
      <c r="BG399" s="46"/>
      <c r="BH399" s="45"/>
      <c r="BI399" s="46"/>
      <c r="BJ399" s="45"/>
      <c r="BK399" s="46"/>
    </row>
    <row r="400" spans="1:63" ht="13" x14ac:dyDescent="0.25">
      <c r="A400" s="372">
        <v>6402</v>
      </c>
      <c r="B400" s="373" t="s">
        <v>523</v>
      </c>
      <c r="C400" s="360">
        <v>1331</v>
      </c>
      <c r="D400" s="54">
        <v>733</v>
      </c>
      <c r="E400" s="367">
        <v>0.6270145817344589</v>
      </c>
      <c r="F400" s="45">
        <v>243</v>
      </c>
      <c r="G400" s="58">
        <v>485</v>
      </c>
      <c r="H400" s="45">
        <v>340</v>
      </c>
      <c r="I400" s="57">
        <v>377</v>
      </c>
      <c r="J400" s="97"/>
      <c r="K400" s="58"/>
      <c r="L400" s="45"/>
      <c r="M400" s="57"/>
      <c r="N400" s="97"/>
      <c r="O400" s="58"/>
      <c r="P400" s="165"/>
      <c r="Q400" s="166"/>
      <c r="R400" s="207"/>
      <c r="S400" s="170"/>
      <c r="T400" s="165"/>
      <c r="U400" s="166"/>
      <c r="V400" s="207"/>
      <c r="W400" s="170"/>
      <c r="X400" s="165"/>
      <c r="Y400" s="166"/>
      <c r="Z400" s="207"/>
      <c r="AA400" s="170"/>
      <c r="AB400" s="165"/>
      <c r="AC400" s="166"/>
      <c r="AD400" s="207"/>
      <c r="AE400" s="170"/>
      <c r="AF400" s="165"/>
      <c r="AG400" s="166"/>
      <c r="AH400" s="207"/>
      <c r="AI400" s="170"/>
      <c r="AJ400" s="165"/>
      <c r="AK400" s="166"/>
      <c r="AL400" s="207"/>
      <c r="AM400" s="170"/>
      <c r="AN400" s="165"/>
      <c r="AO400" s="166"/>
      <c r="AP400" s="207">
        <v>318</v>
      </c>
      <c r="AQ400" s="170">
        <v>393</v>
      </c>
      <c r="AR400" s="165">
        <v>206</v>
      </c>
      <c r="AS400" s="166">
        <v>511</v>
      </c>
      <c r="AT400" s="207"/>
      <c r="AU400" s="170"/>
      <c r="AV400" s="190"/>
      <c r="AW400" s="166"/>
      <c r="AX400" s="208"/>
      <c r="AY400" s="170"/>
      <c r="AZ400" s="45"/>
      <c r="BA400" s="58"/>
      <c r="BB400" s="45"/>
      <c r="BC400" s="46"/>
      <c r="BD400" s="45"/>
      <c r="BE400" s="46"/>
      <c r="BF400" s="45"/>
      <c r="BG400" s="46"/>
      <c r="BH400" s="45"/>
      <c r="BI400" s="46"/>
      <c r="BJ400" s="45"/>
      <c r="BK400" s="46"/>
    </row>
    <row r="401" spans="1:63" ht="13" x14ac:dyDescent="0.25">
      <c r="A401" s="372">
        <v>6501</v>
      </c>
      <c r="B401" s="373" t="s">
        <v>524</v>
      </c>
      <c r="C401" s="360">
        <v>1297</v>
      </c>
      <c r="D401" s="54">
        <v>501</v>
      </c>
      <c r="E401" s="367">
        <v>0.41195219123505977</v>
      </c>
      <c r="F401" s="45">
        <v>283</v>
      </c>
      <c r="G401" s="58">
        <v>213</v>
      </c>
      <c r="H401" s="45">
        <v>351</v>
      </c>
      <c r="I401" s="57">
        <v>143</v>
      </c>
      <c r="J401" s="97"/>
      <c r="K401" s="58"/>
      <c r="L401" s="45"/>
      <c r="M401" s="57"/>
      <c r="N401" s="97"/>
      <c r="O401" s="58"/>
      <c r="P401" s="165"/>
      <c r="Q401" s="166"/>
      <c r="R401" s="207"/>
      <c r="S401" s="170"/>
      <c r="T401" s="165"/>
      <c r="U401" s="166"/>
      <c r="V401" s="207"/>
      <c r="W401" s="170"/>
      <c r="X401" s="165"/>
      <c r="Y401" s="166"/>
      <c r="Z401" s="207"/>
      <c r="AA401" s="170"/>
      <c r="AB401" s="165"/>
      <c r="AC401" s="166"/>
      <c r="AD401" s="207"/>
      <c r="AE401" s="170"/>
      <c r="AF401" s="165"/>
      <c r="AG401" s="166"/>
      <c r="AH401" s="207">
        <v>262</v>
      </c>
      <c r="AI401" s="170">
        <v>229</v>
      </c>
      <c r="AJ401" s="165"/>
      <c r="AK401" s="166"/>
      <c r="AL401" s="207"/>
      <c r="AM401" s="170"/>
      <c r="AN401" s="165"/>
      <c r="AO401" s="166"/>
      <c r="AP401" s="207">
        <v>303</v>
      </c>
      <c r="AQ401" s="170">
        <v>188</v>
      </c>
      <c r="AR401" s="45">
        <v>251</v>
      </c>
      <c r="AS401" s="57">
        <v>240</v>
      </c>
      <c r="AT401" s="207"/>
      <c r="AU401" s="170"/>
      <c r="AV401" s="190"/>
      <c r="AW401" s="166"/>
      <c r="AX401" s="208"/>
      <c r="AY401" s="170"/>
      <c r="AZ401" s="199"/>
      <c r="BA401" s="204"/>
      <c r="BB401" s="45"/>
      <c r="BC401" s="46"/>
      <c r="BD401" s="45"/>
      <c r="BE401" s="46"/>
      <c r="BF401" s="45"/>
      <c r="BG401" s="46"/>
      <c r="BH401" s="45"/>
      <c r="BI401" s="46"/>
      <c r="BJ401" s="45"/>
      <c r="BK401" s="46"/>
    </row>
    <row r="402" spans="1:63" ht="13" x14ac:dyDescent="0.25">
      <c r="A402" s="372">
        <v>6502</v>
      </c>
      <c r="B402" s="373" t="s">
        <v>525</v>
      </c>
      <c r="C402" s="360">
        <v>1166</v>
      </c>
      <c r="D402" s="54">
        <v>476</v>
      </c>
      <c r="E402" s="367">
        <v>0.43470790378006874</v>
      </c>
      <c r="F402" s="45">
        <v>265</v>
      </c>
      <c r="G402" s="58">
        <v>206</v>
      </c>
      <c r="H402" s="45">
        <v>307</v>
      </c>
      <c r="I402" s="57">
        <v>164</v>
      </c>
      <c r="J402" s="97"/>
      <c r="K402" s="58"/>
      <c r="L402" s="45"/>
      <c r="M402" s="57"/>
      <c r="N402" s="97"/>
      <c r="O402" s="58"/>
      <c r="P402" s="165"/>
      <c r="Q402" s="166"/>
      <c r="R402" s="207"/>
      <c r="S402" s="170"/>
      <c r="T402" s="165"/>
      <c r="U402" s="166"/>
      <c r="V402" s="207"/>
      <c r="W402" s="170"/>
      <c r="X402" s="165"/>
      <c r="Y402" s="166"/>
      <c r="Z402" s="207"/>
      <c r="AA402" s="170"/>
      <c r="AB402" s="165"/>
      <c r="AC402" s="166"/>
      <c r="AD402" s="207"/>
      <c r="AE402" s="170"/>
      <c r="AF402" s="165"/>
      <c r="AG402" s="166"/>
      <c r="AH402" s="207">
        <v>262</v>
      </c>
      <c r="AI402" s="170">
        <v>197</v>
      </c>
      <c r="AJ402" s="165"/>
      <c r="AK402" s="166"/>
      <c r="AL402" s="207"/>
      <c r="AM402" s="170"/>
      <c r="AN402" s="165"/>
      <c r="AO402" s="166"/>
      <c r="AP402" s="207">
        <v>301</v>
      </c>
      <c r="AQ402" s="170">
        <v>165</v>
      </c>
      <c r="AR402" s="45">
        <v>226</v>
      </c>
      <c r="AS402" s="57">
        <v>232</v>
      </c>
      <c r="AT402" s="207"/>
      <c r="AU402" s="170"/>
      <c r="AV402" s="190"/>
      <c r="AW402" s="166"/>
      <c r="AX402" s="208"/>
      <c r="AY402" s="170"/>
      <c r="AZ402" s="199"/>
      <c r="BA402" s="204"/>
      <c r="BB402" s="45"/>
      <c r="BC402" s="46"/>
      <c r="BD402" s="45"/>
      <c r="BE402" s="46"/>
      <c r="BF402" s="45"/>
      <c r="BG402" s="46"/>
      <c r="BH402" s="45"/>
      <c r="BI402" s="46"/>
      <c r="BJ402" s="45"/>
      <c r="BK402" s="46"/>
    </row>
    <row r="403" spans="1:63" ht="13" x14ac:dyDescent="0.25">
      <c r="A403" s="372">
        <v>6503</v>
      </c>
      <c r="B403" s="373" t="s">
        <v>526</v>
      </c>
      <c r="C403" s="360">
        <v>1128</v>
      </c>
      <c r="D403" s="54">
        <v>685</v>
      </c>
      <c r="E403" s="367">
        <v>0.62995594713656389</v>
      </c>
      <c r="F403" s="45">
        <v>297</v>
      </c>
      <c r="G403" s="58">
        <v>382</v>
      </c>
      <c r="H403" s="45">
        <v>342</v>
      </c>
      <c r="I403" s="57">
        <v>331</v>
      </c>
      <c r="J403" s="97"/>
      <c r="K403" s="58"/>
      <c r="L403" s="45"/>
      <c r="M403" s="57"/>
      <c r="N403" s="97"/>
      <c r="O403" s="58"/>
      <c r="P403" s="165"/>
      <c r="Q403" s="166"/>
      <c r="R403" s="207"/>
      <c r="S403" s="170"/>
      <c r="T403" s="165"/>
      <c r="U403" s="166"/>
      <c r="V403" s="207"/>
      <c r="W403" s="170"/>
      <c r="X403" s="165"/>
      <c r="Y403" s="166"/>
      <c r="Z403" s="207"/>
      <c r="AA403" s="170"/>
      <c r="AB403" s="165"/>
      <c r="AC403" s="166"/>
      <c r="AD403" s="207"/>
      <c r="AE403" s="170"/>
      <c r="AF403" s="165"/>
      <c r="AG403" s="166"/>
      <c r="AH403" s="207">
        <v>382</v>
      </c>
      <c r="AI403" s="170">
        <v>280</v>
      </c>
      <c r="AJ403" s="165"/>
      <c r="AK403" s="166"/>
      <c r="AL403" s="207"/>
      <c r="AM403" s="170"/>
      <c r="AN403" s="165"/>
      <c r="AO403" s="166"/>
      <c r="AP403" s="207">
        <v>411</v>
      </c>
      <c r="AQ403" s="170">
        <v>260</v>
      </c>
      <c r="AR403" s="165">
        <v>261</v>
      </c>
      <c r="AS403" s="166">
        <v>404</v>
      </c>
      <c r="AT403" s="207"/>
      <c r="AU403" s="170"/>
      <c r="AV403" s="190"/>
      <c r="AW403" s="166"/>
      <c r="AX403" s="208"/>
      <c r="AY403" s="170"/>
      <c r="AZ403" s="199"/>
      <c r="BA403" s="204"/>
      <c r="BB403" s="199"/>
      <c r="BC403" s="200"/>
      <c r="BD403" s="199"/>
      <c r="BE403" s="200"/>
      <c r="BF403" s="199"/>
      <c r="BG403" s="200"/>
      <c r="BH403" s="199"/>
      <c r="BI403" s="200"/>
      <c r="BJ403" s="199"/>
      <c r="BK403" s="200"/>
    </row>
    <row r="404" spans="1:63" ht="13" x14ac:dyDescent="0.25">
      <c r="A404" s="372">
        <v>6504</v>
      </c>
      <c r="B404" s="373" t="s">
        <v>527</v>
      </c>
      <c r="C404" s="360">
        <v>948</v>
      </c>
      <c r="D404" s="54">
        <v>446</v>
      </c>
      <c r="E404" s="367">
        <v>0.54916317991631802</v>
      </c>
      <c r="F404" s="45">
        <v>216</v>
      </c>
      <c r="G404" s="58">
        <v>222</v>
      </c>
      <c r="H404" s="45">
        <v>243</v>
      </c>
      <c r="I404" s="57">
        <v>196</v>
      </c>
      <c r="J404" s="97"/>
      <c r="K404" s="58"/>
      <c r="L404" s="45"/>
      <c r="M404" s="57"/>
      <c r="N404" s="97"/>
      <c r="O404" s="58"/>
      <c r="P404" s="165"/>
      <c r="Q404" s="166"/>
      <c r="R404" s="207"/>
      <c r="S404" s="170"/>
      <c r="T404" s="165"/>
      <c r="U404" s="166"/>
      <c r="V404" s="207"/>
      <c r="W404" s="170"/>
      <c r="X404" s="165"/>
      <c r="Y404" s="166"/>
      <c r="Z404" s="207"/>
      <c r="AA404" s="170"/>
      <c r="AB404" s="165"/>
      <c r="AC404" s="166"/>
      <c r="AD404" s="207"/>
      <c r="AE404" s="170"/>
      <c r="AF404" s="165"/>
      <c r="AG404" s="166"/>
      <c r="AH404" s="207">
        <v>255</v>
      </c>
      <c r="AI404" s="170">
        <v>187</v>
      </c>
      <c r="AJ404" s="165"/>
      <c r="AK404" s="166"/>
      <c r="AL404" s="207"/>
      <c r="AM404" s="170"/>
      <c r="AN404" s="165"/>
      <c r="AO404" s="166"/>
      <c r="AP404" s="207">
        <v>276</v>
      </c>
      <c r="AQ404" s="170">
        <v>166</v>
      </c>
      <c r="AR404" s="165">
        <v>201</v>
      </c>
      <c r="AS404" s="166">
        <v>238</v>
      </c>
      <c r="AT404" s="207"/>
      <c r="AU404" s="170"/>
      <c r="AV404" s="190"/>
      <c r="AW404" s="166"/>
      <c r="AX404" s="208"/>
      <c r="AY404" s="170"/>
      <c r="AZ404" s="45"/>
      <c r="BA404" s="58"/>
      <c r="BB404" s="199"/>
      <c r="BC404" s="200"/>
      <c r="BD404" s="199"/>
      <c r="BE404" s="200"/>
      <c r="BF404" s="199"/>
      <c r="BG404" s="200"/>
      <c r="BH404" s="199"/>
      <c r="BI404" s="200"/>
      <c r="BJ404" s="199"/>
      <c r="BK404" s="200"/>
    </row>
    <row r="405" spans="1:63" ht="13" x14ac:dyDescent="0.25">
      <c r="A405" s="372">
        <v>6505</v>
      </c>
      <c r="B405" s="373" t="s">
        <v>528</v>
      </c>
      <c r="C405" s="360">
        <v>984</v>
      </c>
      <c r="D405" s="54">
        <v>594</v>
      </c>
      <c r="E405" s="367">
        <v>0.66869918699186992</v>
      </c>
      <c r="F405" s="45">
        <v>200</v>
      </c>
      <c r="G405" s="58">
        <v>387</v>
      </c>
      <c r="H405" s="45">
        <v>280</v>
      </c>
      <c r="I405" s="57">
        <v>299</v>
      </c>
      <c r="J405" s="97"/>
      <c r="K405" s="58"/>
      <c r="L405" s="45"/>
      <c r="M405" s="57"/>
      <c r="N405" s="97"/>
      <c r="O405" s="58"/>
      <c r="P405" s="165"/>
      <c r="Q405" s="166"/>
      <c r="R405" s="207"/>
      <c r="S405" s="170"/>
      <c r="T405" s="165"/>
      <c r="U405" s="166"/>
      <c r="V405" s="207"/>
      <c r="W405" s="170"/>
      <c r="X405" s="165"/>
      <c r="Y405" s="166"/>
      <c r="Z405" s="207"/>
      <c r="AA405" s="170"/>
      <c r="AB405" s="165"/>
      <c r="AC405" s="166"/>
      <c r="AD405" s="207"/>
      <c r="AE405" s="170"/>
      <c r="AF405" s="165"/>
      <c r="AG405" s="166"/>
      <c r="AH405" s="207">
        <v>310</v>
      </c>
      <c r="AI405" s="170">
        <v>271</v>
      </c>
      <c r="AJ405" s="165"/>
      <c r="AK405" s="166"/>
      <c r="AL405" s="207"/>
      <c r="AM405" s="170"/>
      <c r="AN405" s="165"/>
      <c r="AO405" s="166"/>
      <c r="AP405" s="207">
        <v>332</v>
      </c>
      <c r="AQ405" s="170">
        <v>251</v>
      </c>
      <c r="AR405" s="165">
        <v>221</v>
      </c>
      <c r="AS405" s="166">
        <v>355</v>
      </c>
      <c r="AT405" s="207"/>
      <c r="AU405" s="170"/>
      <c r="AV405" s="190"/>
      <c r="AW405" s="166"/>
      <c r="AX405" s="208"/>
      <c r="AY405" s="170"/>
      <c r="AZ405" s="199"/>
      <c r="BA405" s="204"/>
      <c r="BB405" s="199"/>
      <c r="BC405" s="200"/>
      <c r="BD405" s="199"/>
      <c r="BE405" s="200"/>
      <c r="BF405" s="199"/>
      <c r="BG405" s="200"/>
      <c r="BH405" s="199"/>
      <c r="BI405" s="200"/>
      <c r="BJ405" s="199"/>
      <c r="BK405" s="200"/>
    </row>
    <row r="406" spans="1:63" ht="13" x14ac:dyDescent="0.25">
      <c r="A406" s="372">
        <v>6506</v>
      </c>
      <c r="B406" s="373" t="s">
        <v>529</v>
      </c>
      <c r="C406" s="360">
        <v>1184</v>
      </c>
      <c r="D406" s="54">
        <v>590</v>
      </c>
      <c r="E406" s="367">
        <v>0.54195205479452058</v>
      </c>
      <c r="F406" s="45">
        <v>300</v>
      </c>
      <c r="G406" s="58">
        <v>281</v>
      </c>
      <c r="H406" s="45">
        <v>352</v>
      </c>
      <c r="I406" s="57">
        <v>227</v>
      </c>
      <c r="J406" s="97"/>
      <c r="K406" s="58"/>
      <c r="L406" s="45"/>
      <c r="M406" s="57"/>
      <c r="N406" s="97"/>
      <c r="O406" s="58"/>
      <c r="P406" s="165"/>
      <c r="Q406" s="166"/>
      <c r="R406" s="207"/>
      <c r="S406" s="170"/>
      <c r="T406" s="165"/>
      <c r="U406" s="166"/>
      <c r="V406" s="207"/>
      <c r="W406" s="170"/>
      <c r="X406" s="165"/>
      <c r="Y406" s="166"/>
      <c r="Z406" s="207"/>
      <c r="AA406" s="170"/>
      <c r="AB406" s="165"/>
      <c r="AC406" s="166"/>
      <c r="AD406" s="207"/>
      <c r="AE406" s="170"/>
      <c r="AF406" s="165"/>
      <c r="AG406" s="166"/>
      <c r="AH406" s="207">
        <v>330</v>
      </c>
      <c r="AI406" s="170">
        <v>246</v>
      </c>
      <c r="AJ406" s="165"/>
      <c r="AK406" s="166"/>
      <c r="AL406" s="207"/>
      <c r="AM406" s="170"/>
      <c r="AN406" s="165"/>
      <c r="AO406" s="166"/>
      <c r="AP406" s="207">
        <v>361</v>
      </c>
      <c r="AQ406" s="170">
        <v>215</v>
      </c>
      <c r="AR406" s="165">
        <v>263</v>
      </c>
      <c r="AS406" s="166">
        <v>308</v>
      </c>
      <c r="AT406" s="207"/>
      <c r="AU406" s="170"/>
      <c r="AV406" s="190"/>
      <c r="AW406" s="166"/>
      <c r="AX406" s="208"/>
      <c r="AY406" s="170"/>
      <c r="AZ406" s="199"/>
      <c r="BA406" s="204"/>
      <c r="BB406" s="199"/>
      <c r="BC406" s="200"/>
      <c r="BD406" s="199"/>
      <c r="BE406" s="200"/>
      <c r="BF406" s="199"/>
      <c r="BG406" s="200"/>
      <c r="BH406" s="199"/>
      <c r="BI406" s="200"/>
      <c r="BJ406" s="199"/>
      <c r="BK406" s="200"/>
    </row>
    <row r="407" spans="1:63" ht="13" x14ac:dyDescent="0.25">
      <c r="A407" s="372">
        <v>6507</v>
      </c>
      <c r="B407" s="373" t="s">
        <v>530</v>
      </c>
      <c r="C407" s="360">
        <v>1175</v>
      </c>
      <c r="D407" s="54">
        <v>717</v>
      </c>
      <c r="E407" s="367">
        <v>0.65364120781527535</v>
      </c>
      <c r="F407" s="45">
        <v>272</v>
      </c>
      <c r="G407" s="58">
        <v>440</v>
      </c>
      <c r="H407" s="45">
        <v>342</v>
      </c>
      <c r="I407" s="57">
        <v>360</v>
      </c>
      <c r="J407" s="97"/>
      <c r="K407" s="58"/>
      <c r="L407" s="45"/>
      <c r="M407" s="57"/>
      <c r="N407" s="97"/>
      <c r="O407" s="58"/>
      <c r="P407" s="165"/>
      <c r="Q407" s="166"/>
      <c r="R407" s="207"/>
      <c r="S407" s="170"/>
      <c r="T407" s="165"/>
      <c r="U407" s="166"/>
      <c r="V407" s="207"/>
      <c r="W407" s="170"/>
      <c r="X407" s="165"/>
      <c r="Y407" s="166"/>
      <c r="Z407" s="207"/>
      <c r="AA407" s="170"/>
      <c r="AB407" s="165"/>
      <c r="AC407" s="166"/>
      <c r="AD407" s="207"/>
      <c r="AE407" s="170"/>
      <c r="AF407" s="165"/>
      <c r="AG407" s="166"/>
      <c r="AH407" s="207">
        <v>389</v>
      </c>
      <c r="AI407" s="170">
        <v>308</v>
      </c>
      <c r="AJ407" s="165"/>
      <c r="AK407" s="166"/>
      <c r="AL407" s="207"/>
      <c r="AM407" s="170"/>
      <c r="AN407" s="165"/>
      <c r="AO407" s="166"/>
      <c r="AP407" s="207">
        <v>414</v>
      </c>
      <c r="AQ407" s="170">
        <v>291</v>
      </c>
      <c r="AR407" s="165">
        <v>275</v>
      </c>
      <c r="AS407" s="166">
        <v>426</v>
      </c>
      <c r="AT407" s="207"/>
      <c r="AU407" s="170"/>
      <c r="AV407" s="190"/>
      <c r="AW407" s="166"/>
      <c r="AX407" s="208"/>
      <c r="AY407" s="170"/>
      <c r="AZ407" s="45"/>
      <c r="BA407" s="58"/>
      <c r="BB407" s="199"/>
      <c r="BC407" s="200"/>
      <c r="BD407" s="199"/>
      <c r="BE407" s="200"/>
      <c r="BF407" s="199"/>
      <c r="BG407" s="200"/>
      <c r="BH407" s="199"/>
      <c r="BI407" s="200"/>
      <c r="BJ407" s="199"/>
      <c r="BK407" s="200"/>
    </row>
    <row r="408" spans="1:63" ht="13" x14ac:dyDescent="0.25">
      <c r="A408" s="372">
        <v>6508</v>
      </c>
      <c r="B408" s="373" t="s">
        <v>531</v>
      </c>
      <c r="C408" s="360">
        <v>1340</v>
      </c>
      <c r="D408" s="54">
        <v>777</v>
      </c>
      <c r="E408" s="367">
        <v>0.59337349397590367</v>
      </c>
      <c r="F408" s="45">
        <v>355</v>
      </c>
      <c r="G408" s="58">
        <v>420</v>
      </c>
      <c r="H408" s="45">
        <v>433</v>
      </c>
      <c r="I408" s="57">
        <v>328</v>
      </c>
      <c r="J408" s="97"/>
      <c r="K408" s="58"/>
      <c r="L408" s="45"/>
      <c r="M408" s="57"/>
      <c r="N408" s="97"/>
      <c r="O408" s="58"/>
      <c r="P408" s="165"/>
      <c r="Q408" s="166"/>
      <c r="R408" s="207"/>
      <c r="S408" s="170"/>
      <c r="T408" s="165"/>
      <c r="U408" s="166"/>
      <c r="V408" s="207"/>
      <c r="W408" s="170"/>
      <c r="X408" s="165"/>
      <c r="Y408" s="166"/>
      <c r="Z408" s="207"/>
      <c r="AA408" s="170"/>
      <c r="AB408" s="165"/>
      <c r="AC408" s="166"/>
      <c r="AD408" s="207"/>
      <c r="AE408" s="170"/>
      <c r="AF408" s="165"/>
      <c r="AG408" s="166"/>
      <c r="AH408" s="207">
        <v>429</v>
      </c>
      <c r="AI408" s="170">
        <v>332</v>
      </c>
      <c r="AJ408" s="165"/>
      <c r="AK408" s="166"/>
      <c r="AL408" s="207"/>
      <c r="AM408" s="170"/>
      <c r="AN408" s="165"/>
      <c r="AO408" s="166"/>
      <c r="AP408" s="207">
        <v>479</v>
      </c>
      <c r="AQ408" s="170">
        <v>289</v>
      </c>
      <c r="AR408" s="165">
        <v>354</v>
      </c>
      <c r="AS408" s="166">
        <v>411</v>
      </c>
      <c r="AT408" s="207"/>
      <c r="AU408" s="170"/>
      <c r="AV408" s="190"/>
      <c r="AW408" s="166"/>
      <c r="AX408" s="208"/>
      <c r="AY408" s="170"/>
      <c r="AZ408" s="199"/>
      <c r="BA408" s="204"/>
      <c r="BB408" s="199"/>
      <c r="BC408" s="200"/>
      <c r="BD408" s="199"/>
      <c r="BE408" s="200"/>
      <c r="BF408" s="199"/>
      <c r="BG408" s="200"/>
      <c r="BH408" s="199"/>
      <c r="BI408" s="200"/>
      <c r="BJ408" s="199"/>
      <c r="BK408" s="200"/>
    </row>
    <row r="409" spans="1:63" ht="13" x14ac:dyDescent="0.25">
      <c r="A409" s="372">
        <v>6509</v>
      </c>
      <c r="B409" s="373" t="s">
        <v>532</v>
      </c>
      <c r="C409" s="360">
        <v>681</v>
      </c>
      <c r="D409" s="54">
        <v>356</v>
      </c>
      <c r="E409" s="367">
        <v>0.55945121951219512</v>
      </c>
      <c r="F409" s="45">
        <v>169</v>
      </c>
      <c r="G409" s="58">
        <v>183</v>
      </c>
      <c r="H409" s="45">
        <v>191</v>
      </c>
      <c r="I409" s="57">
        <v>160</v>
      </c>
      <c r="J409" s="97"/>
      <c r="K409" s="58"/>
      <c r="L409" s="45"/>
      <c r="M409" s="57"/>
      <c r="N409" s="97"/>
      <c r="O409" s="58"/>
      <c r="P409" s="165"/>
      <c r="Q409" s="166"/>
      <c r="R409" s="207"/>
      <c r="S409" s="170"/>
      <c r="T409" s="165"/>
      <c r="U409" s="166"/>
      <c r="V409" s="207"/>
      <c r="W409" s="170"/>
      <c r="X409" s="165"/>
      <c r="Y409" s="166"/>
      <c r="Z409" s="207"/>
      <c r="AA409" s="170"/>
      <c r="AB409" s="165"/>
      <c r="AC409" s="166"/>
      <c r="AD409" s="207"/>
      <c r="AE409" s="170"/>
      <c r="AF409" s="165"/>
      <c r="AG409" s="166"/>
      <c r="AH409" s="207">
        <v>221</v>
      </c>
      <c r="AI409" s="170">
        <v>128</v>
      </c>
      <c r="AJ409" s="165"/>
      <c r="AK409" s="166"/>
      <c r="AL409" s="207"/>
      <c r="AM409" s="170"/>
      <c r="AN409" s="165"/>
      <c r="AO409" s="166"/>
      <c r="AP409" s="207">
        <v>219</v>
      </c>
      <c r="AQ409" s="170">
        <v>134</v>
      </c>
      <c r="AR409" s="165">
        <v>168</v>
      </c>
      <c r="AS409" s="166">
        <v>185</v>
      </c>
      <c r="AT409" s="207"/>
      <c r="AU409" s="170"/>
      <c r="AV409" s="190"/>
      <c r="AW409" s="166"/>
      <c r="AX409" s="208"/>
      <c r="AY409" s="170"/>
      <c r="AZ409" s="199"/>
      <c r="BA409" s="204"/>
      <c r="BB409" s="199"/>
      <c r="BC409" s="200"/>
      <c r="BD409" s="199"/>
      <c r="BE409" s="200"/>
      <c r="BF409" s="199"/>
      <c r="BG409" s="200"/>
      <c r="BH409" s="199"/>
      <c r="BI409" s="200"/>
      <c r="BJ409" s="199"/>
      <c r="BK409" s="200"/>
    </row>
    <row r="410" spans="1:63" ht="13" x14ac:dyDescent="0.25">
      <c r="A410" s="372">
        <v>6510</v>
      </c>
      <c r="B410" s="373" t="s">
        <v>533</v>
      </c>
      <c r="C410" s="360">
        <v>1372</v>
      </c>
      <c r="D410" s="54">
        <v>660</v>
      </c>
      <c r="E410" s="367">
        <v>0.50993377483443714</v>
      </c>
      <c r="F410" s="45">
        <v>324</v>
      </c>
      <c r="G410" s="58">
        <v>330</v>
      </c>
      <c r="H410" s="45">
        <v>365</v>
      </c>
      <c r="I410" s="57">
        <v>289</v>
      </c>
      <c r="J410" s="97"/>
      <c r="K410" s="58"/>
      <c r="L410" s="45"/>
      <c r="M410" s="57"/>
      <c r="N410" s="97"/>
      <c r="O410" s="58"/>
      <c r="P410" s="165"/>
      <c r="Q410" s="166"/>
      <c r="R410" s="207"/>
      <c r="S410" s="170"/>
      <c r="T410" s="165"/>
      <c r="U410" s="166"/>
      <c r="V410" s="207"/>
      <c r="W410" s="170"/>
      <c r="X410" s="165"/>
      <c r="Y410" s="166"/>
      <c r="Z410" s="207"/>
      <c r="AA410" s="170"/>
      <c r="AB410" s="165"/>
      <c r="AC410" s="166"/>
      <c r="AD410" s="207"/>
      <c r="AE410" s="170"/>
      <c r="AF410" s="165"/>
      <c r="AG410" s="166"/>
      <c r="AH410" s="207">
        <v>373</v>
      </c>
      <c r="AI410" s="170">
        <v>272</v>
      </c>
      <c r="AJ410" s="165"/>
      <c r="AK410" s="166"/>
      <c r="AL410" s="207"/>
      <c r="AM410" s="170"/>
      <c r="AN410" s="165"/>
      <c r="AO410" s="166"/>
      <c r="AP410" s="207">
        <v>407</v>
      </c>
      <c r="AQ410" s="170">
        <v>248</v>
      </c>
      <c r="AR410" s="165">
        <v>294</v>
      </c>
      <c r="AS410" s="166">
        <v>351</v>
      </c>
      <c r="AT410" s="207"/>
      <c r="AU410" s="170"/>
      <c r="AV410" s="190"/>
      <c r="AW410" s="166"/>
      <c r="AX410" s="208"/>
      <c r="AY410" s="170"/>
      <c r="AZ410" s="199"/>
      <c r="BA410" s="204"/>
      <c r="BB410" s="199"/>
      <c r="BC410" s="200"/>
      <c r="BD410" s="199"/>
      <c r="BE410" s="200"/>
      <c r="BF410" s="199"/>
      <c r="BG410" s="200"/>
      <c r="BH410" s="199"/>
      <c r="BI410" s="200"/>
      <c r="BJ410" s="199"/>
      <c r="BK410" s="200"/>
    </row>
    <row r="411" spans="1:63" ht="13" x14ac:dyDescent="0.25">
      <c r="A411" s="372">
        <v>6511</v>
      </c>
      <c r="B411" s="373" t="s">
        <v>534</v>
      </c>
      <c r="C411" s="360">
        <v>824</v>
      </c>
      <c r="D411" s="54">
        <v>516</v>
      </c>
      <c r="E411" s="367">
        <v>0.66460396039603964</v>
      </c>
      <c r="F411" s="45">
        <v>241</v>
      </c>
      <c r="G411" s="58">
        <v>268</v>
      </c>
      <c r="H411" s="45">
        <v>254</v>
      </c>
      <c r="I411" s="57">
        <v>255</v>
      </c>
      <c r="J411" s="97"/>
      <c r="K411" s="58"/>
      <c r="L411" s="45"/>
      <c r="M411" s="57"/>
      <c r="N411" s="97"/>
      <c r="O411" s="58"/>
      <c r="P411" s="165"/>
      <c r="Q411" s="166"/>
      <c r="R411" s="207"/>
      <c r="S411" s="170"/>
      <c r="T411" s="165"/>
      <c r="U411" s="166"/>
      <c r="V411" s="207"/>
      <c r="W411" s="170"/>
      <c r="X411" s="165"/>
      <c r="Y411" s="166"/>
      <c r="Z411" s="207"/>
      <c r="AA411" s="170"/>
      <c r="AB411" s="165"/>
      <c r="AC411" s="166"/>
      <c r="AD411" s="207"/>
      <c r="AE411" s="170"/>
      <c r="AF411" s="165"/>
      <c r="AG411" s="166"/>
      <c r="AH411" s="207">
        <v>304</v>
      </c>
      <c r="AI411" s="170">
        <v>207</v>
      </c>
      <c r="AJ411" s="165"/>
      <c r="AK411" s="166"/>
      <c r="AL411" s="207"/>
      <c r="AM411" s="170"/>
      <c r="AN411" s="165"/>
      <c r="AO411" s="166"/>
      <c r="AP411" s="207">
        <v>305</v>
      </c>
      <c r="AQ411" s="170">
        <v>204</v>
      </c>
      <c r="AR411" s="165">
        <v>235</v>
      </c>
      <c r="AS411" s="166">
        <v>275</v>
      </c>
      <c r="AT411" s="207"/>
      <c r="AU411" s="170"/>
      <c r="AV411" s="190"/>
      <c r="AW411" s="166"/>
      <c r="AX411" s="208"/>
      <c r="AY411" s="170"/>
      <c r="AZ411" s="199"/>
      <c r="BA411" s="204"/>
      <c r="BB411" s="199"/>
      <c r="BC411" s="200"/>
      <c r="BD411" s="199"/>
      <c r="BE411" s="200"/>
      <c r="BF411" s="199"/>
      <c r="BG411" s="200"/>
      <c r="BH411" s="199"/>
      <c r="BI411" s="200"/>
      <c r="BJ411" s="199"/>
      <c r="BK411" s="200"/>
    </row>
    <row r="412" spans="1:63" ht="13" x14ac:dyDescent="0.25">
      <c r="A412" s="372">
        <v>6512</v>
      </c>
      <c r="B412" s="373" t="s">
        <v>535</v>
      </c>
      <c r="C412" s="360">
        <v>1069</v>
      </c>
      <c r="D412" s="54">
        <v>659</v>
      </c>
      <c r="E412" s="367">
        <v>0.63222748815165875</v>
      </c>
      <c r="F412" s="45">
        <v>295</v>
      </c>
      <c r="G412" s="58">
        <v>360</v>
      </c>
      <c r="H412" s="45">
        <v>325</v>
      </c>
      <c r="I412" s="57">
        <v>322</v>
      </c>
      <c r="J412" s="97"/>
      <c r="K412" s="58"/>
      <c r="L412" s="45"/>
      <c r="M412" s="57"/>
      <c r="N412" s="97"/>
      <c r="O412" s="58"/>
      <c r="P412" s="165"/>
      <c r="Q412" s="166"/>
      <c r="R412" s="207"/>
      <c r="S412" s="170"/>
      <c r="T412" s="165"/>
      <c r="U412" s="166"/>
      <c r="V412" s="207"/>
      <c r="W412" s="170"/>
      <c r="X412" s="165"/>
      <c r="Y412" s="166"/>
      <c r="Z412" s="207"/>
      <c r="AA412" s="170"/>
      <c r="AB412" s="165"/>
      <c r="AC412" s="166"/>
      <c r="AD412" s="207"/>
      <c r="AE412" s="170"/>
      <c r="AF412" s="165"/>
      <c r="AG412" s="166"/>
      <c r="AH412" s="207">
        <v>365</v>
      </c>
      <c r="AI412" s="170">
        <v>282</v>
      </c>
      <c r="AJ412" s="165"/>
      <c r="AK412" s="166"/>
      <c r="AL412" s="207"/>
      <c r="AM412" s="170"/>
      <c r="AN412" s="165"/>
      <c r="AO412" s="166"/>
      <c r="AP412" s="207">
        <v>392</v>
      </c>
      <c r="AQ412" s="170">
        <v>258</v>
      </c>
      <c r="AR412" s="165">
        <v>269</v>
      </c>
      <c r="AS412" s="166">
        <v>376</v>
      </c>
      <c r="AT412" s="207"/>
      <c r="AU412" s="170"/>
      <c r="AV412" s="190"/>
      <c r="AW412" s="166"/>
      <c r="AX412" s="208"/>
      <c r="AY412" s="170"/>
      <c r="AZ412" s="199"/>
      <c r="BA412" s="204"/>
      <c r="BB412" s="199"/>
      <c r="BC412" s="200"/>
      <c r="BD412" s="199"/>
      <c r="BE412" s="200"/>
      <c r="BF412" s="199"/>
      <c r="BG412" s="200"/>
      <c r="BH412" s="199"/>
      <c r="BI412" s="200"/>
      <c r="BJ412" s="199"/>
      <c r="BK412" s="200"/>
    </row>
    <row r="413" spans="1:63" ht="13" x14ac:dyDescent="0.25">
      <c r="A413" s="372">
        <v>6513</v>
      </c>
      <c r="B413" s="373" t="s">
        <v>536</v>
      </c>
      <c r="C413" s="360">
        <v>1055</v>
      </c>
      <c r="D413" s="54">
        <v>521</v>
      </c>
      <c r="E413" s="367">
        <v>0.51420454545454541</v>
      </c>
      <c r="F413" s="45">
        <v>244</v>
      </c>
      <c r="G413" s="58">
        <v>269</v>
      </c>
      <c r="H413" s="45">
        <v>315</v>
      </c>
      <c r="I413" s="57">
        <v>203</v>
      </c>
      <c r="J413" s="97"/>
      <c r="K413" s="58"/>
      <c r="L413" s="45"/>
      <c r="M413" s="57"/>
      <c r="N413" s="97"/>
      <c r="O413" s="58"/>
      <c r="P413" s="165"/>
      <c r="Q413" s="166"/>
      <c r="R413" s="207"/>
      <c r="S413" s="170"/>
      <c r="T413" s="165"/>
      <c r="U413" s="166"/>
      <c r="V413" s="207"/>
      <c r="W413" s="170"/>
      <c r="X413" s="165"/>
      <c r="Y413" s="166"/>
      <c r="Z413" s="207"/>
      <c r="AA413" s="170"/>
      <c r="AB413" s="165"/>
      <c r="AC413" s="166"/>
      <c r="AD413" s="207"/>
      <c r="AE413" s="170"/>
      <c r="AF413" s="165"/>
      <c r="AG413" s="166"/>
      <c r="AH413" s="207">
        <v>289</v>
      </c>
      <c r="AI413" s="170">
        <v>221</v>
      </c>
      <c r="AJ413" s="165"/>
      <c r="AK413" s="166"/>
      <c r="AL413" s="207"/>
      <c r="AM413" s="170"/>
      <c r="AN413" s="165"/>
      <c r="AO413" s="166"/>
      <c r="AP413" s="207">
        <v>328</v>
      </c>
      <c r="AQ413" s="170">
        <v>189</v>
      </c>
      <c r="AR413" s="165">
        <v>239</v>
      </c>
      <c r="AS413" s="166">
        <v>277</v>
      </c>
      <c r="AT413" s="207"/>
      <c r="AU413" s="170"/>
      <c r="AV413" s="190"/>
      <c r="AW413" s="166"/>
      <c r="AX413" s="208"/>
      <c r="AY413" s="170"/>
      <c r="AZ413" s="199"/>
      <c r="BA413" s="204"/>
      <c r="BB413" s="199"/>
      <c r="BC413" s="200"/>
      <c r="BD413" s="199"/>
      <c r="BE413" s="200"/>
      <c r="BF413" s="199"/>
      <c r="BG413" s="200"/>
      <c r="BH413" s="199"/>
      <c r="BI413" s="200"/>
      <c r="BJ413" s="199"/>
      <c r="BK413" s="200"/>
    </row>
    <row r="414" spans="1:63" ht="13" x14ac:dyDescent="0.25">
      <c r="A414" s="372">
        <v>6514</v>
      </c>
      <c r="B414" s="373" t="s">
        <v>537</v>
      </c>
      <c r="C414" s="360">
        <v>621</v>
      </c>
      <c r="D414" s="54">
        <v>275</v>
      </c>
      <c r="E414" s="367">
        <v>0.47039999999999998</v>
      </c>
      <c r="F414" s="45">
        <v>160</v>
      </c>
      <c r="G414" s="58">
        <v>111</v>
      </c>
      <c r="H414" s="45">
        <v>172</v>
      </c>
      <c r="I414" s="57">
        <v>98</v>
      </c>
      <c r="J414" s="97"/>
      <c r="K414" s="58"/>
      <c r="L414" s="45"/>
      <c r="M414" s="57"/>
      <c r="N414" s="97"/>
      <c r="O414" s="58"/>
      <c r="P414" s="165"/>
      <c r="Q414" s="166"/>
      <c r="R414" s="207"/>
      <c r="S414" s="170"/>
      <c r="T414" s="165"/>
      <c r="U414" s="166"/>
      <c r="V414" s="207"/>
      <c r="W414" s="170"/>
      <c r="X414" s="165"/>
      <c r="Y414" s="166"/>
      <c r="Z414" s="207"/>
      <c r="AA414" s="170"/>
      <c r="AB414" s="165"/>
      <c r="AC414" s="166"/>
      <c r="AD414" s="207"/>
      <c r="AE414" s="170"/>
      <c r="AF414" s="165"/>
      <c r="AG414" s="166"/>
      <c r="AH414" s="207">
        <v>165</v>
      </c>
      <c r="AI414" s="170">
        <v>104</v>
      </c>
      <c r="AJ414" s="165"/>
      <c r="AK414" s="166"/>
      <c r="AL414" s="207"/>
      <c r="AM414" s="170"/>
      <c r="AN414" s="165"/>
      <c r="AO414" s="166"/>
      <c r="AP414" s="207">
        <v>170</v>
      </c>
      <c r="AQ414" s="170">
        <v>99</v>
      </c>
      <c r="AR414" s="165">
        <v>131</v>
      </c>
      <c r="AS414" s="166">
        <v>138</v>
      </c>
      <c r="AT414" s="207"/>
      <c r="AU414" s="170"/>
      <c r="AV414" s="190"/>
      <c r="AW414" s="166"/>
      <c r="AX414" s="208"/>
      <c r="AY414" s="170"/>
      <c r="AZ414" s="199"/>
      <c r="BA414" s="204"/>
      <c r="BB414" s="199"/>
      <c r="BC414" s="200"/>
      <c r="BD414" s="199"/>
      <c r="BE414" s="200"/>
      <c r="BF414" s="199"/>
      <c r="BG414" s="200"/>
      <c r="BH414" s="199"/>
      <c r="BI414" s="200"/>
      <c r="BJ414" s="199"/>
      <c r="BK414" s="200"/>
    </row>
    <row r="415" spans="1:63" ht="13" x14ac:dyDescent="0.25">
      <c r="A415" s="372">
        <v>6515</v>
      </c>
      <c r="B415" s="373" t="s">
        <v>538</v>
      </c>
      <c r="C415" s="360">
        <v>1203</v>
      </c>
      <c r="D415" s="54">
        <v>703</v>
      </c>
      <c r="E415" s="367">
        <v>0.64080944350758851</v>
      </c>
      <c r="F415" s="45">
        <v>321</v>
      </c>
      <c r="G415" s="58">
        <v>376</v>
      </c>
      <c r="H415" s="45">
        <v>403</v>
      </c>
      <c r="I415" s="57">
        <v>290</v>
      </c>
      <c r="J415" s="97"/>
      <c r="K415" s="58"/>
      <c r="L415" s="45"/>
      <c r="M415" s="57"/>
      <c r="N415" s="97"/>
      <c r="O415" s="58"/>
      <c r="P415" s="165"/>
      <c r="Q415" s="166"/>
      <c r="R415" s="207"/>
      <c r="S415" s="170"/>
      <c r="T415" s="165"/>
      <c r="U415" s="166"/>
      <c r="V415" s="207"/>
      <c r="W415" s="170"/>
      <c r="X415" s="165"/>
      <c r="Y415" s="166"/>
      <c r="Z415" s="207"/>
      <c r="AA415" s="170"/>
      <c r="AB415" s="165"/>
      <c r="AC415" s="166"/>
      <c r="AD415" s="207"/>
      <c r="AE415" s="170"/>
      <c r="AF415" s="165"/>
      <c r="AG415" s="166"/>
      <c r="AH415" s="207">
        <v>399</v>
      </c>
      <c r="AI415" s="170">
        <v>292</v>
      </c>
      <c r="AJ415" s="165"/>
      <c r="AK415" s="166"/>
      <c r="AL415" s="207"/>
      <c r="AM415" s="170"/>
      <c r="AN415" s="165"/>
      <c r="AO415" s="166"/>
      <c r="AP415" s="207">
        <v>419</v>
      </c>
      <c r="AQ415" s="170">
        <v>275</v>
      </c>
      <c r="AR415" s="165">
        <v>308</v>
      </c>
      <c r="AS415" s="166">
        <v>382</v>
      </c>
      <c r="AT415" s="207"/>
      <c r="AU415" s="170"/>
      <c r="AV415" s="190"/>
      <c r="AW415" s="166"/>
      <c r="AX415" s="208"/>
      <c r="AY415" s="170"/>
      <c r="AZ415" s="199"/>
      <c r="BA415" s="204"/>
      <c r="BB415" s="199"/>
      <c r="BC415" s="200"/>
      <c r="BD415" s="199"/>
      <c r="BE415" s="200"/>
      <c r="BF415" s="199"/>
      <c r="BG415" s="200"/>
      <c r="BH415" s="199"/>
      <c r="BI415" s="200"/>
      <c r="BJ415" s="199"/>
      <c r="BK415" s="200"/>
    </row>
    <row r="416" spans="1:63" ht="13" x14ac:dyDescent="0.25">
      <c r="A416" s="372">
        <v>6516</v>
      </c>
      <c r="B416" s="373" t="s">
        <v>539</v>
      </c>
      <c r="C416" s="360">
        <v>1009</v>
      </c>
      <c r="D416" s="54">
        <v>583</v>
      </c>
      <c r="E416" s="367">
        <v>0.61890547263681595</v>
      </c>
      <c r="F416" s="45">
        <v>253</v>
      </c>
      <c r="G416" s="58">
        <v>321</v>
      </c>
      <c r="H416" s="45">
        <v>323</v>
      </c>
      <c r="I416" s="57">
        <v>247</v>
      </c>
      <c r="J416" s="97"/>
      <c r="K416" s="58"/>
      <c r="L416" s="45"/>
      <c r="M416" s="57"/>
      <c r="N416" s="97"/>
      <c r="O416" s="58"/>
      <c r="P416" s="165"/>
      <c r="Q416" s="166"/>
      <c r="R416" s="207"/>
      <c r="S416" s="170"/>
      <c r="T416" s="165"/>
      <c r="U416" s="166"/>
      <c r="V416" s="207"/>
      <c r="W416" s="170"/>
      <c r="X416" s="165"/>
      <c r="Y416" s="166"/>
      <c r="Z416" s="207"/>
      <c r="AA416" s="170"/>
      <c r="AB416" s="165"/>
      <c r="AC416" s="166"/>
      <c r="AD416" s="207"/>
      <c r="AE416" s="170"/>
      <c r="AF416" s="165"/>
      <c r="AG416" s="166"/>
      <c r="AH416" s="207">
        <v>305</v>
      </c>
      <c r="AI416" s="170">
        <v>259</v>
      </c>
      <c r="AJ416" s="165"/>
      <c r="AK416" s="166"/>
      <c r="AL416" s="207"/>
      <c r="AM416" s="170"/>
      <c r="AN416" s="165"/>
      <c r="AO416" s="166"/>
      <c r="AP416" s="207">
        <v>331</v>
      </c>
      <c r="AQ416" s="170">
        <v>242</v>
      </c>
      <c r="AR416" s="165">
        <v>233</v>
      </c>
      <c r="AS416" s="166">
        <v>334</v>
      </c>
      <c r="AT416" s="207"/>
      <c r="AU416" s="170"/>
      <c r="AV416" s="190"/>
      <c r="AW416" s="166"/>
      <c r="AX416" s="208"/>
      <c r="AY416" s="170"/>
      <c r="AZ416" s="199"/>
      <c r="BA416" s="204"/>
      <c r="BB416" s="199"/>
      <c r="BC416" s="200"/>
      <c r="BD416" s="199"/>
      <c r="BE416" s="200"/>
      <c r="BF416" s="199"/>
      <c r="BG416" s="200"/>
      <c r="BH416" s="199"/>
      <c r="BI416" s="200"/>
      <c r="BJ416" s="199"/>
      <c r="BK416" s="200"/>
    </row>
    <row r="417" spans="1:63" ht="13" x14ac:dyDescent="0.25">
      <c r="A417" s="372">
        <v>6517</v>
      </c>
      <c r="B417" s="373" t="s">
        <v>540</v>
      </c>
      <c r="C417" s="360">
        <v>1148</v>
      </c>
      <c r="D417" s="54">
        <v>743</v>
      </c>
      <c r="E417" s="367">
        <v>0.72006890611541774</v>
      </c>
      <c r="F417" s="45">
        <v>258</v>
      </c>
      <c r="G417" s="58">
        <v>474</v>
      </c>
      <c r="H417" s="45">
        <v>301</v>
      </c>
      <c r="I417" s="57">
        <v>414</v>
      </c>
      <c r="J417" s="97"/>
      <c r="K417" s="58"/>
      <c r="L417" s="45"/>
      <c r="M417" s="57"/>
      <c r="N417" s="97"/>
      <c r="O417" s="58"/>
      <c r="P417" s="165"/>
      <c r="Q417" s="166"/>
      <c r="R417" s="207"/>
      <c r="S417" s="170"/>
      <c r="T417" s="165"/>
      <c r="U417" s="166"/>
      <c r="V417" s="207"/>
      <c r="W417" s="170"/>
      <c r="X417" s="165"/>
      <c r="Y417" s="166"/>
      <c r="Z417" s="207"/>
      <c r="AA417" s="170"/>
      <c r="AB417" s="165"/>
      <c r="AC417" s="166"/>
      <c r="AD417" s="207"/>
      <c r="AE417" s="170"/>
      <c r="AF417" s="165"/>
      <c r="AG417" s="166"/>
      <c r="AH417" s="207">
        <v>385</v>
      </c>
      <c r="AI417" s="170">
        <v>340</v>
      </c>
      <c r="AJ417" s="165"/>
      <c r="AK417" s="166"/>
      <c r="AL417" s="207"/>
      <c r="AM417" s="170"/>
      <c r="AN417" s="165"/>
      <c r="AO417" s="166"/>
      <c r="AP417" s="207">
        <v>424</v>
      </c>
      <c r="AQ417" s="170">
        <v>309</v>
      </c>
      <c r="AR417" s="165">
        <v>248</v>
      </c>
      <c r="AS417" s="166">
        <v>478</v>
      </c>
      <c r="AT417" s="207"/>
      <c r="AU417" s="170"/>
      <c r="AV417" s="190"/>
      <c r="AW417" s="166"/>
      <c r="AX417" s="208"/>
      <c r="AY417" s="170"/>
      <c r="AZ417" s="199"/>
      <c r="BA417" s="204"/>
      <c r="BB417" s="199"/>
      <c r="BC417" s="200"/>
      <c r="BD417" s="199"/>
      <c r="BE417" s="200"/>
      <c r="BF417" s="199"/>
      <c r="BG417" s="200"/>
      <c r="BH417" s="199"/>
      <c r="BI417" s="200"/>
      <c r="BJ417" s="199"/>
      <c r="BK417" s="200"/>
    </row>
    <row r="418" spans="1:63" ht="13" x14ac:dyDescent="0.25">
      <c r="A418" s="372">
        <v>6518</v>
      </c>
      <c r="B418" s="373" t="s">
        <v>541</v>
      </c>
      <c r="C418" s="360">
        <v>888</v>
      </c>
      <c r="D418" s="54">
        <v>452</v>
      </c>
      <c r="E418" s="367">
        <v>0.56270810210876798</v>
      </c>
      <c r="F418" s="45">
        <v>183</v>
      </c>
      <c r="G418" s="58">
        <v>264</v>
      </c>
      <c r="H418" s="45">
        <v>176</v>
      </c>
      <c r="I418" s="57">
        <v>260</v>
      </c>
      <c r="J418" s="97"/>
      <c r="K418" s="58"/>
      <c r="L418" s="45"/>
      <c r="M418" s="57"/>
      <c r="N418" s="97"/>
      <c r="O418" s="58"/>
      <c r="P418" s="165"/>
      <c r="Q418" s="166"/>
      <c r="R418" s="207"/>
      <c r="S418" s="170"/>
      <c r="T418" s="165"/>
      <c r="U418" s="166"/>
      <c r="V418" s="207"/>
      <c r="W418" s="170"/>
      <c r="X418" s="165"/>
      <c r="Y418" s="166"/>
      <c r="Z418" s="207"/>
      <c r="AA418" s="170"/>
      <c r="AB418" s="165"/>
      <c r="AC418" s="166"/>
      <c r="AD418" s="207"/>
      <c r="AE418" s="170"/>
      <c r="AF418" s="165"/>
      <c r="AG418" s="166"/>
      <c r="AH418" s="207">
        <v>311</v>
      </c>
      <c r="AI418" s="170">
        <v>119</v>
      </c>
      <c r="AJ418" s="165"/>
      <c r="AK418" s="166"/>
      <c r="AL418" s="207"/>
      <c r="AM418" s="170"/>
      <c r="AN418" s="165"/>
      <c r="AO418" s="166"/>
      <c r="AP418" s="207">
        <v>294</v>
      </c>
      <c r="AQ418" s="170">
        <v>140</v>
      </c>
      <c r="AR418" s="165">
        <v>240</v>
      </c>
      <c r="AS418" s="166">
        <v>191</v>
      </c>
      <c r="AT418" s="207"/>
      <c r="AU418" s="170"/>
      <c r="AV418" s="190"/>
      <c r="AW418" s="166"/>
      <c r="AX418" s="208"/>
      <c r="AY418" s="170"/>
      <c r="AZ418" s="45"/>
      <c r="BA418" s="58"/>
      <c r="BB418" s="45"/>
      <c r="BC418" s="46"/>
      <c r="BD418" s="45"/>
      <c r="BE418" s="46"/>
      <c r="BF418" s="45"/>
      <c r="BG418" s="46"/>
      <c r="BH418" s="45"/>
      <c r="BI418" s="46"/>
      <c r="BJ418" s="45"/>
      <c r="BK418" s="46"/>
    </row>
    <row r="419" spans="1:63" ht="13" x14ac:dyDescent="0.25">
      <c r="A419" s="372">
        <v>6519</v>
      </c>
      <c r="B419" s="373" t="s">
        <v>542</v>
      </c>
      <c r="C419" s="360">
        <v>1094</v>
      </c>
      <c r="D419" s="54">
        <v>607</v>
      </c>
      <c r="E419" s="367">
        <v>0.57851985559566788</v>
      </c>
      <c r="F419" s="45">
        <v>269</v>
      </c>
      <c r="G419" s="58">
        <v>333</v>
      </c>
      <c r="H419" s="45">
        <v>335</v>
      </c>
      <c r="I419" s="57">
        <v>268</v>
      </c>
      <c r="J419" s="97"/>
      <c r="K419" s="58"/>
      <c r="L419" s="45"/>
      <c r="M419" s="57"/>
      <c r="N419" s="97"/>
      <c r="O419" s="58"/>
      <c r="P419" s="165"/>
      <c r="Q419" s="166"/>
      <c r="R419" s="207"/>
      <c r="S419" s="170"/>
      <c r="T419" s="165"/>
      <c r="U419" s="166"/>
      <c r="V419" s="207"/>
      <c r="W419" s="170"/>
      <c r="X419" s="165"/>
      <c r="Y419" s="166"/>
      <c r="Z419" s="207"/>
      <c r="AA419" s="170"/>
      <c r="AB419" s="165"/>
      <c r="AC419" s="166"/>
      <c r="AD419" s="207"/>
      <c r="AE419" s="170"/>
      <c r="AF419" s="165"/>
      <c r="AG419" s="166"/>
      <c r="AH419" s="207">
        <v>366</v>
      </c>
      <c r="AI419" s="170">
        <v>232</v>
      </c>
      <c r="AJ419" s="165"/>
      <c r="AK419" s="166"/>
      <c r="AL419" s="207"/>
      <c r="AM419" s="170"/>
      <c r="AN419" s="165"/>
      <c r="AO419" s="166"/>
      <c r="AP419" s="207">
        <v>383</v>
      </c>
      <c r="AQ419" s="170">
        <v>217</v>
      </c>
      <c r="AR419" s="165">
        <v>276</v>
      </c>
      <c r="AS419" s="166">
        <v>321</v>
      </c>
      <c r="AT419" s="207"/>
      <c r="AU419" s="170"/>
      <c r="AV419" s="190"/>
      <c r="AW419" s="166"/>
      <c r="AX419" s="208"/>
      <c r="AY419" s="170"/>
      <c r="AZ419" s="45"/>
      <c r="BA419" s="58"/>
      <c r="BB419" s="45"/>
      <c r="BC419" s="46"/>
      <c r="BD419" s="45"/>
      <c r="BE419" s="46"/>
      <c r="BF419" s="45"/>
      <c r="BG419" s="46"/>
      <c r="BH419" s="45"/>
      <c r="BI419" s="46"/>
      <c r="BJ419" s="45"/>
      <c r="BK419" s="46"/>
    </row>
    <row r="420" spans="1:63" ht="13" x14ac:dyDescent="0.25">
      <c r="A420" s="372">
        <v>6701</v>
      </c>
      <c r="B420" s="373" t="s">
        <v>543</v>
      </c>
      <c r="C420" s="360">
        <v>1122</v>
      </c>
      <c r="D420" s="54">
        <v>275</v>
      </c>
      <c r="E420" s="367">
        <v>0.26583407671721676</v>
      </c>
      <c r="F420" s="45">
        <v>160</v>
      </c>
      <c r="G420" s="58">
        <v>114</v>
      </c>
      <c r="H420" s="45">
        <v>188</v>
      </c>
      <c r="I420" s="57">
        <v>77</v>
      </c>
      <c r="J420" s="97"/>
      <c r="K420" s="58"/>
      <c r="L420" s="45"/>
      <c r="M420" s="57"/>
      <c r="N420" s="97"/>
      <c r="O420" s="58"/>
      <c r="P420" s="165"/>
      <c r="Q420" s="166"/>
      <c r="R420" s="207"/>
      <c r="S420" s="170"/>
      <c r="T420" s="165"/>
      <c r="U420" s="166"/>
      <c r="V420" s="207"/>
      <c r="W420" s="170"/>
      <c r="X420" s="165"/>
      <c r="Y420" s="166"/>
      <c r="Z420" s="207"/>
      <c r="AA420" s="170"/>
      <c r="AB420" s="165"/>
      <c r="AC420" s="166"/>
      <c r="AD420" s="207"/>
      <c r="AE420" s="170"/>
      <c r="AF420" s="165"/>
      <c r="AG420" s="166"/>
      <c r="AH420" s="207"/>
      <c r="AI420" s="170"/>
      <c r="AJ420" s="165"/>
      <c r="AK420" s="166"/>
      <c r="AL420" s="207"/>
      <c r="AM420" s="170"/>
      <c r="AN420" s="165"/>
      <c r="AO420" s="166"/>
      <c r="AP420" s="207">
        <v>155</v>
      </c>
      <c r="AQ420" s="170">
        <v>106</v>
      </c>
      <c r="AR420" s="165">
        <v>137</v>
      </c>
      <c r="AS420" s="166">
        <v>134</v>
      </c>
      <c r="AT420" s="207"/>
      <c r="AU420" s="170"/>
      <c r="AV420" s="190"/>
      <c r="AW420" s="166"/>
      <c r="AX420" s="208"/>
      <c r="AY420" s="170"/>
      <c r="AZ420" s="45"/>
      <c r="BA420" s="58"/>
      <c r="BB420" s="45"/>
      <c r="BC420" s="46"/>
      <c r="BD420" s="45"/>
      <c r="BE420" s="46"/>
      <c r="BF420" s="45"/>
      <c r="BG420" s="46"/>
      <c r="BH420" s="45"/>
      <c r="BI420" s="46"/>
      <c r="BJ420" s="45"/>
      <c r="BK420" s="46"/>
    </row>
    <row r="421" spans="1:63" ht="13" x14ac:dyDescent="0.25">
      <c r="A421" s="372">
        <v>6801</v>
      </c>
      <c r="B421" s="373" t="s">
        <v>544</v>
      </c>
      <c r="C421" s="360">
        <v>1127</v>
      </c>
      <c r="D421" s="54">
        <v>805</v>
      </c>
      <c r="E421" s="367">
        <v>0.73563218390804597</v>
      </c>
      <c r="F421" s="45">
        <v>472</v>
      </c>
      <c r="G421" s="58">
        <v>323</v>
      </c>
      <c r="H421" s="45">
        <v>420</v>
      </c>
      <c r="I421" s="57">
        <v>369</v>
      </c>
      <c r="J421" s="97"/>
      <c r="K421" s="58"/>
      <c r="L421" s="45"/>
      <c r="M421" s="57"/>
      <c r="N421" s="97"/>
      <c r="O421" s="58"/>
      <c r="P421" s="165"/>
      <c r="Q421" s="166"/>
      <c r="R421" s="207"/>
      <c r="S421" s="170"/>
      <c r="T421" s="165"/>
      <c r="U421" s="166"/>
      <c r="V421" s="207"/>
      <c r="W421" s="170"/>
      <c r="X421" s="165"/>
      <c r="Y421" s="166"/>
      <c r="Z421" s="207"/>
      <c r="AA421" s="170"/>
      <c r="AB421" s="165"/>
      <c r="AC421" s="166"/>
      <c r="AD421" s="207"/>
      <c r="AE421" s="170"/>
      <c r="AF421" s="165"/>
      <c r="AG421" s="166"/>
      <c r="AH421" s="207"/>
      <c r="AI421" s="170"/>
      <c r="AJ421" s="165"/>
      <c r="AK421" s="166"/>
      <c r="AL421" s="207"/>
      <c r="AM421" s="170"/>
      <c r="AN421" s="165"/>
      <c r="AO421" s="166"/>
      <c r="AP421" s="207">
        <v>576</v>
      </c>
      <c r="AQ421" s="170">
        <v>217</v>
      </c>
      <c r="AR421" s="165">
        <v>482</v>
      </c>
      <c r="AS421" s="166">
        <v>316</v>
      </c>
      <c r="AT421" s="207"/>
      <c r="AU421" s="170"/>
      <c r="AV421" s="190"/>
      <c r="AW421" s="166"/>
      <c r="AX421" s="208"/>
      <c r="AY421" s="170"/>
      <c r="AZ421" s="199"/>
      <c r="BA421" s="204"/>
      <c r="BB421" s="199"/>
      <c r="BC421" s="200"/>
      <c r="BD421" s="199"/>
      <c r="BE421" s="200"/>
      <c r="BF421" s="199"/>
      <c r="BG421" s="200"/>
      <c r="BH421" s="199"/>
      <c r="BI421" s="200"/>
      <c r="BJ421" s="199"/>
      <c r="BK421" s="200"/>
    </row>
    <row r="422" spans="1:63" ht="13" x14ac:dyDescent="0.25">
      <c r="A422" s="372">
        <v>6802</v>
      </c>
      <c r="B422" s="373" t="s">
        <v>545</v>
      </c>
      <c r="C422" s="360">
        <v>926</v>
      </c>
      <c r="D422" s="54">
        <v>605</v>
      </c>
      <c r="E422" s="367">
        <v>0.7</v>
      </c>
      <c r="F422" s="45">
        <v>282</v>
      </c>
      <c r="G422" s="58">
        <v>319</v>
      </c>
      <c r="H422" s="45">
        <v>288</v>
      </c>
      <c r="I422" s="57">
        <v>309</v>
      </c>
      <c r="J422" s="97"/>
      <c r="K422" s="58"/>
      <c r="L422" s="45"/>
      <c r="M422" s="57"/>
      <c r="N422" s="97"/>
      <c r="O422" s="58"/>
      <c r="P422" s="165"/>
      <c r="Q422" s="166"/>
      <c r="R422" s="207"/>
      <c r="S422" s="170"/>
      <c r="T422" s="165"/>
      <c r="U422" s="166"/>
      <c r="V422" s="207"/>
      <c r="W422" s="170"/>
      <c r="X422" s="165"/>
      <c r="Y422" s="166"/>
      <c r="Z422" s="207"/>
      <c r="AA422" s="170"/>
      <c r="AB422" s="165"/>
      <c r="AC422" s="166"/>
      <c r="AD422" s="207"/>
      <c r="AE422" s="170"/>
      <c r="AF422" s="165"/>
      <c r="AG422" s="166"/>
      <c r="AH422" s="207"/>
      <c r="AI422" s="170"/>
      <c r="AJ422" s="165"/>
      <c r="AK422" s="166"/>
      <c r="AL422" s="207"/>
      <c r="AM422" s="170"/>
      <c r="AN422" s="165"/>
      <c r="AO422" s="166"/>
      <c r="AP422" s="207">
        <v>399</v>
      </c>
      <c r="AQ422" s="170">
        <v>199</v>
      </c>
      <c r="AR422" s="165">
        <v>305</v>
      </c>
      <c r="AS422" s="166">
        <v>295</v>
      </c>
      <c r="AT422" s="207"/>
      <c r="AU422" s="170"/>
      <c r="AV422" s="190"/>
      <c r="AW422" s="166"/>
      <c r="AX422" s="208"/>
      <c r="AY422" s="170"/>
      <c r="AZ422" s="199"/>
      <c r="BA422" s="204"/>
      <c r="BB422" s="199"/>
      <c r="BC422" s="200"/>
      <c r="BD422" s="199"/>
      <c r="BE422" s="200"/>
      <c r="BF422" s="199"/>
      <c r="BG422" s="200"/>
      <c r="BH422" s="199"/>
      <c r="BI422" s="200"/>
      <c r="BJ422" s="199"/>
      <c r="BK422" s="200"/>
    </row>
    <row r="423" spans="1:63" ht="13" x14ac:dyDescent="0.25">
      <c r="A423" s="372">
        <v>6803</v>
      </c>
      <c r="B423" s="373" t="s">
        <v>546</v>
      </c>
      <c r="C423" s="360">
        <v>236</v>
      </c>
      <c r="D423" s="54">
        <v>155</v>
      </c>
      <c r="E423" s="367">
        <v>0.65702479338842978</v>
      </c>
      <c r="F423" s="45">
        <v>114</v>
      </c>
      <c r="G423" s="58">
        <v>41</v>
      </c>
      <c r="H423" s="45">
        <v>99</v>
      </c>
      <c r="I423" s="57">
        <v>53</v>
      </c>
      <c r="J423" s="97"/>
      <c r="K423" s="58"/>
      <c r="L423" s="45"/>
      <c r="M423" s="57"/>
      <c r="N423" s="97"/>
      <c r="O423" s="58"/>
      <c r="P423" s="165"/>
      <c r="Q423" s="166"/>
      <c r="R423" s="207"/>
      <c r="S423" s="170"/>
      <c r="T423" s="165"/>
      <c r="U423" s="166"/>
      <c r="V423" s="207"/>
      <c r="W423" s="170"/>
      <c r="X423" s="165"/>
      <c r="Y423" s="166"/>
      <c r="Z423" s="207"/>
      <c r="AA423" s="170"/>
      <c r="AB423" s="165"/>
      <c r="AC423" s="166"/>
      <c r="AD423" s="207"/>
      <c r="AE423" s="170"/>
      <c r="AF423" s="165"/>
      <c r="AG423" s="166"/>
      <c r="AH423" s="207"/>
      <c r="AI423" s="170"/>
      <c r="AJ423" s="165"/>
      <c r="AK423" s="166"/>
      <c r="AL423" s="207"/>
      <c r="AM423" s="170"/>
      <c r="AN423" s="165"/>
      <c r="AO423" s="166"/>
      <c r="AP423" s="207">
        <v>117</v>
      </c>
      <c r="AQ423" s="170">
        <v>33</v>
      </c>
      <c r="AR423" s="165">
        <v>104</v>
      </c>
      <c r="AS423" s="166">
        <v>47</v>
      </c>
      <c r="AT423" s="207"/>
      <c r="AU423" s="170"/>
      <c r="AV423" s="190"/>
      <c r="AW423" s="166"/>
      <c r="AX423" s="208"/>
      <c r="AY423" s="170"/>
      <c r="AZ423" s="199"/>
      <c r="BA423" s="204"/>
      <c r="BB423" s="199"/>
      <c r="BC423" s="200"/>
      <c r="BD423" s="199"/>
      <c r="BE423" s="200"/>
      <c r="BF423" s="199"/>
      <c r="BG423" s="200"/>
      <c r="BH423" s="199"/>
      <c r="BI423" s="200"/>
      <c r="BJ423" s="199"/>
      <c r="BK423" s="200"/>
    </row>
    <row r="424" spans="1:63" ht="13" x14ac:dyDescent="0.25">
      <c r="A424" s="372">
        <v>6901</v>
      </c>
      <c r="B424" s="373" t="s">
        <v>547</v>
      </c>
      <c r="C424" s="360">
        <v>1310</v>
      </c>
      <c r="D424" s="54">
        <v>742</v>
      </c>
      <c r="E424" s="367">
        <v>0.58695652173913049</v>
      </c>
      <c r="F424" s="45">
        <v>505</v>
      </c>
      <c r="G424" s="58">
        <v>224</v>
      </c>
      <c r="H424" s="45">
        <v>530</v>
      </c>
      <c r="I424" s="57">
        <v>193</v>
      </c>
      <c r="J424" s="97"/>
      <c r="K424" s="58"/>
      <c r="L424" s="45">
        <v>458</v>
      </c>
      <c r="M424" s="57">
        <v>214</v>
      </c>
      <c r="N424" s="97">
        <v>457</v>
      </c>
      <c r="O424" s="58">
        <v>209</v>
      </c>
      <c r="P424" s="165"/>
      <c r="Q424" s="166"/>
      <c r="R424" s="207"/>
      <c r="S424" s="170"/>
      <c r="T424" s="165"/>
      <c r="U424" s="166"/>
      <c r="V424" s="207"/>
      <c r="W424" s="170"/>
      <c r="X424" s="165"/>
      <c r="Y424" s="166"/>
      <c r="Z424" s="207"/>
      <c r="AA424" s="170"/>
      <c r="AB424" s="165"/>
      <c r="AC424" s="166"/>
      <c r="AD424" s="207"/>
      <c r="AE424" s="170"/>
      <c r="AF424" s="165"/>
      <c r="AG424" s="166"/>
      <c r="AH424" s="207"/>
      <c r="AI424" s="170"/>
      <c r="AJ424" s="165"/>
      <c r="AK424" s="166"/>
      <c r="AL424" s="207"/>
      <c r="AM424" s="170"/>
      <c r="AN424" s="165"/>
      <c r="AO424" s="166"/>
      <c r="AP424" s="207">
        <v>540</v>
      </c>
      <c r="AQ424" s="170">
        <v>167</v>
      </c>
      <c r="AR424" s="165">
        <v>430</v>
      </c>
      <c r="AS424" s="166">
        <v>273</v>
      </c>
      <c r="AT424" s="207"/>
      <c r="AU424" s="170"/>
      <c r="AV424" s="190"/>
      <c r="AW424" s="166"/>
      <c r="AX424" s="208"/>
      <c r="AY424" s="170"/>
      <c r="AZ424" s="199"/>
      <c r="BA424" s="204"/>
      <c r="BB424" s="199"/>
      <c r="BC424" s="200"/>
      <c r="BD424" s="199"/>
      <c r="BE424" s="200"/>
      <c r="BF424" s="199"/>
      <c r="BG424" s="200"/>
      <c r="BH424" s="199"/>
      <c r="BI424" s="200"/>
      <c r="BJ424" s="199"/>
      <c r="BK424" s="200"/>
    </row>
    <row r="425" spans="1:63" ht="13" x14ac:dyDescent="0.25">
      <c r="A425" s="372">
        <v>7001</v>
      </c>
      <c r="B425" s="373" t="s">
        <v>548</v>
      </c>
      <c r="C425" s="360">
        <v>997</v>
      </c>
      <c r="D425" s="54">
        <v>654</v>
      </c>
      <c r="E425" s="367">
        <v>0.70983935742971882</v>
      </c>
      <c r="F425" s="45">
        <v>385</v>
      </c>
      <c r="G425" s="58">
        <v>259</v>
      </c>
      <c r="H425" s="45">
        <v>356</v>
      </c>
      <c r="I425" s="57">
        <v>281</v>
      </c>
      <c r="J425" s="97"/>
      <c r="K425" s="58"/>
      <c r="L425" s="45"/>
      <c r="M425" s="57"/>
      <c r="N425" s="97"/>
      <c r="O425" s="58"/>
      <c r="P425" s="165"/>
      <c r="Q425" s="166"/>
      <c r="R425" s="207"/>
      <c r="S425" s="170"/>
      <c r="T425" s="165"/>
      <c r="U425" s="166"/>
      <c r="V425" s="207"/>
      <c r="W425" s="170"/>
      <c r="X425" s="165"/>
      <c r="Y425" s="166"/>
      <c r="Z425" s="207"/>
      <c r="AA425" s="170"/>
      <c r="AB425" s="165"/>
      <c r="AC425" s="166"/>
      <c r="AD425" s="207"/>
      <c r="AE425" s="170"/>
      <c r="AF425" s="165"/>
      <c r="AG425" s="166"/>
      <c r="AH425" s="207"/>
      <c r="AI425" s="170"/>
      <c r="AJ425" s="165"/>
      <c r="AK425" s="166"/>
      <c r="AL425" s="207"/>
      <c r="AM425" s="170"/>
      <c r="AN425" s="165"/>
      <c r="AO425" s="166"/>
      <c r="AP425" s="207">
        <v>456</v>
      </c>
      <c r="AQ425" s="170">
        <v>182</v>
      </c>
      <c r="AR425" s="165">
        <v>336</v>
      </c>
      <c r="AS425" s="166">
        <v>298</v>
      </c>
      <c r="AT425" s="207"/>
      <c r="AU425" s="170"/>
      <c r="AV425" s="190"/>
      <c r="AW425" s="166"/>
      <c r="AX425" s="208"/>
      <c r="AY425" s="170"/>
      <c r="AZ425" s="199"/>
      <c r="BA425" s="204"/>
      <c r="BB425" s="199"/>
      <c r="BC425" s="200"/>
      <c r="BD425" s="199"/>
      <c r="BE425" s="200"/>
      <c r="BF425" s="199"/>
      <c r="BG425" s="200"/>
      <c r="BH425" s="199"/>
      <c r="BI425" s="200"/>
      <c r="BJ425" s="199"/>
      <c r="BK425" s="200"/>
    </row>
    <row r="426" spans="1:63" ht="13" x14ac:dyDescent="0.25">
      <c r="A426" s="372">
        <v>7002</v>
      </c>
      <c r="B426" s="373" t="s">
        <v>549</v>
      </c>
      <c r="C426" s="360">
        <v>1084</v>
      </c>
      <c r="D426" s="54">
        <v>712</v>
      </c>
      <c r="E426" s="367">
        <v>0.68943533697632053</v>
      </c>
      <c r="F426" s="45">
        <v>449</v>
      </c>
      <c r="G426" s="58">
        <v>255</v>
      </c>
      <c r="H426" s="45">
        <v>387</v>
      </c>
      <c r="I426" s="57">
        <v>311</v>
      </c>
      <c r="J426" s="97"/>
      <c r="K426" s="58"/>
      <c r="L426" s="45"/>
      <c r="M426" s="57"/>
      <c r="N426" s="97"/>
      <c r="O426" s="58"/>
      <c r="P426" s="165"/>
      <c r="Q426" s="166"/>
      <c r="R426" s="207"/>
      <c r="S426" s="170"/>
      <c r="T426" s="165"/>
      <c r="U426" s="166"/>
      <c r="V426" s="207"/>
      <c r="W426" s="170"/>
      <c r="X426" s="165"/>
      <c r="Y426" s="166"/>
      <c r="Z426" s="207"/>
      <c r="AA426" s="170"/>
      <c r="AB426" s="165"/>
      <c r="AC426" s="166"/>
      <c r="AD426" s="207"/>
      <c r="AE426" s="170"/>
      <c r="AF426" s="165"/>
      <c r="AG426" s="166"/>
      <c r="AH426" s="207"/>
      <c r="AI426" s="170"/>
      <c r="AJ426" s="165"/>
      <c r="AK426" s="166"/>
      <c r="AL426" s="207"/>
      <c r="AM426" s="170"/>
      <c r="AN426" s="165"/>
      <c r="AO426" s="166"/>
      <c r="AP426" s="207">
        <v>505</v>
      </c>
      <c r="AQ426" s="170">
        <v>193</v>
      </c>
      <c r="AR426" s="165">
        <v>385</v>
      </c>
      <c r="AS426" s="166">
        <v>318</v>
      </c>
      <c r="AT426" s="207"/>
      <c r="AU426" s="170"/>
      <c r="AV426" s="190"/>
      <c r="AW426" s="166"/>
      <c r="AX426" s="208"/>
      <c r="AY426" s="170"/>
      <c r="AZ426" s="45"/>
      <c r="BA426" s="58"/>
      <c r="BB426" s="45"/>
      <c r="BC426" s="46"/>
      <c r="BD426" s="45"/>
      <c r="BE426" s="46"/>
      <c r="BF426" s="45"/>
      <c r="BG426" s="46"/>
      <c r="BH426" s="45"/>
      <c r="BI426" s="46"/>
      <c r="BJ426" s="45"/>
      <c r="BK426" s="46"/>
    </row>
    <row r="427" spans="1:63" ht="13" x14ac:dyDescent="0.25">
      <c r="A427" s="372">
        <v>7101</v>
      </c>
      <c r="B427" s="373" t="s">
        <v>550</v>
      </c>
      <c r="C427" s="360">
        <v>1431</v>
      </c>
      <c r="D427" s="54">
        <v>634</v>
      </c>
      <c r="E427" s="367">
        <v>0.4792399718508093</v>
      </c>
      <c r="F427" s="45">
        <v>467</v>
      </c>
      <c r="G427" s="58">
        <v>152</v>
      </c>
      <c r="H427" s="45">
        <v>446</v>
      </c>
      <c r="I427" s="57">
        <v>165</v>
      </c>
      <c r="J427" s="97"/>
      <c r="K427" s="58"/>
      <c r="L427" s="45"/>
      <c r="M427" s="57"/>
      <c r="N427" s="97"/>
      <c r="O427" s="58"/>
      <c r="P427" s="165">
        <v>335</v>
      </c>
      <c r="Q427" s="166">
        <v>264</v>
      </c>
      <c r="R427" s="207"/>
      <c r="S427" s="170"/>
      <c r="T427" s="165"/>
      <c r="U427" s="166"/>
      <c r="V427" s="207"/>
      <c r="W427" s="170"/>
      <c r="X427" s="165"/>
      <c r="Y427" s="166"/>
      <c r="Z427" s="207"/>
      <c r="AA427" s="170"/>
      <c r="AB427" s="165"/>
      <c r="AC427" s="166"/>
      <c r="AD427" s="207"/>
      <c r="AE427" s="170"/>
      <c r="AF427" s="165"/>
      <c r="AG427" s="166"/>
      <c r="AH427" s="207"/>
      <c r="AI427" s="170"/>
      <c r="AJ427" s="165"/>
      <c r="AK427" s="166"/>
      <c r="AL427" s="207"/>
      <c r="AM427" s="170"/>
      <c r="AN427" s="165"/>
      <c r="AO427" s="166"/>
      <c r="AP427" s="207">
        <v>371</v>
      </c>
      <c r="AQ427" s="170">
        <v>241</v>
      </c>
      <c r="AR427" s="165">
        <v>331</v>
      </c>
      <c r="AS427" s="166">
        <v>278</v>
      </c>
      <c r="AT427" s="207"/>
      <c r="AU427" s="170"/>
      <c r="AV427" s="190"/>
      <c r="AW427" s="166"/>
      <c r="AX427" s="208"/>
      <c r="AY427" s="170"/>
      <c r="AZ427" s="45"/>
      <c r="BA427" s="58"/>
      <c r="BB427" s="45"/>
      <c r="BC427" s="46"/>
      <c r="BD427" s="45"/>
      <c r="BE427" s="46"/>
      <c r="BF427" s="45"/>
      <c r="BG427" s="46"/>
      <c r="BH427" s="45"/>
      <c r="BI427" s="46"/>
      <c r="BJ427" s="45"/>
      <c r="BK427" s="46"/>
    </row>
    <row r="428" spans="1:63" ht="13" x14ac:dyDescent="0.25">
      <c r="A428" s="372">
        <v>7102</v>
      </c>
      <c r="B428" s="373" t="s">
        <v>551</v>
      </c>
      <c r="C428" s="360">
        <v>1246</v>
      </c>
      <c r="D428" s="54">
        <v>525</v>
      </c>
      <c r="E428" s="367">
        <v>0.43854084060269627</v>
      </c>
      <c r="F428" s="45">
        <v>444</v>
      </c>
      <c r="G428" s="58">
        <v>71</v>
      </c>
      <c r="H428" s="45">
        <v>420</v>
      </c>
      <c r="I428" s="57">
        <v>101</v>
      </c>
      <c r="J428" s="97"/>
      <c r="K428" s="58"/>
      <c r="L428" s="45"/>
      <c r="M428" s="57"/>
      <c r="N428" s="97"/>
      <c r="O428" s="58"/>
      <c r="P428" s="165">
        <v>313</v>
      </c>
      <c r="Q428" s="166">
        <v>193</v>
      </c>
      <c r="R428" s="207"/>
      <c r="S428" s="170"/>
      <c r="T428" s="165"/>
      <c r="U428" s="166"/>
      <c r="V428" s="207"/>
      <c r="W428" s="170"/>
      <c r="X428" s="165"/>
      <c r="Y428" s="166"/>
      <c r="Z428" s="207"/>
      <c r="AA428" s="170"/>
      <c r="AB428" s="165"/>
      <c r="AC428" s="166"/>
      <c r="AD428" s="207"/>
      <c r="AE428" s="170"/>
      <c r="AF428" s="165"/>
      <c r="AG428" s="166"/>
      <c r="AH428" s="207"/>
      <c r="AI428" s="170"/>
      <c r="AJ428" s="165"/>
      <c r="AK428" s="166"/>
      <c r="AL428" s="207"/>
      <c r="AM428" s="170"/>
      <c r="AN428" s="165"/>
      <c r="AO428" s="166"/>
      <c r="AP428" s="207">
        <v>326</v>
      </c>
      <c r="AQ428" s="170">
        <v>186</v>
      </c>
      <c r="AR428" s="165">
        <v>308</v>
      </c>
      <c r="AS428" s="166">
        <v>208</v>
      </c>
      <c r="AT428" s="207"/>
      <c r="AU428" s="170"/>
      <c r="AV428" s="190"/>
      <c r="AW428" s="166"/>
      <c r="AX428" s="208"/>
      <c r="AY428" s="170"/>
      <c r="AZ428" s="45"/>
      <c r="BA428" s="58"/>
      <c r="BB428" s="45"/>
      <c r="BC428" s="46"/>
      <c r="BD428" s="45"/>
      <c r="BE428" s="46"/>
      <c r="BF428" s="45"/>
      <c r="BG428" s="46"/>
      <c r="BH428" s="45"/>
      <c r="BI428" s="46"/>
      <c r="BJ428" s="45"/>
      <c r="BK428" s="46"/>
    </row>
    <row r="429" spans="1:63" ht="13" x14ac:dyDescent="0.25">
      <c r="A429" s="372">
        <v>7301</v>
      </c>
      <c r="B429" s="373" t="s">
        <v>552</v>
      </c>
      <c r="C429" s="360">
        <v>1173</v>
      </c>
      <c r="D429" s="54">
        <v>639</v>
      </c>
      <c r="E429" s="367">
        <v>0.60086206896551719</v>
      </c>
      <c r="F429" s="45">
        <v>292</v>
      </c>
      <c r="G429" s="58">
        <v>339</v>
      </c>
      <c r="H429" s="45">
        <v>353</v>
      </c>
      <c r="I429" s="57">
        <v>281</v>
      </c>
      <c r="J429" s="97"/>
      <c r="K429" s="58"/>
      <c r="L429" s="45"/>
      <c r="M429" s="57"/>
      <c r="N429" s="97"/>
      <c r="O429" s="58"/>
      <c r="P429" s="165"/>
      <c r="Q429" s="166"/>
      <c r="R429" s="207"/>
      <c r="S429" s="170"/>
      <c r="T429" s="165"/>
      <c r="U429" s="166"/>
      <c r="V429" s="207"/>
      <c r="W429" s="170"/>
      <c r="X429" s="165"/>
      <c r="Y429" s="166"/>
      <c r="Z429" s="207"/>
      <c r="AA429" s="170"/>
      <c r="AB429" s="45"/>
      <c r="AC429" s="57"/>
      <c r="AD429" s="207"/>
      <c r="AE429" s="170"/>
      <c r="AF429" s="165"/>
      <c r="AG429" s="166"/>
      <c r="AH429" s="207"/>
      <c r="AI429" s="170"/>
      <c r="AJ429" s="165"/>
      <c r="AK429" s="166"/>
      <c r="AL429" s="207"/>
      <c r="AM429" s="170"/>
      <c r="AN429" s="165"/>
      <c r="AO429" s="166"/>
      <c r="AP429" s="207">
        <v>400</v>
      </c>
      <c r="AQ429" s="170">
        <v>227</v>
      </c>
      <c r="AR429" s="165">
        <v>282</v>
      </c>
      <c r="AS429" s="166">
        <v>344</v>
      </c>
      <c r="AT429" s="207"/>
      <c r="AU429" s="170"/>
      <c r="AV429" s="190"/>
      <c r="AW429" s="166"/>
      <c r="AX429" s="208"/>
      <c r="AY429" s="170"/>
      <c r="AZ429" s="45"/>
      <c r="BA429" s="58"/>
      <c r="BB429" s="45"/>
      <c r="BC429" s="46"/>
      <c r="BD429" s="45"/>
      <c r="BE429" s="46"/>
      <c r="BF429" s="45"/>
      <c r="BG429" s="46"/>
      <c r="BH429" s="45"/>
      <c r="BI429" s="46"/>
      <c r="BJ429" s="45"/>
      <c r="BK429" s="46"/>
    </row>
    <row r="430" spans="1:63" ht="13" x14ac:dyDescent="0.25">
      <c r="A430" s="372">
        <v>7302</v>
      </c>
      <c r="B430" s="373" t="s">
        <v>553</v>
      </c>
      <c r="C430" s="360">
        <v>1206</v>
      </c>
      <c r="D430" s="54">
        <v>684</v>
      </c>
      <c r="E430" s="367">
        <v>0.59213759213759209</v>
      </c>
      <c r="F430" s="45">
        <v>355</v>
      </c>
      <c r="G430" s="58">
        <v>323</v>
      </c>
      <c r="H430" s="45">
        <v>424</v>
      </c>
      <c r="I430" s="57">
        <v>253</v>
      </c>
      <c r="J430" s="97"/>
      <c r="K430" s="58"/>
      <c r="L430" s="45"/>
      <c r="M430" s="57"/>
      <c r="N430" s="97"/>
      <c r="O430" s="58"/>
      <c r="P430" s="165"/>
      <c r="Q430" s="166"/>
      <c r="R430" s="207"/>
      <c r="S430" s="170"/>
      <c r="T430" s="165"/>
      <c r="U430" s="166"/>
      <c r="V430" s="207"/>
      <c r="W430" s="170"/>
      <c r="X430" s="165"/>
      <c r="Y430" s="166"/>
      <c r="Z430" s="207"/>
      <c r="AA430" s="170"/>
      <c r="AB430" s="45"/>
      <c r="AC430" s="57"/>
      <c r="AD430" s="207"/>
      <c r="AE430" s="170"/>
      <c r="AF430" s="165"/>
      <c r="AG430" s="166"/>
      <c r="AH430" s="207"/>
      <c r="AI430" s="170"/>
      <c r="AJ430" s="165"/>
      <c r="AK430" s="166"/>
      <c r="AL430" s="207"/>
      <c r="AM430" s="170"/>
      <c r="AN430" s="165"/>
      <c r="AO430" s="166"/>
      <c r="AP430" s="207">
        <v>438</v>
      </c>
      <c r="AQ430" s="170">
        <v>239</v>
      </c>
      <c r="AR430" s="165">
        <v>356</v>
      </c>
      <c r="AS430" s="166">
        <v>320</v>
      </c>
      <c r="AT430" s="207"/>
      <c r="AU430" s="170"/>
      <c r="AV430" s="190"/>
      <c r="AW430" s="166"/>
      <c r="AX430" s="208"/>
      <c r="AY430" s="170"/>
      <c r="AZ430" s="45"/>
      <c r="BA430" s="58"/>
      <c r="BB430" s="45"/>
      <c r="BC430" s="46"/>
      <c r="BD430" s="45"/>
      <c r="BE430" s="46"/>
      <c r="BF430" s="45"/>
      <c r="BG430" s="46"/>
      <c r="BH430" s="45"/>
      <c r="BI430" s="46"/>
      <c r="BJ430" s="45"/>
      <c r="BK430" s="46"/>
    </row>
    <row r="431" spans="1:63" ht="13" x14ac:dyDescent="0.25">
      <c r="A431" s="372">
        <v>7303</v>
      </c>
      <c r="B431" s="373" t="s">
        <v>554</v>
      </c>
      <c r="C431" s="360">
        <v>945</v>
      </c>
      <c r="D431" s="54">
        <v>487</v>
      </c>
      <c r="E431" s="367">
        <v>0.5849843587069864</v>
      </c>
      <c r="F431" s="45">
        <v>270</v>
      </c>
      <c r="G431" s="58">
        <v>214</v>
      </c>
      <c r="H431" s="45">
        <v>280</v>
      </c>
      <c r="I431" s="57">
        <v>204</v>
      </c>
      <c r="J431" s="97"/>
      <c r="K431" s="58"/>
      <c r="L431" s="45"/>
      <c r="M431" s="57"/>
      <c r="N431" s="97"/>
      <c r="O431" s="58"/>
      <c r="P431" s="165"/>
      <c r="Q431" s="166"/>
      <c r="R431" s="207"/>
      <c r="S431" s="170"/>
      <c r="T431" s="165"/>
      <c r="U431" s="166"/>
      <c r="V431" s="207"/>
      <c r="W431" s="170"/>
      <c r="X431" s="165"/>
      <c r="Y431" s="166"/>
      <c r="Z431" s="207"/>
      <c r="AA431" s="170"/>
      <c r="AB431" s="165"/>
      <c r="AC431" s="166"/>
      <c r="AD431" s="207"/>
      <c r="AE431" s="170"/>
      <c r="AF431" s="165"/>
      <c r="AG431" s="166"/>
      <c r="AH431" s="207"/>
      <c r="AI431" s="170"/>
      <c r="AJ431" s="165"/>
      <c r="AK431" s="166"/>
      <c r="AL431" s="207"/>
      <c r="AM431" s="170"/>
      <c r="AN431" s="165"/>
      <c r="AO431" s="166"/>
      <c r="AP431" s="207">
        <v>324</v>
      </c>
      <c r="AQ431" s="170">
        <v>155</v>
      </c>
      <c r="AR431" s="165">
        <v>249</v>
      </c>
      <c r="AS431" s="166">
        <v>235</v>
      </c>
      <c r="AT431" s="207"/>
      <c r="AU431" s="170"/>
      <c r="AV431" s="190"/>
      <c r="AW431" s="166"/>
      <c r="AX431" s="208"/>
      <c r="AY431" s="170"/>
      <c r="AZ431" s="45"/>
      <c r="BA431" s="58"/>
      <c r="BB431" s="45"/>
      <c r="BC431" s="46"/>
      <c r="BD431" s="45"/>
      <c r="BE431" s="46"/>
      <c r="BF431" s="45"/>
      <c r="BG431" s="46"/>
      <c r="BH431" s="45"/>
      <c r="BI431" s="46"/>
      <c r="BJ431" s="45"/>
      <c r="BK431" s="46"/>
    </row>
    <row r="432" spans="1:63" ht="13" x14ac:dyDescent="0.25">
      <c r="A432" s="372">
        <v>7304</v>
      </c>
      <c r="B432" s="373" t="s">
        <v>555</v>
      </c>
      <c r="C432" s="360">
        <v>1259</v>
      </c>
      <c r="D432" s="54">
        <v>693</v>
      </c>
      <c r="E432" s="367">
        <v>0.60801256873527099</v>
      </c>
      <c r="F432" s="45">
        <v>302</v>
      </c>
      <c r="G432" s="58">
        <v>382</v>
      </c>
      <c r="H432" s="45">
        <v>364</v>
      </c>
      <c r="I432" s="57">
        <v>317</v>
      </c>
      <c r="J432" s="97"/>
      <c r="K432" s="58"/>
      <c r="L432" s="45"/>
      <c r="M432" s="57"/>
      <c r="N432" s="97"/>
      <c r="O432" s="58"/>
      <c r="P432" s="165"/>
      <c r="Q432" s="166"/>
      <c r="R432" s="207"/>
      <c r="S432" s="170"/>
      <c r="T432" s="165"/>
      <c r="U432" s="166"/>
      <c r="V432" s="207"/>
      <c r="W432" s="170"/>
      <c r="X432" s="165"/>
      <c r="Y432" s="166"/>
      <c r="Z432" s="207"/>
      <c r="AA432" s="170"/>
      <c r="AB432" s="165"/>
      <c r="AC432" s="166"/>
      <c r="AD432" s="207"/>
      <c r="AE432" s="170"/>
      <c r="AF432" s="165"/>
      <c r="AG432" s="166"/>
      <c r="AH432" s="207"/>
      <c r="AI432" s="170"/>
      <c r="AJ432" s="165"/>
      <c r="AK432" s="166"/>
      <c r="AL432" s="207"/>
      <c r="AM432" s="170"/>
      <c r="AN432" s="165"/>
      <c r="AO432" s="166"/>
      <c r="AP432" s="207">
        <v>426</v>
      </c>
      <c r="AQ432" s="170">
        <v>245</v>
      </c>
      <c r="AR432" s="165">
        <v>294</v>
      </c>
      <c r="AS432" s="166">
        <v>376</v>
      </c>
      <c r="AT432" s="207"/>
      <c r="AU432" s="170"/>
      <c r="AV432" s="190"/>
      <c r="AW432" s="166"/>
      <c r="AX432" s="208"/>
      <c r="AY432" s="170"/>
      <c r="AZ432" s="45"/>
      <c r="BA432" s="58"/>
      <c r="BB432" s="45"/>
      <c r="BC432" s="46"/>
      <c r="BD432" s="45"/>
      <c r="BE432" s="46"/>
      <c r="BF432" s="45"/>
      <c r="BG432" s="46"/>
      <c r="BH432" s="45"/>
      <c r="BI432" s="46"/>
      <c r="BJ432" s="45"/>
      <c r="BK432" s="46"/>
    </row>
    <row r="433" spans="1:63" ht="13" x14ac:dyDescent="0.25">
      <c r="A433" s="372">
        <v>7305</v>
      </c>
      <c r="B433" s="373" t="s">
        <v>556</v>
      </c>
      <c r="C433" s="360">
        <v>1262</v>
      </c>
      <c r="D433" s="54">
        <v>808</v>
      </c>
      <c r="E433" s="367">
        <v>0.68350434096290447</v>
      </c>
      <c r="F433" s="45">
        <v>328</v>
      </c>
      <c r="G433" s="58">
        <v>473</v>
      </c>
      <c r="H433" s="45">
        <v>373</v>
      </c>
      <c r="I433" s="57">
        <v>425</v>
      </c>
      <c r="J433" s="97"/>
      <c r="K433" s="58"/>
      <c r="L433" s="45"/>
      <c r="M433" s="57"/>
      <c r="N433" s="97"/>
      <c r="O433" s="58"/>
      <c r="P433" s="165"/>
      <c r="Q433" s="166"/>
      <c r="R433" s="207"/>
      <c r="S433" s="170"/>
      <c r="T433" s="165"/>
      <c r="U433" s="166"/>
      <c r="V433" s="207"/>
      <c r="W433" s="170"/>
      <c r="X433" s="165"/>
      <c r="Y433" s="166"/>
      <c r="Z433" s="207"/>
      <c r="AA433" s="170"/>
      <c r="AB433" s="165"/>
      <c r="AC433" s="166"/>
      <c r="AD433" s="207"/>
      <c r="AE433" s="170"/>
      <c r="AF433" s="165"/>
      <c r="AG433" s="166"/>
      <c r="AH433" s="207"/>
      <c r="AI433" s="170"/>
      <c r="AJ433" s="165"/>
      <c r="AK433" s="166"/>
      <c r="AL433" s="207"/>
      <c r="AM433" s="170"/>
      <c r="AN433" s="165"/>
      <c r="AO433" s="166"/>
      <c r="AP433" s="207">
        <v>489</v>
      </c>
      <c r="AQ433" s="170">
        <v>306</v>
      </c>
      <c r="AR433" s="165">
        <v>351</v>
      </c>
      <c r="AS433" s="166">
        <v>440</v>
      </c>
      <c r="AT433" s="207"/>
      <c r="AU433" s="170"/>
      <c r="AV433" s="190"/>
      <c r="AW433" s="166"/>
      <c r="AX433" s="208"/>
      <c r="AY433" s="170"/>
      <c r="AZ433" s="45"/>
      <c r="BA433" s="58"/>
      <c r="BB433" s="45"/>
      <c r="BC433" s="46"/>
      <c r="BD433" s="45"/>
      <c r="BE433" s="46"/>
      <c r="BF433" s="45"/>
      <c r="BG433" s="46"/>
      <c r="BH433" s="45"/>
      <c r="BI433" s="46"/>
      <c r="BJ433" s="45"/>
      <c r="BK433" s="46"/>
    </row>
    <row r="434" spans="1:63" ht="13" x14ac:dyDescent="0.25">
      <c r="A434" s="372">
        <v>7306</v>
      </c>
      <c r="B434" s="373" t="s">
        <v>557</v>
      </c>
      <c r="C434" s="360">
        <v>1121</v>
      </c>
      <c r="D434" s="54">
        <v>587</v>
      </c>
      <c r="E434" s="367">
        <v>0.54577464788732399</v>
      </c>
      <c r="F434" s="45">
        <v>264</v>
      </c>
      <c r="G434" s="58">
        <v>319</v>
      </c>
      <c r="H434" s="45">
        <v>345</v>
      </c>
      <c r="I434" s="57">
        <v>235</v>
      </c>
      <c r="J434" s="97"/>
      <c r="K434" s="58"/>
      <c r="L434" s="45"/>
      <c r="M434" s="57"/>
      <c r="N434" s="97"/>
      <c r="O434" s="58"/>
      <c r="P434" s="165"/>
      <c r="Q434" s="166"/>
      <c r="R434" s="207"/>
      <c r="S434" s="170"/>
      <c r="T434" s="165"/>
      <c r="U434" s="166"/>
      <c r="V434" s="207"/>
      <c r="W434" s="170"/>
      <c r="X434" s="165"/>
      <c r="Y434" s="166"/>
      <c r="Z434" s="207"/>
      <c r="AA434" s="170"/>
      <c r="AB434" s="165"/>
      <c r="AC434" s="166"/>
      <c r="AD434" s="207"/>
      <c r="AE434" s="170"/>
      <c r="AF434" s="165"/>
      <c r="AG434" s="166"/>
      <c r="AH434" s="207"/>
      <c r="AI434" s="170"/>
      <c r="AJ434" s="165"/>
      <c r="AK434" s="166"/>
      <c r="AL434" s="207"/>
      <c r="AM434" s="170"/>
      <c r="AN434" s="165"/>
      <c r="AO434" s="166"/>
      <c r="AP434" s="207">
        <v>362</v>
      </c>
      <c r="AQ434" s="170">
        <v>211</v>
      </c>
      <c r="AR434" s="165">
        <v>275</v>
      </c>
      <c r="AS434" s="166">
        <v>300</v>
      </c>
      <c r="AT434" s="207"/>
      <c r="AU434" s="170"/>
      <c r="AV434" s="190"/>
      <c r="AW434" s="166"/>
      <c r="AX434" s="208"/>
      <c r="AY434" s="170"/>
      <c r="AZ434" s="45"/>
      <c r="BA434" s="58"/>
      <c r="BB434" s="45"/>
      <c r="BC434" s="46"/>
      <c r="BD434" s="45"/>
      <c r="BE434" s="46"/>
      <c r="BF434" s="45"/>
      <c r="BG434" s="46"/>
      <c r="BH434" s="45"/>
      <c r="BI434" s="46"/>
      <c r="BJ434" s="45"/>
      <c r="BK434" s="46"/>
    </row>
    <row r="435" spans="1:63" ht="13" x14ac:dyDescent="0.25">
      <c r="A435" s="372">
        <v>7307</v>
      </c>
      <c r="B435" s="373" t="s">
        <v>558</v>
      </c>
      <c r="C435" s="360">
        <v>822</v>
      </c>
      <c r="D435" s="54">
        <v>534</v>
      </c>
      <c r="E435" s="367">
        <v>0.69653524492234165</v>
      </c>
      <c r="F435" s="45">
        <v>172</v>
      </c>
      <c r="G435" s="58">
        <v>359</v>
      </c>
      <c r="H435" s="45">
        <v>241</v>
      </c>
      <c r="I435" s="57">
        <v>288</v>
      </c>
      <c r="J435" s="97"/>
      <c r="K435" s="58"/>
      <c r="L435" s="45"/>
      <c r="M435" s="57"/>
      <c r="N435" s="97"/>
      <c r="O435" s="58"/>
      <c r="P435" s="165"/>
      <c r="Q435" s="166"/>
      <c r="R435" s="207"/>
      <c r="S435" s="170"/>
      <c r="T435" s="165"/>
      <c r="U435" s="166"/>
      <c r="V435" s="207"/>
      <c r="W435" s="170"/>
      <c r="X435" s="165"/>
      <c r="Y435" s="166"/>
      <c r="Z435" s="207"/>
      <c r="AA435" s="170"/>
      <c r="AB435" s="165"/>
      <c r="AC435" s="166"/>
      <c r="AD435" s="207"/>
      <c r="AE435" s="170"/>
      <c r="AF435" s="165"/>
      <c r="AG435" s="166"/>
      <c r="AH435" s="207"/>
      <c r="AI435" s="170"/>
      <c r="AJ435" s="165"/>
      <c r="AK435" s="166"/>
      <c r="AL435" s="207"/>
      <c r="AM435" s="170"/>
      <c r="AN435" s="165"/>
      <c r="AO435" s="166"/>
      <c r="AP435" s="207">
        <v>284</v>
      </c>
      <c r="AQ435" s="170">
        <v>243</v>
      </c>
      <c r="AR435" s="165">
        <v>185</v>
      </c>
      <c r="AS435" s="166">
        <v>343</v>
      </c>
      <c r="AT435" s="207"/>
      <c r="AU435" s="170"/>
      <c r="AV435" s="190"/>
      <c r="AW435" s="166"/>
      <c r="AX435" s="208"/>
      <c r="AY435" s="170"/>
      <c r="AZ435" s="45"/>
      <c r="BA435" s="58"/>
      <c r="BB435" s="45"/>
      <c r="BC435" s="46"/>
      <c r="BD435" s="45"/>
      <c r="BE435" s="46"/>
      <c r="BF435" s="45"/>
      <c r="BG435" s="46"/>
      <c r="BH435" s="45"/>
      <c r="BI435" s="46"/>
      <c r="BJ435" s="45"/>
      <c r="BK435" s="46"/>
    </row>
    <row r="436" spans="1:63" ht="13" x14ac:dyDescent="0.25">
      <c r="A436" s="372">
        <v>7308</v>
      </c>
      <c r="B436" s="373" t="s">
        <v>559</v>
      </c>
      <c r="C436" s="360">
        <v>829</v>
      </c>
      <c r="D436" s="54">
        <v>429</v>
      </c>
      <c r="E436" s="367">
        <v>0.54</v>
      </c>
      <c r="F436" s="45">
        <v>272</v>
      </c>
      <c r="G436" s="58">
        <v>154</v>
      </c>
      <c r="H436" s="45">
        <v>288</v>
      </c>
      <c r="I436" s="57">
        <v>135</v>
      </c>
      <c r="J436" s="97"/>
      <c r="K436" s="58"/>
      <c r="L436" s="45"/>
      <c r="M436" s="57"/>
      <c r="N436" s="97"/>
      <c r="O436" s="58"/>
      <c r="P436" s="165"/>
      <c r="Q436" s="166"/>
      <c r="R436" s="207"/>
      <c r="S436" s="170"/>
      <c r="T436" s="165"/>
      <c r="U436" s="166"/>
      <c r="V436" s="207"/>
      <c r="W436" s="170"/>
      <c r="X436" s="165"/>
      <c r="Y436" s="166"/>
      <c r="Z436" s="207"/>
      <c r="AA436" s="170"/>
      <c r="AB436" s="165"/>
      <c r="AC436" s="166"/>
      <c r="AD436" s="207"/>
      <c r="AE436" s="170"/>
      <c r="AF436" s="165"/>
      <c r="AG436" s="166"/>
      <c r="AH436" s="207"/>
      <c r="AI436" s="170"/>
      <c r="AJ436" s="165"/>
      <c r="AK436" s="166"/>
      <c r="AL436" s="207"/>
      <c r="AM436" s="170"/>
      <c r="AN436" s="165"/>
      <c r="AO436" s="166"/>
      <c r="AP436" s="207">
        <v>295</v>
      </c>
      <c r="AQ436" s="170">
        <v>123</v>
      </c>
      <c r="AR436" s="165">
        <v>223</v>
      </c>
      <c r="AS436" s="166">
        <v>194</v>
      </c>
      <c r="AT436" s="207"/>
      <c r="AU436" s="170"/>
      <c r="AV436" s="190"/>
      <c r="AW436" s="166"/>
      <c r="AX436" s="208"/>
      <c r="AY436" s="170"/>
      <c r="AZ436" s="45"/>
      <c r="BA436" s="58"/>
      <c r="BB436" s="45"/>
      <c r="BC436" s="46"/>
      <c r="BD436" s="45"/>
      <c r="BE436" s="46"/>
      <c r="BF436" s="45"/>
      <c r="BG436" s="46"/>
      <c r="BH436" s="45"/>
      <c r="BI436" s="46"/>
      <c r="BJ436" s="45"/>
      <c r="BK436" s="46"/>
    </row>
    <row r="437" spans="1:63" ht="13" x14ac:dyDescent="0.25">
      <c r="A437" s="372">
        <v>7309</v>
      </c>
      <c r="B437" s="373" t="s">
        <v>560</v>
      </c>
      <c r="C437" s="360">
        <v>1157</v>
      </c>
      <c r="D437" s="54">
        <v>511</v>
      </c>
      <c r="E437" s="367">
        <v>0.50131004366812226</v>
      </c>
      <c r="F437" s="45">
        <v>269</v>
      </c>
      <c r="G437" s="58">
        <v>234</v>
      </c>
      <c r="H437" s="45">
        <v>300</v>
      </c>
      <c r="I437" s="57">
        <v>201</v>
      </c>
      <c r="J437" s="97"/>
      <c r="K437" s="58"/>
      <c r="L437" s="45"/>
      <c r="M437" s="57"/>
      <c r="N437" s="97"/>
      <c r="O437" s="58"/>
      <c r="P437" s="165"/>
      <c r="Q437" s="166"/>
      <c r="R437" s="207"/>
      <c r="S437" s="170"/>
      <c r="T437" s="165"/>
      <c r="U437" s="166"/>
      <c r="V437" s="207"/>
      <c r="W437" s="170"/>
      <c r="X437" s="165"/>
      <c r="Y437" s="166"/>
      <c r="Z437" s="207"/>
      <c r="AA437" s="170"/>
      <c r="AB437" s="165"/>
      <c r="AC437" s="166"/>
      <c r="AD437" s="207"/>
      <c r="AE437" s="170"/>
      <c r="AF437" s="165"/>
      <c r="AG437" s="166"/>
      <c r="AH437" s="207"/>
      <c r="AI437" s="170"/>
      <c r="AJ437" s="165"/>
      <c r="AK437" s="166"/>
      <c r="AL437" s="207"/>
      <c r="AM437" s="170"/>
      <c r="AN437" s="165"/>
      <c r="AO437" s="166"/>
      <c r="AP437" s="207">
        <v>320</v>
      </c>
      <c r="AQ437" s="170">
        <v>173</v>
      </c>
      <c r="AR437" s="165">
        <v>264</v>
      </c>
      <c r="AS437" s="166">
        <v>232</v>
      </c>
      <c r="AT437" s="207"/>
      <c r="AU437" s="170"/>
      <c r="AV437" s="190"/>
      <c r="AW437" s="166"/>
      <c r="AX437" s="208"/>
      <c r="AY437" s="170"/>
      <c r="AZ437" s="45"/>
      <c r="BA437" s="58"/>
      <c r="BB437" s="45"/>
      <c r="BC437" s="46"/>
      <c r="BD437" s="45"/>
      <c r="BE437" s="46"/>
      <c r="BF437" s="45"/>
      <c r="BG437" s="46"/>
      <c r="BH437" s="45"/>
      <c r="BI437" s="46"/>
      <c r="BJ437" s="45"/>
      <c r="BK437" s="46"/>
    </row>
    <row r="438" spans="1:63" ht="13" x14ac:dyDescent="0.25">
      <c r="A438" s="372">
        <v>7310</v>
      </c>
      <c r="B438" s="373" t="s">
        <v>561</v>
      </c>
      <c r="C438" s="360">
        <v>901</v>
      </c>
      <c r="D438" s="54">
        <v>567</v>
      </c>
      <c r="E438" s="367">
        <v>0.67792792792792789</v>
      </c>
      <c r="F438" s="45">
        <v>228</v>
      </c>
      <c r="G438" s="58">
        <v>334</v>
      </c>
      <c r="H438" s="45">
        <v>243</v>
      </c>
      <c r="I438" s="57">
        <v>311</v>
      </c>
      <c r="J438" s="97"/>
      <c r="K438" s="58"/>
      <c r="L438" s="45"/>
      <c r="M438" s="57"/>
      <c r="N438" s="97"/>
      <c r="O438" s="58"/>
      <c r="P438" s="165"/>
      <c r="Q438" s="166"/>
      <c r="R438" s="207"/>
      <c r="S438" s="170"/>
      <c r="T438" s="165"/>
      <c r="U438" s="166"/>
      <c r="V438" s="207"/>
      <c r="W438" s="170"/>
      <c r="X438" s="165"/>
      <c r="Y438" s="166"/>
      <c r="Z438" s="207"/>
      <c r="AA438" s="170"/>
      <c r="AB438" s="165"/>
      <c r="AC438" s="166"/>
      <c r="AD438" s="207"/>
      <c r="AE438" s="170"/>
      <c r="AF438" s="165"/>
      <c r="AG438" s="166"/>
      <c r="AH438" s="207"/>
      <c r="AI438" s="170"/>
      <c r="AJ438" s="165"/>
      <c r="AK438" s="166"/>
      <c r="AL438" s="207"/>
      <c r="AM438" s="170"/>
      <c r="AN438" s="165"/>
      <c r="AO438" s="166"/>
      <c r="AP438" s="207">
        <v>348</v>
      </c>
      <c r="AQ438" s="170">
        <v>208</v>
      </c>
      <c r="AR438" s="165">
        <v>238</v>
      </c>
      <c r="AS438" s="166">
        <v>318</v>
      </c>
      <c r="AT438" s="207"/>
      <c r="AU438" s="170"/>
      <c r="AV438" s="190"/>
      <c r="AW438" s="166"/>
      <c r="AX438" s="208"/>
      <c r="AY438" s="170"/>
      <c r="AZ438" s="45"/>
      <c r="BA438" s="58"/>
      <c r="BB438" s="45"/>
      <c r="BC438" s="46"/>
      <c r="BD438" s="45"/>
      <c r="BE438" s="46"/>
      <c r="BF438" s="45"/>
      <c r="BG438" s="46"/>
      <c r="BH438" s="45"/>
      <c r="BI438" s="46"/>
      <c r="BJ438" s="45"/>
      <c r="BK438" s="46"/>
    </row>
    <row r="439" spans="1:63" ht="13" x14ac:dyDescent="0.25">
      <c r="A439" s="372">
        <v>7311</v>
      </c>
      <c r="B439" s="373" t="s">
        <v>562</v>
      </c>
      <c r="C439" s="360">
        <v>1178</v>
      </c>
      <c r="D439" s="54">
        <v>765</v>
      </c>
      <c r="E439" s="367">
        <v>0.71329278887923542</v>
      </c>
      <c r="F439" s="45">
        <v>281</v>
      </c>
      <c r="G439" s="58">
        <v>479</v>
      </c>
      <c r="H439" s="45">
        <v>325</v>
      </c>
      <c r="I439" s="57">
        <v>423</v>
      </c>
      <c r="J439" s="97"/>
      <c r="K439" s="58"/>
      <c r="L439" s="45"/>
      <c r="M439" s="57"/>
      <c r="N439" s="97"/>
      <c r="O439" s="58"/>
      <c r="P439" s="165"/>
      <c r="Q439" s="166"/>
      <c r="R439" s="207"/>
      <c r="S439" s="170"/>
      <c r="T439" s="165"/>
      <c r="U439" s="166"/>
      <c r="V439" s="207"/>
      <c r="W439" s="170"/>
      <c r="X439" s="165"/>
      <c r="Y439" s="166"/>
      <c r="Z439" s="207"/>
      <c r="AA439" s="170"/>
      <c r="AB439" s="165"/>
      <c r="AC439" s="166"/>
      <c r="AD439" s="207"/>
      <c r="AE439" s="170"/>
      <c r="AF439" s="165"/>
      <c r="AG439" s="166"/>
      <c r="AH439" s="207"/>
      <c r="AI439" s="170"/>
      <c r="AJ439" s="165"/>
      <c r="AK439" s="166"/>
      <c r="AL439" s="207"/>
      <c r="AM439" s="170"/>
      <c r="AN439" s="165"/>
      <c r="AO439" s="166"/>
      <c r="AP439" s="207">
        <v>452</v>
      </c>
      <c r="AQ439" s="170">
        <v>290</v>
      </c>
      <c r="AR439" s="165">
        <v>322</v>
      </c>
      <c r="AS439" s="166">
        <v>423</v>
      </c>
      <c r="AT439" s="207"/>
      <c r="AU439" s="170"/>
      <c r="AV439" s="190"/>
      <c r="AW439" s="166"/>
      <c r="AX439" s="208"/>
      <c r="AY439" s="170"/>
      <c r="AZ439" s="45"/>
      <c r="BA439" s="58"/>
      <c r="BB439" s="45"/>
      <c r="BC439" s="46"/>
      <c r="BD439" s="45"/>
      <c r="BE439" s="46"/>
      <c r="BF439" s="45"/>
      <c r="BG439" s="46"/>
      <c r="BH439" s="45"/>
      <c r="BI439" s="46"/>
      <c r="BJ439" s="45"/>
      <c r="BK439" s="46"/>
    </row>
    <row r="440" spans="1:63" ht="13" x14ac:dyDescent="0.25">
      <c r="A440" s="372">
        <v>7312</v>
      </c>
      <c r="B440" s="373" t="s">
        <v>563</v>
      </c>
      <c r="C440" s="360">
        <v>1344</v>
      </c>
      <c r="D440" s="54">
        <v>761</v>
      </c>
      <c r="E440" s="367">
        <v>0.6340552651232263</v>
      </c>
      <c r="F440" s="45">
        <v>343</v>
      </c>
      <c r="G440" s="58">
        <v>414</v>
      </c>
      <c r="H440" s="45">
        <v>365</v>
      </c>
      <c r="I440" s="57">
        <v>380</v>
      </c>
      <c r="J440" s="97"/>
      <c r="K440" s="58"/>
      <c r="L440" s="45"/>
      <c r="M440" s="57"/>
      <c r="N440" s="97"/>
      <c r="O440" s="58"/>
      <c r="P440" s="165"/>
      <c r="Q440" s="166"/>
      <c r="R440" s="207"/>
      <c r="S440" s="170"/>
      <c r="T440" s="165"/>
      <c r="U440" s="166"/>
      <c r="V440" s="207"/>
      <c r="W440" s="170"/>
      <c r="X440" s="165"/>
      <c r="Y440" s="166"/>
      <c r="Z440" s="207"/>
      <c r="AA440" s="170"/>
      <c r="AB440" s="165"/>
      <c r="AC440" s="166"/>
      <c r="AD440" s="207"/>
      <c r="AE440" s="170"/>
      <c r="AF440" s="165"/>
      <c r="AG440" s="166"/>
      <c r="AH440" s="207"/>
      <c r="AI440" s="170"/>
      <c r="AJ440" s="165"/>
      <c r="AK440" s="166"/>
      <c r="AL440" s="207"/>
      <c r="AM440" s="170"/>
      <c r="AN440" s="165"/>
      <c r="AO440" s="166"/>
      <c r="AP440" s="207">
        <v>494</v>
      </c>
      <c r="AQ440" s="170">
        <v>249</v>
      </c>
      <c r="AR440" s="165">
        <v>357</v>
      </c>
      <c r="AS440" s="166">
        <v>394</v>
      </c>
      <c r="AT440" s="207"/>
      <c r="AU440" s="170"/>
      <c r="AV440" s="190"/>
      <c r="AW440" s="166"/>
      <c r="AX440" s="208"/>
      <c r="AY440" s="170"/>
      <c r="AZ440" s="45"/>
      <c r="BA440" s="58"/>
      <c r="BB440" s="45"/>
      <c r="BC440" s="46"/>
      <c r="BD440" s="45"/>
      <c r="BE440" s="46"/>
      <c r="BF440" s="45"/>
      <c r="BG440" s="46"/>
      <c r="BH440" s="45"/>
      <c r="BI440" s="46"/>
      <c r="BJ440" s="45"/>
      <c r="BK440" s="46"/>
    </row>
    <row r="441" spans="1:63" ht="13" x14ac:dyDescent="0.25">
      <c r="A441" s="372">
        <v>7313</v>
      </c>
      <c r="B441" s="373" t="s">
        <v>564</v>
      </c>
      <c r="C441" s="360">
        <v>711</v>
      </c>
      <c r="D441" s="54">
        <v>438</v>
      </c>
      <c r="E441" s="367">
        <v>0.69637883008356549</v>
      </c>
      <c r="F441" s="45">
        <v>156</v>
      </c>
      <c r="G441" s="58">
        <v>276</v>
      </c>
      <c r="H441" s="45">
        <v>211</v>
      </c>
      <c r="I441" s="57">
        <v>219</v>
      </c>
      <c r="J441" s="97"/>
      <c r="K441" s="58"/>
      <c r="L441" s="45"/>
      <c r="M441" s="57"/>
      <c r="N441" s="97"/>
      <c r="O441" s="58"/>
      <c r="P441" s="165"/>
      <c r="Q441" s="166"/>
      <c r="R441" s="207"/>
      <c r="S441" s="170"/>
      <c r="T441" s="165"/>
      <c r="U441" s="166"/>
      <c r="V441" s="207"/>
      <c r="W441" s="170"/>
      <c r="X441" s="165"/>
      <c r="Y441" s="166"/>
      <c r="Z441" s="207"/>
      <c r="AA441" s="170"/>
      <c r="AB441" s="165"/>
      <c r="AC441" s="166"/>
      <c r="AD441" s="207"/>
      <c r="AE441" s="170"/>
      <c r="AF441" s="165"/>
      <c r="AG441" s="166"/>
      <c r="AH441" s="207"/>
      <c r="AI441" s="170"/>
      <c r="AJ441" s="165"/>
      <c r="AK441" s="166"/>
      <c r="AL441" s="207"/>
      <c r="AM441" s="170"/>
      <c r="AN441" s="165"/>
      <c r="AO441" s="166"/>
      <c r="AP441" s="207">
        <v>256</v>
      </c>
      <c r="AQ441" s="170">
        <v>177</v>
      </c>
      <c r="AR441" s="165">
        <v>164</v>
      </c>
      <c r="AS441" s="166">
        <v>273</v>
      </c>
      <c r="AT441" s="207"/>
      <c r="AU441" s="170"/>
      <c r="AV441" s="190"/>
      <c r="AW441" s="166"/>
      <c r="AX441" s="208"/>
      <c r="AY441" s="170"/>
      <c r="AZ441" s="45"/>
      <c r="BA441" s="58"/>
      <c r="BB441" s="45"/>
      <c r="BC441" s="46"/>
      <c r="BD441" s="45"/>
      <c r="BE441" s="46"/>
      <c r="BF441" s="45"/>
      <c r="BG441" s="46"/>
      <c r="BH441" s="45"/>
      <c r="BI441" s="46"/>
      <c r="BJ441" s="45"/>
      <c r="BK441" s="46"/>
    </row>
    <row r="442" spans="1:63" ht="13" x14ac:dyDescent="0.25">
      <c r="A442" s="372">
        <v>7314</v>
      </c>
      <c r="B442" s="373" t="s">
        <v>565</v>
      </c>
      <c r="C442" s="360">
        <v>1295</v>
      </c>
      <c r="D442" s="54">
        <v>613</v>
      </c>
      <c r="E442" s="367">
        <v>0.48326848249027238</v>
      </c>
      <c r="F442" s="45">
        <v>331</v>
      </c>
      <c r="G442" s="58">
        <v>277</v>
      </c>
      <c r="H442" s="45">
        <v>375</v>
      </c>
      <c r="I442" s="57">
        <v>228</v>
      </c>
      <c r="J442" s="97"/>
      <c r="K442" s="58"/>
      <c r="L442" s="45"/>
      <c r="M442" s="57"/>
      <c r="N442" s="97"/>
      <c r="O442" s="58"/>
      <c r="P442" s="165"/>
      <c r="Q442" s="166"/>
      <c r="R442" s="207"/>
      <c r="S442" s="170"/>
      <c r="T442" s="165"/>
      <c r="U442" s="166"/>
      <c r="V442" s="207"/>
      <c r="W442" s="170"/>
      <c r="X442" s="165"/>
      <c r="Y442" s="166"/>
      <c r="Z442" s="207"/>
      <c r="AA442" s="170"/>
      <c r="AB442" s="165"/>
      <c r="AC442" s="166"/>
      <c r="AD442" s="207"/>
      <c r="AE442" s="170"/>
      <c r="AF442" s="165"/>
      <c r="AG442" s="166"/>
      <c r="AH442" s="207"/>
      <c r="AI442" s="170"/>
      <c r="AJ442" s="165"/>
      <c r="AK442" s="166"/>
      <c r="AL442" s="207"/>
      <c r="AM442" s="170"/>
      <c r="AN442" s="165"/>
      <c r="AO442" s="166"/>
      <c r="AP442" s="207">
        <v>377</v>
      </c>
      <c r="AQ442" s="170">
        <v>220</v>
      </c>
      <c r="AR442" s="165">
        <v>285</v>
      </c>
      <c r="AS442" s="166">
        <v>318</v>
      </c>
      <c r="AT442" s="207"/>
      <c r="AU442" s="170"/>
      <c r="AV442" s="190"/>
      <c r="AW442" s="166"/>
      <c r="AX442" s="208"/>
      <c r="AY442" s="170"/>
      <c r="AZ442" s="45"/>
      <c r="BA442" s="58"/>
      <c r="BB442" s="45"/>
      <c r="BC442" s="46"/>
      <c r="BD442" s="45"/>
      <c r="BE442" s="46"/>
      <c r="BF442" s="45"/>
      <c r="BG442" s="46"/>
      <c r="BH442" s="45"/>
      <c r="BI442" s="46"/>
      <c r="BJ442" s="45"/>
      <c r="BK442" s="46"/>
    </row>
    <row r="443" spans="1:63" ht="13" x14ac:dyDescent="0.25">
      <c r="A443" s="372">
        <v>7315</v>
      </c>
      <c r="B443" s="373" t="s">
        <v>566</v>
      </c>
      <c r="C443" s="360">
        <v>1318</v>
      </c>
      <c r="D443" s="54">
        <v>677</v>
      </c>
      <c r="E443" s="367">
        <v>0.55996822875297858</v>
      </c>
      <c r="F443" s="45">
        <v>378</v>
      </c>
      <c r="G443" s="58">
        <v>296</v>
      </c>
      <c r="H443" s="45">
        <v>412</v>
      </c>
      <c r="I443" s="57">
        <v>257</v>
      </c>
      <c r="J443" s="97"/>
      <c r="K443" s="58"/>
      <c r="L443" s="45"/>
      <c r="M443" s="57"/>
      <c r="N443" s="97"/>
      <c r="O443" s="58"/>
      <c r="P443" s="165"/>
      <c r="Q443" s="166"/>
      <c r="R443" s="207"/>
      <c r="S443" s="170"/>
      <c r="T443" s="165"/>
      <c r="U443" s="166"/>
      <c r="V443" s="207"/>
      <c r="W443" s="170"/>
      <c r="X443" s="165"/>
      <c r="Y443" s="166"/>
      <c r="Z443" s="207"/>
      <c r="AA443" s="170"/>
      <c r="AB443" s="165"/>
      <c r="AC443" s="166"/>
      <c r="AD443" s="207"/>
      <c r="AE443" s="170"/>
      <c r="AF443" s="165"/>
      <c r="AG443" s="166"/>
      <c r="AH443" s="207"/>
      <c r="AI443" s="170"/>
      <c r="AJ443" s="165"/>
      <c r="AK443" s="166"/>
      <c r="AL443" s="207"/>
      <c r="AM443" s="170"/>
      <c r="AN443" s="165"/>
      <c r="AO443" s="166"/>
      <c r="AP443" s="207">
        <v>419</v>
      </c>
      <c r="AQ443" s="170">
        <v>239</v>
      </c>
      <c r="AR443" s="165">
        <v>324</v>
      </c>
      <c r="AS443" s="166">
        <v>342</v>
      </c>
      <c r="AT443" s="207"/>
      <c r="AU443" s="170"/>
      <c r="AV443" s="190"/>
      <c r="AW443" s="166"/>
      <c r="AX443" s="208"/>
      <c r="AY443" s="170"/>
      <c r="AZ443" s="45"/>
      <c r="BA443" s="58"/>
      <c r="BB443" s="45"/>
      <c r="BC443" s="46"/>
      <c r="BD443" s="45"/>
      <c r="BE443" s="46"/>
      <c r="BF443" s="45"/>
      <c r="BG443" s="46"/>
      <c r="BH443" s="45"/>
      <c r="BI443" s="46"/>
      <c r="BJ443" s="45"/>
      <c r="BK443" s="46"/>
    </row>
    <row r="444" spans="1:63" ht="13" x14ac:dyDescent="0.25">
      <c r="A444" s="372">
        <v>7316</v>
      </c>
      <c r="B444" s="373" t="s">
        <v>567</v>
      </c>
      <c r="C444" s="360">
        <v>1051</v>
      </c>
      <c r="D444" s="54">
        <v>627</v>
      </c>
      <c r="E444" s="367">
        <v>0.6970560303893637</v>
      </c>
      <c r="F444" s="45">
        <v>217</v>
      </c>
      <c r="G444" s="58">
        <v>410</v>
      </c>
      <c r="H444" s="45">
        <v>265</v>
      </c>
      <c r="I444" s="57">
        <v>353</v>
      </c>
      <c r="J444" s="97"/>
      <c r="K444" s="58"/>
      <c r="L444" s="45"/>
      <c r="M444" s="57"/>
      <c r="N444" s="97"/>
      <c r="O444" s="58"/>
      <c r="P444" s="165"/>
      <c r="Q444" s="166"/>
      <c r="R444" s="207"/>
      <c r="S444" s="170"/>
      <c r="T444" s="165"/>
      <c r="U444" s="166"/>
      <c r="V444" s="207"/>
      <c r="W444" s="170"/>
      <c r="X444" s="165"/>
      <c r="Y444" s="166"/>
      <c r="Z444" s="207"/>
      <c r="AA444" s="170"/>
      <c r="AB444" s="165"/>
      <c r="AC444" s="166"/>
      <c r="AD444" s="207"/>
      <c r="AE444" s="170"/>
      <c r="AF444" s="165"/>
      <c r="AG444" s="166"/>
      <c r="AH444" s="207"/>
      <c r="AI444" s="170"/>
      <c r="AJ444" s="165"/>
      <c r="AK444" s="166"/>
      <c r="AL444" s="207"/>
      <c r="AM444" s="170"/>
      <c r="AN444" s="165"/>
      <c r="AO444" s="166"/>
      <c r="AP444" s="207">
        <v>325</v>
      </c>
      <c r="AQ444" s="170">
        <v>289</v>
      </c>
      <c r="AR444" s="165">
        <v>217</v>
      </c>
      <c r="AS444" s="166">
        <v>396</v>
      </c>
      <c r="AT444" s="207"/>
      <c r="AU444" s="170"/>
      <c r="AV444" s="190"/>
      <c r="AW444" s="166"/>
      <c r="AX444" s="208"/>
      <c r="AY444" s="170"/>
      <c r="AZ444" s="45"/>
      <c r="BA444" s="58"/>
      <c r="BB444" s="45"/>
      <c r="BC444" s="46"/>
      <c r="BD444" s="45"/>
      <c r="BE444" s="46"/>
      <c r="BF444" s="45"/>
      <c r="BG444" s="46"/>
      <c r="BH444" s="45"/>
      <c r="BI444" s="46"/>
      <c r="BJ444" s="45"/>
      <c r="BK444" s="46"/>
    </row>
    <row r="445" spans="1:63" ht="13" x14ac:dyDescent="0.25">
      <c r="A445" s="372">
        <v>7317</v>
      </c>
      <c r="B445" s="373" t="s">
        <v>568</v>
      </c>
      <c r="C445" s="360">
        <v>1182</v>
      </c>
      <c r="D445" s="54">
        <v>719</v>
      </c>
      <c r="E445" s="367">
        <v>0.69546979865771807</v>
      </c>
      <c r="F445" s="45">
        <v>252</v>
      </c>
      <c r="G445" s="58">
        <v>458</v>
      </c>
      <c r="H445" s="45">
        <v>317</v>
      </c>
      <c r="I445" s="57">
        <v>387</v>
      </c>
      <c r="J445" s="97"/>
      <c r="K445" s="58"/>
      <c r="L445" s="45"/>
      <c r="M445" s="57"/>
      <c r="N445" s="97"/>
      <c r="O445" s="58"/>
      <c r="P445" s="165"/>
      <c r="Q445" s="166"/>
      <c r="R445" s="207"/>
      <c r="S445" s="170"/>
      <c r="T445" s="165"/>
      <c r="U445" s="166"/>
      <c r="V445" s="207"/>
      <c r="W445" s="170"/>
      <c r="X445" s="165"/>
      <c r="Y445" s="166"/>
      <c r="Z445" s="207"/>
      <c r="AA445" s="170"/>
      <c r="AB445" s="165"/>
      <c r="AC445" s="166"/>
      <c r="AD445" s="207"/>
      <c r="AE445" s="170"/>
      <c r="AF445" s="165"/>
      <c r="AG445" s="166"/>
      <c r="AH445" s="207"/>
      <c r="AI445" s="170"/>
      <c r="AJ445" s="165"/>
      <c r="AK445" s="166"/>
      <c r="AL445" s="207"/>
      <c r="AM445" s="170"/>
      <c r="AN445" s="165"/>
      <c r="AO445" s="166"/>
      <c r="AP445" s="207">
        <v>397</v>
      </c>
      <c r="AQ445" s="170">
        <v>305</v>
      </c>
      <c r="AR445" s="165">
        <v>251</v>
      </c>
      <c r="AS445" s="166">
        <v>446</v>
      </c>
      <c r="AT445" s="207"/>
      <c r="AU445" s="170"/>
      <c r="AV445" s="190"/>
      <c r="AW445" s="166"/>
      <c r="AX445" s="208"/>
      <c r="AY445" s="170"/>
      <c r="AZ445" s="45"/>
      <c r="BA445" s="58"/>
      <c r="BB445" s="45"/>
      <c r="BC445" s="46"/>
      <c r="BD445" s="45"/>
      <c r="BE445" s="46"/>
      <c r="BF445" s="45"/>
      <c r="BG445" s="46"/>
      <c r="BH445" s="45"/>
      <c r="BI445" s="46"/>
      <c r="BJ445" s="45"/>
      <c r="BK445" s="46"/>
    </row>
    <row r="446" spans="1:63" ht="13" x14ac:dyDescent="0.25">
      <c r="A446" s="372">
        <v>7318</v>
      </c>
      <c r="B446" s="373" t="s">
        <v>569</v>
      </c>
      <c r="C446" s="360">
        <v>725</v>
      </c>
      <c r="D446" s="54">
        <v>422</v>
      </c>
      <c r="E446" s="367">
        <v>0.63310344827586207</v>
      </c>
      <c r="F446" s="45">
        <v>144</v>
      </c>
      <c r="G446" s="58">
        <v>273</v>
      </c>
      <c r="H446" s="45">
        <v>198</v>
      </c>
      <c r="I446" s="57">
        <v>220</v>
      </c>
      <c r="J446" s="97"/>
      <c r="K446" s="58"/>
      <c r="L446" s="45"/>
      <c r="M446" s="57"/>
      <c r="N446" s="97"/>
      <c r="O446" s="58"/>
      <c r="P446" s="165"/>
      <c r="Q446" s="166"/>
      <c r="R446" s="207"/>
      <c r="S446" s="170"/>
      <c r="T446" s="165"/>
      <c r="U446" s="166"/>
      <c r="V446" s="207"/>
      <c r="W446" s="170"/>
      <c r="X446" s="165"/>
      <c r="Y446" s="166"/>
      <c r="Z446" s="207"/>
      <c r="AA446" s="170"/>
      <c r="AB446" s="165"/>
      <c r="AC446" s="166"/>
      <c r="AD446" s="207"/>
      <c r="AE446" s="170"/>
      <c r="AF446" s="165"/>
      <c r="AG446" s="166"/>
      <c r="AH446" s="207"/>
      <c r="AI446" s="170"/>
      <c r="AJ446" s="165"/>
      <c r="AK446" s="166"/>
      <c r="AL446" s="207"/>
      <c r="AM446" s="170"/>
      <c r="AN446" s="165"/>
      <c r="AO446" s="166"/>
      <c r="AP446" s="207">
        <v>210</v>
      </c>
      <c r="AQ446" s="170">
        <v>208</v>
      </c>
      <c r="AR446" s="165">
        <v>160</v>
      </c>
      <c r="AS446" s="166">
        <v>259</v>
      </c>
      <c r="AT446" s="207"/>
      <c r="AU446" s="170"/>
      <c r="AV446" s="190"/>
      <c r="AW446" s="166"/>
      <c r="AX446" s="208"/>
      <c r="AY446" s="170"/>
      <c r="AZ446" s="45"/>
      <c r="BA446" s="58"/>
      <c r="BB446" s="45"/>
      <c r="BC446" s="46"/>
      <c r="BD446" s="45"/>
      <c r="BE446" s="46"/>
      <c r="BF446" s="45"/>
      <c r="BG446" s="46"/>
      <c r="BH446" s="45"/>
      <c r="BI446" s="46"/>
      <c r="BJ446" s="45"/>
      <c r="BK446" s="46"/>
    </row>
    <row r="447" spans="1:63" ht="13" x14ac:dyDescent="0.25">
      <c r="A447" s="372">
        <v>7319</v>
      </c>
      <c r="B447" s="373" t="s">
        <v>570</v>
      </c>
      <c r="C447" s="360">
        <v>1252</v>
      </c>
      <c r="D447" s="54">
        <v>569</v>
      </c>
      <c r="E447" s="367">
        <v>0.4975806451612903</v>
      </c>
      <c r="F447" s="45">
        <v>317</v>
      </c>
      <c r="G447" s="58">
        <v>249</v>
      </c>
      <c r="H447" s="45">
        <v>363</v>
      </c>
      <c r="I447" s="57">
        <v>198</v>
      </c>
      <c r="J447" s="97"/>
      <c r="K447" s="58"/>
      <c r="L447" s="45"/>
      <c r="M447" s="57"/>
      <c r="N447" s="97"/>
      <c r="O447" s="58"/>
      <c r="P447" s="165"/>
      <c r="Q447" s="166"/>
      <c r="R447" s="207"/>
      <c r="S447" s="170"/>
      <c r="T447" s="165"/>
      <c r="U447" s="166"/>
      <c r="V447" s="207"/>
      <c r="W447" s="170"/>
      <c r="X447" s="165"/>
      <c r="Y447" s="166"/>
      <c r="Z447" s="207"/>
      <c r="AA447" s="170"/>
      <c r="AB447" s="165"/>
      <c r="AC447" s="166"/>
      <c r="AD447" s="207"/>
      <c r="AE447" s="170"/>
      <c r="AF447" s="165"/>
      <c r="AG447" s="166"/>
      <c r="AH447" s="207"/>
      <c r="AI447" s="170"/>
      <c r="AJ447" s="165"/>
      <c r="AK447" s="166"/>
      <c r="AL447" s="207"/>
      <c r="AM447" s="170"/>
      <c r="AN447" s="165"/>
      <c r="AO447" s="166"/>
      <c r="AP447" s="207">
        <v>336</v>
      </c>
      <c r="AQ447" s="170">
        <v>216</v>
      </c>
      <c r="AR447" s="165">
        <v>269</v>
      </c>
      <c r="AS447" s="166">
        <v>286</v>
      </c>
      <c r="AT447" s="207"/>
      <c r="AU447" s="170"/>
      <c r="AV447" s="190"/>
      <c r="AW447" s="166"/>
      <c r="AX447" s="208"/>
      <c r="AY447" s="170"/>
      <c r="AZ447" s="45"/>
      <c r="BA447" s="58"/>
      <c r="BB447" s="45"/>
      <c r="BC447" s="46"/>
      <c r="BD447" s="45"/>
      <c r="BE447" s="46"/>
      <c r="BF447" s="45"/>
      <c r="BG447" s="46"/>
      <c r="BH447" s="45"/>
      <c r="BI447" s="46"/>
      <c r="BJ447" s="45"/>
      <c r="BK447" s="46"/>
    </row>
    <row r="448" spans="1:63" ht="13" x14ac:dyDescent="0.25">
      <c r="A448" s="372">
        <v>7320</v>
      </c>
      <c r="B448" s="373" t="s">
        <v>571</v>
      </c>
      <c r="C448" s="360">
        <v>538</v>
      </c>
      <c r="D448" s="54">
        <v>265</v>
      </c>
      <c r="E448" s="367">
        <v>0.51618705035971224</v>
      </c>
      <c r="F448" s="45">
        <v>142</v>
      </c>
      <c r="G448" s="58">
        <v>118</v>
      </c>
      <c r="H448" s="45">
        <v>172</v>
      </c>
      <c r="I448" s="57">
        <v>90</v>
      </c>
      <c r="J448" s="97"/>
      <c r="K448" s="58"/>
      <c r="L448" s="45"/>
      <c r="M448" s="57"/>
      <c r="N448" s="97"/>
      <c r="O448" s="58"/>
      <c r="P448" s="165"/>
      <c r="Q448" s="166"/>
      <c r="R448" s="207"/>
      <c r="S448" s="170"/>
      <c r="T448" s="165"/>
      <c r="U448" s="166"/>
      <c r="V448" s="207"/>
      <c r="W448" s="170"/>
      <c r="X448" s="165"/>
      <c r="Y448" s="166"/>
      <c r="Z448" s="207"/>
      <c r="AA448" s="170"/>
      <c r="AB448" s="165"/>
      <c r="AC448" s="166"/>
      <c r="AD448" s="207"/>
      <c r="AE448" s="170"/>
      <c r="AF448" s="165"/>
      <c r="AG448" s="166"/>
      <c r="AH448" s="207"/>
      <c r="AI448" s="170"/>
      <c r="AJ448" s="165"/>
      <c r="AK448" s="166"/>
      <c r="AL448" s="207"/>
      <c r="AM448" s="170"/>
      <c r="AN448" s="165"/>
      <c r="AO448" s="166"/>
      <c r="AP448" s="207">
        <v>156</v>
      </c>
      <c r="AQ448" s="170">
        <v>100</v>
      </c>
      <c r="AR448" s="165">
        <v>120</v>
      </c>
      <c r="AS448" s="166">
        <v>139</v>
      </c>
      <c r="AT448" s="207"/>
      <c r="AU448" s="170"/>
      <c r="AV448" s="190"/>
      <c r="AW448" s="166"/>
      <c r="AX448" s="208"/>
      <c r="AY448" s="170"/>
      <c r="AZ448" s="45"/>
      <c r="BA448" s="58"/>
      <c r="BB448" s="45"/>
      <c r="BC448" s="46"/>
      <c r="BD448" s="45"/>
      <c r="BE448" s="46"/>
      <c r="BF448" s="45"/>
      <c r="BG448" s="46"/>
      <c r="BH448" s="45"/>
      <c r="BI448" s="46"/>
      <c r="BJ448" s="45"/>
      <c r="BK448" s="46"/>
    </row>
    <row r="449" spans="1:63" ht="13" x14ac:dyDescent="0.25">
      <c r="A449" s="372">
        <v>7321</v>
      </c>
      <c r="B449" s="373" t="s">
        <v>572</v>
      </c>
      <c r="C449" s="360">
        <v>696</v>
      </c>
      <c r="D449" s="54">
        <v>403</v>
      </c>
      <c r="E449" s="367">
        <v>0.65571428571428569</v>
      </c>
      <c r="F449" s="45">
        <v>180</v>
      </c>
      <c r="G449" s="58">
        <v>220</v>
      </c>
      <c r="H449" s="45">
        <v>214</v>
      </c>
      <c r="I449" s="57">
        <v>180</v>
      </c>
      <c r="J449" s="97"/>
      <c r="K449" s="58"/>
      <c r="L449" s="45"/>
      <c r="M449" s="57"/>
      <c r="N449" s="97"/>
      <c r="O449" s="58"/>
      <c r="P449" s="165"/>
      <c r="Q449" s="166"/>
      <c r="R449" s="207"/>
      <c r="S449" s="170"/>
      <c r="T449" s="165"/>
      <c r="U449" s="166"/>
      <c r="V449" s="207"/>
      <c r="W449" s="170"/>
      <c r="X449" s="165"/>
      <c r="Y449" s="166"/>
      <c r="Z449" s="207"/>
      <c r="AA449" s="170"/>
      <c r="AB449" s="165"/>
      <c r="AC449" s="166"/>
      <c r="AD449" s="207"/>
      <c r="AE449" s="170"/>
      <c r="AF449" s="165"/>
      <c r="AG449" s="166"/>
      <c r="AH449" s="207"/>
      <c r="AI449" s="170"/>
      <c r="AJ449" s="165"/>
      <c r="AK449" s="166"/>
      <c r="AL449" s="207"/>
      <c r="AM449" s="170"/>
      <c r="AN449" s="165"/>
      <c r="AO449" s="166"/>
      <c r="AP449" s="207">
        <v>234</v>
      </c>
      <c r="AQ449" s="170">
        <v>164</v>
      </c>
      <c r="AR449" s="165">
        <v>154</v>
      </c>
      <c r="AS449" s="166">
        <v>242</v>
      </c>
      <c r="AT449" s="207"/>
      <c r="AU449" s="170"/>
      <c r="AV449" s="190"/>
      <c r="AW449" s="166"/>
      <c r="AX449" s="208"/>
      <c r="AY449" s="170"/>
      <c r="AZ449" s="45"/>
      <c r="BA449" s="58"/>
      <c r="BB449" s="45"/>
      <c r="BC449" s="46"/>
      <c r="BD449" s="45"/>
      <c r="BE449" s="46"/>
      <c r="BF449" s="45"/>
      <c r="BG449" s="46"/>
      <c r="BH449" s="45"/>
      <c r="BI449" s="46"/>
      <c r="BJ449" s="45"/>
      <c r="BK449" s="46"/>
    </row>
    <row r="450" spans="1:63" ht="13" x14ac:dyDescent="0.25">
      <c r="A450" s="372">
        <v>7322</v>
      </c>
      <c r="B450" s="373" t="s">
        <v>573</v>
      </c>
      <c r="C450" s="360">
        <v>1084</v>
      </c>
      <c r="D450" s="54">
        <v>555</v>
      </c>
      <c r="E450" s="367">
        <v>0.54545454545454541</v>
      </c>
      <c r="F450" s="45">
        <v>232</v>
      </c>
      <c r="G450" s="58">
        <v>315</v>
      </c>
      <c r="H450" s="45">
        <v>304</v>
      </c>
      <c r="I450" s="57">
        <v>234</v>
      </c>
      <c r="J450" s="97"/>
      <c r="K450" s="58"/>
      <c r="L450" s="45"/>
      <c r="M450" s="57"/>
      <c r="N450" s="97"/>
      <c r="O450" s="58"/>
      <c r="P450" s="165"/>
      <c r="Q450" s="166"/>
      <c r="R450" s="207"/>
      <c r="S450" s="170"/>
      <c r="T450" s="165"/>
      <c r="U450" s="166"/>
      <c r="V450" s="207"/>
      <c r="W450" s="170"/>
      <c r="X450" s="165"/>
      <c r="Y450" s="166"/>
      <c r="Z450" s="207"/>
      <c r="AA450" s="170"/>
      <c r="AB450" s="165"/>
      <c r="AC450" s="166"/>
      <c r="AD450" s="207"/>
      <c r="AE450" s="170"/>
      <c r="AF450" s="165"/>
      <c r="AG450" s="166"/>
      <c r="AH450" s="207"/>
      <c r="AI450" s="170"/>
      <c r="AJ450" s="165"/>
      <c r="AK450" s="166"/>
      <c r="AL450" s="207"/>
      <c r="AM450" s="170"/>
      <c r="AN450" s="165"/>
      <c r="AO450" s="166"/>
      <c r="AP450" s="207">
        <v>312</v>
      </c>
      <c r="AQ450" s="170">
        <v>219</v>
      </c>
      <c r="AR450" s="165">
        <v>239</v>
      </c>
      <c r="AS450" s="166">
        <v>295</v>
      </c>
      <c r="AT450" s="207"/>
      <c r="AU450" s="170"/>
      <c r="AV450" s="190"/>
      <c r="AW450" s="166"/>
      <c r="AX450" s="208"/>
      <c r="AY450" s="170"/>
      <c r="AZ450" s="45"/>
      <c r="BA450" s="58"/>
      <c r="BB450" s="45"/>
      <c r="BC450" s="46"/>
      <c r="BD450" s="45"/>
      <c r="BE450" s="46"/>
      <c r="BF450" s="45"/>
      <c r="BG450" s="46"/>
      <c r="BH450" s="45"/>
      <c r="BI450" s="46"/>
      <c r="BJ450" s="45"/>
      <c r="BK450" s="46"/>
    </row>
    <row r="451" spans="1:63" ht="13" x14ac:dyDescent="0.25">
      <c r="A451" s="372">
        <v>7323</v>
      </c>
      <c r="B451" s="373" t="s">
        <v>574</v>
      </c>
      <c r="C451" s="360">
        <v>1288</v>
      </c>
      <c r="D451" s="54">
        <v>866</v>
      </c>
      <c r="E451" s="367">
        <v>0.77286821705426356</v>
      </c>
      <c r="F451" s="45">
        <v>281</v>
      </c>
      <c r="G451" s="58">
        <v>578</v>
      </c>
      <c r="H451" s="45">
        <v>344</v>
      </c>
      <c r="I451" s="57">
        <v>509</v>
      </c>
      <c r="J451" s="97"/>
      <c r="K451" s="58"/>
      <c r="L451" s="45"/>
      <c r="M451" s="57"/>
      <c r="N451" s="97"/>
      <c r="O451" s="58"/>
      <c r="P451" s="165"/>
      <c r="Q451" s="166"/>
      <c r="R451" s="207"/>
      <c r="S451" s="170"/>
      <c r="T451" s="165"/>
      <c r="U451" s="166"/>
      <c r="V451" s="207"/>
      <c r="W451" s="170"/>
      <c r="X451" s="165"/>
      <c r="Y451" s="166"/>
      <c r="Z451" s="207"/>
      <c r="AA451" s="170"/>
      <c r="AB451" s="165"/>
      <c r="AC451" s="166"/>
      <c r="AD451" s="207"/>
      <c r="AE451" s="170"/>
      <c r="AF451" s="165"/>
      <c r="AG451" s="166"/>
      <c r="AH451" s="207"/>
      <c r="AI451" s="170"/>
      <c r="AJ451" s="165"/>
      <c r="AK451" s="166"/>
      <c r="AL451" s="207"/>
      <c r="AM451" s="170"/>
      <c r="AN451" s="165"/>
      <c r="AO451" s="166"/>
      <c r="AP451" s="207">
        <v>482</v>
      </c>
      <c r="AQ451" s="170">
        <v>362</v>
      </c>
      <c r="AR451" s="165">
        <v>316</v>
      </c>
      <c r="AS451" s="166">
        <v>530</v>
      </c>
      <c r="AT451" s="207"/>
      <c r="AU451" s="170"/>
      <c r="AV451" s="190"/>
      <c r="AW451" s="166"/>
      <c r="AX451" s="208"/>
      <c r="AY451" s="170"/>
      <c r="AZ451" s="45"/>
      <c r="BA451" s="58"/>
      <c r="BB451" s="45"/>
      <c r="BC451" s="46"/>
      <c r="BD451" s="45"/>
      <c r="BE451" s="46"/>
      <c r="BF451" s="45"/>
      <c r="BG451" s="46"/>
      <c r="BH451" s="45"/>
      <c r="BI451" s="46"/>
      <c r="BJ451" s="45"/>
      <c r="BK451" s="46"/>
    </row>
    <row r="452" spans="1:63" ht="13" x14ac:dyDescent="0.25">
      <c r="A452" s="372">
        <v>7324</v>
      </c>
      <c r="B452" s="373" t="s">
        <v>575</v>
      </c>
      <c r="C452" s="360">
        <v>1310</v>
      </c>
      <c r="D452" s="54">
        <v>792</v>
      </c>
      <c r="E452" s="367">
        <v>0.64583333333333337</v>
      </c>
      <c r="F452" s="45">
        <v>340</v>
      </c>
      <c r="G452" s="58">
        <v>442</v>
      </c>
      <c r="H452" s="45">
        <v>409</v>
      </c>
      <c r="I452" s="57">
        <v>364</v>
      </c>
      <c r="J452" s="97"/>
      <c r="K452" s="58"/>
      <c r="L452" s="45"/>
      <c r="M452" s="57"/>
      <c r="N452" s="97"/>
      <c r="O452" s="58"/>
      <c r="P452" s="165"/>
      <c r="Q452" s="166"/>
      <c r="R452" s="207"/>
      <c r="S452" s="170"/>
      <c r="T452" s="165"/>
      <c r="U452" s="166"/>
      <c r="V452" s="207"/>
      <c r="W452" s="170"/>
      <c r="X452" s="165"/>
      <c r="Y452" s="166"/>
      <c r="Z452" s="207"/>
      <c r="AA452" s="170"/>
      <c r="AB452" s="165"/>
      <c r="AC452" s="166"/>
      <c r="AD452" s="207"/>
      <c r="AE452" s="170"/>
      <c r="AF452" s="165"/>
      <c r="AG452" s="166"/>
      <c r="AH452" s="207"/>
      <c r="AI452" s="170"/>
      <c r="AJ452" s="165"/>
      <c r="AK452" s="166"/>
      <c r="AL452" s="207"/>
      <c r="AM452" s="170"/>
      <c r="AN452" s="165"/>
      <c r="AO452" s="166"/>
      <c r="AP452" s="207">
        <v>450</v>
      </c>
      <c r="AQ452" s="170">
        <v>320</v>
      </c>
      <c r="AR452" s="165">
        <v>317</v>
      </c>
      <c r="AS452" s="166">
        <v>462</v>
      </c>
      <c r="AT452" s="207"/>
      <c r="AU452" s="170"/>
      <c r="AV452" s="190"/>
      <c r="AW452" s="166"/>
      <c r="AX452" s="208"/>
      <c r="AY452" s="170"/>
      <c r="AZ452" s="45"/>
      <c r="BA452" s="58"/>
      <c r="BB452" s="45"/>
      <c r="BC452" s="46"/>
      <c r="BD452" s="45"/>
      <c r="BE452" s="46"/>
      <c r="BF452" s="45"/>
      <c r="BG452" s="46"/>
      <c r="BH452" s="45"/>
      <c r="BI452" s="46"/>
      <c r="BJ452" s="45"/>
      <c r="BK452" s="46"/>
    </row>
    <row r="453" spans="1:63" ht="13" x14ac:dyDescent="0.25">
      <c r="A453" s="372">
        <v>7325</v>
      </c>
      <c r="B453" s="373" t="s">
        <v>576</v>
      </c>
      <c r="C453" s="360">
        <v>913</v>
      </c>
      <c r="D453" s="54">
        <v>576</v>
      </c>
      <c r="E453" s="367">
        <v>0.69333333333333336</v>
      </c>
      <c r="F453" s="45">
        <v>239</v>
      </c>
      <c r="G453" s="58">
        <v>332</v>
      </c>
      <c r="H453" s="45">
        <v>277</v>
      </c>
      <c r="I453" s="57">
        <v>290</v>
      </c>
      <c r="J453" s="97"/>
      <c r="K453" s="58"/>
      <c r="L453" s="45"/>
      <c r="M453" s="57"/>
      <c r="N453" s="97"/>
      <c r="O453" s="58"/>
      <c r="P453" s="165"/>
      <c r="Q453" s="166"/>
      <c r="R453" s="207"/>
      <c r="S453" s="170"/>
      <c r="T453" s="165"/>
      <c r="U453" s="166"/>
      <c r="V453" s="207"/>
      <c r="W453" s="170"/>
      <c r="X453" s="165"/>
      <c r="Y453" s="166"/>
      <c r="Z453" s="207"/>
      <c r="AA453" s="170"/>
      <c r="AB453" s="165"/>
      <c r="AC453" s="166"/>
      <c r="AD453" s="207"/>
      <c r="AE453" s="170"/>
      <c r="AF453" s="165"/>
      <c r="AG453" s="166"/>
      <c r="AH453" s="207"/>
      <c r="AI453" s="170"/>
      <c r="AJ453" s="165"/>
      <c r="AK453" s="166"/>
      <c r="AL453" s="207"/>
      <c r="AM453" s="170"/>
      <c r="AN453" s="165"/>
      <c r="AO453" s="166"/>
      <c r="AP453" s="207">
        <v>340</v>
      </c>
      <c r="AQ453" s="170">
        <v>228</v>
      </c>
      <c r="AR453" s="165">
        <v>237</v>
      </c>
      <c r="AS453" s="166">
        <v>328</v>
      </c>
      <c r="AT453" s="207"/>
      <c r="AU453" s="170"/>
      <c r="AV453" s="190"/>
      <c r="AW453" s="166"/>
      <c r="AX453" s="208"/>
      <c r="AY453" s="170"/>
      <c r="AZ453" s="45"/>
      <c r="BA453" s="58"/>
      <c r="BB453" s="45"/>
      <c r="BC453" s="46"/>
      <c r="BD453" s="45"/>
      <c r="BE453" s="46"/>
      <c r="BF453" s="45"/>
      <c r="BG453" s="46"/>
      <c r="BH453" s="45"/>
      <c r="BI453" s="46"/>
      <c r="BJ453" s="45"/>
      <c r="BK453" s="46"/>
    </row>
    <row r="454" spans="1:63" ht="13" x14ac:dyDescent="0.25">
      <c r="A454" s="372">
        <v>7326</v>
      </c>
      <c r="B454" s="373" t="s">
        <v>577</v>
      </c>
      <c r="C454" s="360">
        <v>1396</v>
      </c>
      <c r="D454" s="54">
        <v>761</v>
      </c>
      <c r="E454" s="367">
        <v>0.62079062957540265</v>
      </c>
      <c r="F454" s="45">
        <v>359</v>
      </c>
      <c r="G454" s="58">
        <v>394</v>
      </c>
      <c r="H454" s="45">
        <v>388</v>
      </c>
      <c r="I454" s="57">
        <v>360</v>
      </c>
      <c r="J454" s="97"/>
      <c r="K454" s="58"/>
      <c r="L454" s="45"/>
      <c r="M454" s="57"/>
      <c r="N454" s="97"/>
      <c r="O454" s="58"/>
      <c r="P454" s="165"/>
      <c r="Q454" s="166"/>
      <c r="R454" s="207"/>
      <c r="S454" s="170"/>
      <c r="T454" s="165"/>
      <c r="U454" s="166"/>
      <c r="V454" s="207"/>
      <c r="W454" s="170"/>
      <c r="X454" s="165"/>
      <c r="Y454" s="166"/>
      <c r="Z454" s="207"/>
      <c r="AA454" s="170"/>
      <c r="AB454" s="165"/>
      <c r="AC454" s="166"/>
      <c r="AD454" s="207"/>
      <c r="AE454" s="170"/>
      <c r="AF454" s="165"/>
      <c r="AG454" s="166"/>
      <c r="AH454" s="207"/>
      <c r="AI454" s="170"/>
      <c r="AJ454" s="165"/>
      <c r="AK454" s="166"/>
      <c r="AL454" s="207"/>
      <c r="AM454" s="170"/>
      <c r="AN454" s="165"/>
      <c r="AO454" s="166"/>
      <c r="AP454" s="207">
        <v>469</v>
      </c>
      <c r="AQ454" s="170">
        <v>274</v>
      </c>
      <c r="AR454" s="165">
        <v>360</v>
      </c>
      <c r="AS454" s="166">
        <v>386</v>
      </c>
      <c r="AT454" s="207"/>
      <c r="AU454" s="170"/>
      <c r="AV454" s="190"/>
      <c r="AW454" s="166"/>
      <c r="AX454" s="208"/>
      <c r="AY454" s="170"/>
      <c r="AZ454" s="199"/>
      <c r="BA454" s="204"/>
      <c r="BB454" s="199"/>
      <c r="BC454" s="200"/>
      <c r="BD454" s="199"/>
      <c r="BE454" s="200"/>
      <c r="BF454" s="199"/>
      <c r="BG454" s="200"/>
      <c r="BH454" s="199"/>
      <c r="BI454" s="200"/>
      <c r="BJ454" s="199"/>
      <c r="BK454" s="200"/>
    </row>
    <row r="455" spans="1:63" ht="13" x14ac:dyDescent="0.25">
      <c r="A455" s="372">
        <v>7327</v>
      </c>
      <c r="B455" s="373" t="s">
        <v>578</v>
      </c>
      <c r="C455" s="360">
        <v>966</v>
      </c>
      <c r="D455" s="54">
        <v>610</v>
      </c>
      <c r="E455" s="367">
        <v>0.70533880903490764</v>
      </c>
      <c r="F455" s="45">
        <v>217</v>
      </c>
      <c r="G455" s="58">
        <v>390</v>
      </c>
      <c r="H455" s="45">
        <v>275</v>
      </c>
      <c r="I455" s="57">
        <v>324</v>
      </c>
      <c r="J455" s="97"/>
      <c r="K455" s="58"/>
      <c r="L455" s="45"/>
      <c r="M455" s="57"/>
      <c r="N455" s="97"/>
      <c r="O455" s="58"/>
      <c r="P455" s="165"/>
      <c r="Q455" s="166"/>
      <c r="R455" s="207"/>
      <c r="S455" s="170"/>
      <c r="T455" s="165"/>
      <c r="U455" s="166"/>
      <c r="V455" s="207"/>
      <c r="W455" s="170"/>
      <c r="X455" s="165"/>
      <c r="Y455" s="166"/>
      <c r="Z455" s="207"/>
      <c r="AA455" s="170"/>
      <c r="AB455" s="165"/>
      <c r="AC455" s="166"/>
      <c r="AD455" s="207"/>
      <c r="AE455" s="170"/>
      <c r="AF455" s="165"/>
      <c r="AG455" s="166"/>
      <c r="AH455" s="207"/>
      <c r="AI455" s="170"/>
      <c r="AJ455" s="165"/>
      <c r="AK455" s="166"/>
      <c r="AL455" s="207"/>
      <c r="AM455" s="170"/>
      <c r="AN455" s="165"/>
      <c r="AO455" s="166"/>
      <c r="AP455" s="207">
        <v>375</v>
      </c>
      <c r="AQ455" s="170">
        <v>228</v>
      </c>
      <c r="AR455" s="165">
        <v>250</v>
      </c>
      <c r="AS455" s="166">
        <v>350</v>
      </c>
      <c r="AT455" s="207"/>
      <c r="AU455" s="170"/>
      <c r="AV455" s="190"/>
      <c r="AW455" s="166"/>
      <c r="AX455" s="208"/>
      <c r="AY455" s="170"/>
      <c r="AZ455" s="199"/>
      <c r="BA455" s="204"/>
      <c r="BB455" s="199"/>
      <c r="BC455" s="200"/>
      <c r="BD455" s="199"/>
      <c r="BE455" s="200"/>
      <c r="BF455" s="199"/>
      <c r="BG455" s="200"/>
      <c r="BH455" s="199"/>
      <c r="BI455" s="200"/>
      <c r="BJ455" s="199"/>
      <c r="BK455" s="200"/>
    </row>
    <row r="456" spans="1:63" ht="13" x14ac:dyDescent="0.25">
      <c r="A456" s="372">
        <v>7328</v>
      </c>
      <c r="B456" s="373" t="s">
        <v>579</v>
      </c>
      <c r="C456" s="360">
        <v>1059</v>
      </c>
      <c r="D456" s="54">
        <v>503</v>
      </c>
      <c r="E456" s="367">
        <v>0.52830188679245282</v>
      </c>
      <c r="F456" s="45">
        <v>206</v>
      </c>
      <c r="G456" s="58">
        <v>290</v>
      </c>
      <c r="H456" s="45">
        <v>268</v>
      </c>
      <c r="I456" s="57">
        <v>229</v>
      </c>
      <c r="J456" s="97"/>
      <c r="K456" s="58"/>
      <c r="L456" s="45"/>
      <c r="M456" s="57"/>
      <c r="N456" s="97"/>
      <c r="O456" s="58"/>
      <c r="P456" s="165"/>
      <c r="Q456" s="166"/>
      <c r="R456" s="207"/>
      <c r="S456" s="170"/>
      <c r="T456" s="165"/>
      <c r="U456" s="166"/>
      <c r="V456" s="207"/>
      <c r="W456" s="170"/>
      <c r="X456" s="165"/>
      <c r="Y456" s="166"/>
      <c r="Z456" s="207"/>
      <c r="AA456" s="170"/>
      <c r="AB456" s="165"/>
      <c r="AC456" s="166"/>
      <c r="AD456" s="207"/>
      <c r="AE456" s="170"/>
      <c r="AF456" s="165"/>
      <c r="AG456" s="166"/>
      <c r="AH456" s="207"/>
      <c r="AI456" s="170"/>
      <c r="AJ456" s="165"/>
      <c r="AK456" s="166"/>
      <c r="AL456" s="207"/>
      <c r="AM456" s="170"/>
      <c r="AN456" s="165"/>
      <c r="AO456" s="166"/>
      <c r="AP456" s="207">
        <v>307</v>
      </c>
      <c r="AQ456" s="170">
        <v>183</v>
      </c>
      <c r="AR456" s="165">
        <v>228</v>
      </c>
      <c r="AS456" s="166">
        <v>269</v>
      </c>
      <c r="AT456" s="207"/>
      <c r="AU456" s="170"/>
      <c r="AV456" s="190"/>
      <c r="AW456" s="166"/>
      <c r="AX456" s="208"/>
      <c r="AY456" s="170"/>
      <c r="AZ456" s="199"/>
      <c r="BA456" s="204"/>
      <c r="BB456" s="199"/>
      <c r="BC456" s="200"/>
      <c r="BD456" s="199"/>
      <c r="BE456" s="200"/>
      <c r="BF456" s="199"/>
      <c r="BG456" s="200"/>
      <c r="BH456" s="199"/>
      <c r="BI456" s="200"/>
      <c r="BJ456" s="199"/>
      <c r="BK456" s="200"/>
    </row>
    <row r="457" spans="1:63" ht="13" x14ac:dyDescent="0.25">
      <c r="A457" s="372">
        <v>7329</v>
      </c>
      <c r="B457" s="373" t="s">
        <v>580</v>
      </c>
      <c r="C457" s="360">
        <v>1138</v>
      </c>
      <c r="D457" s="54">
        <v>507</v>
      </c>
      <c r="E457" s="367">
        <v>0.51721094439541038</v>
      </c>
      <c r="F457" s="45">
        <v>235</v>
      </c>
      <c r="G457" s="58">
        <v>264</v>
      </c>
      <c r="H457" s="45">
        <v>259</v>
      </c>
      <c r="I457" s="57">
        <v>235</v>
      </c>
      <c r="J457" s="97"/>
      <c r="K457" s="58"/>
      <c r="L457" s="45"/>
      <c r="M457" s="57"/>
      <c r="N457" s="97"/>
      <c r="O457" s="58"/>
      <c r="P457" s="165"/>
      <c r="Q457" s="166"/>
      <c r="R457" s="207"/>
      <c r="S457" s="170"/>
      <c r="T457" s="165"/>
      <c r="U457" s="166"/>
      <c r="V457" s="207"/>
      <c r="W457" s="170"/>
      <c r="X457" s="165"/>
      <c r="Y457" s="166"/>
      <c r="Z457" s="207"/>
      <c r="AA457" s="170"/>
      <c r="AB457" s="165"/>
      <c r="AC457" s="166"/>
      <c r="AD457" s="207"/>
      <c r="AE457" s="170"/>
      <c r="AF457" s="165"/>
      <c r="AG457" s="166"/>
      <c r="AH457" s="207"/>
      <c r="AI457" s="170"/>
      <c r="AJ457" s="165"/>
      <c r="AK457" s="166"/>
      <c r="AL457" s="207"/>
      <c r="AM457" s="170"/>
      <c r="AN457" s="165"/>
      <c r="AO457" s="166"/>
      <c r="AP457" s="207">
        <v>286</v>
      </c>
      <c r="AQ457" s="170">
        <v>203</v>
      </c>
      <c r="AR457" s="165">
        <v>211</v>
      </c>
      <c r="AS457" s="166">
        <v>276</v>
      </c>
      <c r="AT457" s="207"/>
      <c r="AU457" s="170"/>
      <c r="AV457" s="190"/>
      <c r="AW457" s="166"/>
      <c r="AX457" s="208"/>
      <c r="AY457" s="170"/>
      <c r="AZ457" s="45"/>
      <c r="BA457" s="58"/>
      <c r="BB457" s="45"/>
      <c r="BC457" s="46"/>
      <c r="BD457" s="45"/>
      <c r="BE457" s="46"/>
      <c r="BF457" s="45"/>
      <c r="BG457" s="46"/>
      <c r="BH457" s="45"/>
      <c r="BI457" s="46"/>
      <c r="BJ457" s="45"/>
      <c r="BK457" s="46"/>
    </row>
    <row r="458" spans="1:63" ht="13" x14ac:dyDescent="0.25">
      <c r="A458" s="372">
        <v>7330</v>
      </c>
      <c r="B458" s="373" t="s">
        <v>581</v>
      </c>
      <c r="C458" s="360">
        <v>928</v>
      </c>
      <c r="D458" s="54">
        <v>521</v>
      </c>
      <c r="E458" s="367">
        <v>0.63943355119825707</v>
      </c>
      <c r="F458" s="45">
        <v>205</v>
      </c>
      <c r="G458" s="58">
        <v>310</v>
      </c>
      <c r="H458" s="45">
        <v>240</v>
      </c>
      <c r="I458" s="57">
        <v>260</v>
      </c>
      <c r="J458" s="97"/>
      <c r="K458" s="58"/>
      <c r="L458" s="45"/>
      <c r="M458" s="57"/>
      <c r="N458" s="97"/>
      <c r="O458" s="58"/>
      <c r="P458" s="165"/>
      <c r="Q458" s="166"/>
      <c r="R458" s="207"/>
      <c r="S458" s="170"/>
      <c r="T458" s="165"/>
      <c r="U458" s="166"/>
      <c r="V458" s="207"/>
      <c r="W458" s="170"/>
      <c r="X458" s="165"/>
      <c r="Y458" s="166"/>
      <c r="Z458" s="207"/>
      <c r="AA458" s="170"/>
      <c r="AB458" s="165"/>
      <c r="AC458" s="166"/>
      <c r="AD458" s="207"/>
      <c r="AE458" s="170"/>
      <c r="AF458" s="165"/>
      <c r="AG458" s="166"/>
      <c r="AH458" s="207"/>
      <c r="AI458" s="170"/>
      <c r="AJ458" s="165"/>
      <c r="AK458" s="166"/>
      <c r="AL458" s="207"/>
      <c r="AM458" s="170"/>
      <c r="AN458" s="165"/>
      <c r="AO458" s="166"/>
      <c r="AP458" s="207">
        <v>324</v>
      </c>
      <c r="AQ458" s="170">
        <v>180</v>
      </c>
      <c r="AR458" s="165">
        <v>235</v>
      </c>
      <c r="AS458" s="166">
        <v>266</v>
      </c>
      <c r="AT458" s="207"/>
      <c r="AU458" s="170"/>
      <c r="AV458" s="190"/>
      <c r="AW458" s="166"/>
      <c r="AX458" s="208"/>
      <c r="AY458" s="170"/>
      <c r="AZ458" s="45"/>
      <c r="BA458" s="58"/>
      <c r="BB458" s="45"/>
      <c r="BC458" s="46"/>
      <c r="BD458" s="45"/>
      <c r="BE458" s="46"/>
      <c r="BF458" s="45"/>
      <c r="BG458" s="46"/>
      <c r="BH458" s="45"/>
      <c r="BI458" s="46"/>
      <c r="BJ458" s="45"/>
      <c r="BK458" s="46"/>
    </row>
    <row r="459" spans="1:63" ht="13" x14ac:dyDescent="0.25">
      <c r="A459" s="372">
        <v>7331</v>
      </c>
      <c r="B459" s="373" t="s">
        <v>582</v>
      </c>
      <c r="C459" s="360">
        <v>1042</v>
      </c>
      <c r="D459" s="54">
        <v>545</v>
      </c>
      <c r="E459" s="367">
        <v>0.54299065420560744</v>
      </c>
      <c r="F459" s="45">
        <v>285</v>
      </c>
      <c r="G459" s="58">
        <v>257</v>
      </c>
      <c r="H459" s="45">
        <v>330</v>
      </c>
      <c r="I459" s="57">
        <v>210</v>
      </c>
      <c r="J459" s="97"/>
      <c r="K459" s="58"/>
      <c r="L459" s="45"/>
      <c r="M459" s="57"/>
      <c r="N459" s="97"/>
      <c r="O459" s="58"/>
      <c r="P459" s="165"/>
      <c r="Q459" s="166"/>
      <c r="R459" s="207"/>
      <c r="S459" s="170"/>
      <c r="T459" s="165"/>
      <c r="U459" s="166"/>
      <c r="V459" s="207"/>
      <c r="W459" s="170"/>
      <c r="X459" s="165"/>
      <c r="Y459" s="166"/>
      <c r="Z459" s="207"/>
      <c r="AA459" s="170"/>
      <c r="AB459" s="165"/>
      <c r="AC459" s="166"/>
      <c r="AD459" s="207"/>
      <c r="AE459" s="170"/>
      <c r="AF459" s="165"/>
      <c r="AG459" s="166"/>
      <c r="AH459" s="207"/>
      <c r="AI459" s="170"/>
      <c r="AJ459" s="165"/>
      <c r="AK459" s="166"/>
      <c r="AL459" s="207"/>
      <c r="AM459" s="170"/>
      <c r="AN459" s="165"/>
      <c r="AO459" s="166"/>
      <c r="AP459" s="207">
        <v>356</v>
      </c>
      <c r="AQ459" s="170">
        <v>179</v>
      </c>
      <c r="AR459" s="165">
        <v>248</v>
      </c>
      <c r="AS459" s="166">
        <v>290</v>
      </c>
      <c r="AT459" s="207"/>
      <c r="AU459" s="170"/>
      <c r="AV459" s="190"/>
      <c r="AW459" s="166"/>
      <c r="AX459" s="208"/>
      <c r="AY459" s="170"/>
      <c r="AZ459" s="199"/>
      <c r="BA459" s="204"/>
      <c r="BB459" s="199"/>
      <c r="BC459" s="200"/>
      <c r="BD459" s="199"/>
      <c r="BE459" s="200"/>
      <c r="BF459" s="199"/>
      <c r="BG459" s="200"/>
      <c r="BH459" s="199"/>
      <c r="BI459" s="200"/>
      <c r="BJ459" s="199"/>
      <c r="BK459" s="200"/>
    </row>
    <row r="460" spans="1:63" ht="13" x14ac:dyDescent="0.25">
      <c r="A460" s="372">
        <v>7332</v>
      </c>
      <c r="B460" s="373" t="s">
        <v>583</v>
      </c>
      <c r="C460" s="360">
        <v>1011</v>
      </c>
      <c r="D460" s="54">
        <v>549</v>
      </c>
      <c r="E460" s="367">
        <v>0.61199999999999999</v>
      </c>
      <c r="F460" s="45">
        <v>246</v>
      </c>
      <c r="G460" s="58">
        <v>298</v>
      </c>
      <c r="H460" s="45">
        <v>262</v>
      </c>
      <c r="I460" s="57">
        <v>277</v>
      </c>
      <c r="J460" s="97"/>
      <c r="K460" s="58"/>
      <c r="L460" s="45"/>
      <c r="M460" s="57"/>
      <c r="N460" s="97"/>
      <c r="O460" s="58"/>
      <c r="P460" s="165"/>
      <c r="Q460" s="166"/>
      <c r="R460" s="207"/>
      <c r="S460" s="170"/>
      <c r="T460" s="165"/>
      <c r="U460" s="166"/>
      <c r="V460" s="207"/>
      <c r="W460" s="170"/>
      <c r="X460" s="165"/>
      <c r="Y460" s="166"/>
      <c r="Z460" s="207"/>
      <c r="AA460" s="170"/>
      <c r="AB460" s="165"/>
      <c r="AC460" s="166"/>
      <c r="AD460" s="207"/>
      <c r="AE460" s="170"/>
      <c r="AF460" s="165"/>
      <c r="AG460" s="166"/>
      <c r="AH460" s="207"/>
      <c r="AI460" s="170"/>
      <c r="AJ460" s="165"/>
      <c r="AK460" s="166"/>
      <c r="AL460" s="207"/>
      <c r="AM460" s="170"/>
      <c r="AN460" s="165"/>
      <c r="AO460" s="166"/>
      <c r="AP460" s="207">
        <v>331</v>
      </c>
      <c r="AQ460" s="170">
        <v>208</v>
      </c>
      <c r="AR460" s="165">
        <v>245</v>
      </c>
      <c r="AS460" s="166">
        <v>292</v>
      </c>
      <c r="AT460" s="207"/>
      <c r="AU460" s="170"/>
      <c r="AV460" s="190"/>
      <c r="AW460" s="166"/>
      <c r="AX460" s="208"/>
      <c r="AY460" s="170"/>
      <c r="AZ460" s="199"/>
      <c r="BA460" s="204"/>
      <c r="BB460" s="199"/>
      <c r="BC460" s="200"/>
      <c r="BD460" s="199"/>
      <c r="BE460" s="200"/>
      <c r="BF460" s="199"/>
      <c r="BG460" s="200"/>
      <c r="BH460" s="199"/>
      <c r="BI460" s="200"/>
      <c r="BJ460" s="199"/>
      <c r="BK460" s="200"/>
    </row>
    <row r="461" spans="1:63" ht="13" x14ac:dyDescent="0.25">
      <c r="A461" s="372">
        <v>7333</v>
      </c>
      <c r="B461" s="373" t="s">
        <v>584</v>
      </c>
      <c r="C461" s="360">
        <v>1232</v>
      </c>
      <c r="D461" s="54">
        <v>734</v>
      </c>
      <c r="E461" s="367">
        <v>0.64211369095276216</v>
      </c>
      <c r="F461" s="45">
        <v>298</v>
      </c>
      <c r="G461" s="58">
        <v>429</v>
      </c>
      <c r="H461" s="45">
        <v>333</v>
      </c>
      <c r="I461" s="57">
        <v>389</v>
      </c>
      <c r="J461" s="97"/>
      <c r="K461" s="58"/>
      <c r="L461" s="45"/>
      <c r="M461" s="57"/>
      <c r="N461" s="97"/>
      <c r="O461" s="58"/>
      <c r="P461" s="165"/>
      <c r="Q461" s="166"/>
      <c r="R461" s="207"/>
      <c r="S461" s="170"/>
      <c r="T461" s="165"/>
      <c r="U461" s="166"/>
      <c r="V461" s="207"/>
      <c r="W461" s="170"/>
      <c r="X461" s="165"/>
      <c r="Y461" s="166"/>
      <c r="Z461" s="207"/>
      <c r="AA461" s="170"/>
      <c r="AB461" s="165"/>
      <c r="AC461" s="166"/>
      <c r="AD461" s="207"/>
      <c r="AE461" s="170"/>
      <c r="AF461" s="165"/>
      <c r="AG461" s="166"/>
      <c r="AH461" s="207"/>
      <c r="AI461" s="170"/>
      <c r="AJ461" s="165"/>
      <c r="AK461" s="166"/>
      <c r="AL461" s="207"/>
      <c r="AM461" s="170"/>
      <c r="AN461" s="165"/>
      <c r="AO461" s="166"/>
      <c r="AP461" s="207">
        <v>465</v>
      </c>
      <c r="AQ461" s="170">
        <v>255</v>
      </c>
      <c r="AR461" s="165">
        <v>334</v>
      </c>
      <c r="AS461" s="166">
        <v>382</v>
      </c>
      <c r="AT461" s="207"/>
      <c r="AU461" s="170"/>
      <c r="AV461" s="190"/>
      <c r="AW461" s="166"/>
      <c r="AX461" s="208"/>
      <c r="AY461" s="170"/>
      <c r="AZ461" s="199"/>
      <c r="BA461" s="204"/>
      <c r="BB461" s="199"/>
      <c r="BC461" s="200"/>
      <c r="BD461" s="199"/>
      <c r="BE461" s="200"/>
      <c r="BF461" s="199"/>
      <c r="BG461" s="200"/>
      <c r="BH461" s="199"/>
      <c r="BI461" s="200"/>
      <c r="BJ461" s="199"/>
      <c r="BK461" s="200"/>
    </row>
    <row r="462" spans="1:63" ht="13" x14ac:dyDescent="0.25">
      <c r="A462" s="372">
        <v>7334</v>
      </c>
      <c r="B462" s="373" t="s">
        <v>585</v>
      </c>
      <c r="C462" s="360">
        <v>1228</v>
      </c>
      <c r="D462" s="54">
        <v>622</v>
      </c>
      <c r="E462" s="367">
        <v>0.57886178861788617</v>
      </c>
      <c r="F462" s="45">
        <v>279</v>
      </c>
      <c r="G462" s="58">
        <v>336</v>
      </c>
      <c r="H462" s="45">
        <v>328</v>
      </c>
      <c r="I462" s="57">
        <v>288</v>
      </c>
      <c r="J462" s="97"/>
      <c r="K462" s="58"/>
      <c r="L462" s="45"/>
      <c r="M462" s="57"/>
      <c r="N462" s="97"/>
      <c r="O462" s="58"/>
      <c r="P462" s="165"/>
      <c r="Q462" s="166"/>
      <c r="R462" s="207"/>
      <c r="S462" s="170"/>
      <c r="T462" s="165"/>
      <c r="U462" s="166"/>
      <c r="V462" s="207"/>
      <c r="W462" s="170"/>
      <c r="X462" s="165"/>
      <c r="Y462" s="166"/>
      <c r="Z462" s="207"/>
      <c r="AA462" s="170"/>
      <c r="AB462" s="165"/>
      <c r="AC462" s="166"/>
      <c r="AD462" s="207"/>
      <c r="AE462" s="170"/>
      <c r="AF462" s="165"/>
      <c r="AG462" s="166"/>
      <c r="AH462" s="207"/>
      <c r="AI462" s="170"/>
      <c r="AJ462" s="165"/>
      <c r="AK462" s="166"/>
      <c r="AL462" s="207"/>
      <c r="AM462" s="170"/>
      <c r="AN462" s="165"/>
      <c r="AO462" s="166"/>
      <c r="AP462" s="207">
        <v>353</v>
      </c>
      <c r="AQ462" s="170">
        <v>252</v>
      </c>
      <c r="AR462" s="165">
        <v>265</v>
      </c>
      <c r="AS462" s="166">
        <v>346</v>
      </c>
      <c r="AT462" s="207"/>
      <c r="AU462" s="170"/>
      <c r="AV462" s="190"/>
      <c r="AW462" s="166"/>
      <c r="AX462" s="208"/>
      <c r="AY462" s="170"/>
      <c r="AZ462" s="45"/>
      <c r="BA462" s="58"/>
      <c r="BB462" s="45"/>
      <c r="BC462" s="46"/>
      <c r="BD462" s="45"/>
      <c r="BE462" s="46"/>
      <c r="BF462" s="45"/>
      <c r="BG462" s="46"/>
      <c r="BH462" s="45"/>
      <c r="BI462" s="46"/>
      <c r="BJ462" s="45"/>
      <c r="BK462" s="46"/>
    </row>
    <row r="463" spans="1:63" ht="13" x14ac:dyDescent="0.25">
      <c r="A463" s="372">
        <v>7335</v>
      </c>
      <c r="B463" s="373" t="s">
        <v>586</v>
      </c>
      <c r="C463" s="360">
        <v>722</v>
      </c>
      <c r="D463" s="54">
        <v>315</v>
      </c>
      <c r="E463" s="367">
        <v>0.4879432624113475</v>
      </c>
      <c r="F463" s="45">
        <v>201</v>
      </c>
      <c r="G463" s="58">
        <v>113</v>
      </c>
      <c r="H463" s="45">
        <v>196</v>
      </c>
      <c r="I463" s="57">
        <v>115</v>
      </c>
      <c r="J463" s="97"/>
      <c r="K463" s="58"/>
      <c r="L463" s="45"/>
      <c r="M463" s="57"/>
      <c r="N463" s="97"/>
      <c r="O463" s="58"/>
      <c r="P463" s="165"/>
      <c r="Q463" s="166"/>
      <c r="R463" s="207"/>
      <c r="S463" s="170"/>
      <c r="T463" s="165"/>
      <c r="U463" s="166"/>
      <c r="V463" s="207"/>
      <c r="W463" s="170"/>
      <c r="X463" s="165"/>
      <c r="Y463" s="166"/>
      <c r="Z463" s="207"/>
      <c r="AA463" s="170"/>
      <c r="AB463" s="165"/>
      <c r="AC463" s="166"/>
      <c r="AD463" s="207"/>
      <c r="AE463" s="170"/>
      <c r="AF463" s="165"/>
      <c r="AG463" s="166"/>
      <c r="AH463" s="207"/>
      <c r="AI463" s="170"/>
      <c r="AJ463" s="165"/>
      <c r="AK463" s="166"/>
      <c r="AL463" s="207"/>
      <c r="AM463" s="170"/>
      <c r="AN463" s="165"/>
      <c r="AO463" s="166"/>
      <c r="AP463" s="207">
        <v>195</v>
      </c>
      <c r="AQ463" s="170">
        <v>109</v>
      </c>
      <c r="AR463" s="165">
        <v>158</v>
      </c>
      <c r="AS463" s="166">
        <v>147</v>
      </c>
      <c r="AT463" s="207"/>
      <c r="AU463" s="170"/>
      <c r="AV463" s="190"/>
      <c r="AW463" s="166"/>
      <c r="AX463" s="208"/>
      <c r="AY463" s="170"/>
      <c r="AZ463" s="199"/>
      <c r="BA463" s="204"/>
      <c r="BB463" s="199"/>
      <c r="BC463" s="200"/>
      <c r="BD463" s="199"/>
      <c r="BE463" s="200"/>
      <c r="BF463" s="199"/>
      <c r="BG463" s="200"/>
      <c r="BH463" s="199"/>
      <c r="BI463" s="200"/>
      <c r="BJ463" s="199"/>
      <c r="BK463" s="200"/>
    </row>
    <row r="464" spans="1:63" ht="13" x14ac:dyDescent="0.25">
      <c r="A464" s="372">
        <v>7336</v>
      </c>
      <c r="B464" s="373" t="s">
        <v>587</v>
      </c>
      <c r="C464" s="360">
        <v>1175</v>
      </c>
      <c r="D464" s="54">
        <v>632</v>
      </c>
      <c r="E464" s="367">
        <v>0.56525423728813562</v>
      </c>
      <c r="F464" s="45">
        <v>302</v>
      </c>
      <c r="G464" s="58">
        <v>326</v>
      </c>
      <c r="H464" s="45">
        <v>341</v>
      </c>
      <c r="I464" s="57">
        <v>277</v>
      </c>
      <c r="J464" s="97"/>
      <c r="K464" s="58"/>
      <c r="L464" s="45"/>
      <c r="M464" s="57"/>
      <c r="N464" s="97"/>
      <c r="O464" s="58"/>
      <c r="P464" s="165"/>
      <c r="Q464" s="166"/>
      <c r="R464" s="207"/>
      <c r="S464" s="170"/>
      <c r="T464" s="165"/>
      <c r="U464" s="166"/>
      <c r="V464" s="207"/>
      <c r="W464" s="170"/>
      <c r="X464" s="165"/>
      <c r="Y464" s="166"/>
      <c r="Z464" s="207"/>
      <c r="AA464" s="170"/>
      <c r="AB464" s="165"/>
      <c r="AC464" s="166"/>
      <c r="AD464" s="207"/>
      <c r="AE464" s="170"/>
      <c r="AF464" s="165"/>
      <c r="AG464" s="166"/>
      <c r="AH464" s="207"/>
      <c r="AI464" s="170"/>
      <c r="AJ464" s="165"/>
      <c r="AK464" s="166"/>
      <c r="AL464" s="207"/>
      <c r="AM464" s="170"/>
      <c r="AN464" s="165"/>
      <c r="AO464" s="166"/>
      <c r="AP464" s="207">
        <v>392</v>
      </c>
      <c r="AQ464" s="170">
        <v>224</v>
      </c>
      <c r="AR464" s="165">
        <v>280</v>
      </c>
      <c r="AS464" s="166">
        <v>339</v>
      </c>
      <c r="AT464" s="207"/>
      <c r="AU464" s="170"/>
      <c r="AV464" s="190"/>
      <c r="AW464" s="166"/>
      <c r="AX464" s="208"/>
      <c r="AY464" s="170"/>
      <c r="AZ464" s="199"/>
      <c r="BA464" s="204"/>
      <c r="BB464" s="199"/>
      <c r="BC464" s="200"/>
      <c r="BD464" s="199"/>
      <c r="BE464" s="200"/>
      <c r="BF464" s="199"/>
      <c r="BG464" s="200"/>
      <c r="BH464" s="199"/>
      <c r="BI464" s="200"/>
      <c r="BJ464" s="199"/>
      <c r="BK464" s="200"/>
    </row>
    <row r="465" spans="1:63" ht="13" x14ac:dyDescent="0.25">
      <c r="A465" s="372">
        <v>7337</v>
      </c>
      <c r="B465" s="373" t="s">
        <v>588</v>
      </c>
      <c r="C465" s="360">
        <v>1095</v>
      </c>
      <c r="D465" s="54">
        <v>649</v>
      </c>
      <c r="E465" s="367">
        <v>0.67295004712535345</v>
      </c>
      <c r="F465" s="45">
        <v>269</v>
      </c>
      <c r="G465" s="58">
        <v>374</v>
      </c>
      <c r="H465" s="45">
        <v>330</v>
      </c>
      <c r="I465" s="57">
        <v>307</v>
      </c>
      <c r="J465" s="97"/>
      <c r="K465" s="58"/>
      <c r="L465" s="45"/>
      <c r="M465" s="57"/>
      <c r="N465" s="97"/>
      <c r="O465" s="58"/>
      <c r="P465" s="165"/>
      <c r="Q465" s="166"/>
      <c r="R465" s="207"/>
      <c r="S465" s="170"/>
      <c r="T465" s="165"/>
      <c r="U465" s="166"/>
      <c r="V465" s="207"/>
      <c r="W465" s="170"/>
      <c r="X465" s="165"/>
      <c r="Y465" s="166"/>
      <c r="Z465" s="207"/>
      <c r="AA465" s="170"/>
      <c r="AB465" s="165"/>
      <c r="AC465" s="166"/>
      <c r="AD465" s="207"/>
      <c r="AE465" s="170"/>
      <c r="AF465" s="165"/>
      <c r="AG465" s="166"/>
      <c r="AH465" s="207"/>
      <c r="AI465" s="170"/>
      <c r="AJ465" s="165"/>
      <c r="AK465" s="166"/>
      <c r="AL465" s="207"/>
      <c r="AM465" s="170"/>
      <c r="AN465" s="165"/>
      <c r="AO465" s="166"/>
      <c r="AP465" s="207">
        <v>357</v>
      </c>
      <c r="AQ465" s="170">
        <v>277</v>
      </c>
      <c r="AR465" s="165">
        <v>215</v>
      </c>
      <c r="AS465" s="166">
        <v>425</v>
      </c>
      <c r="AT465" s="207"/>
      <c r="AU465" s="170"/>
      <c r="AV465" s="190"/>
      <c r="AW465" s="166"/>
      <c r="AX465" s="208"/>
      <c r="AY465" s="170"/>
      <c r="AZ465" s="199"/>
      <c r="BA465" s="204"/>
      <c r="BB465" s="199"/>
      <c r="BC465" s="200"/>
      <c r="BD465" s="199"/>
      <c r="BE465" s="200"/>
      <c r="BF465" s="199"/>
      <c r="BG465" s="200"/>
      <c r="BH465" s="199"/>
      <c r="BI465" s="200"/>
      <c r="BJ465" s="199"/>
      <c r="BK465" s="200"/>
    </row>
    <row r="466" spans="1:63" ht="13" x14ac:dyDescent="0.25">
      <c r="A466" s="372">
        <v>7338</v>
      </c>
      <c r="B466" s="373" t="s">
        <v>589</v>
      </c>
      <c r="C466" s="360">
        <v>943</v>
      </c>
      <c r="D466" s="54">
        <v>591</v>
      </c>
      <c r="E466" s="367">
        <v>0.71151776103336917</v>
      </c>
      <c r="F466" s="45">
        <v>230</v>
      </c>
      <c r="G466" s="58">
        <v>357</v>
      </c>
      <c r="H466" s="45">
        <v>263</v>
      </c>
      <c r="I466" s="57">
        <v>314</v>
      </c>
      <c r="J466" s="97"/>
      <c r="K466" s="58"/>
      <c r="L466" s="45"/>
      <c r="M466" s="57"/>
      <c r="N466" s="97"/>
      <c r="O466" s="58"/>
      <c r="P466" s="165"/>
      <c r="Q466" s="166"/>
      <c r="R466" s="207"/>
      <c r="S466" s="170"/>
      <c r="T466" s="165"/>
      <c r="U466" s="166"/>
      <c r="V466" s="207"/>
      <c r="W466" s="170"/>
      <c r="X466" s="165"/>
      <c r="Y466" s="166"/>
      <c r="Z466" s="207"/>
      <c r="AA466" s="170"/>
      <c r="AB466" s="165"/>
      <c r="AC466" s="166"/>
      <c r="AD466" s="207"/>
      <c r="AE466" s="170"/>
      <c r="AF466" s="165"/>
      <c r="AG466" s="166"/>
      <c r="AH466" s="207"/>
      <c r="AI466" s="170"/>
      <c r="AJ466" s="165"/>
      <c r="AK466" s="166"/>
      <c r="AL466" s="207"/>
      <c r="AM466" s="170"/>
      <c r="AN466" s="165"/>
      <c r="AO466" s="166"/>
      <c r="AP466" s="207">
        <v>356</v>
      </c>
      <c r="AQ466" s="170">
        <v>222</v>
      </c>
      <c r="AR466" s="165">
        <v>237</v>
      </c>
      <c r="AS466" s="166">
        <v>346</v>
      </c>
      <c r="AT466" s="207"/>
      <c r="AU466" s="170"/>
      <c r="AV466" s="190"/>
      <c r="AW466" s="166"/>
      <c r="AX466" s="208"/>
      <c r="AY466" s="170"/>
      <c r="AZ466" s="45"/>
      <c r="BA466" s="58"/>
      <c r="BB466" s="45"/>
      <c r="BC466" s="46"/>
      <c r="BD466" s="45"/>
      <c r="BE466" s="46"/>
      <c r="BF466" s="45"/>
      <c r="BG466" s="46"/>
      <c r="BH466" s="45"/>
      <c r="BI466" s="46"/>
      <c r="BJ466" s="45"/>
      <c r="BK466" s="46"/>
    </row>
    <row r="467" spans="1:63" ht="13" x14ac:dyDescent="0.25">
      <c r="A467" s="372">
        <v>7339</v>
      </c>
      <c r="B467" s="373" t="s">
        <v>590</v>
      </c>
      <c r="C467" s="360">
        <v>697</v>
      </c>
      <c r="D467" s="54">
        <v>458</v>
      </c>
      <c r="E467" s="367">
        <v>0.71022727272727271</v>
      </c>
      <c r="F467" s="45">
        <v>158</v>
      </c>
      <c r="G467" s="58">
        <v>295</v>
      </c>
      <c r="H467" s="45">
        <v>191</v>
      </c>
      <c r="I467" s="57">
        <v>256</v>
      </c>
      <c r="J467" s="97"/>
      <c r="K467" s="58"/>
      <c r="L467" s="45"/>
      <c r="M467" s="57"/>
      <c r="N467" s="97"/>
      <c r="O467" s="58"/>
      <c r="P467" s="165"/>
      <c r="Q467" s="166"/>
      <c r="R467" s="207"/>
      <c r="S467" s="170"/>
      <c r="T467" s="165"/>
      <c r="U467" s="166"/>
      <c r="V467" s="207"/>
      <c r="W467" s="170"/>
      <c r="X467" s="165"/>
      <c r="Y467" s="166"/>
      <c r="Z467" s="207"/>
      <c r="AA467" s="170"/>
      <c r="AB467" s="165"/>
      <c r="AC467" s="166"/>
      <c r="AD467" s="207"/>
      <c r="AE467" s="170"/>
      <c r="AF467" s="165"/>
      <c r="AG467" s="166"/>
      <c r="AH467" s="207"/>
      <c r="AI467" s="170"/>
      <c r="AJ467" s="165"/>
      <c r="AK467" s="166"/>
      <c r="AL467" s="207"/>
      <c r="AM467" s="170"/>
      <c r="AN467" s="165"/>
      <c r="AO467" s="166"/>
      <c r="AP467" s="207">
        <v>280</v>
      </c>
      <c r="AQ467" s="170">
        <v>166</v>
      </c>
      <c r="AR467" s="165">
        <v>197</v>
      </c>
      <c r="AS467" s="166">
        <v>253</v>
      </c>
      <c r="AT467" s="207"/>
      <c r="AU467" s="170"/>
      <c r="AV467" s="190"/>
      <c r="AW467" s="166"/>
      <c r="AX467" s="208"/>
      <c r="AY467" s="170"/>
      <c r="AZ467" s="199"/>
      <c r="BA467" s="204"/>
      <c r="BB467" s="199"/>
      <c r="BC467" s="200"/>
      <c r="BD467" s="199"/>
      <c r="BE467" s="200"/>
      <c r="BF467" s="199"/>
      <c r="BG467" s="200"/>
      <c r="BH467" s="199"/>
      <c r="BI467" s="200"/>
      <c r="BJ467" s="199"/>
      <c r="BK467" s="200"/>
    </row>
    <row r="468" spans="1:63" ht="13" x14ac:dyDescent="0.25">
      <c r="A468" s="372">
        <v>7340</v>
      </c>
      <c r="B468" s="373" t="s">
        <v>591</v>
      </c>
      <c r="C468" s="360">
        <v>671</v>
      </c>
      <c r="D468" s="54">
        <v>385</v>
      </c>
      <c r="E468" s="367">
        <v>0.66182873730043545</v>
      </c>
      <c r="F468" s="45">
        <v>144</v>
      </c>
      <c r="G468" s="58">
        <v>233</v>
      </c>
      <c r="H468" s="45">
        <v>185</v>
      </c>
      <c r="I468" s="57">
        <v>191</v>
      </c>
      <c r="J468" s="97"/>
      <c r="K468" s="58"/>
      <c r="L468" s="45"/>
      <c r="M468" s="57"/>
      <c r="N468" s="97"/>
      <c r="O468" s="58"/>
      <c r="P468" s="165"/>
      <c r="Q468" s="166"/>
      <c r="R468" s="207"/>
      <c r="S468" s="170"/>
      <c r="T468" s="165"/>
      <c r="U468" s="166"/>
      <c r="V468" s="207"/>
      <c r="W468" s="170"/>
      <c r="X468" s="165"/>
      <c r="Y468" s="166"/>
      <c r="Z468" s="207"/>
      <c r="AA468" s="170"/>
      <c r="AB468" s="165"/>
      <c r="AC468" s="166"/>
      <c r="AD468" s="207"/>
      <c r="AE468" s="170"/>
      <c r="AF468" s="165"/>
      <c r="AG468" s="166"/>
      <c r="AH468" s="207"/>
      <c r="AI468" s="170"/>
      <c r="AJ468" s="165"/>
      <c r="AK468" s="166"/>
      <c r="AL468" s="207"/>
      <c r="AM468" s="170"/>
      <c r="AN468" s="165"/>
      <c r="AO468" s="166"/>
      <c r="AP468" s="207">
        <v>199</v>
      </c>
      <c r="AQ468" s="170">
        <v>175</v>
      </c>
      <c r="AR468" s="165">
        <v>145</v>
      </c>
      <c r="AS468" s="166">
        <v>232</v>
      </c>
      <c r="AT468" s="207"/>
      <c r="AU468" s="170"/>
      <c r="AV468" s="190"/>
      <c r="AW468" s="166"/>
      <c r="AX468" s="208"/>
      <c r="AY468" s="170"/>
      <c r="AZ468" s="199"/>
      <c r="BA468" s="204"/>
      <c r="BB468" s="199"/>
      <c r="BC468" s="200"/>
      <c r="BD468" s="199"/>
      <c r="BE468" s="200"/>
      <c r="BF468" s="199"/>
      <c r="BG468" s="200"/>
      <c r="BH468" s="199"/>
      <c r="BI468" s="200"/>
      <c r="BJ468" s="199"/>
      <c r="BK468" s="200"/>
    </row>
    <row r="469" spans="1:63" ht="13" x14ac:dyDescent="0.25">
      <c r="A469" s="372">
        <v>7341</v>
      </c>
      <c r="B469" s="373" t="s">
        <v>592</v>
      </c>
      <c r="C469" s="360">
        <v>615</v>
      </c>
      <c r="D469" s="54">
        <v>346</v>
      </c>
      <c r="E469" s="367">
        <v>0.62096774193548387</v>
      </c>
      <c r="F469" s="45">
        <v>138</v>
      </c>
      <c r="G469" s="58">
        <v>205</v>
      </c>
      <c r="H469" s="45">
        <v>167</v>
      </c>
      <c r="I469" s="57">
        <v>177</v>
      </c>
      <c r="J469" s="97"/>
      <c r="K469" s="58"/>
      <c r="L469" s="45"/>
      <c r="M469" s="57"/>
      <c r="N469" s="97"/>
      <c r="O469" s="58"/>
      <c r="P469" s="165"/>
      <c r="Q469" s="166"/>
      <c r="R469" s="207"/>
      <c r="S469" s="170"/>
      <c r="T469" s="165"/>
      <c r="U469" s="166"/>
      <c r="V469" s="207"/>
      <c r="W469" s="170"/>
      <c r="X469" s="165"/>
      <c r="Y469" s="166"/>
      <c r="Z469" s="207"/>
      <c r="AA469" s="170"/>
      <c r="AB469" s="165"/>
      <c r="AC469" s="166"/>
      <c r="AD469" s="207"/>
      <c r="AE469" s="170"/>
      <c r="AF469" s="165"/>
      <c r="AG469" s="166"/>
      <c r="AH469" s="207"/>
      <c r="AI469" s="170"/>
      <c r="AJ469" s="165"/>
      <c r="AK469" s="166"/>
      <c r="AL469" s="207"/>
      <c r="AM469" s="170"/>
      <c r="AN469" s="165"/>
      <c r="AO469" s="166"/>
      <c r="AP469" s="207">
        <v>235</v>
      </c>
      <c r="AQ469" s="170">
        <v>107</v>
      </c>
      <c r="AR469" s="165">
        <v>161</v>
      </c>
      <c r="AS469" s="166">
        <v>180</v>
      </c>
      <c r="AT469" s="207"/>
      <c r="AU469" s="170"/>
      <c r="AV469" s="190"/>
      <c r="AW469" s="166"/>
      <c r="AX469" s="208"/>
      <c r="AY469" s="170"/>
      <c r="AZ469" s="199"/>
      <c r="BA469" s="204"/>
      <c r="BB469" s="199"/>
      <c r="BC469" s="200"/>
      <c r="BD469" s="199"/>
      <c r="BE469" s="200"/>
      <c r="BF469" s="199"/>
      <c r="BG469" s="200"/>
      <c r="BH469" s="199"/>
      <c r="BI469" s="200"/>
      <c r="BJ469" s="199"/>
      <c r="BK469" s="200"/>
    </row>
    <row r="470" spans="1:63" ht="13" x14ac:dyDescent="0.25">
      <c r="A470" s="372">
        <v>7342</v>
      </c>
      <c r="B470" s="373" t="s">
        <v>593</v>
      </c>
      <c r="C470" s="360">
        <v>1320</v>
      </c>
      <c r="D470" s="54">
        <v>774</v>
      </c>
      <c r="E470" s="367">
        <v>0.67626459143968876</v>
      </c>
      <c r="F470" s="45">
        <v>330</v>
      </c>
      <c r="G470" s="58">
        <v>433</v>
      </c>
      <c r="H470" s="45">
        <v>388</v>
      </c>
      <c r="I470" s="57">
        <v>374</v>
      </c>
      <c r="J470" s="97"/>
      <c r="K470" s="58"/>
      <c r="L470" s="45"/>
      <c r="M470" s="57"/>
      <c r="N470" s="97"/>
      <c r="O470" s="58"/>
      <c r="P470" s="165"/>
      <c r="Q470" s="166"/>
      <c r="R470" s="207"/>
      <c r="S470" s="170"/>
      <c r="T470" s="165"/>
      <c r="U470" s="166"/>
      <c r="V470" s="207"/>
      <c r="W470" s="170"/>
      <c r="X470" s="165"/>
      <c r="Y470" s="166"/>
      <c r="Z470" s="207"/>
      <c r="AA470" s="170"/>
      <c r="AB470" s="165"/>
      <c r="AC470" s="166"/>
      <c r="AD470" s="207"/>
      <c r="AE470" s="170"/>
      <c r="AF470" s="165"/>
      <c r="AG470" s="166"/>
      <c r="AH470" s="207"/>
      <c r="AI470" s="170"/>
      <c r="AJ470" s="165"/>
      <c r="AK470" s="166"/>
      <c r="AL470" s="207"/>
      <c r="AM470" s="170"/>
      <c r="AN470" s="165"/>
      <c r="AO470" s="166"/>
      <c r="AP470" s="207">
        <v>451</v>
      </c>
      <c r="AQ470" s="170">
        <v>311</v>
      </c>
      <c r="AR470" s="165">
        <v>298</v>
      </c>
      <c r="AS470" s="166">
        <v>467</v>
      </c>
      <c r="AT470" s="207"/>
      <c r="AU470" s="170"/>
      <c r="AV470" s="190"/>
      <c r="AW470" s="166"/>
      <c r="AX470" s="208"/>
      <c r="AY470" s="170"/>
      <c r="AZ470" s="199"/>
      <c r="BA470" s="204"/>
      <c r="BB470" s="199"/>
      <c r="BC470" s="200"/>
      <c r="BD470" s="199"/>
      <c r="BE470" s="200"/>
      <c r="BF470" s="199"/>
      <c r="BG470" s="200"/>
      <c r="BH470" s="199"/>
      <c r="BI470" s="200"/>
      <c r="BJ470" s="199"/>
      <c r="BK470" s="200"/>
    </row>
    <row r="471" spans="1:63" ht="13" x14ac:dyDescent="0.25">
      <c r="A471" s="372">
        <v>7343</v>
      </c>
      <c r="B471" s="373" t="s">
        <v>594</v>
      </c>
      <c r="C471" s="360">
        <v>1160</v>
      </c>
      <c r="D471" s="54">
        <v>761</v>
      </c>
      <c r="E471" s="367">
        <v>0.70168067226890751</v>
      </c>
      <c r="F471" s="45">
        <v>274</v>
      </c>
      <c r="G471" s="58">
        <v>478</v>
      </c>
      <c r="H471" s="45">
        <v>358</v>
      </c>
      <c r="I471" s="57">
        <v>390</v>
      </c>
      <c r="J471" s="97"/>
      <c r="K471" s="58"/>
      <c r="L471" s="45"/>
      <c r="M471" s="57"/>
      <c r="N471" s="97"/>
      <c r="O471" s="58"/>
      <c r="P471" s="165"/>
      <c r="Q471" s="166"/>
      <c r="R471" s="207"/>
      <c r="S471" s="170"/>
      <c r="T471" s="165"/>
      <c r="U471" s="166"/>
      <c r="V471" s="207"/>
      <c r="W471" s="170"/>
      <c r="X471" s="165"/>
      <c r="Y471" s="166"/>
      <c r="Z471" s="207"/>
      <c r="AA471" s="170"/>
      <c r="AB471" s="165"/>
      <c r="AC471" s="166"/>
      <c r="AD471" s="207"/>
      <c r="AE471" s="170"/>
      <c r="AF471" s="165"/>
      <c r="AG471" s="166"/>
      <c r="AH471" s="207"/>
      <c r="AI471" s="170"/>
      <c r="AJ471" s="165"/>
      <c r="AK471" s="166"/>
      <c r="AL471" s="207"/>
      <c r="AM471" s="170"/>
      <c r="AN471" s="165"/>
      <c r="AO471" s="166"/>
      <c r="AP471" s="207">
        <v>446</v>
      </c>
      <c r="AQ471" s="170">
        <v>303</v>
      </c>
      <c r="AR471" s="165">
        <v>292</v>
      </c>
      <c r="AS471" s="166">
        <v>456</v>
      </c>
      <c r="AT471" s="207"/>
      <c r="AU471" s="170"/>
      <c r="AV471" s="190"/>
      <c r="AW471" s="166"/>
      <c r="AX471" s="208"/>
      <c r="AY471" s="170"/>
      <c r="AZ471" s="199"/>
      <c r="BA471" s="204"/>
      <c r="BB471" s="199"/>
      <c r="BC471" s="200"/>
      <c r="BD471" s="199"/>
      <c r="BE471" s="200"/>
      <c r="BF471" s="199"/>
      <c r="BG471" s="200"/>
      <c r="BH471" s="199"/>
      <c r="BI471" s="200"/>
      <c r="BJ471" s="199"/>
      <c r="BK471" s="200"/>
    </row>
    <row r="472" spans="1:63" ht="13" x14ac:dyDescent="0.25">
      <c r="A472" s="372">
        <v>7401</v>
      </c>
      <c r="B472" s="373" t="s">
        <v>595</v>
      </c>
      <c r="C472" s="360">
        <v>573</v>
      </c>
      <c r="D472" s="54">
        <v>275</v>
      </c>
      <c r="E472" s="367">
        <v>0.49910873440285203</v>
      </c>
      <c r="F472" s="45">
        <v>164</v>
      </c>
      <c r="G472" s="58">
        <v>106</v>
      </c>
      <c r="H472" s="45">
        <v>170</v>
      </c>
      <c r="I472" s="57">
        <v>100</v>
      </c>
      <c r="J472" s="97"/>
      <c r="K472" s="58"/>
      <c r="L472" s="45"/>
      <c r="M472" s="57"/>
      <c r="N472" s="97"/>
      <c r="O472" s="58"/>
      <c r="P472" s="165"/>
      <c r="Q472" s="166"/>
      <c r="R472" s="207"/>
      <c r="S472" s="170"/>
      <c r="T472" s="165"/>
      <c r="U472" s="166"/>
      <c r="V472" s="207"/>
      <c r="W472" s="170"/>
      <c r="X472" s="165"/>
      <c r="Y472" s="166"/>
      <c r="Z472" s="207"/>
      <c r="AA472" s="170"/>
      <c r="AB472" s="165"/>
      <c r="AC472" s="166"/>
      <c r="AD472" s="207"/>
      <c r="AE472" s="170"/>
      <c r="AF472" s="165"/>
      <c r="AG472" s="166"/>
      <c r="AH472" s="207"/>
      <c r="AI472" s="170"/>
      <c r="AJ472" s="165"/>
      <c r="AK472" s="166"/>
      <c r="AL472" s="207"/>
      <c r="AM472" s="170"/>
      <c r="AN472" s="165"/>
      <c r="AO472" s="166"/>
      <c r="AP472" s="207">
        <v>199</v>
      </c>
      <c r="AQ472" s="170">
        <v>74</v>
      </c>
      <c r="AR472" s="165">
        <v>173</v>
      </c>
      <c r="AS472" s="166">
        <v>97</v>
      </c>
      <c r="AT472" s="207"/>
      <c r="AU472" s="170"/>
      <c r="AV472" s="190"/>
      <c r="AW472" s="166"/>
      <c r="AX472" s="208"/>
      <c r="AY472" s="170"/>
      <c r="AZ472" s="199"/>
      <c r="BA472" s="204"/>
      <c r="BB472" s="199"/>
      <c r="BC472" s="200"/>
      <c r="BD472" s="199"/>
      <c r="BE472" s="200"/>
      <c r="BF472" s="199"/>
      <c r="BG472" s="200"/>
      <c r="BH472" s="199"/>
      <c r="BI472" s="200"/>
      <c r="BJ472" s="199"/>
      <c r="BK472" s="200"/>
    </row>
    <row r="473" spans="1:63" ht="13" x14ac:dyDescent="0.25">
      <c r="A473" s="372">
        <v>7402</v>
      </c>
      <c r="B473" s="373" t="s">
        <v>596</v>
      </c>
      <c r="C473" s="360">
        <v>1023</v>
      </c>
      <c r="D473" s="54">
        <v>627</v>
      </c>
      <c r="E473" s="367">
        <v>0.63680154142581891</v>
      </c>
      <c r="F473" s="45">
        <v>357</v>
      </c>
      <c r="G473" s="58">
        <v>265</v>
      </c>
      <c r="H473" s="45">
        <v>395</v>
      </c>
      <c r="I473" s="57">
        <v>223</v>
      </c>
      <c r="J473" s="97"/>
      <c r="K473" s="58"/>
      <c r="L473" s="45"/>
      <c r="M473" s="57"/>
      <c r="N473" s="97"/>
      <c r="O473" s="58"/>
      <c r="P473" s="165"/>
      <c r="Q473" s="166"/>
      <c r="R473" s="207"/>
      <c r="S473" s="170"/>
      <c r="T473" s="165"/>
      <c r="U473" s="166"/>
      <c r="V473" s="207"/>
      <c r="W473" s="170"/>
      <c r="X473" s="165"/>
      <c r="Y473" s="166"/>
      <c r="Z473" s="207"/>
      <c r="AA473" s="170"/>
      <c r="AB473" s="165"/>
      <c r="AC473" s="166"/>
      <c r="AD473" s="207"/>
      <c r="AE473" s="170"/>
      <c r="AF473" s="165"/>
      <c r="AG473" s="166"/>
      <c r="AH473" s="207"/>
      <c r="AI473" s="170"/>
      <c r="AJ473" s="165"/>
      <c r="AK473" s="166"/>
      <c r="AL473" s="207"/>
      <c r="AM473" s="170"/>
      <c r="AN473" s="165"/>
      <c r="AO473" s="166"/>
      <c r="AP473" s="207">
        <v>422</v>
      </c>
      <c r="AQ473" s="170">
        <v>198</v>
      </c>
      <c r="AR473" s="165">
        <v>326</v>
      </c>
      <c r="AS473" s="166">
        <v>291</v>
      </c>
      <c r="AT473" s="207"/>
      <c r="AU473" s="170"/>
      <c r="AV473" s="190"/>
      <c r="AW473" s="166"/>
      <c r="AX473" s="208"/>
      <c r="AY473" s="170"/>
      <c r="AZ473" s="199"/>
      <c r="BA473" s="204"/>
      <c r="BB473" s="199"/>
      <c r="BC473" s="200"/>
      <c r="BD473" s="199"/>
      <c r="BE473" s="200"/>
      <c r="BF473" s="199"/>
      <c r="BG473" s="200"/>
      <c r="BH473" s="199"/>
      <c r="BI473" s="200"/>
      <c r="BJ473" s="199"/>
      <c r="BK473" s="200"/>
    </row>
    <row r="474" spans="1:63" ht="13" x14ac:dyDescent="0.25">
      <c r="A474" s="372">
        <v>7403</v>
      </c>
      <c r="B474" s="373" t="s">
        <v>597</v>
      </c>
      <c r="C474" s="360">
        <v>1004</v>
      </c>
      <c r="D474" s="54">
        <v>521</v>
      </c>
      <c r="E474" s="367">
        <v>0.5216110019646365</v>
      </c>
      <c r="F474" s="45">
        <v>299</v>
      </c>
      <c r="G474" s="58">
        <v>222</v>
      </c>
      <c r="H474" s="45">
        <v>330</v>
      </c>
      <c r="I474" s="57">
        <v>179</v>
      </c>
      <c r="J474" s="97"/>
      <c r="K474" s="58"/>
      <c r="L474" s="45"/>
      <c r="M474" s="57"/>
      <c r="N474" s="97"/>
      <c r="O474" s="58"/>
      <c r="P474" s="165"/>
      <c r="Q474" s="166"/>
      <c r="R474" s="207"/>
      <c r="S474" s="170"/>
      <c r="T474" s="165"/>
      <c r="U474" s="166"/>
      <c r="V474" s="207"/>
      <c r="W474" s="170"/>
      <c r="X474" s="165"/>
      <c r="Y474" s="166"/>
      <c r="Z474" s="207"/>
      <c r="AA474" s="170"/>
      <c r="AB474" s="165"/>
      <c r="AC474" s="166"/>
      <c r="AD474" s="97"/>
      <c r="AE474" s="58"/>
      <c r="AF474" s="165"/>
      <c r="AG474" s="166"/>
      <c r="AH474" s="207"/>
      <c r="AI474" s="170"/>
      <c r="AJ474" s="165"/>
      <c r="AK474" s="166"/>
      <c r="AL474" s="207"/>
      <c r="AM474" s="170"/>
      <c r="AN474" s="165"/>
      <c r="AO474" s="166"/>
      <c r="AP474" s="207">
        <v>344</v>
      </c>
      <c r="AQ474" s="170">
        <v>167</v>
      </c>
      <c r="AR474" s="165">
        <v>274</v>
      </c>
      <c r="AS474" s="166">
        <v>240</v>
      </c>
      <c r="AT474" s="207"/>
      <c r="AU474" s="170"/>
      <c r="AV474" s="190"/>
      <c r="AW474" s="166"/>
      <c r="AX474" s="208"/>
      <c r="AY474" s="170"/>
      <c r="AZ474" s="199"/>
      <c r="BA474" s="204"/>
      <c r="BB474" s="199"/>
      <c r="BC474" s="200"/>
      <c r="BD474" s="199"/>
      <c r="BE474" s="200"/>
      <c r="BF474" s="199"/>
      <c r="BG474" s="200"/>
      <c r="BH474" s="199"/>
      <c r="BI474" s="200"/>
      <c r="BJ474" s="199"/>
      <c r="BK474" s="200"/>
    </row>
    <row r="475" spans="1:63" ht="13" x14ac:dyDescent="0.25">
      <c r="A475" s="372">
        <v>7601</v>
      </c>
      <c r="B475" s="373" t="s">
        <v>598</v>
      </c>
      <c r="C475" s="360">
        <v>728</v>
      </c>
      <c r="D475" s="54">
        <v>443</v>
      </c>
      <c r="E475" s="367">
        <v>0.71311475409836067</v>
      </c>
      <c r="F475" s="45">
        <v>145</v>
      </c>
      <c r="G475" s="58">
        <v>293</v>
      </c>
      <c r="H475" s="45">
        <v>175</v>
      </c>
      <c r="I475" s="57">
        <v>252</v>
      </c>
      <c r="J475" s="97"/>
      <c r="K475" s="58"/>
      <c r="L475" s="45"/>
      <c r="M475" s="57"/>
      <c r="N475" s="97"/>
      <c r="O475" s="58"/>
      <c r="P475" s="165"/>
      <c r="Q475" s="166"/>
      <c r="R475" s="207"/>
      <c r="S475" s="170"/>
      <c r="T475" s="165"/>
      <c r="U475" s="166"/>
      <c r="V475" s="207"/>
      <c r="W475" s="170"/>
      <c r="X475" s="165"/>
      <c r="Y475" s="166"/>
      <c r="Z475" s="207"/>
      <c r="AA475" s="170"/>
      <c r="AB475" s="165"/>
      <c r="AC475" s="166"/>
      <c r="AD475" s="97"/>
      <c r="AE475" s="58"/>
      <c r="AF475" s="165"/>
      <c r="AG475" s="166"/>
      <c r="AH475" s="207"/>
      <c r="AI475" s="170"/>
      <c r="AJ475" s="165"/>
      <c r="AK475" s="166"/>
      <c r="AL475" s="207"/>
      <c r="AM475" s="170"/>
      <c r="AN475" s="165"/>
      <c r="AO475" s="166"/>
      <c r="AP475" s="207">
        <v>193</v>
      </c>
      <c r="AQ475" s="170">
        <v>230</v>
      </c>
      <c r="AR475" s="165">
        <v>142</v>
      </c>
      <c r="AS475" s="166">
        <v>291</v>
      </c>
      <c r="AT475" s="207"/>
      <c r="AU475" s="170"/>
      <c r="AV475" s="190"/>
      <c r="AW475" s="166"/>
      <c r="AX475" s="208"/>
      <c r="AY475" s="170"/>
      <c r="AZ475" s="199"/>
      <c r="BA475" s="204"/>
      <c r="BB475" s="199"/>
      <c r="BC475" s="200"/>
      <c r="BD475" s="199"/>
      <c r="BE475" s="200"/>
      <c r="BF475" s="199"/>
      <c r="BG475" s="200"/>
      <c r="BH475" s="199"/>
      <c r="BI475" s="200"/>
      <c r="BJ475" s="199"/>
      <c r="BK475" s="200"/>
    </row>
    <row r="476" spans="1:63" ht="13" x14ac:dyDescent="0.25">
      <c r="A476" s="372">
        <v>7602</v>
      </c>
      <c r="B476" s="373" t="s">
        <v>599</v>
      </c>
      <c r="C476" s="360">
        <v>1295</v>
      </c>
      <c r="D476" s="54">
        <v>715</v>
      </c>
      <c r="E476" s="367">
        <v>0.63145720894371626</v>
      </c>
      <c r="F476" s="45">
        <v>230</v>
      </c>
      <c r="G476" s="58">
        <v>478</v>
      </c>
      <c r="H476" s="45">
        <v>312</v>
      </c>
      <c r="I476" s="57">
        <v>391</v>
      </c>
      <c r="J476" s="97"/>
      <c r="K476" s="58"/>
      <c r="L476" s="45"/>
      <c r="M476" s="57"/>
      <c r="N476" s="97"/>
      <c r="O476" s="58"/>
      <c r="P476" s="165"/>
      <c r="Q476" s="166"/>
      <c r="R476" s="207"/>
      <c r="S476" s="170"/>
      <c r="T476" s="165"/>
      <c r="U476" s="166"/>
      <c r="V476" s="207"/>
      <c r="W476" s="170"/>
      <c r="X476" s="165"/>
      <c r="Y476" s="166"/>
      <c r="Z476" s="207"/>
      <c r="AA476" s="170"/>
      <c r="AB476" s="165"/>
      <c r="AC476" s="166"/>
      <c r="AD476" s="97"/>
      <c r="AE476" s="58"/>
      <c r="AF476" s="165"/>
      <c r="AG476" s="166"/>
      <c r="AH476" s="207"/>
      <c r="AI476" s="170"/>
      <c r="AJ476" s="165"/>
      <c r="AK476" s="166"/>
      <c r="AL476" s="207"/>
      <c r="AM476" s="170"/>
      <c r="AN476" s="165"/>
      <c r="AO476" s="166"/>
      <c r="AP476" s="207">
        <v>319</v>
      </c>
      <c r="AQ476" s="170">
        <v>378</v>
      </c>
      <c r="AR476" s="165">
        <v>222</v>
      </c>
      <c r="AS476" s="166">
        <v>481</v>
      </c>
      <c r="AT476" s="207"/>
      <c r="AU476" s="170"/>
      <c r="AV476" s="190"/>
      <c r="AW476" s="166"/>
      <c r="AX476" s="208"/>
      <c r="AY476" s="170"/>
      <c r="AZ476" s="199"/>
      <c r="BA476" s="204"/>
      <c r="BB476" s="199"/>
      <c r="BC476" s="200"/>
      <c r="BD476" s="199"/>
      <c r="BE476" s="200"/>
      <c r="BF476" s="199"/>
      <c r="BG476" s="200"/>
      <c r="BH476" s="199"/>
      <c r="BI476" s="200"/>
      <c r="BJ476" s="199"/>
      <c r="BK476" s="200"/>
    </row>
    <row r="477" spans="1:63" ht="13" x14ac:dyDescent="0.25">
      <c r="A477" s="372">
        <v>7603</v>
      </c>
      <c r="B477" s="373" t="s">
        <v>600</v>
      </c>
      <c r="C477" s="360">
        <v>908</v>
      </c>
      <c r="D477" s="54">
        <v>331</v>
      </c>
      <c r="E477" s="367">
        <v>0.42290748898678415</v>
      </c>
      <c r="F477" s="45">
        <v>157</v>
      </c>
      <c r="G477" s="58">
        <v>169</v>
      </c>
      <c r="H477" s="45">
        <v>193</v>
      </c>
      <c r="I477" s="57">
        <v>134</v>
      </c>
      <c r="J477" s="97"/>
      <c r="K477" s="58"/>
      <c r="L477" s="45"/>
      <c r="M477" s="57"/>
      <c r="N477" s="97"/>
      <c r="O477" s="58"/>
      <c r="P477" s="165"/>
      <c r="Q477" s="166"/>
      <c r="R477" s="207"/>
      <c r="S477" s="170"/>
      <c r="T477" s="165"/>
      <c r="U477" s="166"/>
      <c r="V477" s="207"/>
      <c r="W477" s="170"/>
      <c r="X477" s="165"/>
      <c r="Y477" s="166"/>
      <c r="Z477" s="207"/>
      <c r="AA477" s="170"/>
      <c r="AB477" s="165"/>
      <c r="AC477" s="166"/>
      <c r="AD477" s="207"/>
      <c r="AE477" s="170"/>
      <c r="AF477" s="165"/>
      <c r="AG477" s="166"/>
      <c r="AH477" s="207"/>
      <c r="AI477" s="170"/>
      <c r="AJ477" s="165"/>
      <c r="AK477" s="166"/>
      <c r="AL477" s="207"/>
      <c r="AM477" s="170"/>
      <c r="AN477" s="165"/>
      <c r="AO477" s="166"/>
      <c r="AP477" s="207">
        <v>163</v>
      </c>
      <c r="AQ477" s="170">
        <v>158</v>
      </c>
      <c r="AR477" s="165">
        <v>126</v>
      </c>
      <c r="AS477" s="166">
        <v>199</v>
      </c>
      <c r="AT477" s="207"/>
      <c r="AU477" s="170"/>
      <c r="AV477" s="190"/>
      <c r="AW477" s="166"/>
      <c r="AX477" s="208"/>
      <c r="AY477" s="170"/>
      <c r="AZ477" s="45"/>
      <c r="BA477" s="58"/>
      <c r="BB477" s="45"/>
      <c r="BC477" s="46"/>
      <c r="BD477" s="45"/>
      <c r="BE477" s="46"/>
      <c r="BF477" s="45"/>
      <c r="BG477" s="46"/>
      <c r="BH477" s="45"/>
      <c r="BI477" s="46"/>
      <c r="BJ477" s="45"/>
      <c r="BK477" s="46"/>
    </row>
    <row r="478" spans="1:63" ht="13" x14ac:dyDescent="0.25">
      <c r="A478" s="372">
        <v>7701</v>
      </c>
      <c r="B478" s="373" t="s">
        <v>601</v>
      </c>
      <c r="C478" s="360">
        <v>1268</v>
      </c>
      <c r="D478" s="54">
        <v>441</v>
      </c>
      <c r="E478" s="367">
        <v>0.37106918238993708</v>
      </c>
      <c r="F478" s="45">
        <v>391</v>
      </c>
      <c r="G478" s="58">
        <v>42</v>
      </c>
      <c r="H478" s="45">
        <v>361</v>
      </c>
      <c r="I478" s="57">
        <v>67</v>
      </c>
      <c r="J478" s="97"/>
      <c r="K478" s="58"/>
      <c r="L478" s="45"/>
      <c r="M478" s="57"/>
      <c r="N478" s="97"/>
      <c r="O478" s="58"/>
      <c r="P478" s="165"/>
      <c r="Q478" s="166"/>
      <c r="R478" s="207">
        <v>257</v>
      </c>
      <c r="S478" s="170">
        <v>155</v>
      </c>
      <c r="T478" s="165"/>
      <c r="U478" s="166"/>
      <c r="V478" s="207"/>
      <c r="W478" s="170"/>
      <c r="X478" s="165"/>
      <c r="Y478" s="166"/>
      <c r="Z478" s="207"/>
      <c r="AA478" s="170"/>
      <c r="AB478" s="165"/>
      <c r="AC478" s="166"/>
      <c r="AD478" s="207"/>
      <c r="AE478" s="170"/>
      <c r="AF478" s="165"/>
      <c r="AG478" s="166"/>
      <c r="AH478" s="207"/>
      <c r="AI478" s="170"/>
      <c r="AJ478" s="165"/>
      <c r="AK478" s="166"/>
      <c r="AL478" s="207"/>
      <c r="AM478" s="170"/>
      <c r="AN478" s="165"/>
      <c r="AO478" s="166"/>
      <c r="AP478" s="207">
        <v>309</v>
      </c>
      <c r="AQ478" s="170">
        <v>121</v>
      </c>
      <c r="AR478" s="165">
        <v>289</v>
      </c>
      <c r="AS478" s="166">
        <v>138</v>
      </c>
      <c r="AT478" s="207"/>
      <c r="AU478" s="170"/>
      <c r="AV478" s="190"/>
      <c r="AW478" s="166"/>
      <c r="AX478" s="208"/>
      <c r="AY478" s="170"/>
      <c r="AZ478" s="45"/>
      <c r="BA478" s="58"/>
      <c r="BB478" s="45"/>
      <c r="BC478" s="46"/>
      <c r="BD478" s="45"/>
      <c r="BE478" s="46"/>
      <c r="BF478" s="45"/>
      <c r="BG478" s="46"/>
      <c r="BH478" s="45"/>
      <c r="BI478" s="46"/>
      <c r="BJ478" s="45"/>
      <c r="BK478" s="46"/>
    </row>
    <row r="479" spans="1:63" ht="13" x14ac:dyDescent="0.25">
      <c r="A479" s="372">
        <v>7702</v>
      </c>
      <c r="B479" s="373" t="s">
        <v>602</v>
      </c>
      <c r="C479" s="360">
        <v>775</v>
      </c>
      <c r="D479" s="54">
        <v>207</v>
      </c>
      <c r="E479" s="367">
        <v>0.29007633587786258</v>
      </c>
      <c r="F479" s="45">
        <v>170</v>
      </c>
      <c r="G479" s="58">
        <v>32</v>
      </c>
      <c r="H479" s="45">
        <v>160</v>
      </c>
      <c r="I479" s="57">
        <v>43</v>
      </c>
      <c r="J479" s="97"/>
      <c r="K479" s="58"/>
      <c r="L479" s="45"/>
      <c r="M479" s="57"/>
      <c r="N479" s="97"/>
      <c r="O479" s="58"/>
      <c r="P479" s="165"/>
      <c r="Q479" s="166"/>
      <c r="R479" s="207">
        <v>123</v>
      </c>
      <c r="S479" s="170">
        <v>78</v>
      </c>
      <c r="T479" s="165"/>
      <c r="U479" s="166"/>
      <c r="V479" s="207"/>
      <c r="W479" s="170"/>
      <c r="X479" s="165"/>
      <c r="Y479" s="166"/>
      <c r="Z479" s="207"/>
      <c r="AA479" s="170"/>
      <c r="AB479" s="165"/>
      <c r="AC479" s="166"/>
      <c r="AD479" s="207"/>
      <c r="AE479" s="170"/>
      <c r="AF479" s="165"/>
      <c r="AG479" s="166"/>
      <c r="AH479" s="207"/>
      <c r="AI479" s="170"/>
      <c r="AJ479" s="165"/>
      <c r="AK479" s="166"/>
      <c r="AL479" s="207"/>
      <c r="AM479" s="170"/>
      <c r="AN479" s="165"/>
      <c r="AO479" s="166"/>
      <c r="AP479" s="207">
        <v>131</v>
      </c>
      <c r="AQ479" s="170">
        <v>69</v>
      </c>
      <c r="AR479" s="165">
        <v>110</v>
      </c>
      <c r="AS479" s="166">
        <v>94</v>
      </c>
      <c r="AT479" s="207"/>
      <c r="AU479" s="170"/>
      <c r="AV479" s="190"/>
      <c r="AW479" s="166"/>
      <c r="AX479" s="208"/>
      <c r="AY479" s="170"/>
      <c r="AZ479" s="45"/>
      <c r="BA479" s="58"/>
      <c r="BB479" s="45"/>
      <c r="BC479" s="46"/>
      <c r="BD479" s="45"/>
      <c r="BE479" s="46"/>
      <c r="BF479" s="45"/>
      <c r="BG479" s="46"/>
      <c r="BH479" s="45"/>
      <c r="BI479" s="46"/>
      <c r="BJ479" s="45"/>
      <c r="BK479" s="46"/>
    </row>
    <row r="480" spans="1:63" ht="13" x14ac:dyDescent="0.25">
      <c r="A480" s="372">
        <v>7901</v>
      </c>
      <c r="B480" s="373" t="s">
        <v>603</v>
      </c>
      <c r="C480" s="360">
        <v>832</v>
      </c>
      <c r="D480" s="54">
        <v>281</v>
      </c>
      <c r="E480" s="367">
        <v>0.36137440758293837</v>
      </c>
      <c r="F480" s="45">
        <v>169</v>
      </c>
      <c r="G480" s="58">
        <v>108</v>
      </c>
      <c r="H480" s="45">
        <v>200</v>
      </c>
      <c r="I480" s="57">
        <v>79</v>
      </c>
      <c r="J480" s="97"/>
      <c r="K480" s="58"/>
      <c r="L480" s="45"/>
      <c r="M480" s="57"/>
      <c r="N480" s="97"/>
      <c r="O480" s="58"/>
      <c r="P480" s="165"/>
      <c r="Q480" s="166"/>
      <c r="R480" s="207"/>
      <c r="S480" s="170"/>
      <c r="T480" s="165"/>
      <c r="U480" s="166"/>
      <c r="V480" s="207"/>
      <c r="W480" s="170"/>
      <c r="X480" s="165"/>
      <c r="Y480" s="166"/>
      <c r="Z480" s="207"/>
      <c r="AA480" s="170"/>
      <c r="AB480" s="165"/>
      <c r="AC480" s="166"/>
      <c r="AD480" s="207"/>
      <c r="AE480" s="170"/>
      <c r="AF480" s="45"/>
      <c r="AG480" s="57"/>
      <c r="AH480" s="97"/>
      <c r="AI480" s="58"/>
      <c r="AJ480" s="45"/>
      <c r="AK480" s="57"/>
      <c r="AL480" s="207"/>
      <c r="AM480" s="170"/>
      <c r="AN480" s="165"/>
      <c r="AO480" s="166"/>
      <c r="AP480" s="207">
        <v>177</v>
      </c>
      <c r="AQ480" s="170">
        <v>95</v>
      </c>
      <c r="AR480" s="165">
        <v>145</v>
      </c>
      <c r="AS480" s="166">
        <v>127</v>
      </c>
      <c r="AT480" s="207"/>
      <c r="AU480" s="170"/>
      <c r="AV480" s="190"/>
      <c r="AW480" s="166"/>
      <c r="AX480" s="208"/>
      <c r="AY480" s="170"/>
      <c r="AZ480" s="45"/>
      <c r="BA480" s="58"/>
      <c r="BB480" s="199"/>
      <c r="BC480" s="200"/>
      <c r="BD480" s="199"/>
      <c r="BE480" s="200"/>
      <c r="BF480" s="199"/>
      <c r="BG480" s="200"/>
      <c r="BH480" s="199"/>
      <c r="BI480" s="200"/>
      <c r="BJ480" s="199"/>
      <c r="BK480" s="200"/>
    </row>
    <row r="481" spans="1:63" ht="13" x14ac:dyDescent="0.25">
      <c r="A481" s="372">
        <v>7902</v>
      </c>
      <c r="B481" s="373" t="s">
        <v>604</v>
      </c>
      <c r="C481" s="360">
        <v>1325</v>
      </c>
      <c r="D481" s="54">
        <v>387</v>
      </c>
      <c r="E481" s="367">
        <v>0.31024096385542171</v>
      </c>
      <c r="F481" s="45">
        <v>248</v>
      </c>
      <c r="G481" s="58">
        <v>136</v>
      </c>
      <c r="H481" s="45">
        <v>266</v>
      </c>
      <c r="I481" s="57">
        <v>113</v>
      </c>
      <c r="J481" s="97"/>
      <c r="K481" s="58"/>
      <c r="L481" s="45"/>
      <c r="M481" s="57"/>
      <c r="N481" s="97"/>
      <c r="O481" s="58"/>
      <c r="P481" s="165"/>
      <c r="Q481" s="166"/>
      <c r="R481" s="207"/>
      <c r="S481" s="170"/>
      <c r="T481" s="165"/>
      <c r="U481" s="166"/>
      <c r="V481" s="207"/>
      <c r="W481" s="170"/>
      <c r="X481" s="165"/>
      <c r="Y481" s="166"/>
      <c r="Z481" s="207"/>
      <c r="AA481" s="170"/>
      <c r="AB481" s="165"/>
      <c r="AC481" s="166"/>
      <c r="AD481" s="207"/>
      <c r="AE481" s="170"/>
      <c r="AF481" s="45"/>
      <c r="AG481" s="57"/>
      <c r="AH481" s="97"/>
      <c r="AI481" s="58"/>
      <c r="AJ481" s="45"/>
      <c r="AK481" s="57"/>
      <c r="AL481" s="207"/>
      <c r="AM481" s="170"/>
      <c r="AN481" s="165"/>
      <c r="AO481" s="166"/>
      <c r="AP481" s="207">
        <v>223</v>
      </c>
      <c r="AQ481" s="170">
        <v>156</v>
      </c>
      <c r="AR481" s="165">
        <v>191</v>
      </c>
      <c r="AS481" s="166">
        <v>191</v>
      </c>
      <c r="AT481" s="207"/>
      <c r="AU481" s="170"/>
      <c r="AV481" s="190"/>
      <c r="AW481" s="166"/>
      <c r="AX481" s="208"/>
      <c r="AY481" s="170"/>
      <c r="AZ481" s="45"/>
      <c r="BA481" s="58"/>
      <c r="BB481" s="199"/>
      <c r="BC481" s="200"/>
      <c r="BD481" s="199"/>
      <c r="BE481" s="200"/>
      <c r="BF481" s="199"/>
      <c r="BG481" s="200"/>
      <c r="BH481" s="199"/>
      <c r="BI481" s="200"/>
      <c r="BJ481" s="199"/>
      <c r="BK481" s="200"/>
    </row>
    <row r="482" spans="1:63" ht="13" x14ac:dyDescent="0.25">
      <c r="A482" s="372">
        <v>8001</v>
      </c>
      <c r="B482" s="373" t="s">
        <v>605</v>
      </c>
      <c r="C482" s="360">
        <v>1431</v>
      </c>
      <c r="D482" s="54">
        <v>879</v>
      </c>
      <c r="E482" s="367">
        <v>0.62572254335260113</v>
      </c>
      <c r="F482" s="45">
        <v>634</v>
      </c>
      <c r="G482" s="58">
        <v>238</v>
      </c>
      <c r="H482" s="45">
        <v>569</v>
      </c>
      <c r="I482" s="57">
        <v>289</v>
      </c>
      <c r="J482" s="97"/>
      <c r="K482" s="58"/>
      <c r="L482" s="45"/>
      <c r="M482" s="57"/>
      <c r="N482" s="97"/>
      <c r="O482" s="58"/>
      <c r="P482" s="165"/>
      <c r="Q482" s="166"/>
      <c r="R482" s="207"/>
      <c r="S482" s="170"/>
      <c r="T482" s="165">
        <v>589</v>
      </c>
      <c r="U482" s="166">
        <v>187</v>
      </c>
      <c r="V482" s="207">
        <v>591</v>
      </c>
      <c r="W482" s="170">
        <v>187</v>
      </c>
      <c r="X482" s="165">
        <v>575</v>
      </c>
      <c r="Y482" s="166">
        <v>242</v>
      </c>
      <c r="Z482" s="207">
        <v>634</v>
      </c>
      <c r="AA482" s="170">
        <v>193</v>
      </c>
      <c r="AB482" s="165"/>
      <c r="AC482" s="166"/>
      <c r="AD482" s="207"/>
      <c r="AE482" s="170"/>
      <c r="AF482" s="165"/>
      <c r="AG482" s="166"/>
      <c r="AH482" s="207"/>
      <c r="AI482" s="170"/>
      <c r="AJ482" s="165"/>
      <c r="AK482" s="166"/>
      <c r="AL482" s="207"/>
      <c r="AM482" s="170"/>
      <c r="AN482" s="165"/>
      <c r="AO482" s="166"/>
      <c r="AP482" s="207">
        <v>666</v>
      </c>
      <c r="AQ482" s="170">
        <v>176</v>
      </c>
      <c r="AR482" s="165">
        <v>577</v>
      </c>
      <c r="AS482" s="166">
        <v>265</v>
      </c>
      <c r="AT482" s="207"/>
      <c r="AU482" s="170"/>
      <c r="AV482" s="190"/>
      <c r="AW482" s="166"/>
      <c r="AX482" s="208"/>
      <c r="AY482" s="170"/>
      <c r="AZ482" s="45"/>
      <c r="BA482" s="58"/>
      <c r="BB482" s="199"/>
      <c r="BC482" s="200"/>
      <c r="BD482" s="199"/>
      <c r="BE482" s="200"/>
      <c r="BF482" s="199"/>
      <c r="BG482" s="200"/>
      <c r="BH482" s="199"/>
      <c r="BI482" s="200"/>
      <c r="BJ482" s="199"/>
      <c r="BK482" s="200"/>
    </row>
    <row r="483" spans="1:63" ht="13" x14ac:dyDescent="0.25">
      <c r="A483" s="372">
        <v>8002</v>
      </c>
      <c r="B483" s="373" t="s">
        <v>606</v>
      </c>
      <c r="C483" s="360">
        <v>1343</v>
      </c>
      <c r="D483" s="54">
        <v>864</v>
      </c>
      <c r="E483" s="367">
        <v>0.67891972993248317</v>
      </c>
      <c r="F483" s="45">
        <v>639</v>
      </c>
      <c r="G483" s="58">
        <v>219</v>
      </c>
      <c r="H483" s="45">
        <v>540</v>
      </c>
      <c r="I483" s="57">
        <v>302</v>
      </c>
      <c r="J483" s="97"/>
      <c r="K483" s="58"/>
      <c r="L483" s="45"/>
      <c r="M483" s="57"/>
      <c r="N483" s="97"/>
      <c r="O483" s="58"/>
      <c r="P483" s="165"/>
      <c r="Q483" s="166"/>
      <c r="R483" s="207"/>
      <c r="S483" s="170"/>
      <c r="T483" s="165">
        <v>634</v>
      </c>
      <c r="U483" s="166">
        <v>150</v>
      </c>
      <c r="V483" s="207">
        <v>639</v>
      </c>
      <c r="W483" s="170">
        <v>143</v>
      </c>
      <c r="X483" s="165">
        <v>601</v>
      </c>
      <c r="Y483" s="166">
        <v>211</v>
      </c>
      <c r="Z483" s="207">
        <v>612</v>
      </c>
      <c r="AA483" s="170">
        <v>210</v>
      </c>
      <c r="AB483" s="165"/>
      <c r="AC483" s="166"/>
      <c r="AD483" s="207"/>
      <c r="AE483" s="170"/>
      <c r="AF483" s="165"/>
      <c r="AG483" s="166"/>
      <c r="AH483" s="207"/>
      <c r="AI483" s="170"/>
      <c r="AJ483" s="165"/>
      <c r="AK483" s="166"/>
      <c r="AL483" s="207"/>
      <c r="AM483" s="170"/>
      <c r="AN483" s="165"/>
      <c r="AO483" s="166"/>
      <c r="AP483" s="207">
        <v>642</v>
      </c>
      <c r="AQ483" s="170">
        <v>188</v>
      </c>
      <c r="AR483" s="165">
        <v>558</v>
      </c>
      <c r="AS483" s="166">
        <v>267</v>
      </c>
      <c r="AT483" s="207"/>
      <c r="AU483" s="170"/>
      <c r="AV483" s="190"/>
      <c r="AW483" s="166"/>
      <c r="AX483" s="208"/>
      <c r="AY483" s="170"/>
      <c r="AZ483" s="45"/>
      <c r="BA483" s="58"/>
      <c r="BB483" s="45"/>
      <c r="BC483" s="46"/>
      <c r="BD483" s="45"/>
      <c r="BE483" s="46"/>
      <c r="BF483" s="45"/>
      <c r="BG483" s="46"/>
      <c r="BH483" s="45"/>
      <c r="BI483" s="46"/>
      <c r="BJ483" s="45"/>
      <c r="BK483" s="46"/>
    </row>
    <row r="484" spans="1:63" ht="13" x14ac:dyDescent="0.25">
      <c r="A484" s="372">
        <v>8211</v>
      </c>
      <c r="B484" s="373" t="s">
        <v>607</v>
      </c>
      <c r="C484" s="360">
        <v>581</v>
      </c>
      <c r="D484" s="54">
        <v>179</v>
      </c>
      <c r="E484" s="367">
        <v>0.35776614310645727</v>
      </c>
      <c r="F484" s="45">
        <v>87</v>
      </c>
      <c r="G484" s="58">
        <v>88</v>
      </c>
      <c r="H484" s="45">
        <v>125</v>
      </c>
      <c r="I484" s="57">
        <v>52</v>
      </c>
      <c r="J484" s="97"/>
      <c r="K484" s="58"/>
      <c r="L484" s="45"/>
      <c r="M484" s="57"/>
      <c r="N484" s="97"/>
      <c r="O484" s="58"/>
      <c r="P484" s="165"/>
      <c r="Q484" s="166"/>
      <c r="R484" s="207"/>
      <c r="S484" s="170"/>
      <c r="T484" s="165"/>
      <c r="U484" s="166"/>
      <c r="V484" s="207"/>
      <c r="W484" s="170"/>
      <c r="X484" s="165"/>
      <c r="Y484" s="166"/>
      <c r="Z484" s="207"/>
      <c r="AA484" s="170"/>
      <c r="AB484" s="165"/>
      <c r="AC484" s="166"/>
      <c r="AD484" s="207"/>
      <c r="AE484" s="170"/>
      <c r="AF484" s="165"/>
      <c r="AG484" s="166"/>
      <c r="AH484" s="207"/>
      <c r="AI484" s="170"/>
      <c r="AJ484" s="165"/>
      <c r="AK484" s="166"/>
      <c r="AL484" s="97"/>
      <c r="AM484" s="58"/>
      <c r="AN484" s="165"/>
      <c r="AO484" s="166"/>
      <c r="AP484" s="207">
        <v>102</v>
      </c>
      <c r="AQ484" s="170">
        <v>75</v>
      </c>
      <c r="AR484" s="165">
        <v>76</v>
      </c>
      <c r="AS484" s="166">
        <v>96</v>
      </c>
      <c r="AT484" s="207"/>
      <c r="AU484" s="170"/>
      <c r="AV484" s="190"/>
      <c r="AW484" s="166"/>
      <c r="AX484" s="208"/>
      <c r="AY484" s="170"/>
      <c r="AZ484" s="45"/>
      <c r="BA484" s="58"/>
      <c r="BB484" s="45"/>
      <c r="BC484" s="46"/>
      <c r="BD484" s="45"/>
      <c r="BE484" s="46"/>
      <c r="BF484" s="45"/>
      <c r="BG484" s="46"/>
      <c r="BH484" s="45"/>
      <c r="BI484" s="46"/>
      <c r="BJ484" s="45"/>
      <c r="BK484" s="46"/>
    </row>
    <row r="485" spans="1:63" ht="13" x14ac:dyDescent="0.25">
      <c r="A485" s="372">
        <v>8221</v>
      </c>
      <c r="B485" s="373" t="s">
        <v>608</v>
      </c>
      <c r="C485" s="360">
        <v>913</v>
      </c>
      <c r="D485" s="54">
        <v>346</v>
      </c>
      <c r="E485" s="367">
        <v>0.3651877133105802</v>
      </c>
      <c r="F485" s="45">
        <v>188</v>
      </c>
      <c r="G485" s="58">
        <v>158</v>
      </c>
      <c r="H485" s="45">
        <v>251</v>
      </c>
      <c r="I485" s="57">
        <v>91</v>
      </c>
      <c r="J485" s="97">
        <v>115</v>
      </c>
      <c r="K485" s="58">
        <v>224</v>
      </c>
      <c r="L485" s="45"/>
      <c r="M485" s="57"/>
      <c r="N485" s="97"/>
      <c r="O485" s="58"/>
      <c r="P485" s="165"/>
      <c r="Q485" s="166"/>
      <c r="R485" s="207"/>
      <c r="S485" s="170"/>
      <c r="T485" s="165"/>
      <c r="U485" s="166"/>
      <c r="V485" s="207"/>
      <c r="W485" s="170"/>
      <c r="X485" s="165"/>
      <c r="Y485" s="166"/>
      <c r="Z485" s="207"/>
      <c r="AA485" s="170"/>
      <c r="AB485" s="165"/>
      <c r="AC485" s="166"/>
      <c r="AD485" s="207"/>
      <c r="AE485" s="170"/>
      <c r="AF485" s="165"/>
      <c r="AG485" s="166"/>
      <c r="AH485" s="207"/>
      <c r="AI485" s="170"/>
      <c r="AJ485" s="165"/>
      <c r="AK485" s="166"/>
      <c r="AL485" s="97"/>
      <c r="AM485" s="58"/>
      <c r="AN485" s="165"/>
      <c r="AO485" s="166"/>
      <c r="AP485" s="207">
        <v>186</v>
      </c>
      <c r="AQ485" s="170">
        <v>150</v>
      </c>
      <c r="AR485" s="165">
        <v>136</v>
      </c>
      <c r="AS485" s="166">
        <v>196</v>
      </c>
      <c r="AT485" s="207"/>
      <c r="AU485" s="170"/>
      <c r="AV485" s="190"/>
      <c r="AW485" s="166"/>
      <c r="AX485" s="208"/>
      <c r="AY485" s="170"/>
      <c r="AZ485" s="45"/>
      <c r="BA485" s="58"/>
      <c r="BB485" s="45"/>
      <c r="BC485" s="46"/>
      <c r="BD485" s="45"/>
      <c r="BE485" s="46"/>
      <c r="BF485" s="45"/>
      <c r="BG485" s="46"/>
      <c r="BH485" s="45"/>
      <c r="BI485" s="46"/>
      <c r="BJ485" s="45"/>
      <c r="BK485" s="46"/>
    </row>
    <row r="486" spans="1:63" ht="13" x14ac:dyDescent="0.25">
      <c r="A486" s="372">
        <v>8222</v>
      </c>
      <c r="B486" s="373" t="s">
        <v>609</v>
      </c>
      <c r="C486" s="360">
        <v>1404</v>
      </c>
      <c r="D486" s="54">
        <v>820</v>
      </c>
      <c r="E486" s="367">
        <v>0.63642960812772131</v>
      </c>
      <c r="F486" s="45">
        <v>322</v>
      </c>
      <c r="G486" s="58">
        <v>488</v>
      </c>
      <c r="H486" s="45">
        <v>450</v>
      </c>
      <c r="I486" s="57">
        <v>362</v>
      </c>
      <c r="J486" s="97">
        <v>228</v>
      </c>
      <c r="K486" s="58">
        <v>578</v>
      </c>
      <c r="L486" s="45"/>
      <c r="M486" s="57"/>
      <c r="N486" s="97"/>
      <c r="O486" s="58"/>
      <c r="P486" s="165"/>
      <c r="Q486" s="166"/>
      <c r="R486" s="207"/>
      <c r="S486" s="170"/>
      <c r="T486" s="165"/>
      <c r="U486" s="166"/>
      <c r="V486" s="207"/>
      <c r="W486" s="170"/>
      <c r="X486" s="165"/>
      <c r="Y486" s="166"/>
      <c r="Z486" s="207"/>
      <c r="AA486" s="170"/>
      <c r="AB486" s="165"/>
      <c r="AC486" s="166"/>
      <c r="AD486" s="207"/>
      <c r="AE486" s="170"/>
      <c r="AF486" s="165"/>
      <c r="AG486" s="166"/>
      <c r="AH486" s="207"/>
      <c r="AI486" s="170"/>
      <c r="AJ486" s="165"/>
      <c r="AK486" s="166"/>
      <c r="AL486" s="207"/>
      <c r="AM486" s="170"/>
      <c r="AN486" s="165"/>
      <c r="AO486" s="166"/>
      <c r="AP486" s="207">
        <v>466</v>
      </c>
      <c r="AQ486" s="170">
        <v>338</v>
      </c>
      <c r="AR486" s="165">
        <v>298</v>
      </c>
      <c r="AS486" s="166">
        <v>501</v>
      </c>
      <c r="AT486" s="207"/>
      <c r="AU486" s="170"/>
      <c r="AV486" s="190"/>
      <c r="AW486" s="166"/>
      <c r="AX486" s="208"/>
      <c r="AY486" s="170"/>
      <c r="AZ486" s="45"/>
      <c r="BA486" s="58"/>
      <c r="BB486" s="45"/>
      <c r="BC486" s="46"/>
      <c r="BD486" s="45"/>
      <c r="BE486" s="46"/>
      <c r="BF486" s="45"/>
      <c r="BG486" s="46"/>
      <c r="BH486" s="45"/>
      <c r="BI486" s="46"/>
      <c r="BJ486" s="45"/>
      <c r="BK486" s="46"/>
    </row>
    <row r="487" spans="1:63" ht="13" x14ac:dyDescent="0.25">
      <c r="A487" s="372">
        <v>8231</v>
      </c>
      <c r="B487" s="373" t="s">
        <v>610</v>
      </c>
      <c r="C487" s="360">
        <v>768</v>
      </c>
      <c r="D487" s="54">
        <v>483</v>
      </c>
      <c r="E487" s="367">
        <v>0.69129287598944589</v>
      </c>
      <c r="F487" s="45">
        <v>146</v>
      </c>
      <c r="G487" s="58">
        <v>331</v>
      </c>
      <c r="H487" s="45">
        <v>174</v>
      </c>
      <c r="I487" s="57">
        <v>302</v>
      </c>
      <c r="J487" s="97"/>
      <c r="K487" s="58"/>
      <c r="L487" s="45"/>
      <c r="M487" s="57"/>
      <c r="N487" s="97"/>
      <c r="O487" s="58"/>
      <c r="P487" s="165"/>
      <c r="Q487" s="166"/>
      <c r="R487" s="207"/>
      <c r="S487" s="170"/>
      <c r="T487" s="165"/>
      <c r="U487" s="166"/>
      <c r="V487" s="207"/>
      <c r="W487" s="170"/>
      <c r="X487" s="165"/>
      <c r="Y487" s="166"/>
      <c r="Z487" s="97"/>
      <c r="AA487" s="58"/>
      <c r="AB487" s="165"/>
      <c r="AC487" s="166"/>
      <c r="AD487" s="207"/>
      <c r="AE487" s="170"/>
      <c r="AF487" s="165"/>
      <c r="AG487" s="166"/>
      <c r="AH487" s="207"/>
      <c r="AI487" s="170"/>
      <c r="AJ487" s="165"/>
      <c r="AK487" s="166"/>
      <c r="AL487" s="207"/>
      <c r="AM487" s="170"/>
      <c r="AN487" s="165"/>
      <c r="AO487" s="166"/>
      <c r="AP487" s="207">
        <v>272</v>
      </c>
      <c r="AQ487" s="170">
        <v>200</v>
      </c>
      <c r="AR487" s="165">
        <v>172</v>
      </c>
      <c r="AS487" s="166">
        <v>289</v>
      </c>
      <c r="AT487" s="207"/>
      <c r="AU487" s="170"/>
      <c r="AV487" s="190"/>
      <c r="AW487" s="166"/>
      <c r="AX487" s="208"/>
      <c r="AY487" s="170"/>
      <c r="AZ487" s="45"/>
      <c r="BA487" s="58"/>
      <c r="BB487" s="45"/>
      <c r="BC487" s="46"/>
      <c r="BD487" s="45"/>
      <c r="BE487" s="46"/>
      <c r="BF487" s="45"/>
      <c r="BG487" s="46"/>
      <c r="BH487" s="45"/>
      <c r="BI487" s="46"/>
      <c r="BJ487" s="45"/>
      <c r="BK487" s="46"/>
    </row>
    <row r="488" spans="1:63" ht="13" x14ac:dyDescent="0.25">
      <c r="A488" s="372">
        <v>8301</v>
      </c>
      <c r="B488" s="373" t="s">
        <v>611</v>
      </c>
      <c r="C488" s="360">
        <v>1256</v>
      </c>
      <c r="D488" s="54">
        <v>772</v>
      </c>
      <c r="E488" s="367">
        <v>0.65278868813825608</v>
      </c>
      <c r="F488" s="45">
        <v>295</v>
      </c>
      <c r="G488" s="58">
        <v>471</v>
      </c>
      <c r="H488" s="45">
        <v>372</v>
      </c>
      <c r="I488" s="57">
        <v>381</v>
      </c>
      <c r="J488" s="97"/>
      <c r="K488" s="58"/>
      <c r="L488" s="45"/>
      <c r="M488" s="57"/>
      <c r="N488" s="97"/>
      <c r="O488" s="58"/>
      <c r="P488" s="165"/>
      <c r="Q488" s="166"/>
      <c r="R488" s="207"/>
      <c r="S488" s="170"/>
      <c r="T488" s="165"/>
      <c r="U488" s="166"/>
      <c r="V488" s="207"/>
      <c r="W488" s="170"/>
      <c r="X488" s="165"/>
      <c r="Y488" s="166"/>
      <c r="Z488" s="97"/>
      <c r="AA488" s="58"/>
      <c r="AB488" s="165"/>
      <c r="AC488" s="166"/>
      <c r="AD488" s="207"/>
      <c r="AE488" s="170"/>
      <c r="AF488" s="165"/>
      <c r="AG488" s="166"/>
      <c r="AH488" s="207"/>
      <c r="AI488" s="170"/>
      <c r="AJ488" s="165">
        <v>351</v>
      </c>
      <c r="AK488" s="166">
        <v>392</v>
      </c>
      <c r="AL488" s="207"/>
      <c r="AM488" s="170"/>
      <c r="AN488" s="165"/>
      <c r="AO488" s="166"/>
      <c r="AP488" s="207">
        <v>443</v>
      </c>
      <c r="AQ488" s="170">
        <v>308</v>
      </c>
      <c r="AR488" s="165">
        <v>292</v>
      </c>
      <c r="AS488" s="166">
        <v>461</v>
      </c>
      <c r="AT488" s="207"/>
      <c r="AU488" s="170"/>
      <c r="AV488" s="190"/>
      <c r="AW488" s="166"/>
      <c r="AX488" s="208"/>
      <c r="AY488" s="170"/>
      <c r="AZ488" s="45"/>
      <c r="BA488" s="58"/>
      <c r="BB488" s="45"/>
      <c r="BC488" s="46"/>
      <c r="BD488" s="45"/>
      <c r="BE488" s="46"/>
      <c r="BF488" s="45"/>
      <c r="BG488" s="46"/>
      <c r="BH488" s="45"/>
      <c r="BI488" s="46"/>
      <c r="BJ488" s="45"/>
      <c r="BK488" s="46"/>
    </row>
    <row r="489" spans="1:63" ht="13" x14ac:dyDescent="0.25">
      <c r="A489" s="372">
        <v>8302</v>
      </c>
      <c r="B489" s="373" t="s">
        <v>612</v>
      </c>
      <c r="C489" s="360">
        <v>1475</v>
      </c>
      <c r="D489" s="54">
        <v>889</v>
      </c>
      <c r="E489" s="367">
        <v>0.70347222222222228</v>
      </c>
      <c r="F489" s="45">
        <v>275</v>
      </c>
      <c r="G489" s="58">
        <v>611</v>
      </c>
      <c r="H489" s="45">
        <v>371</v>
      </c>
      <c r="I489" s="57">
        <v>504</v>
      </c>
      <c r="J489" s="97"/>
      <c r="K489" s="58"/>
      <c r="L489" s="45"/>
      <c r="M489" s="57"/>
      <c r="N489" s="97"/>
      <c r="O489" s="58"/>
      <c r="P489" s="165"/>
      <c r="Q489" s="166"/>
      <c r="R489" s="207"/>
      <c r="S489" s="170"/>
      <c r="T489" s="165"/>
      <c r="U489" s="166"/>
      <c r="V489" s="207"/>
      <c r="W489" s="170"/>
      <c r="X489" s="165"/>
      <c r="Y489" s="166"/>
      <c r="Z489" s="207"/>
      <c r="AA489" s="170"/>
      <c r="AB489" s="165"/>
      <c r="AC489" s="166"/>
      <c r="AD489" s="207"/>
      <c r="AE489" s="170"/>
      <c r="AF489" s="165"/>
      <c r="AG489" s="166"/>
      <c r="AH489" s="207"/>
      <c r="AI489" s="170"/>
      <c r="AJ489" s="165">
        <v>319</v>
      </c>
      <c r="AK489" s="166">
        <v>534</v>
      </c>
      <c r="AL489" s="207"/>
      <c r="AM489" s="170"/>
      <c r="AN489" s="165"/>
      <c r="AO489" s="166"/>
      <c r="AP489" s="207">
        <v>494</v>
      </c>
      <c r="AQ489" s="170">
        <v>376</v>
      </c>
      <c r="AR489" s="165">
        <v>306</v>
      </c>
      <c r="AS489" s="166">
        <v>558</v>
      </c>
      <c r="AT489" s="207"/>
      <c r="AU489" s="170"/>
      <c r="AV489" s="190"/>
      <c r="AW489" s="166"/>
      <c r="AX489" s="208"/>
      <c r="AY489" s="170"/>
      <c r="AZ489" s="45"/>
      <c r="BA489" s="58"/>
      <c r="BB489" s="45"/>
      <c r="BC489" s="46"/>
      <c r="BD489" s="45"/>
      <c r="BE489" s="46"/>
      <c r="BF489" s="45"/>
      <c r="BG489" s="46"/>
      <c r="BH489" s="45"/>
      <c r="BI489" s="46"/>
      <c r="BJ489" s="45"/>
      <c r="BK489" s="46"/>
    </row>
    <row r="490" spans="1:63" ht="13" x14ac:dyDescent="0.25">
      <c r="A490" s="372">
        <v>8303</v>
      </c>
      <c r="B490" s="373" t="s">
        <v>613</v>
      </c>
      <c r="C490" s="360">
        <v>1263</v>
      </c>
      <c r="D490" s="54">
        <v>619</v>
      </c>
      <c r="E490" s="367">
        <v>0.55669291338582683</v>
      </c>
      <c r="F490" s="45">
        <v>216</v>
      </c>
      <c r="G490" s="58">
        <v>399</v>
      </c>
      <c r="H490" s="45">
        <v>294</v>
      </c>
      <c r="I490" s="57">
        <v>308</v>
      </c>
      <c r="J490" s="97"/>
      <c r="K490" s="58"/>
      <c r="L490" s="45"/>
      <c r="M490" s="57"/>
      <c r="N490" s="97"/>
      <c r="O490" s="58"/>
      <c r="P490" s="165"/>
      <c r="Q490" s="166"/>
      <c r="R490" s="207"/>
      <c r="S490" s="170"/>
      <c r="T490" s="165"/>
      <c r="U490" s="166"/>
      <c r="V490" s="207"/>
      <c r="W490" s="170"/>
      <c r="X490" s="165"/>
      <c r="Y490" s="166"/>
      <c r="Z490" s="207"/>
      <c r="AA490" s="170"/>
      <c r="AB490" s="165"/>
      <c r="AC490" s="166"/>
      <c r="AD490" s="207"/>
      <c r="AE490" s="170"/>
      <c r="AF490" s="165"/>
      <c r="AG490" s="166"/>
      <c r="AH490" s="207"/>
      <c r="AI490" s="170"/>
      <c r="AJ490" s="165">
        <v>241</v>
      </c>
      <c r="AK490" s="166">
        <v>356</v>
      </c>
      <c r="AL490" s="207"/>
      <c r="AM490" s="170"/>
      <c r="AN490" s="165"/>
      <c r="AO490" s="166"/>
      <c r="AP490" s="207">
        <v>308</v>
      </c>
      <c r="AQ490" s="170">
        <v>302</v>
      </c>
      <c r="AR490" s="165">
        <v>212</v>
      </c>
      <c r="AS490" s="166">
        <v>399</v>
      </c>
      <c r="AT490" s="207"/>
      <c r="AU490" s="170"/>
      <c r="AV490" s="190"/>
      <c r="AW490" s="166"/>
      <c r="AX490" s="208"/>
      <c r="AY490" s="170"/>
      <c r="AZ490" s="45"/>
      <c r="BA490" s="58"/>
      <c r="BB490" s="45"/>
      <c r="BC490" s="46"/>
      <c r="BD490" s="45"/>
      <c r="BE490" s="46"/>
      <c r="BF490" s="45"/>
      <c r="BG490" s="46"/>
      <c r="BH490" s="45"/>
      <c r="BI490" s="46"/>
      <c r="BJ490" s="45"/>
      <c r="BK490" s="46"/>
    </row>
    <row r="491" spans="1:63" ht="13" x14ac:dyDescent="0.25">
      <c r="A491" s="372">
        <v>8304</v>
      </c>
      <c r="B491" s="373" t="s">
        <v>614</v>
      </c>
      <c r="C491" s="360">
        <v>1250</v>
      </c>
      <c r="D491" s="54">
        <v>794</v>
      </c>
      <c r="E491" s="367">
        <v>0.72169059011164272</v>
      </c>
      <c r="F491" s="45">
        <v>263</v>
      </c>
      <c r="G491" s="58">
        <v>526</v>
      </c>
      <c r="H491" s="45">
        <v>326</v>
      </c>
      <c r="I491" s="57">
        <v>462</v>
      </c>
      <c r="J491" s="97"/>
      <c r="K491" s="58"/>
      <c r="L491" s="45"/>
      <c r="M491" s="57"/>
      <c r="N491" s="97"/>
      <c r="O491" s="58"/>
      <c r="P491" s="165"/>
      <c r="Q491" s="166"/>
      <c r="R491" s="207"/>
      <c r="S491" s="170"/>
      <c r="T491" s="165"/>
      <c r="U491" s="166"/>
      <c r="V491" s="207"/>
      <c r="W491" s="170"/>
      <c r="X491" s="165"/>
      <c r="Y491" s="166"/>
      <c r="Z491" s="207"/>
      <c r="AA491" s="170"/>
      <c r="AB491" s="165"/>
      <c r="AC491" s="166"/>
      <c r="AD491" s="207"/>
      <c r="AE491" s="170"/>
      <c r="AF491" s="165"/>
      <c r="AG491" s="166"/>
      <c r="AH491" s="207"/>
      <c r="AI491" s="170"/>
      <c r="AJ491" s="165">
        <v>329</v>
      </c>
      <c r="AK491" s="166">
        <v>429</v>
      </c>
      <c r="AL491" s="207"/>
      <c r="AM491" s="170"/>
      <c r="AN491" s="165"/>
      <c r="AO491" s="166"/>
      <c r="AP491" s="207">
        <v>460</v>
      </c>
      <c r="AQ491" s="170">
        <v>311</v>
      </c>
      <c r="AR491" s="165">
        <v>297</v>
      </c>
      <c r="AS491" s="166">
        <v>472</v>
      </c>
      <c r="AT491" s="207"/>
      <c r="AU491" s="170"/>
      <c r="AV491" s="190"/>
      <c r="AW491" s="166"/>
      <c r="AX491" s="208"/>
      <c r="AY491" s="170"/>
      <c r="AZ491" s="45"/>
      <c r="BA491" s="58"/>
      <c r="BB491" s="45"/>
      <c r="BC491" s="46"/>
      <c r="BD491" s="45"/>
      <c r="BE491" s="46"/>
      <c r="BF491" s="45"/>
      <c r="BG491" s="46"/>
      <c r="BH491" s="45"/>
      <c r="BI491" s="46"/>
      <c r="BJ491" s="45"/>
      <c r="BK491" s="46"/>
    </row>
    <row r="492" spans="1:63" ht="13" x14ac:dyDescent="0.25">
      <c r="A492" s="372">
        <v>8305</v>
      </c>
      <c r="B492" s="373" t="s">
        <v>615</v>
      </c>
      <c r="C492" s="360">
        <v>1028</v>
      </c>
      <c r="D492" s="54">
        <v>680</v>
      </c>
      <c r="E492" s="367">
        <v>0.71124620060790278</v>
      </c>
      <c r="F492" s="45">
        <v>187</v>
      </c>
      <c r="G492" s="58">
        <v>485</v>
      </c>
      <c r="H492" s="45">
        <v>290</v>
      </c>
      <c r="I492" s="57">
        <v>372</v>
      </c>
      <c r="J492" s="97"/>
      <c r="K492" s="58"/>
      <c r="L492" s="45"/>
      <c r="M492" s="57"/>
      <c r="N492" s="97"/>
      <c r="O492" s="58"/>
      <c r="P492" s="165"/>
      <c r="Q492" s="166"/>
      <c r="R492" s="207"/>
      <c r="S492" s="170"/>
      <c r="T492" s="165"/>
      <c r="U492" s="166"/>
      <c r="V492" s="207"/>
      <c r="W492" s="170"/>
      <c r="X492" s="165"/>
      <c r="Y492" s="166"/>
      <c r="Z492" s="207"/>
      <c r="AA492" s="170"/>
      <c r="AB492" s="165"/>
      <c r="AC492" s="166"/>
      <c r="AD492" s="207"/>
      <c r="AE492" s="170"/>
      <c r="AF492" s="165"/>
      <c r="AG492" s="166"/>
      <c r="AH492" s="207"/>
      <c r="AI492" s="170"/>
      <c r="AJ492" s="165">
        <v>280</v>
      </c>
      <c r="AK492" s="166">
        <v>365</v>
      </c>
      <c r="AL492" s="207"/>
      <c r="AM492" s="170"/>
      <c r="AN492" s="165"/>
      <c r="AO492" s="166"/>
      <c r="AP492" s="207">
        <v>400</v>
      </c>
      <c r="AQ492" s="170">
        <v>267</v>
      </c>
      <c r="AR492" s="165">
        <v>252</v>
      </c>
      <c r="AS492" s="166">
        <v>409</v>
      </c>
      <c r="AT492" s="207"/>
      <c r="AU492" s="170"/>
      <c r="AV492" s="190"/>
      <c r="AW492" s="166"/>
      <c r="AX492" s="208"/>
      <c r="AY492" s="170"/>
      <c r="AZ492" s="45"/>
      <c r="BA492" s="58"/>
      <c r="BB492" s="45"/>
      <c r="BC492" s="46"/>
      <c r="BD492" s="45"/>
      <c r="BE492" s="46"/>
      <c r="BF492" s="45"/>
      <c r="BG492" s="46"/>
      <c r="BH492" s="45"/>
      <c r="BI492" s="46"/>
      <c r="BJ492" s="45"/>
      <c r="BK492" s="46"/>
    </row>
    <row r="493" spans="1:63" ht="13" x14ac:dyDescent="0.25">
      <c r="A493" s="372">
        <v>8306</v>
      </c>
      <c r="B493" s="373" t="s">
        <v>616</v>
      </c>
      <c r="C493" s="360">
        <v>625</v>
      </c>
      <c r="D493" s="54">
        <v>354</v>
      </c>
      <c r="E493" s="367">
        <v>0.59735973597359737</v>
      </c>
      <c r="F493" s="45">
        <v>140</v>
      </c>
      <c r="G493" s="58">
        <v>213</v>
      </c>
      <c r="H493" s="45">
        <v>182</v>
      </c>
      <c r="I493" s="57">
        <v>164</v>
      </c>
      <c r="J493" s="97"/>
      <c r="K493" s="58"/>
      <c r="L493" s="45"/>
      <c r="M493" s="57"/>
      <c r="N493" s="97"/>
      <c r="O493" s="58"/>
      <c r="P493" s="165"/>
      <c r="Q493" s="166"/>
      <c r="R493" s="207"/>
      <c r="S493" s="170"/>
      <c r="T493" s="165"/>
      <c r="U493" s="166"/>
      <c r="V493" s="207"/>
      <c r="W493" s="170"/>
      <c r="X493" s="165"/>
      <c r="Y493" s="166"/>
      <c r="Z493" s="207"/>
      <c r="AA493" s="170"/>
      <c r="AB493" s="165"/>
      <c r="AC493" s="166"/>
      <c r="AD493" s="207"/>
      <c r="AE493" s="170"/>
      <c r="AF493" s="165"/>
      <c r="AG493" s="166"/>
      <c r="AH493" s="207"/>
      <c r="AI493" s="170"/>
      <c r="AJ493" s="165">
        <v>151</v>
      </c>
      <c r="AK493" s="166">
        <v>190</v>
      </c>
      <c r="AL493" s="207"/>
      <c r="AM493" s="170"/>
      <c r="AN493" s="165"/>
      <c r="AO493" s="166"/>
      <c r="AP493" s="207">
        <v>175</v>
      </c>
      <c r="AQ493" s="170">
        <v>172</v>
      </c>
      <c r="AR493" s="165">
        <v>135</v>
      </c>
      <c r="AS493" s="166">
        <v>211</v>
      </c>
      <c r="AT493" s="207"/>
      <c r="AU493" s="170"/>
      <c r="AV493" s="190"/>
      <c r="AW493" s="166"/>
      <c r="AX493" s="208"/>
      <c r="AY493" s="170"/>
      <c r="AZ493" s="45"/>
      <c r="BA493" s="58"/>
      <c r="BB493" s="45"/>
      <c r="BC493" s="46"/>
      <c r="BD493" s="45"/>
      <c r="BE493" s="46"/>
      <c r="BF493" s="45"/>
      <c r="BG493" s="46"/>
      <c r="BH493" s="45"/>
      <c r="BI493" s="46"/>
      <c r="BJ493" s="45"/>
      <c r="BK493" s="46"/>
    </row>
    <row r="494" spans="1:63" ht="13" x14ac:dyDescent="0.25">
      <c r="A494" s="372">
        <v>8307</v>
      </c>
      <c r="B494" s="373" t="s">
        <v>617</v>
      </c>
      <c r="C494" s="360">
        <v>1279</v>
      </c>
      <c r="D494" s="54">
        <v>770</v>
      </c>
      <c r="E494" s="367">
        <v>0.66102997694081478</v>
      </c>
      <c r="F494" s="45">
        <v>299</v>
      </c>
      <c r="G494" s="58">
        <v>462</v>
      </c>
      <c r="H494" s="45">
        <v>386</v>
      </c>
      <c r="I494" s="57">
        <v>368</v>
      </c>
      <c r="J494" s="97"/>
      <c r="K494" s="58"/>
      <c r="L494" s="45"/>
      <c r="M494" s="57"/>
      <c r="N494" s="97"/>
      <c r="O494" s="58"/>
      <c r="P494" s="165"/>
      <c r="Q494" s="166"/>
      <c r="R494" s="207"/>
      <c r="S494" s="170"/>
      <c r="T494" s="165"/>
      <c r="U494" s="166"/>
      <c r="V494" s="207"/>
      <c r="W494" s="170"/>
      <c r="X494" s="165"/>
      <c r="Y494" s="166"/>
      <c r="Z494" s="207"/>
      <c r="AA494" s="170"/>
      <c r="AB494" s="165"/>
      <c r="AC494" s="166"/>
      <c r="AD494" s="207"/>
      <c r="AE494" s="170"/>
      <c r="AF494" s="165"/>
      <c r="AG494" s="166"/>
      <c r="AH494" s="207"/>
      <c r="AI494" s="170"/>
      <c r="AJ494" s="165">
        <v>344</v>
      </c>
      <c r="AK494" s="166">
        <v>383</v>
      </c>
      <c r="AL494" s="207"/>
      <c r="AM494" s="170"/>
      <c r="AN494" s="165"/>
      <c r="AO494" s="166"/>
      <c r="AP494" s="207">
        <v>435</v>
      </c>
      <c r="AQ494" s="170">
        <v>323</v>
      </c>
      <c r="AR494" s="165">
        <v>301</v>
      </c>
      <c r="AS494" s="166">
        <v>450</v>
      </c>
      <c r="AT494" s="207"/>
      <c r="AU494" s="170"/>
      <c r="AV494" s="190"/>
      <c r="AW494" s="166"/>
      <c r="AX494" s="208"/>
      <c r="AY494" s="170"/>
      <c r="AZ494" s="45"/>
      <c r="BA494" s="58"/>
      <c r="BB494" s="45"/>
      <c r="BC494" s="46"/>
      <c r="BD494" s="45"/>
      <c r="BE494" s="46"/>
      <c r="BF494" s="45"/>
      <c r="BG494" s="46"/>
      <c r="BH494" s="45"/>
      <c r="BI494" s="46"/>
      <c r="BJ494" s="45"/>
      <c r="BK494" s="46"/>
    </row>
    <row r="495" spans="1:63" ht="13" x14ac:dyDescent="0.25">
      <c r="A495" s="372">
        <v>8308</v>
      </c>
      <c r="B495" s="373" t="s">
        <v>618</v>
      </c>
      <c r="C495" s="360">
        <v>457</v>
      </c>
      <c r="D495" s="54">
        <v>282</v>
      </c>
      <c r="E495" s="367">
        <v>0.64025695931477511</v>
      </c>
      <c r="F495" s="45">
        <v>119</v>
      </c>
      <c r="G495" s="58">
        <v>159</v>
      </c>
      <c r="H495" s="45">
        <v>153</v>
      </c>
      <c r="I495" s="57">
        <v>118</v>
      </c>
      <c r="J495" s="97"/>
      <c r="K495" s="58"/>
      <c r="L495" s="45"/>
      <c r="M495" s="57"/>
      <c r="N495" s="97"/>
      <c r="O495" s="58"/>
      <c r="P495" s="165"/>
      <c r="Q495" s="166"/>
      <c r="R495" s="207"/>
      <c r="S495" s="170"/>
      <c r="T495" s="165"/>
      <c r="U495" s="166"/>
      <c r="V495" s="207"/>
      <c r="W495" s="170"/>
      <c r="X495" s="165"/>
      <c r="Y495" s="166"/>
      <c r="Z495" s="207"/>
      <c r="AA495" s="170"/>
      <c r="AB495" s="165"/>
      <c r="AC495" s="166"/>
      <c r="AD495" s="207"/>
      <c r="AE495" s="170"/>
      <c r="AF495" s="165"/>
      <c r="AG495" s="166"/>
      <c r="AH495" s="207"/>
      <c r="AI495" s="170"/>
      <c r="AJ495" s="165">
        <v>140</v>
      </c>
      <c r="AK495" s="166">
        <v>130</v>
      </c>
      <c r="AL495" s="207"/>
      <c r="AM495" s="170"/>
      <c r="AN495" s="165"/>
      <c r="AO495" s="166"/>
      <c r="AP495" s="207">
        <v>174</v>
      </c>
      <c r="AQ495" s="170">
        <v>103</v>
      </c>
      <c r="AR495" s="165">
        <v>133</v>
      </c>
      <c r="AS495" s="166">
        <v>143</v>
      </c>
      <c r="AT495" s="207"/>
      <c r="AU495" s="170"/>
      <c r="AV495" s="190"/>
      <c r="AW495" s="166"/>
      <c r="AX495" s="208"/>
      <c r="AY495" s="170"/>
      <c r="AZ495" s="45"/>
      <c r="BA495" s="58"/>
      <c r="BB495" s="45"/>
      <c r="BC495" s="46"/>
      <c r="BD495" s="45"/>
      <c r="BE495" s="46"/>
      <c r="BF495" s="45"/>
      <c r="BG495" s="46"/>
      <c r="BH495" s="45"/>
      <c r="BI495" s="46"/>
      <c r="BJ495" s="45"/>
      <c r="BK495" s="46"/>
    </row>
    <row r="496" spans="1:63" ht="13" x14ac:dyDescent="0.25">
      <c r="A496" s="372">
        <v>8401</v>
      </c>
      <c r="B496" s="373" t="s">
        <v>619</v>
      </c>
      <c r="C496" s="360">
        <v>843</v>
      </c>
      <c r="D496" s="54">
        <v>488</v>
      </c>
      <c r="E496" s="367">
        <v>0.60812425328554365</v>
      </c>
      <c r="F496" s="45">
        <v>291</v>
      </c>
      <c r="G496" s="58">
        <v>195</v>
      </c>
      <c r="H496" s="45">
        <v>311</v>
      </c>
      <c r="I496" s="57">
        <v>164</v>
      </c>
      <c r="J496" s="97"/>
      <c r="K496" s="58"/>
      <c r="L496" s="45"/>
      <c r="M496" s="57"/>
      <c r="N496" s="97"/>
      <c r="O496" s="58"/>
      <c r="P496" s="165"/>
      <c r="Q496" s="166"/>
      <c r="R496" s="207"/>
      <c r="S496" s="170"/>
      <c r="T496" s="165"/>
      <c r="U496" s="166"/>
      <c r="V496" s="207"/>
      <c r="W496" s="170"/>
      <c r="X496" s="165"/>
      <c r="Y496" s="166"/>
      <c r="Z496" s="207"/>
      <c r="AA496" s="170"/>
      <c r="AB496" s="165"/>
      <c r="AC496" s="166"/>
      <c r="AD496" s="207"/>
      <c r="AE496" s="170"/>
      <c r="AF496" s="165"/>
      <c r="AG496" s="166"/>
      <c r="AH496" s="207"/>
      <c r="AI496" s="170"/>
      <c r="AJ496" s="165"/>
      <c r="AK496" s="166"/>
      <c r="AL496" s="207"/>
      <c r="AM496" s="170"/>
      <c r="AN496" s="165"/>
      <c r="AO496" s="166"/>
      <c r="AP496" s="207">
        <v>318</v>
      </c>
      <c r="AQ496" s="170">
        <v>152</v>
      </c>
      <c r="AR496" s="165">
        <v>234</v>
      </c>
      <c r="AS496" s="166">
        <v>244</v>
      </c>
      <c r="AT496" s="97"/>
      <c r="AU496" s="58"/>
      <c r="AV496" s="45"/>
      <c r="AW496" s="57"/>
      <c r="AX496" s="208"/>
      <c r="AY496" s="170"/>
      <c r="AZ496" s="45"/>
      <c r="BA496" s="58"/>
      <c r="BB496" s="45"/>
      <c r="BC496" s="46"/>
      <c r="BD496" s="45"/>
      <c r="BE496" s="46"/>
      <c r="BF496" s="45"/>
      <c r="BG496" s="46"/>
      <c r="BH496" s="45"/>
      <c r="BI496" s="46"/>
      <c r="BJ496" s="45"/>
      <c r="BK496" s="46"/>
    </row>
    <row r="497" spans="1:63" ht="13" x14ac:dyDescent="0.25">
      <c r="A497" s="372">
        <v>8402</v>
      </c>
      <c r="B497" s="373" t="s">
        <v>620</v>
      </c>
      <c r="C497" s="360">
        <v>1211</v>
      </c>
      <c r="D497" s="54">
        <v>639</v>
      </c>
      <c r="E497" s="367">
        <v>0.5653245686113394</v>
      </c>
      <c r="F497" s="45">
        <v>374</v>
      </c>
      <c r="G497" s="58">
        <v>262</v>
      </c>
      <c r="H497" s="45">
        <v>368</v>
      </c>
      <c r="I497" s="57">
        <v>260</v>
      </c>
      <c r="J497" s="97"/>
      <c r="K497" s="58"/>
      <c r="L497" s="45"/>
      <c r="M497" s="57"/>
      <c r="N497" s="97"/>
      <c r="O497" s="58"/>
      <c r="P497" s="165"/>
      <c r="Q497" s="166"/>
      <c r="R497" s="207"/>
      <c r="S497" s="170"/>
      <c r="T497" s="165"/>
      <c r="U497" s="166"/>
      <c r="V497" s="207"/>
      <c r="W497" s="170"/>
      <c r="X497" s="165"/>
      <c r="Y497" s="166"/>
      <c r="Z497" s="207"/>
      <c r="AA497" s="170"/>
      <c r="AB497" s="165"/>
      <c r="AC497" s="166"/>
      <c r="AD497" s="207"/>
      <c r="AE497" s="170"/>
      <c r="AF497" s="165"/>
      <c r="AG497" s="166"/>
      <c r="AH497" s="207"/>
      <c r="AI497" s="170"/>
      <c r="AJ497" s="165"/>
      <c r="AK497" s="166"/>
      <c r="AL497" s="207"/>
      <c r="AM497" s="170"/>
      <c r="AN497" s="165"/>
      <c r="AO497" s="166"/>
      <c r="AP497" s="207">
        <v>396</v>
      </c>
      <c r="AQ497" s="170">
        <v>224</v>
      </c>
      <c r="AR497" s="165">
        <v>299</v>
      </c>
      <c r="AS497" s="166">
        <v>321</v>
      </c>
      <c r="AT497" s="207"/>
      <c r="AU497" s="170"/>
      <c r="AV497" s="190"/>
      <c r="AW497" s="166"/>
      <c r="AX497" s="208"/>
      <c r="AY497" s="170"/>
      <c r="AZ497" s="45"/>
      <c r="BA497" s="58"/>
      <c r="BB497" s="45"/>
      <c r="BC497" s="46"/>
      <c r="BD497" s="45"/>
      <c r="BE497" s="46"/>
      <c r="BF497" s="45"/>
      <c r="BG497" s="46"/>
      <c r="BH497" s="45"/>
      <c r="BI497" s="46"/>
      <c r="BJ497" s="45"/>
      <c r="BK497" s="46"/>
    </row>
    <row r="498" spans="1:63" ht="13" x14ac:dyDescent="0.25">
      <c r="A498" s="372">
        <v>8511</v>
      </c>
      <c r="B498" s="373" t="s">
        <v>621</v>
      </c>
      <c r="C498" s="360">
        <v>791</v>
      </c>
      <c r="D498" s="54">
        <v>392</v>
      </c>
      <c r="E498" s="367">
        <v>0.46350832266325226</v>
      </c>
      <c r="F498" s="45">
        <v>215</v>
      </c>
      <c r="G498" s="58">
        <v>169</v>
      </c>
      <c r="H498" s="45">
        <v>263</v>
      </c>
      <c r="I498" s="57">
        <v>126</v>
      </c>
      <c r="J498" s="97"/>
      <c r="K498" s="58"/>
      <c r="L498" s="45"/>
      <c r="M498" s="57"/>
      <c r="N498" s="97"/>
      <c r="O498" s="58"/>
      <c r="P498" s="165"/>
      <c r="Q498" s="166"/>
      <c r="R498" s="207"/>
      <c r="S498" s="170"/>
      <c r="T498" s="165"/>
      <c r="U498" s="166"/>
      <c r="V498" s="207"/>
      <c r="W498" s="170"/>
      <c r="X498" s="165"/>
      <c r="Y498" s="166"/>
      <c r="Z498" s="207"/>
      <c r="AA498" s="170"/>
      <c r="AB498" s="165"/>
      <c r="AC498" s="166"/>
      <c r="AD498" s="207"/>
      <c r="AE498" s="170"/>
      <c r="AF498" s="165"/>
      <c r="AG498" s="166"/>
      <c r="AH498" s="207"/>
      <c r="AI498" s="170"/>
      <c r="AJ498" s="165"/>
      <c r="AK498" s="166"/>
      <c r="AL498" s="207"/>
      <c r="AM498" s="170"/>
      <c r="AN498" s="165"/>
      <c r="AO498" s="166"/>
      <c r="AP498" s="207">
        <v>240</v>
      </c>
      <c r="AQ498" s="170">
        <v>136</v>
      </c>
      <c r="AR498" s="165">
        <v>204</v>
      </c>
      <c r="AS498" s="166">
        <v>172</v>
      </c>
      <c r="AT498" s="207"/>
      <c r="AU498" s="170"/>
      <c r="AV498" s="190"/>
      <c r="AW498" s="166"/>
      <c r="AX498" s="208"/>
      <c r="AY498" s="170"/>
      <c r="AZ498" s="45"/>
      <c r="BA498" s="58"/>
      <c r="BB498" s="45"/>
      <c r="BC498" s="46"/>
      <c r="BD498" s="45"/>
      <c r="BE498" s="46"/>
      <c r="BF498" s="45"/>
      <c r="BG498" s="46"/>
      <c r="BH498" s="45"/>
      <c r="BI498" s="46"/>
      <c r="BJ498" s="45"/>
      <c r="BK498" s="46"/>
    </row>
    <row r="499" spans="1:63" ht="13" x14ac:dyDescent="0.25">
      <c r="A499" s="372">
        <v>8521</v>
      </c>
      <c r="B499" s="373" t="s">
        <v>622</v>
      </c>
      <c r="C499" s="360">
        <v>772</v>
      </c>
      <c r="D499" s="54">
        <v>380</v>
      </c>
      <c r="E499" s="367">
        <v>0.50838709677419358</v>
      </c>
      <c r="F499" s="45">
        <v>214</v>
      </c>
      <c r="G499" s="58">
        <v>163</v>
      </c>
      <c r="H499" s="45">
        <v>246</v>
      </c>
      <c r="I499" s="57">
        <v>131</v>
      </c>
      <c r="J499" s="97"/>
      <c r="K499" s="58"/>
      <c r="L499" s="45"/>
      <c r="M499" s="57"/>
      <c r="N499" s="97"/>
      <c r="O499" s="58"/>
      <c r="P499" s="165"/>
      <c r="Q499" s="166"/>
      <c r="R499" s="207"/>
      <c r="S499" s="170"/>
      <c r="T499" s="165"/>
      <c r="U499" s="166"/>
      <c r="V499" s="207"/>
      <c r="W499" s="170"/>
      <c r="X499" s="165"/>
      <c r="Y499" s="166"/>
      <c r="Z499" s="207"/>
      <c r="AA499" s="170"/>
      <c r="AB499" s="165"/>
      <c r="AC499" s="166"/>
      <c r="AD499" s="207"/>
      <c r="AE499" s="170"/>
      <c r="AF499" s="165"/>
      <c r="AG499" s="166"/>
      <c r="AH499" s="207"/>
      <c r="AI499" s="170"/>
      <c r="AJ499" s="165"/>
      <c r="AK499" s="166"/>
      <c r="AL499" s="207"/>
      <c r="AM499" s="170"/>
      <c r="AN499" s="165"/>
      <c r="AO499" s="166"/>
      <c r="AP499" s="207">
        <v>248</v>
      </c>
      <c r="AQ499" s="170">
        <v>128</v>
      </c>
      <c r="AR499" s="165">
        <v>192</v>
      </c>
      <c r="AS499" s="166">
        <v>180</v>
      </c>
      <c r="AT499" s="207"/>
      <c r="AU499" s="170"/>
      <c r="AV499" s="190"/>
      <c r="AW499" s="166"/>
      <c r="AX499" s="208"/>
      <c r="AY499" s="170"/>
      <c r="AZ499" s="45"/>
      <c r="BA499" s="58"/>
      <c r="BB499" s="45"/>
      <c r="BC499" s="46"/>
      <c r="BD499" s="45"/>
      <c r="BE499" s="46"/>
      <c r="BF499" s="45"/>
      <c r="BG499" s="46"/>
      <c r="BH499" s="45"/>
      <c r="BI499" s="46"/>
      <c r="BJ499" s="45"/>
      <c r="BK499" s="46"/>
    </row>
    <row r="500" spans="1:63" ht="13" x14ac:dyDescent="0.25">
      <c r="A500" s="372">
        <v>8531</v>
      </c>
      <c r="B500" s="373" t="s">
        <v>623</v>
      </c>
      <c r="C500" s="360">
        <v>742</v>
      </c>
      <c r="D500" s="54">
        <v>422</v>
      </c>
      <c r="E500" s="367">
        <v>0.57429718875502012</v>
      </c>
      <c r="F500" s="45">
        <v>245</v>
      </c>
      <c r="G500" s="58">
        <v>170</v>
      </c>
      <c r="H500" s="45">
        <v>273</v>
      </c>
      <c r="I500" s="57">
        <v>134</v>
      </c>
      <c r="J500" s="97"/>
      <c r="K500" s="58"/>
      <c r="L500" s="45"/>
      <c r="M500" s="57"/>
      <c r="N500" s="97"/>
      <c r="O500" s="58"/>
      <c r="P500" s="165"/>
      <c r="Q500" s="166"/>
      <c r="R500" s="207"/>
      <c r="S500" s="170"/>
      <c r="T500" s="165"/>
      <c r="U500" s="166"/>
      <c r="V500" s="207"/>
      <c r="W500" s="170"/>
      <c r="X500" s="165"/>
      <c r="Y500" s="166"/>
      <c r="Z500" s="207"/>
      <c r="AA500" s="170"/>
      <c r="AB500" s="165"/>
      <c r="AC500" s="166"/>
      <c r="AD500" s="207"/>
      <c r="AE500" s="170"/>
      <c r="AF500" s="165"/>
      <c r="AG500" s="166"/>
      <c r="AH500" s="207"/>
      <c r="AI500" s="170"/>
      <c r="AJ500" s="165"/>
      <c r="AK500" s="166"/>
      <c r="AL500" s="207"/>
      <c r="AM500" s="170"/>
      <c r="AN500" s="165"/>
      <c r="AO500" s="166"/>
      <c r="AP500" s="207">
        <v>296</v>
      </c>
      <c r="AQ500" s="170">
        <v>119</v>
      </c>
      <c r="AR500" s="165">
        <v>223</v>
      </c>
      <c r="AS500" s="166">
        <v>183</v>
      </c>
      <c r="AT500" s="207"/>
      <c r="AU500" s="170"/>
      <c r="AV500" s="190"/>
      <c r="AW500" s="166"/>
      <c r="AX500" s="208"/>
      <c r="AY500" s="170"/>
      <c r="AZ500" s="45"/>
      <c r="BA500" s="58"/>
      <c r="BB500" s="45"/>
      <c r="BC500" s="46"/>
      <c r="BD500" s="45"/>
      <c r="BE500" s="46"/>
      <c r="BF500" s="45"/>
      <c r="BG500" s="46"/>
      <c r="BH500" s="45"/>
      <c r="BI500" s="46"/>
      <c r="BJ500" s="45"/>
      <c r="BK500" s="46"/>
    </row>
    <row r="501" spans="1:63" ht="13" x14ac:dyDescent="0.25">
      <c r="A501" s="372">
        <v>8541</v>
      </c>
      <c r="B501" s="373" t="s">
        <v>624</v>
      </c>
      <c r="C501" s="360">
        <v>720</v>
      </c>
      <c r="D501" s="54">
        <v>376</v>
      </c>
      <c r="E501" s="367">
        <v>0.51336146272855132</v>
      </c>
      <c r="F501" s="45">
        <v>250</v>
      </c>
      <c r="G501" s="58">
        <v>117</v>
      </c>
      <c r="H501" s="45">
        <v>266</v>
      </c>
      <c r="I501" s="57">
        <v>102</v>
      </c>
      <c r="J501" s="97"/>
      <c r="K501" s="58"/>
      <c r="L501" s="45"/>
      <c r="M501" s="57"/>
      <c r="N501" s="97"/>
      <c r="O501" s="58"/>
      <c r="P501" s="165"/>
      <c r="Q501" s="166"/>
      <c r="R501" s="207"/>
      <c r="S501" s="170"/>
      <c r="T501" s="165"/>
      <c r="U501" s="166"/>
      <c r="V501" s="207"/>
      <c r="W501" s="170"/>
      <c r="X501" s="165"/>
      <c r="Y501" s="166"/>
      <c r="Z501" s="207"/>
      <c r="AA501" s="170"/>
      <c r="AB501" s="165"/>
      <c r="AC501" s="166"/>
      <c r="AD501" s="207"/>
      <c r="AE501" s="170"/>
      <c r="AF501" s="165"/>
      <c r="AG501" s="166"/>
      <c r="AH501" s="207"/>
      <c r="AI501" s="170"/>
      <c r="AJ501" s="165"/>
      <c r="AK501" s="166"/>
      <c r="AL501" s="207"/>
      <c r="AM501" s="170"/>
      <c r="AN501" s="165"/>
      <c r="AO501" s="166"/>
      <c r="AP501" s="207">
        <v>272</v>
      </c>
      <c r="AQ501" s="170">
        <v>95</v>
      </c>
      <c r="AR501" s="165">
        <v>207</v>
      </c>
      <c r="AS501" s="166">
        <v>157</v>
      </c>
      <c r="AT501" s="207"/>
      <c r="AU501" s="170"/>
      <c r="AV501" s="190"/>
      <c r="AW501" s="166"/>
      <c r="AX501" s="208"/>
      <c r="AY501" s="170"/>
      <c r="AZ501" s="45"/>
      <c r="BA501" s="58"/>
      <c r="BB501" s="45"/>
      <c r="BC501" s="46"/>
      <c r="BD501" s="45"/>
      <c r="BE501" s="46"/>
      <c r="BF501" s="45"/>
      <c r="BG501" s="46"/>
      <c r="BH501" s="45"/>
      <c r="BI501" s="46"/>
      <c r="BJ501" s="45"/>
      <c r="BK501" s="46"/>
    </row>
    <row r="502" spans="1:63" ht="13" x14ac:dyDescent="0.25">
      <c r="A502" s="372">
        <v>8601</v>
      </c>
      <c r="B502" s="373" t="s">
        <v>625</v>
      </c>
      <c r="C502" s="360">
        <v>1132</v>
      </c>
      <c r="D502" s="54">
        <v>607</v>
      </c>
      <c r="E502" s="367">
        <v>0.5732368896925859</v>
      </c>
      <c r="F502" s="45">
        <v>469</v>
      </c>
      <c r="G502" s="58">
        <v>135</v>
      </c>
      <c r="H502" s="45">
        <v>458</v>
      </c>
      <c r="I502" s="57">
        <v>136</v>
      </c>
      <c r="J502" s="97"/>
      <c r="K502" s="58"/>
      <c r="L502" s="45"/>
      <c r="M502" s="57"/>
      <c r="N502" s="97"/>
      <c r="O502" s="58"/>
      <c r="P502" s="165"/>
      <c r="Q502" s="166"/>
      <c r="R502" s="207"/>
      <c r="S502" s="170"/>
      <c r="T502" s="165"/>
      <c r="U502" s="166"/>
      <c r="V502" s="207"/>
      <c r="W502" s="170"/>
      <c r="X502" s="165"/>
      <c r="Y502" s="166"/>
      <c r="Z502" s="207"/>
      <c r="AA502" s="170"/>
      <c r="AB502" s="165"/>
      <c r="AC502" s="166"/>
      <c r="AD502" s="207"/>
      <c r="AE502" s="170"/>
      <c r="AF502" s="165"/>
      <c r="AG502" s="166"/>
      <c r="AH502" s="207"/>
      <c r="AI502" s="170"/>
      <c r="AJ502" s="165"/>
      <c r="AK502" s="166"/>
      <c r="AL502" s="207"/>
      <c r="AM502" s="170"/>
      <c r="AN502" s="165"/>
      <c r="AO502" s="166"/>
      <c r="AP502" s="207">
        <v>448</v>
      </c>
      <c r="AQ502" s="170">
        <v>151</v>
      </c>
      <c r="AR502" s="165">
        <v>404</v>
      </c>
      <c r="AS502" s="166">
        <v>191</v>
      </c>
      <c r="AT502" s="207"/>
      <c r="AU502" s="170"/>
      <c r="AV502" s="190"/>
      <c r="AW502" s="166"/>
      <c r="AX502" s="208"/>
      <c r="AY502" s="170"/>
      <c r="AZ502" s="45"/>
      <c r="BA502" s="58"/>
      <c r="BB502" s="45"/>
      <c r="BC502" s="46"/>
      <c r="BD502" s="45"/>
      <c r="BE502" s="46"/>
      <c r="BF502" s="45"/>
      <c r="BG502" s="46"/>
      <c r="BH502" s="45"/>
      <c r="BI502" s="46"/>
      <c r="BJ502" s="45"/>
      <c r="BK502" s="46"/>
    </row>
    <row r="503" spans="1:63" ht="13" x14ac:dyDescent="0.25">
      <c r="A503" s="372">
        <v>8602</v>
      </c>
      <c r="B503" s="373" t="s">
        <v>626</v>
      </c>
      <c r="C503" s="360">
        <v>1380</v>
      </c>
      <c r="D503" s="54">
        <v>681</v>
      </c>
      <c r="E503" s="367">
        <v>0.51447178002894356</v>
      </c>
      <c r="F503" s="45">
        <v>574</v>
      </c>
      <c r="G503" s="58">
        <v>102</v>
      </c>
      <c r="H503" s="45">
        <v>539</v>
      </c>
      <c r="I503" s="57">
        <v>136</v>
      </c>
      <c r="J503" s="97"/>
      <c r="K503" s="58"/>
      <c r="L503" s="45"/>
      <c r="M503" s="57"/>
      <c r="N503" s="97"/>
      <c r="O503" s="58"/>
      <c r="P503" s="165"/>
      <c r="Q503" s="166"/>
      <c r="R503" s="207"/>
      <c r="S503" s="170"/>
      <c r="T503" s="165"/>
      <c r="U503" s="166"/>
      <c r="V503" s="207"/>
      <c r="W503" s="170"/>
      <c r="X503" s="165"/>
      <c r="Y503" s="166"/>
      <c r="Z503" s="207"/>
      <c r="AA503" s="170"/>
      <c r="AB503" s="165"/>
      <c r="AC503" s="166"/>
      <c r="AD503" s="207"/>
      <c r="AE503" s="170"/>
      <c r="AF503" s="165"/>
      <c r="AG503" s="166"/>
      <c r="AH503" s="207"/>
      <c r="AI503" s="170"/>
      <c r="AJ503" s="165"/>
      <c r="AK503" s="166"/>
      <c r="AL503" s="207"/>
      <c r="AM503" s="170"/>
      <c r="AN503" s="165"/>
      <c r="AO503" s="166"/>
      <c r="AP503" s="207">
        <v>508</v>
      </c>
      <c r="AQ503" s="170">
        <v>158</v>
      </c>
      <c r="AR503" s="165">
        <v>459</v>
      </c>
      <c r="AS503" s="166">
        <v>206</v>
      </c>
      <c r="AT503" s="207"/>
      <c r="AU503" s="170"/>
      <c r="AV503" s="190"/>
      <c r="AW503" s="166"/>
      <c r="AX503" s="208"/>
      <c r="AY503" s="170"/>
      <c r="AZ503" s="199"/>
      <c r="BA503" s="204"/>
      <c r="BB503" s="199"/>
      <c r="BC503" s="200"/>
      <c r="BD503" s="199"/>
      <c r="BE503" s="200"/>
      <c r="BF503" s="199"/>
      <c r="BG503" s="200"/>
      <c r="BH503" s="199"/>
      <c r="BI503" s="200"/>
      <c r="BJ503" s="199"/>
      <c r="BK503" s="200"/>
    </row>
    <row r="504" spans="1:63" ht="13" x14ac:dyDescent="0.25">
      <c r="A504" s="372">
        <v>8603</v>
      </c>
      <c r="B504" s="373" t="s">
        <v>627</v>
      </c>
      <c r="C504" s="360">
        <v>1269</v>
      </c>
      <c r="D504" s="54">
        <v>587</v>
      </c>
      <c r="E504" s="367">
        <v>0.49881982690794652</v>
      </c>
      <c r="F504" s="45">
        <v>445</v>
      </c>
      <c r="G504" s="58">
        <v>140</v>
      </c>
      <c r="H504" s="45">
        <v>462</v>
      </c>
      <c r="I504" s="57">
        <v>121</v>
      </c>
      <c r="J504" s="97"/>
      <c r="K504" s="58"/>
      <c r="L504" s="45"/>
      <c r="M504" s="57"/>
      <c r="N504" s="97"/>
      <c r="O504" s="58"/>
      <c r="P504" s="165"/>
      <c r="Q504" s="166"/>
      <c r="R504" s="207"/>
      <c r="S504" s="170"/>
      <c r="T504" s="165"/>
      <c r="U504" s="166"/>
      <c r="V504" s="207"/>
      <c r="W504" s="170"/>
      <c r="X504" s="165"/>
      <c r="Y504" s="166"/>
      <c r="Z504" s="207"/>
      <c r="AA504" s="170"/>
      <c r="AB504" s="165"/>
      <c r="AC504" s="166"/>
      <c r="AD504" s="207"/>
      <c r="AE504" s="170"/>
      <c r="AF504" s="165"/>
      <c r="AG504" s="166"/>
      <c r="AH504" s="207"/>
      <c r="AI504" s="170"/>
      <c r="AJ504" s="165"/>
      <c r="AK504" s="166"/>
      <c r="AL504" s="207"/>
      <c r="AM504" s="170"/>
      <c r="AN504" s="165"/>
      <c r="AO504" s="166"/>
      <c r="AP504" s="207">
        <v>425</v>
      </c>
      <c r="AQ504" s="170">
        <v>146</v>
      </c>
      <c r="AR504" s="165">
        <v>388</v>
      </c>
      <c r="AS504" s="166">
        <v>187</v>
      </c>
      <c r="AT504" s="207"/>
      <c r="AU504" s="170"/>
      <c r="AV504" s="190"/>
      <c r="AW504" s="166"/>
      <c r="AX504" s="208"/>
      <c r="AY504" s="170"/>
      <c r="AZ504" s="45"/>
      <c r="BA504" s="58"/>
      <c r="BB504" s="45"/>
      <c r="BC504" s="46"/>
      <c r="BD504" s="45"/>
      <c r="BE504" s="46"/>
      <c r="BF504" s="45"/>
      <c r="BG504" s="46"/>
      <c r="BH504" s="45"/>
      <c r="BI504" s="46"/>
      <c r="BJ504" s="45"/>
      <c r="BK504" s="46"/>
    </row>
    <row r="505" spans="1:63" ht="13" x14ac:dyDescent="0.25">
      <c r="A505" s="372">
        <v>8701</v>
      </c>
      <c r="B505" s="373" t="s">
        <v>628</v>
      </c>
      <c r="C505" s="360">
        <v>811</v>
      </c>
      <c r="D505" s="54">
        <v>249</v>
      </c>
      <c r="E505" s="367">
        <v>0.30434782608695654</v>
      </c>
      <c r="F505" s="45">
        <v>208</v>
      </c>
      <c r="G505" s="58">
        <v>37</v>
      </c>
      <c r="H505" s="45">
        <v>192</v>
      </c>
      <c r="I505" s="57">
        <v>51</v>
      </c>
      <c r="J505" s="97"/>
      <c r="K505" s="58"/>
      <c r="L505" s="45"/>
      <c r="M505" s="57"/>
      <c r="N505" s="97"/>
      <c r="O505" s="58"/>
      <c r="P505" s="165"/>
      <c r="Q505" s="166"/>
      <c r="R505" s="207"/>
      <c r="S505" s="170"/>
      <c r="T505" s="165"/>
      <c r="U505" s="166"/>
      <c r="V505" s="207"/>
      <c r="W505" s="170"/>
      <c r="X505" s="165"/>
      <c r="Y505" s="166"/>
      <c r="Z505" s="207"/>
      <c r="AA505" s="170"/>
      <c r="AB505" s="165"/>
      <c r="AC505" s="166"/>
      <c r="AD505" s="207"/>
      <c r="AE505" s="170"/>
      <c r="AF505" s="165"/>
      <c r="AG505" s="166"/>
      <c r="AH505" s="207"/>
      <c r="AI505" s="170"/>
      <c r="AJ505" s="165"/>
      <c r="AK505" s="166"/>
      <c r="AL505" s="207"/>
      <c r="AM505" s="170"/>
      <c r="AN505" s="165"/>
      <c r="AO505" s="166"/>
      <c r="AP505" s="207">
        <v>140</v>
      </c>
      <c r="AQ505" s="170">
        <v>99</v>
      </c>
      <c r="AR505" s="165">
        <v>139</v>
      </c>
      <c r="AS505" s="166">
        <v>102</v>
      </c>
      <c r="AT505" s="207"/>
      <c r="AU505" s="170"/>
      <c r="AV505" s="190"/>
      <c r="AW505" s="166"/>
      <c r="AX505" s="208"/>
      <c r="AY505" s="170"/>
      <c r="AZ505" s="45"/>
      <c r="BA505" s="58"/>
      <c r="BB505" s="45"/>
      <c r="BC505" s="46"/>
      <c r="BD505" s="45"/>
      <c r="BE505" s="46"/>
      <c r="BF505" s="45"/>
      <c r="BG505" s="46"/>
      <c r="BH505" s="45"/>
      <c r="BI505" s="46"/>
      <c r="BJ505" s="45"/>
      <c r="BK505" s="46"/>
    </row>
    <row r="506" spans="1:63" ht="13" x14ac:dyDescent="0.25">
      <c r="A506" s="372">
        <v>8702</v>
      </c>
      <c r="B506" s="373" t="s">
        <v>629</v>
      </c>
      <c r="C506" s="360">
        <v>691</v>
      </c>
      <c r="D506" s="54">
        <v>332</v>
      </c>
      <c r="E506" s="367">
        <v>0.51453488372093026</v>
      </c>
      <c r="F506" s="45">
        <v>233</v>
      </c>
      <c r="G506" s="58">
        <v>92</v>
      </c>
      <c r="H506" s="45">
        <v>224</v>
      </c>
      <c r="I506" s="57">
        <v>100</v>
      </c>
      <c r="J506" s="97"/>
      <c r="K506" s="58"/>
      <c r="L506" s="45"/>
      <c r="M506" s="57"/>
      <c r="N506" s="97"/>
      <c r="O506" s="58"/>
      <c r="P506" s="165"/>
      <c r="Q506" s="166"/>
      <c r="R506" s="207"/>
      <c r="S506" s="170"/>
      <c r="T506" s="165"/>
      <c r="U506" s="166"/>
      <c r="V506" s="207"/>
      <c r="W506" s="170"/>
      <c r="X506" s="165"/>
      <c r="Y506" s="166"/>
      <c r="Z506" s="207"/>
      <c r="AA506" s="170"/>
      <c r="AB506" s="165"/>
      <c r="AC506" s="166"/>
      <c r="AD506" s="207"/>
      <c r="AE506" s="170"/>
      <c r="AF506" s="165"/>
      <c r="AG506" s="166"/>
      <c r="AH506" s="207"/>
      <c r="AI506" s="170"/>
      <c r="AJ506" s="165"/>
      <c r="AK506" s="166"/>
      <c r="AL506" s="207"/>
      <c r="AM506" s="170"/>
      <c r="AN506" s="165"/>
      <c r="AO506" s="166"/>
      <c r="AP506" s="207">
        <v>211</v>
      </c>
      <c r="AQ506" s="170">
        <v>109</v>
      </c>
      <c r="AR506" s="165">
        <v>177</v>
      </c>
      <c r="AS506" s="166">
        <v>148</v>
      </c>
      <c r="AT506" s="207"/>
      <c r="AU506" s="170"/>
      <c r="AV506" s="190"/>
      <c r="AW506" s="166"/>
      <c r="AX506" s="208"/>
      <c r="AY506" s="170"/>
      <c r="AZ506" s="45"/>
      <c r="BA506" s="58"/>
      <c r="BB506" s="45"/>
      <c r="BC506" s="46"/>
      <c r="BD506" s="45"/>
      <c r="BE506" s="46"/>
      <c r="BF506" s="45"/>
      <c r="BG506" s="46"/>
      <c r="BH506" s="45"/>
      <c r="BI506" s="46"/>
      <c r="BJ506" s="45"/>
      <c r="BK506" s="46"/>
    </row>
    <row r="507" spans="1:63" ht="13" x14ac:dyDescent="0.25">
      <c r="A507" s="372">
        <v>8703</v>
      </c>
      <c r="B507" s="373" t="s">
        <v>630</v>
      </c>
      <c r="C507" s="360">
        <v>1279</v>
      </c>
      <c r="D507" s="54">
        <v>617</v>
      </c>
      <c r="E507" s="367">
        <v>0.49254901960784314</v>
      </c>
      <c r="F507" s="45">
        <v>452</v>
      </c>
      <c r="G507" s="58">
        <v>161</v>
      </c>
      <c r="H507" s="45">
        <v>445</v>
      </c>
      <c r="I507" s="57">
        <v>165</v>
      </c>
      <c r="J507" s="97"/>
      <c r="K507" s="58"/>
      <c r="L507" s="45"/>
      <c r="M507" s="57"/>
      <c r="N507" s="97"/>
      <c r="O507" s="58"/>
      <c r="P507" s="165"/>
      <c r="Q507" s="166"/>
      <c r="R507" s="207"/>
      <c r="S507" s="170"/>
      <c r="T507" s="165"/>
      <c r="U507" s="166"/>
      <c r="V507" s="207"/>
      <c r="W507" s="170"/>
      <c r="X507" s="165"/>
      <c r="Y507" s="166"/>
      <c r="Z507" s="207"/>
      <c r="AA507" s="170"/>
      <c r="AB507" s="165"/>
      <c r="AC507" s="166"/>
      <c r="AD507" s="207"/>
      <c r="AE507" s="170"/>
      <c r="AF507" s="165"/>
      <c r="AG507" s="166"/>
      <c r="AH507" s="207"/>
      <c r="AI507" s="170"/>
      <c r="AJ507" s="165"/>
      <c r="AK507" s="166"/>
      <c r="AL507" s="207"/>
      <c r="AM507" s="170"/>
      <c r="AN507" s="165"/>
      <c r="AO507" s="166"/>
      <c r="AP507" s="207">
        <v>394</v>
      </c>
      <c r="AQ507" s="170">
        <v>208</v>
      </c>
      <c r="AR507" s="165">
        <v>337</v>
      </c>
      <c r="AS507" s="166">
        <v>269</v>
      </c>
      <c r="AT507" s="207"/>
      <c r="AU507" s="170"/>
      <c r="AV507" s="190"/>
      <c r="AW507" s="166"/>
      <c r="AX507" s="97"/>
      <c r="AY507" s="58"/>
      <c r="AZ507" s="199"/>
      <c r="BA507" s="204"/>
      <c r="BB507" s="199"/>
      <c r="BC507" s="200"/>
      <c r="BD507" s="199"/>
      <c r="BE507" s="200"/>
      <c r="BF507" s="199"/>
      <c r="BG507" s="200"/>
      <c r="BH507" s="199"/>
      <c r="BI507" s="200"/>
      <c r="BJ507" s="199"/>
      <c r="BK507" s="200"/>
    </row>
    <row r="508" spans="1:63" ht="13" x14ac:dyDescent="0.25">
      <c r="A508" s="372">
        <v>8704</v>
      </c>
      <c r="B508" s="373" t="s">
        <v>631</v>
      </c>
      <c r="C508" s="360">
        <v>869</v>
      </c>
      <c r="D508" s="54">
        <v>453</v>
      </c>
      <c r="E508" s="367">
        <v>0.55892648774795795</v>
      </c>
      <c r="F508" s="45">
        <v>305</v>
      </c>
      <c r="G508" s="58">
        <v>145</v>
      </c>
      <c r="H508" s="45">
        <v>300</v>
      </c>
      <c r="I508" s="57">
        <v>146</v>
      </c>
      <c r="J508" s="97"/>
      <c r="K508" s="58"/>
      <c r="L508" s="45"/>
      <c r="M508" s="57"/>
      <c r="N508" s="97"/>
      <c r="O508" s="58"/>
      <c r="P508" s="165"/>
      <c r="Q508" s="166"/>
      <c r="R508" s="207"/>
      <c r="S508" s="170"/>
      <c r="T508" s="165"/>
      <c r="U508" s="166"/>
      <c r="V508" s="207"/>
      <c r="W508" s="170"/>
      <c r="X508" s="165"/>
      <c r="Y508" s="166"/>
      <c r="Z508" s="207"/>
      <c r="AA508" s="170"/>
      <c r="AB508" s="165"/>
      <c r="AC508" s="166"/>
      <c r="AD508" s="207"/>
      <c r="AE508" s="170"/>
      <c r="AF508" s="165"/>
      <c r="AG508" s="166"/>
      <c r="AH508" s="207"/>
      <c r="AI508" s="170"/>
      <c r="AJ508" s="165"/>
      <c r="AK508" s="166"/>
      <c r="AL508" s="207"/>
      <c r="AM508" s="170"/>
      <c r="AN508" s="165"/>
      <c r="AO508" s="166"/>
      <c r="AP508" s="207">
        <v>241</v>
      </c>
      <c r="AQ508" s="170">
        <v>199</v>
      </c>
      <c r="AR508" s="165">
        <v>198</v>
      </c>
      <c r="AS508" s="166">
        <v>242</v>
      </c>
      <c r="AT508" s="207"/>
      <c r="AU508" s="170"/>
      <c r="AV508" s="190"/>
      <c r="AW508" s="166"/>
      <c r="AX508" s="97"/>
      <c r="AY508" s="58"/>
      <c r="AZ508" s="199"/>
      <c r="BA508" s="204"/>
      <c r="BB508" s="199"/>
      <c r="BC508" s="200"/>
      <c r="BD508" s="199"/>
      <c r="BE508" s="200"/>
      <c r="BF508" s="199"/>
      <c r="BG508" s="200"/>
      <c r="BH508" s="199"/>
      <c r="BI508" s="200"/>
      <c r="BJ508" s="199"/>
      <c r="BK508" s="200"/>
    </row>
    <row r="509" spans="1:63" ht="13" x14ac:dyDescent="0.25">
      <c r="A509" s="372">
        <v>8705</v>
      </c>
      <c r="B509" s="373" t="s">
        <v>632</v>
      </c>
      <c r="C509" s="360">
        <v>547</v>
      </c>
      <c r="D509" s="54">
        <v>289</v>
      </c>
      <c r="E509" s="367">
        <v>0.54181818181818187</v>
      </c>
      <c r="F509" s="45">
        <v>209</v>
      </c>
      <c r="G509" s="58">
        <v>76</v>
      </c>
      <c r="H509" s="45">
        <v>200</v>
      </c>
      <c r="I509" s="57">
        <v>85</v>
      </c>
      <c r="J509" s="97"/>
      <c r="K509" s="58"/>
      <c r="L509" s="45"/>
      <c r="M509" s="57"/>
      <c r="N509" s="97"/>
      <c r="O509" s="58"/>
      <c r="P509" s="165"/>
      <c r="Q509" s="166"/>
      <c r="R509" s="207"/>
      <c r="S509" s="170"/>
      <c r="T509" s="165"/>
      <c r="U509" s="166"/>
      <c r="V509" s="207"/>
      <c r="W509" s="170"/>
      <c r="X509" s="165"/>
      <c r="Y509" s="166"/>
      <c r="Z509" s="207"/>
      <c r="AA509" s="170"/>
      <c r="AB509" s="165"/>
      <c r="AC509" s="166"/>
      <c r="AD509" s="207"/>
      <c r="AE509" s="170"/>
      <c r="AF509" s="165"/>
      <c r="AG509" s="166"/>
      <c r="AH509" s="207"/>
      <c r="AI509" s="170"/>
      <c r="AJ509" s="165"/>
      <c r="AK509" s="166"/>
      <c r="AL509" s="207"/>
      <c r="AM509" s="170"/>
      <c r="AN509" s="165"/>
      <c r="AO509" s="166"/>
      <c r="AP509" s="207">
        <v>202</v>
      </c>
      <c r="AQ509" s="170">
        <v>78</v>
      </c>
      <c r="AR509" s="165">
        <v>174</v>
      </c>
      <c r="AS509" s="166">
        <v>107</v>
      </c>
      <c r="AT509" s="207"/>
      <c r="AU509" s="170"/>
      <c r="AV509" s="190"/>
      <c r="AW509" s="166"/>
      <c r="AX509" s="97"/>
      <c r="AY509" s="58"/>
      <c r="AZ509" s="199"/>
      <c r="BA509" s="204"/>
      <c r="BB509" s="199"/>
      <c r="BC509" s="200"/>
      <c r="BD509" s="199"/>
      <c r="BE509" s="200"/>
      <c r="BF509" s="199"/>
      <c r="BG509" s="200"/>
      <c r="BH509" s="199"/>
      <c r="BI509" s="200"/>
      <c r="BJ509" s="199"/>
      <c r="BK509" s="200"/>
    </row>
    <row r="510" spans="1:63" ht="13" x14ac:dyDescent="0.25">
      <c r="A510" s="372">
        <v>8706</v>
      </c>
      <c r="B510" s="373" t="s">
        <v>633</v>
      </c>
      <c r="C510" s="360">
        <v>696</v>
      </c>
      <c r="D510" s="54">
        <v>461</v>
      </c>
      <c r="E510" s="367">
        <v>0.68249258160237392</v>
      </c>
      <c r="F510" s="45">
        <v>296</v>
      </c>
      <c r="G510" s="58">
        <v>162</v>
      </c>
      <c r="H510" s="45">
        <v>271</v>
      </c>
      <c r="I510" s="57">
        <v>177</v>
      </c>
      <c r="J510" s="97"/>
      <c r="K510" s="58"/>
      <c r="L510" s="45"/>
      <c r="M510" s="57"/>
      <c r="N510" s="97"/>
      <c r="O510" s="58"/>
      <c r="P510" s="165"/>
      <c r="Q510" s="166"/>
      <c r="R510" s="207"/>
      <c r="S510" s="170"/>
      <c r="T510" s="165"/>
      <c r="U510" s="166"/>
      <c r="V510" s="207"/>
      <c r="W510" s="170"/>
      <c r="X510" s="165"/>
      <c r="Y510" s="166"/>
      <c r="Z510" s="207"/>
      <c r="AA510" s="170"/>
      <c r="AB510" s="165"/>
      <c r="AC510" s="166"/>
      <c r="AD510" s="207"/>
      <c r="AE510" s="170"/>
      <c r="AF510" s="165"/>
      <c r="AG510" s="166"/>
      <c r="AH510" s="207"/>
      <c r="AI510" s="170"/>
      <c r="AJ510" s="165"/>
      <c r="AK510" s="166"/>
      <c r="AL510" s="207"/>
      <c r="AM510" s="170"/>
      <c r="AN510" s="165"/>
      <c r="AO510" s="166"/>
      <c r="AP510" s="207">
        <v>309</v>
      </c>
      <c r="AQ510" s="170">
        <v>144</v>
      </c>
      <c r="AR510" s="165">
        <v>259</v>
      </c>
      <c r="AS510" s="166">
        <v>191</v>
      </c>
      <c r="AT510" s="207"/>
      <c r="AU510" s="170"/>
      <c r="AV510" s="190"/>
      <c r="AW510" s="166"/>
      <c r="AX510" s="97"/>
      <c r="AY510" s="58"/>
      <c r="AZ510" s="199"/>
      <c r="BA510" s="204"/>
      <c r="BB510" s="199"/>
      <c r="BC510" s="200"/>
      <c r="BD510" s="199"/>
      <c r="BE510" s="200"/>
      <c r="BF510" s="199"/>
      <c r="BG510" s="200"/>
      <c r="BH510" s="199"/>
      <c r="BI510" s="200"/>
      <c r="BJ510" s="199"/>
      <c r="BK510" s="200"/>
    </row>
    <row r="511" spans="1:63" ht="13" x14ac:dyDescent="0.25">
      <c r="A511" s="372">
        <v>8707</v>
      </c>
      <c r="B511" s="373" t="s">
        <v>634</v>
      </c>
      <c r="C511" s="360">
        <v>1164</v>
      </c>
      <c r="D511" s="54">
        <v>633</v>
      </c>
      <c r="E511" s="367">
        <v>0.58922558922558921</v>
      </c>
      <c r="F511" s="45">
        <v>420</v>
      </c>
      <c r="G511" s="58">
        <v>207</v>
      </c>
      <c r="H511" s="45">
        <v>426</v>
      </c>
      <c r="I511" s="57">
        <v>194</v>
      </c>
      <c r="J511" s="97"/>
      <c r="K511" s="58"/>
      <c r="L511" s="45"/>
      <c r="M511" s="57"/>
      <c r="N511" s="97"/>
      <c r="O511" s="58"/>
      <c r="P511" s="165"/>
      <c r="Q511" s="166"/>
      <c r="R511" s="207"/>
      <c r="S511" s="170"/>
      <c r="T511" s="165"/>
      <c r="U511" s="166"/>
      <c r="V511" s="207"/>
      <c r="W511" s="170"/>
      <c r="X511" s="165"/>
      <c r="Y511" s="166"/>
      <c r="Z511" s="207"/>
      <c r="AA511" s="170"/>
      <c r="AB511" s="165"/>
      <c r="AC511" s="166"/>
      <c r="AD511" s="207"/>
      <c r="AE511" s="170"/>
      <c r="AF511" s="165"/>
      <c r="AG511" s="166"/>
      <c r="AH511" s="207"/>
      <c r="AI511" s="170"/>
      <c r="AJ511" s="165"/>
      <c r="AK511" s="166"/>
      <c r="AL511" s="207"/>
      <c r="AM511" s="170"/>
      <c r="AN511" s="165"/>
      <c r="AO511" s="166"/>
      <c r="AP511" s="207">
        <v>377</v>
      </c>
      <c r="AQ511" s="170">
        <v>242</v>
      </c>
      <c r="AR511" s="165">
        <v>294</v>
      </c>
      <c r="AS511" s="166">
        <v>328</v>
      </c>
      <c r="AT511" s="207"/>
      <c r="AU511" s="170"/>
      <c r="AV511" s="190"/>
      <c r="AW511" s="166"/>
      <c r="AX511" s="97"/>
      <c r="AY511" s="58"/>
      <c r="AZ511" s="45"/>
      <c r="BA511" s="58"/>
      <c r="BB511" s="45"/>
      <c r="BC511" s="46"/>
      <c r="BD511" s="45"/>
      <c r="BE511" s="46"/>
      <c r="BF511" s="45"/>
      <c r="BG511" s="46"/>
      <c r="BH511" s="45"/>
      <c r="BI511" s="46"/>
      <c r="BJ511" s="45"/>
      <c r="BK511" s="46"/>
    </row>
    <row r="512" spans="1:63" ht="13" x14ac:dyDescent="0.25">
      <c r="A512" s="372">
        <v>8708</v>
      </c>
      <c r="B512" s="373" t="s">
        <v>635</v>
      </c>
      <c r="C512" s="360">
        <v>1077</v>
      </c>
      <c r="D512" s="54">
        <v>640</v>
      </c>
      <c r="E512" s="367">
        <v>0.66999093381686314</v>
      </c>
      <c r="F512" s="45">
        <v>357</v>
      </c>
      <c r="G512" s="58">
        <v>281</v>
      </c>
      <c r="H512" s="45">
        <v>350</v>
      </c>
      <c r="I512" s="57">
        <v>278</v>
      </c>
      <c r="J512" s="97"/>
      <c r="K512" s="58"/>
      <c r="L512" s="45"/>
      <c r="M512" s="57"/>
      <c r="N512" s="97"/>
      <c r="O512" s="58"/>
      <c r="P512" s="165"/>
      <c r="Q512" s="166"/>
      <c r="R512" s="207"/>
      <c r="S512" s="170"/>
      <c r="T512" s="165"/>
      <c r="U512" s="166"/>
      <c r="V512" s="207"/>
      <c r="W512" s="170"/>
      <c r="X512" s="165"/>
      <c r="Y512" s="166"/>
      <c r="Z512" s="207"/>
      <c r="AA512" s="170"/>
      <c r="AB512" s="165"/>
      <c r="AC512" s="166"/>
      <c r="AD512" s="207"/>
      <c r="AE512" s="170"/>
      <c r="AF512" s="165"/>
      <c r="AG512" s="166"/>
      <c r="AH512" s="207"/>
      <c r="AI512" s="170"/>
      <c r="AJ512" s="165"/>
      <c r="AK512" s="166"/>
      <c r="AL512" s="207"/>
      <c r="AM512" s="170"/>
      <c r="AN512" s="165"/>
      <c r="AO512" s="166"/>
      <c r="AP512" s="207">
        <v>419</v>
      </c>
      <c r="AQ512" s="170">
        <v>204</v>
      </c>
      <c r="AR512" s="165">
        <v>306</v>
      </c>
      <c r="AS512" s="166">
        <v>317</v>
      </c>
      <c r="AT512" s="207"/>
      <c r="AU512" s="170"/>
      <c r="AV512" s="190"/>
      <c r="AW512" s="166"/>
      <c r="AX512" s="97"/>
      <c r="AY512" s="58"/>
      <c r="AZ512" s="199"/>
      <c r="BA512" s="204"/>
      <c r="BB512" s="199"/>
      <c r="BC512" s="200"/>
      <c r="BD512" s="199"/>
      <c r="BE512" s="200"/>
      <c r="BF512" s="199"/>
      <c r="BG512" s="200"/>
      <c r="BH512" s="199"/>
      <c r="BI512" s="200"/>
      <c r="BJ512" s="199"/>
      <c r="BK512" s="200"/>
    </row>
    <row r="513" spans="1:63" ht="13" x14ac:dyDescent="0.25">
      <c r="A513" s="372">
        <v>8709</v>
      </c>
      <c r="B513" s="373" t="s">
        <v>636</v>
      </c>
      <c r="C513" s="360">
        <v>504</v>
      </c>
      <c r="D513" s="54">
        <v>216</v>
      </c>
      <c r="E513" s="367">
        <v>0.47731755424063116</v>
      </c>
      <c r="F513" s="45">
        <v>137</v>
      </c>
      <c r="G513" s="58">
        <v>78</v>
      </c>
      <c r="H513" s="45">
        <v>154</v>
      </c>
      <c r="I513" s="57">
        <v>61</v>
      </c>
      <c r="J513" s="97"/>
      <c r="K513" s="58"/>
      <c r="L513" s="45"/>
      <c r="M513" s="57"/>
      <c r="N513" s="97"/>
      <c r="O513" s="58"/>
      <c r="P513" s="165"/>
      <c r="Q513" s="166"/>
      <c r="R513" s="207"/>
      <c r="S513" s="170"/>
      <c r="T513" s="165"/>
      <c r="U513" s="166"/>
      <c r="V513" s="207"/>
      <c r="W513" s="170"/>
      <c r="X513" s="165"/>
      <c r="Y513" s="166"/>
      <c r="Z513" s="207"/>
      <c r="AA513" s="170"/>
      <c r="AB513" s="165"/>
      <c r="AC513" s="166"/>
      <c r="AD513" s="207"/>
      <c r="AE513" s="170"/>
      <c r="AF513" s="165"/>
      <c r="AG513" s="166"/>
      <c r="AH513" s="207"/>
      <c r="AI513" s="170"/>
      <c r="AJ513" s="165"/>
      <c r="AK513" s="166"/>
      <c r="AL513" s="207"/>
      <c r="AM513" s="170"/>
      <c r="AN513" s="165"/>
      <c r="AO513" s="166"/>
      <c r="AP513" s="207">
        <v>133</v>
      </c>
      <c r="AQ513" s="170">
        <v>77</v>
      </c>
      <c r="AR513" s="165">
        <v>102</v>
      </c>
      <c r="AS513" s="166">
        <v>111</v>
      </c>
      <c r="AT513" s="207"/>
      <c r="AU513" s="170"/>
      <c r="AV513" s="190"/>
      <c r="AW513" s="166"/>
      <c r="AX513" s="97"/>
      <c r="AY513" s="58"/>
      <c r="AZ513" s="199"/>
      <c r="BA513" s="204"/>
      <c r="BB513" s="199"/>
      <c r="BC513" s="200"/>
      <c r="BD513" s="199"/>
      <c r="BE513" s="200"/>
      <c r="BF513" s="199"/>
      <c r="BG513" s="200"/>
      <c r="BH513" s="199"/>
      <c r="BI513" s="200"/>
      <c r="BJ513" s="199"/>
      <c r="BK513" s="200"/>
    </row>
    <row r="514" spans="1:63" ht="13" x14ac:dyDescent="0.25">
      <c r="A514" s="372">
        <v>8710</v>
      </c>
      <c r="B514" s="373" t="s">
        <v>637</v>
      </c>
      <c r="C514" s="360">
        <v>930</v>
      </c>
      <c r="D514" s="54">
        <v>450</v>
      </c>
      <c r="E514" s="367">
        <v>0.51263157894736844</v>
      </c>
      <c r="F514" s="45">
        <v>308</v>
      </c>
      <c r="G514" s="58">
        <v>138</v>
      </c>
      <c r="H514" s="45">
        <v>286</v>
      </c>
      <c r="I514" s="57">
        <v>159</v>
      </c>
      <c r="J514" s="97"/>
      <c r="K514" s="58"/>
      <c r="L514" s="45"/>
      <c r="M514" s="57"/>
      <c r="N514" s="97"/>
      <c r="O514" s="58"/>
      <c r="P514" s="165"/>
      <c r="Q514" s="166"/>
      <c r="R514" s="207"/>
      <c r="S514" s="170"/>
      <c r="T514" s="165"/>
      <c r="U514" s="166"/>
      <c r="V514" s="207"/>
      <c r="W514" s="170"/>
      <c r="X514" s="165"/>
      <c r="Y514" s="166"/>
      <c r="Z514" s="207"/>
      <c r="AA514" s="170"/>
      <c r="AB514" s="165"/>
      <c r="AC514" s="166"/>
      <c r="AD514" s="207"/>
      <c r="AE514" s="170"/>
      <c r="AF514" s="165"/>
      <c r="AG514" s="166"/>
      <c r="AH514" s="207"/>
      <c r="AI514" s="170"/>
      <c r="AJ514" s="165"/>
      <c r="AK514" s="166"/>
      <c r="AL514" s="207"/>
      <c r="AM514" s="170"/>
      <c r="AN514" s="165"/>
      <c r="AO514" s="166"/>
      <c r="AP514" s="207">
        <v>259</v>
      </c>
      <c r="AQ514" s="170">
        <v>186</v>
      </c>
      <c r="AR514" s="165">
        <v>209</v>
      </c>
      <c r="AS514" s="166">
        <v>238</v>
      </c>
      <c r="AT514" s="207"/>
      <c r="AU514" s="170"/>
      <c r="AV514" s="190"/>
      <c r="AW514" s="166"/>
      <c r="AX514" s="97"/>
      <c r="AY514" s="58"/>
      <c r="AZ514" s="199"/>
      <c r="BA514" s="204"/>
      <c r="BB514" s="199"/>
      <c r="BC514" s="200"/>
      <c r="BD514" s="199"/>
      <c r="BE514" s="200"/>
      <c r="BF514" s="199"/>
      <c r="BG514" s="200"/>
      <c r="BH514" s="199"/>
      <c r="BI514" s="200"/>
      <c r="BJ514" s="199"/>
      <c r="BK514" s="200"/>
    </row>
    <row r="515" spans="1:63" ht="13" x14ac:dyDescent="0.25">
      <c r="A515" s="372">
        <v>8711</v>
      </c>
      <c r="B515" s="373" t="s">
        <v>638</v>
      </c>
      <c r="C515" s="360">
        <v>873</v>
      </c>
      <c r="D515" s="54">
        <v>304</v>
      </c>
      <c r="E515" s="367">
        <v>0.39069767441860465</v>
      </c>
      <c r="F515" s="45">
        <v>223</v>
      </c>
      <c r="G515" s="58">
        <v>74</v>
      </c>
      <c r="H515" s="45">
        <v>213</v>
      </c>
      <c r="I515" s="57">
        <v>84</v>
      </c>
      <c r="J515" s="97"/>
      <c r="K515" s="58"/>
      <c r="L515" s="45"/>
      <c r="M515" s="57"/>
      <c r="N515" s="97"/>
      <c r="O515" s="58"/>
      <c r="P515" s="165"/>
      <c r="Q515" s="166"/>
      <c r="R515" s="207"/>
      <c r="S515" s="170"/>
      <c r="T515" s="165"/>
      <c r="U515" s="166"/>
      <c r="V515" s="207"/>
      <c r="W515" s="170"/>
      <c r="X515" s="165"/>
      <c r="Y515" s="166"/>
      <c r="Z515" s="207"/>
      <c r="AA515" s="170"/>
      <c r="AB515" s="165"/>
      <c r="AC515" s="166"/>
      <c r="AD515" s="207"/>
      <c r="AE515" s="170"/>
      <c r="AF515" s="165"/>
      <c r="AG515" s="166"/>
      <c r="AH515" s="207"/>
      <c r="AI515" s="170"/>
      <c r="AJ515" s="165"/>
      <c r="AK515" s="166"/>
      <c r="AL515" s="207"/>
      <c r="AM515" s="170"/>
      <c r="AN515" s="165"/>
      <c r="AO515" s="166"/>
      <c r="AP515" s="207">
        <v>171</v>
      </c>
      <c r="AQ515" s="170">
        <v>115</v>
      </c>
      <c r="AR515" s="165">
        <v>161</v>
      </c>
      <c r="AS515" s="166">
        <v>132</v>
      </c>
      <c r="AT515" s="207"/>
      <c r="AU515" s="170"/>
      <c r="AV515" s="190"/>
      <c r="AW515" s="166"/>
      <c r="AX515" s="97"/>
      <c r="AY515" s="58"/>
      <c r="AZ515" s="45"/>
      <c r="BA515" s="58"/>
      <c r="BB515" s="45"/>
      <c r="BC515" s="46"/>
      <c r="BD515" s="45"/>
      <c r="BE515" s="46"/>
      <c r="BF515" s="45"/>
      <c r="BG515" s="46"/>
      <c r="BH515" s="45"/>
      <c r="BI515" s="46"/>
      <c r="BJ515" s="45"/>
      <c r="BK515" s="46"/>
    </row>
    <row r="516" spans="1:63" ht="13" x14ac:dyDescent="0.25">
      <c r="A516" s="372">
        <v>8712</v>
      </c>
      <c r="B516" s="373" t="s">
        <v>639</v>
      </c>
      <c r="C516" s="360">
        <v>294</v>
      </c>
      <c r="D516" s="54">
        <v>114</v>
      </c>
      <c r="E516" s="367">
        <v>0.41528239202657807</v>
      </c>
      <c r="F516" s="45">
        <v>95</v>
      </c>
      <c r="G516" s="58">
        <v>16</v>
      </c>
      <c r="H516" s="45">
        <v>90</v>
      </c>
      <c r="I516" s="57">
        <v>21</v>
      </c>
      <c r="J516" s="97"/>
      <c r="K516" s="58"/>
      <c r="L516" s="45"/>
      <c r="M516" s="57"/>
      <c r="N516" s="97"/>
      <c r="O516" s="58"/>
      <c r="P516" s="165"/>
      <c r="Q516" s="166"/>
      <c r="R516" s="207"/>
      <c r="S516" s="170"/>
      <c r="T516" s="165"/>
      <c r="U516" s="166"/>
      <c r="V516" s="207"/>
      <c r="W516" s="170"/>
      <c r="X516" s="165"/>
      <c r="Y516" s="166"/>
      <c r="Z516" s="207"/>
      <c r="AA516" s="170"/>
      <c r="AB516" s="165"/>
      <c r="AC516" s="166"/>
      <c r="AD516" s="207"/>
      <c r="AE516" s="170"/>
      <c r="AF516" s="165"/>
      <c r="AG516" s="166"/>
      <c r="AH516" s="207"/>
      <c r="AI516" s="170"/>
      <c r="AJ516" s="165"/>
      <c r="AK516" s="166"/>
      <c r="AL516" s="207"/>
      <c r="AM516" s="170"/>
      <c r="AN516" s="165"/>
      <c r="AO516" s="166"/>
      <c r="AP516" s="207">
        <v>82</v>
      </c>
      <c r="AQ516" s="170">
        <v>31</v>
      </c>
      <c r="AR516" s="165">
        <v>67</v>
      </c>
      <c r="AS516" s="166">
        <v>45</v>
      </c>
      <c r="AT516" s="207"/>
      <c r="AU516" s="170"/>
      <c r="AV516" s="190"/>
      <c r="AW516" s="166"/>
      <c r="AX516" s="97"/>
      <c r="AY516" s="58"/>
      <c r="AZ516" s="199"/>
      <c r="BA516" s="204"/>
      <c r="BB516" s="199"/>
      <c r="BC516" s="200"/>
      <c r="BD516" s="199"/>
      <c r="BE516" s="200"/>
      <c r="BF516" s="199"/>
      <c r="BG516" s="200"/>
      <c r="BH516" s="199"/>
      <c r="BI516" s="200"/>
      <c r="BJ516" s="199"/>
      <c r="BK516" s="200"/>
    </row>
    <row r="517" spans="1:63" ht="13" x14ac:dyDescent="0.25">
      <c r="A517" s="372">
        <v>8713</v>
      </c>
      <c r="B517" s="373" t="s">
        <v>640</v>
      </c>
      <c r="C517" s="360">
        <v>1166</v>
      </c>
      <c r="D517" s="54">
        <v>532</v>
      </c>
      <c r="E517" s="367">
        <v>0.52144082332761577</v>
      </c>
      <c r="F517" s="45">
        <v>306</v>
      </c>
      <c r="G517" s="58">
        <v>220</v>
      </c>
      <c r="H517" s="45">
        <v>331</v>
      </c>
      <c r="I517" s="57">
        <v>190</v>
      </c>
      <c r="J517" s="97"/>
      <c r="K517" s="58"/>
      <c r="L517" s="45"/>
      <c r="M517" s="57"/>
      <c r="N517" s="97"/>
      <c r="O517" s="58"/>
      <c r="P517" s="165"/>
      <c r="Q517" s="166"/>
      <c r="R517" s="207"/>
      <c r="S517" s="170"/>
      <c r="T517" s="165"/>
      <c r="U517" s="166"/>
      <c r="V517" s="207"/>
      <c r="W517" s="170"/>
      <c r="X517" s="165"/>
      <c r="Y517" s="166"/>
      <c r="Z517" s="207"/>
      <c r="AA517" s="170"/>
      <c r="AB517" s="165"/>
      <c r="AC517" s="166"/>
      <c r="AD517" s="207"/>
      <c r="AE517" s="170"/>
      <c r="AF517" s="165"/>
      <c r="AG517" s="166"/>
      <c r="AH517" s="207"/>
      <c r="AI517" s="170"/>
      <c r="AJ517" s="165"/>
      <c r="AK517" s="166"/>
      <c r="AL517" s="207"/>
      <c r="AM517" s="170"/>
      <c r="AN517" s="165"/>
      <c r="AO517" s="166"/>
      <c r="AP517" s="207">
        <v>306</v>
      </c>
      <c r="AQ517" s="170">
        <v>218</v>
      </c>
      <c r="AR517" s="165">
        <v>257</v>
      </c>
      <c r="AS517" s="166">
        <v>271</v>
      </c>
      <c r="AT517" s="207"/>
      <c r="AU517" s="170"/>
      <c r="AV517" s="190"/>
      <c r="AW517" s="166"/>
      <c r="AX517" s="97"/>
      <c r="AY517" s="58"/>
      <c r="AZ517" s="199"/>
      <c r="BA517" s="204"/>
      <c r="BB517" s="199"/>
      <c r="BC517" s="200"/>
      <c r="BD517" s="199"/>
      <c r="BE517" s="200"/>
      <c r="BF517" s="199"/>
      <c r="BG517" s="200"/>
      <c r="BH517" s="199"/>
      <c r="BI517" s="200"/>
      <c r="BJ517" s="199"/>
      <c r="BK517" s="200"/>
    </row>
    <row r="518" spans="1:63" ht="13" x14ac:dyDescent="0.25">
      <c r="A518" s="372">
        <v>8714</v>
      </c>
      <c r="B518" s="373" t="s">
        <v>641</v>
      </c>
      <c r="C518" s="360">
        <v>1096</v>
      </c>
      <c r="D518" s="54">
        <v>634</v>
      </c>
      <c r="E518" s="367">
        <v>0.60072926162260709</v>
      </c>
      <c r="F518" s="45">
        <v>419</v>
      </c>
      <c r="G518" s="58">
        <v>210</v>
      </c>
      <c r="H518" s="45">
        <v>391</v>
      </c>
      <c r="I518" s="57">
        <v>231</v>
      </c>
      <c r="J518" s="97"/>
      <c r="K518" s="58"/>
      <c r="L518" s="45"/>
      <c r="M518" s="57"/>
      <c r="N518" s="97"/>
      <c r="O518" s="58"/>
      <c r="P518" s="165"/>
      <c r="Q518" s="166"/>
      <c r="R518" s="207"/>
      <c r="S518" s="170"/>
      <c r="T518" s="165"/>
      <c r="U518" s="166"/>
      <c r="V518" s="207"/>
      <c r="W518" s="170"/>
      <c r="X518" s="165"/>
      <c r="Y518" s="166"/>
      <c r="Z518" s="207"/>
      <c r="AA518" s="170"/>
      <c r="AB518" s="165"/>
      <c r="AC518" s="166"/>
      <c r="AD518" s="207"/>
      <c r="AE518" s="170"/>
      <c r="AF518" s="165"/>
      <c r="AG518" s="166"/>
      <c r="AH518" s="207"/>
      <c r="AI518" s="170"/>
      <c r="AJ518" s="165"/>
      <c r="AK518" s="166"/>
      <c r="AL518" s="207"/>
      <c r="AM518" s="170"/>
      <c r="AN518" s="165"/>
      <c r="AO518" s="166"/>
      <c r="AP518" s="207">
        <v>449</v>
      </c>
      <c r="AQ518" s="170">
        <v>173</v>
      </c>
      <c r="AR518" s="165">
        <v>386</v>
      </c>
      <c r="AS518" s="166">
        <v>234</v>
      </c>
      <c r="AT518" s="207"/>
      <c r="AU518" s="170"/>
      <c r="AV518" s="190"/>
      <c r="AW518" s="166"/>
      <c r="AX518" s="97"/>
      <c r="AY518" s="58"/>
      <c r="AZ518" s="45"/>
      <c r="BA518" s="58"/>
      <c r="BB518" s="45"/>
      <c r="BC518" s="46"/>
      <c r="BD518" s="45"/>
      <c r="BE518" s="46"/>
      <c r="BF518" s="45"/>
      <c r="BG518" s="46"/>
      <c r="BH518" s="45"/>
      <c r="BI518" s="46"/>
      <c r="BJ518" s="45"/>
      <c r="BK518" s="46"/>
    </row>
    <row r="519" spans="1:63" ht="13" x14ac:dyDescent="0.25">
      <c r="A519" s="372">
        <v>8715</v>
      </c>
      <c r="B519" s="373" t="s">
        <v>642</v>
      </c>
      <c r="C519" s="360">
        <v>1062</v>
      </c>
      <c r="D519" s="54">
        <v>385</v>
      </c>
      <c r="E519" s="367">
        <v>0.40802987861811391</v>
      </c>
      <c r="F519" s="45">
        <v>282</v>
      </c>
      <c r="G519" s="58">
        <v>97</v>
      </c>
      <c r="H519" s="45">
        <v>257</v>
      </c>
      <c r="I519" s="57">
        <v>122</v>
      </c>
      <c r="J519" s="97"/>
      <c r="K519" s="58"/>
      <c r="L519" s="45"/>
      <c r="M519" s="57"/>
      <c r="N519" s="97"/>
      <c r="O519" s="58"/>
      <c r="P519" s="165"/>
      <c r="Q519" s="166"/>
      <c r="R519" s="207"/>
      <c r="S519" s="170"/>
      <c r="T519" s="165"/>
      <c r="U519" s="166"/>
      <c r="V519" s="207"/>
      <c r="W519" s="170"/>
      <c r="X519" s="165"/>
      <c r="Y519" s="166"/>
      <c r="Z519" s="207"/>
      <c r="AA519" s="170"/>
      <c r="AB519" s="165"/>
      <c r="AC519" s="166"/>
      <c r="AD519" s="207"/>
      <c r="AE519" s="170"/>
      <c r="AF519" s="165"/>
      <c r="AG519" s="166"/>
      <c r="AH519" s="207"/>
      <c r="AI519" s="170"/>
      <c r="AJ519" s="165"/>
      <c r="AK519" s="166"/>
      <c r="AL519" s="207"/>
      <c r="AM519" s="170"/>
      <c r="AN519" s="165"/>
      <c r="AO519" s="166"/>
      <c r="AP519" s="207">
        <v>225</v>
      </c>
      <c r="AQ519" s="170">
        <v>153</v>
      </c>
      <c r="AR519" s="165">
        <v>214</v>
      </c>
      <c r="AS519" s="166">
        <v>169</v>
      </c>
      <c r="AT519" s="207"/>
      <c r="AU519" s="170"/>
      <c r="AV519" s="190"/>
      <c r="AW519" s="166"/>
      <c r="AX519" s="97"/>
      <c r="AY519" s="58"/>
      <c r="AZ519" s="199"/>
      <c r="BA519" s="204"/>
      <c r="BB519" s="199"/>
      <c r="BC519" s="200"/>
      <c r="BD519" s="199"/>
      <c r="BE519" s="200"/>
      <c r="BF519" s="199"/>
      <c r="BG519" s="200"/>
      <c r="BH519" s="199"/>
      <c r="BI519" s="200"/>
      <c r="BJ519" s="199"/>
      <c r="BK519" s="200"/>
    </row>
    <row r="520" spans="1:63" ht="13" x14ac:dyDescent="0.25">
      <c r="A520" s="372">
        <v>8716</v>
      </c>
      <c r="B520" s="373" t="s">
        <v>643</v>
      </c>
      <c r="C520" s="360">
        <v>859</v>
      </c>
      <c r="D520" s="54">
        <v>370</v>
      </c>
      <c r="E520" s="367">
        <v>0.44994246260069043</v>
      </c>
      <c r="F520" s="45">
        <v>249</v>
      </c>
      <c r="G520" s="58">
        <v>120</v>
      </c>
      <c r="H520" s="45">
        <v>242</v>
      </c>
      <c r="I520" s="57">
        <v>121</v>
      </c>
      <c r="J520" s="97"/>
      <c r="K520" s="58"/>
      <c r="L520" s="45"/>
      <c r="M520" s="57"/>
      <c r="N520" s="97"/>
      <c r="O520" s="58"/>
      <c r="P520" s="165"/>
      <c r="Q520" s="166"/>
      <c r="R520" s="207"/>
      <c r="S520" s="170"/>
      <c r="T520" s="165"/>
      <c r="U520" s="166"/>
      <c r="V520" s="207"/>
      <c r="W520" s="170"/>
      <c r="X520" s="165"/>
      <c r="Y520" s="166"/>
      <c r="Z520" s="207"/>
      <c r="AA520" s="170"/>
      <c r="AB520" s="165"/>
      <c r="AC520" s="166"/>
      <c r="AD520" s="207"/>
      <c r="AE520" s="170"/>
      <c r="AF520" s="165"/>
      <c r="AG520" s="166"/>
      <c r="AH520" s="207"/>
      <c r="AI520" s="170"/>
      <c r="AJ520" s="165"/>
      <c r="AK520" s="166"/>
      <c r="AL520" s="207"/>
      <c r="AM520" s="170"/>
      <c r="AN520" s="165"/>
      <c r="AO520" s="166"/>
      <c r="AP520" s="207">
        <v>244</v>
      </c>
      <c r="AQ520" s="170">
        <v>118</v>
      </c>
      <c r="AR520" s="165">
        <v>199</v>
      </c>
      <c r="AS520" s="166">
        <v>166</v>
      </c>
      <c r="AT520" s="207"/>
      <c r="AU520" s="170"/>
      <c r="AV520" s="190"/>
      <c r="AW520" s="166"/>
      <c r="AX520" s="97"/>
      <c r="AY520" s="58"/>
      <c r="AZ520" s="45"/>
      <c r="BA520" s="58"/>
      <c r="BB520" s="45"/>
      <c r="BC520" s="46"/>
      <c r="BD520" s="45"/>
      <c r="BE520" s="46"/>
      <c r="BF520" s="45"/>
      <c r="BG520" s="46"/>
      <c r="BH520" s="45"/>
      <c r="BI520" s="46"/>
      <c r="BJ520" s="45"/>
      <c r="BK520" s="46"/>
    </row>
    <row r="521" spans="1:63" ht="13" x14ac:dyDescent="0.25">
      <c r="A521" s="372">
        <v>8717</v>
      </c>
      <c r="B521" s="373" t="s">
        <v>644</v>
      </c>
      <c r="C521" s="360">
        <v>1311</v>
      </c>
      <c r="D521" s="54">
        <v>497</v>
      </c>
      <c r="E521" s="367">
        <v>0.41053446940356314</v>
      </c>
      <c r="F521" s="45">
        <v>345</v>
      </c>
      <c r="G521" s="58">
        <v>146</v>
      </c>
      <c r="H521" s="45">
        <v>337</v>
      </c>
      <c r="I521" s="57">
        <v>155</v>
      </c>
      <c r="J521" s="97"/>
      <c r="K521" s="58"/>
      <c r="L521" s="45"/>
      <c r="M521" s="57"/>
      <c r="N521" s="97"/>
      <c r="O521" s="58"/>
      <c r="P521" s="165"/>
      <c r="Q521" s="166"/>
      <c r="R521" s="207"/>
      <c r="S521" s="170"/>
      <c r="T521" s="165"/>
      <c r="U521" s="166"/>
      <c r="V521" s="207"/>
      <c r="W521" s="170"/>
      <c r="X521" s="165"/>
      <c r="Y521" s="166"/>
      <c r="Z521" s="207"/>
      <c r="AA521" s="170"/>
      <c r="AB521" s="165"/>
      <c r="AC521" s="166"/>
      <c r="AD521" s="207"/>
      <c r="AE521" s="170"/>
      <c r="AF521" s="165"/>
      <c r="AG521" s="166"/>
      <c r="AH521" s="207"/>
      <c r="AI521" s="170"/>
      <c r="AJ521" s="165"/>
      <c r="AK521" s="166"/>
      <c r="AL521" s="207"/>
      <c r="AM521" s="170"/>
      <c r="AN521" s="165"/>
      <c r="AO521" s="166"/>
      <c r="AP521" s="207">
        <v>308</v>
      </c>
      <c r="AQ521" s="170">
        <v>182</v>
      </c>
      <c r="AR521" s="165">
        <v>255</v>
      </c>
      <c r="AS521" s="166">
        <v>235</v>
      </c>
      <c r="AT521" s="207"/>
      <c r="AU521" s="170"/>
      <c r="AV521" s="190"/>
      <c r="AW521" s="166"/>
      <c r="AX521" s="97"/>
      <c r="AY521" s="58"/>
      <c r="AZ521" s="199"/>
      <c r="BA521" s="204"/>
      <c r="BB521" s="199"/>
      <c r="BC521" s="200"/>
      <c r="BD521" s="199"/>
      <c r="BE521" s="200"/>
      <c r="BF521" s="199"/>
      <c r="BG521" s="200"/>
      <c r="BH521" s="199"/>
      <c r="BI521" s="200"/>
      <c r="BJ521" s="199"/>
      <c r="BK521" s="200"/>
    </row>
    <row r="522" spans="1:63" ht="13" x14ac:dyDescent="0.25">
      <c r="A522" s="372">
        <v>8718</v>
      </c>
      <c r="B522" s="373" t="s">
        <v>645</v>
      </c>
      <c r="C522" s="360">
        <v>1143</v>
      </c>
      <c r="D522" s="54">
        <v>530</v>
      </c>
      <c r="E522" s="367">
        <v>0.49178910976663787</v>
      </c>
      <c r="F522" s="45">
        <v>347</v>
      </c>
      <c r="G522" s="58">
        <v>176</v>
      </c>
      <c r="H522" s="45">
        <v>355</v>
      </c>
      <c r="I522" s="57">
        <v>163</v>
      </c>
      <c r="J522" s="97"/>
      <c r="K522" s="58"/>
      <c r="L522" s="45"/>
      <c r="M522" s="57"/>
      <c r="N522" s="97"/>
      <c r="O522" s="58"/>
      <c r="P522" s="165"/>
      <c r="Q522" s="166"/>
      <c r="R522" s="207"/>
      <c r="S522" s="170"/>
      <c r="T522" s="165"/>
      <c r="U522" s="166"/>
      <c r="V522" s="207"/>
      <c r="W522" s="170"/>
      <c r="X522" s="165"/>
      <c r="Y522" s="166"/>
      <c r="Z522" s="207"/>
      <c r="AA522" s="170"/>
      <c r="AB522" s="165"/>
      <c r="AC522" s="166"/>
      <c r="AD522" s="207"/>
      <c r="AE522" s="170"/>
      <c r="AF522" s="165"/>
      <c r="AG522" s="166"/>
      <c r="AH522" s="207"/>
      <c r="AI522" s="170"/>
      <c r="AJ522" s="165"/>
      <c r="AK522" s="166"/>
      <c r="AL522" s="207"/>
      <c r="AM522" s="170"/>
      <c r="AN522" s="165"/>
      <c r="AO522" s="166"/>
      <c r="AP522" s="207">
        <v>311</v>
      </c>
      <c r="AQ522" s="170">
        <v>207</v>
      </c>
      <c r="AR522" s="165">
        <v>274</v>
      </c>
      <c r="AS522" s="166">
        <v>246</v>
      </c>
      <c r="AT522" s="207"/>
      <c r="AU522" s="170"/>
      <c r="AV522" s="190"/>
      <c r="AW522" s="166"/>
      <c r="AX522" s="97"/>
      <c r="AY522" s="58"/>
      <c r="AZ522" s="199"/>
      <c r="BA522" s="204"/>
      <c r="BB522" s="199"/>
      <c r="BC522" s="200"/>
      <c r="BD522" s="199"/>
      <c r="BE522" s="200"/>
      <c r="BF522" s="199"/>
      <c r="BG522" s="200"/>
      <c r="BH522" s="199"/>
      <c r="BI522" s="200"/>
      <c r="BJ522" s="199"/>
      <c r="BK522" s="200"/>
    </row>
    <row r="523" spans="1:63" ht="13" x14ac:dyDescent="0.25">
      <c r="A523" s="372">
        <v>8719</v>
      </c>
      <c r="B523" s="373" t="s">
        <v>646</v>
      </c>
      <c r="C523" s="360">
        <v>1151</v>
      </c>
      <c r="D523" s="54">
        <v>689</v>
      </c>
      <c r="E523" s="367">
        <v>0.63907849829351537</v>
      </c>
      <c r="F523" s="45">
        <v>449</v>
      </c>
      <c r="G523" s="58">
        <v>235</v>
      </c>
      <c r="H523" s="45">
        <v>413</v>
      </c>
      <c r="I523" s="57">
        <v>263</v>
      </c>
      <c r="J523" s="97"/>
      <c r="K523" s="58"/>
      <c r="L523" s="45"/>
      <c r="M523" s="57"/>
      <c r="N523" s="97"/>
      <c r="O523" s="58"/>
      <c r="P523" s="165"/>
      <c r="Q523" s="166"/>
      <c r="R523" s="207"/>
      <c r="S523" s="170"/>
      <c r="T523" s="165"/>
      <c r="U523" s="166"/>
      <c r="V523" s="207"/>
      <c r="W523" s="170"/>
      <c r="X523" s="165"/>
      <c r="Y523" s="166"/>
      <c r="Z523" s="207"/>
      <c r="AA523" s="170"/>
      <c r="AB523" s="165"/>
      <c r="AC523" s="166"/>
      <c r="AD523" s="207"/>
      <c r="AE523" s="170"/>
      <c r="AF523" s="165"/>
      <c r="AG523" s="166"/>
      <c r="AH523" s="207"/>
      <c r="AI523" s="170"/>
      <c r="AJ523" s="165"/>
      <c r="AK523" s="166"/>
      <c r="AL523" s="207"/>
      <c r="AM523" s="170"/>
      <c r="AN523" s="165"/>
      <c r="AO523" s="166"/>
      <c r="AP523" s="207">
        <v>475</v>
      </c>
      <c r="AQ523" s="170">
        <v>199</v>
      </c>
      <c r="AR523" s="165">
        <v>404</v>
      </c>
      <c r="AS523" s="166">
        <v>272</v>
      </c>
      <c r="AT523" s="207"/>
      <c r="AU523" s="170"/>
      <c r="AV523" s="190"/>
      <c r="AW523" s="166"/>
      <c r="AX523" s="97"/>
      <c r="AY523" s="58"/>
      <c r="AZ523" s="199"/>
      <c r="BA523" s="204"/>
      <c r="BB523" s="199"/>
      <c r="BC523" s="200"/>
      <c r="BD523" s="199"/>
      <c r="BE523" s="200"/>
      <c r="BF523" s="199"/>
      <c r="BG523" s="200"/>
      <c r="BH523" s="199"/>
      <c r="BI523" s="200"/>
      <c r="BJ523" s="199"/>
      <c r="BK523" s="200"/>
    </row>
    <row r="524" spans="1:63" ht="13" x14ac:dyDescent="0.25">
      <c r="A524" s="372">
        <v>8720</v>
      </c>
      <c r="B524" s="373" t="s">
        <v>647</v>
      </c>
      <c r="C524" s="360">
        <v>1392</v>
      </c>
      <c r="D524" s="54">
        <v>663</v>
      </c>
      <c r="E524" s="367">
        <v>0.53566333808844513</v>
      </c>
      <c r="F524" s="45">
        <v>454</v>
      </c>
      <c r="G524" s="58">
        <v>204</v>
      </c>
      <c r="H524" s="45">
        <v>425</v>
      </c>
      <c r="I524" s="57">
        <v>225</v>
      </c>
      <c r="J524" s="97"/>
      <c r="K524" s="58"/>
      <c r="L524" s="45"/>
      <c r="M524" s="57"/>
      <c r="N524" s="97"/>
      <c r="O524" s="58"/>
      <c r="P524" s="165"/>
      <c r="Q524" s="166"/>
      <c r="R524" s="207"/>
      <c r="S524" s="170"/>
      <c r="T524" s="165"/>
      <c r="U524" s="166"/>
      <c r="V524" s="207"/>
      <c r="W524" s="170"/>
      <c r="X524" s="165"/>
      <c r="Y524" s="166"/>
      <c r="Z524" s="207"/>
      <c r="AA524" s="170"/>
      <c r="AB524" s="165"/>
      <c r="AC524" s="166"/>
      <c r="AD524" s="207"/>
      <c r="AE524" s="170"/>
      <c r="AF524" s="165"/>
      <c r="AG524" s="166"/>
      <c r="AH524" s="207"/>
      <c r="AI524" s="170"/>
      <c r="AJ524" s="165"/>
      <c r="AK524" s="166"/>
      <c r="AL524" s="207"/>
      <c r="AM524" s="170"/>
      <c r="AN524" s="165"/>
      <c r="AO524" s="166"/>
      <c r="AP524" s="207">
        <v>388</v>
      </c>
      <c r="AQ524" s="170">
        <v>256</v>
      </c>
      <c r="AR524" s="165">
        <v>332</v>
      </c>
      <c r="AS524" s="166">
        <v>318</v>
      </c>
      <c r="AT524" s="207"/>
      <c r="AU524" s="170"/>
      <c r="AV524" s="190"/>
      <c r="AW524" s="166"/>
      <c r="AX524" s="97"/>
      <c r="AY524" s="58"/>
      <c r="AZ524" s="199"/>
      <c r="BA524" s="204"/>
      <c r="BB524" s="199"/>
      <c r="BC524" s="200"/>
      <c r="BD524" s="199"/>
      <c r="BE524" s="200"/>
      <c r="BF524" s="199"/>
      <c r="BG524" s="200"/>
      <c r="BH524" s="199"/>
      <c r="BI524" s="200"/>
      <c r="BJ524" s="199"/>
      <c r="BK524" s="200"/>
    </row>
    <row r="525" spans="1:63" ht="13" x14ac:dyDescent="0.25">
      <c r="A525" s="372">
        <v>8721</v>
      </c>
      <c r="B525" s="373" t="s">
        <v>648</v>
      </c>
      <c r="C525" s="360">
        <v>1306</v>
      </c>
      <c r="D525" s="54">
        <v>815</v>
      </c>
      <c r="E525" s="367">
        <v>0.6389751552795031</v>
      </c>
      <c r="F525" s="45">
        <v>544</v>
      </c>
      <c r="G525" s="58">
        <v>266</v>
      </c>
      <c r="H525" s="45">
        <v>528</v>
      </c>
      <c r="I525" s="57">
        <v>277</v>
      </c>
      <c r="J525" s="97"/>
      <c r="K525" s="58"/>
      <c r="L525" s="45"/>
      <c r="M525" s="57"/>
      <c r="N525" s="97"/>
      <c r="O525" s="58"/>
      <c r="P525" s="165"/>
      <c r="Q525" s="166"/>
      <c r="R525" s="207"/>
      <c r="S525" s="170"/>
      <c r="T525" s="165"/>
      <c r="U525" s="166"/>
      <c r="V525" s="207"/>
      <c r="W525" s="170"/>
      <c r="X525" s="165"/>
      <c r="Y525" s="166"/>
      <c r="Z525" s="207"/>
      <c r="AA525" s="170"/>
      <c r="AB525" s="165"/>
      <c r="AC525" s="166"/>
      <c r="AD525" s="207"/>
      <c r="AE525" s="170"/>
      <c r="AF525" s="165"/>
      <c r="AG525" s="166"/>
      <c r="AH525" s="207"/>
      <c r="AI525" s="170"/>
      <c r="AJ525" s="165"/>
      <c r="AK525" s="166"/>
      <c r="AL525" s="207"/>
      <c r="AM525" s="170"/>
      <c r="AN525" s="165"/>
      <c r="AO525" s="166"/>
      <c r="AP525" s="207">
        <v>582</v>
      </c>
      <c r="AQ525" s="170">
        <v>215</v>
      </c>
      <c r="AR525" s="165">
        <v>514</v>
      </c>
      <c r="AS525" s="166">
        <v>281</v>
      </c>
      <c r="AT525" s="207"/>
      <c r="AU525" s="170"/>
      <c r="AV525" s="190"/>
      <c r="AW525" s="166"/>
      <c r="AX525" s="97"/>
      <c r="AY525" s="58"/>
      <c r="AZ525" s="199"/>
      <c r="BA525" s="204"/>
      <c r="BB525" s="199"/>
      <c r="BC525" s="200"/>
      <c r="BD525" s="199"/>
      <c r="BE525" s="200"/>
      <c r="BF525" s="199"/>
      <c r="BG525" s="200"/>
      <c r="BH525" s="199"/>
      <c r="BI525" s="200"/>
      <c r="BJ525" s="199"/>
      <c r="BK525" s="200"/>
    </row>
    <row r="526" spans="1:63" ht="13" x14ac:dyDescent="0.25">
      <c r="A526" s="372">
        <v>8722</v>
      </c>
      <c r="B526" s="373" t="s">
        <v>649</v>
      </c>
      <c r="C526" s="360">
        <v>1040</v>
      </c>
      <c r="D526" s="54">
        <v>685</v>
      </c>
      <c r="E526" s="367">
        <v>0.71992300288739175</v>
      </c>
      <c r="F526" s="45">
        <v>401</v>
      </c>
      <c r="G526" s="58">
        <v>279</v>
      </c>
      <c r="H526" s="45">
        <v>393</v>
      </c>
      <c r="I526" s="57">
        <v>279</v>
      </c>
      <c r="J526" s="97"/>
      <c r="K526" s="58"/>
      <c r="L526" s="45"/>
      <c r="M526" s="57"/>
      <c r="N526" s="97"/>
      <c r="O526" s="58"/>
      <c r="P526" s="165"/>
      <c r="Q526" s="166"/>
      <c r="R526" s="207"/>
      <c r="S526" s="170"/>
      <c r="T526" s="165"/>
      <c r="U526" s="166"/>
      <c r="V526" s="207"/>
      <c r="W526" s="170"/>
      <c r="X526" s="165"/>
      <c r="Y526" s="166"/>
      <c r="Z526" s="207"/>
      <c r="AA526" s="170"/>
      <c r="AB526" s="165"/>
      <c r="AC526" s="166"/>
      <c r="AD526" s="207"/>
      <c r="AE526" s="170"/>
      <c r="AF526" s="165"/>
      <c r="AG526" s="166"/>
      <c r="AH526" s="207"/>
      <c r="AI526" s="170"/>
      <c r="AJ526" s="165"/>
      <c r="AK526" s="166"/>
      <c r="AL526" s="207"/>
      <c r="AM526" s="170"/>
      <c r="AN526" s="165"/>
      <c r="AO526" s="166"/>
      <c r="AP526" s="207">
        <v>445</v>
      </c>
      <c r="AQ526" s="170">
        <v>227</v>
      </c>
      <c r="AR526" s="165">
        <v>327</v>
      </c>
      <c r="AS526" s="166">
        <v>348</v>
      </c>
      <c r="AT526" s="207"/>
      <c r="AU526" s="170"/>
      <c r="AV526" s="190"/>
      <c r="AW526" s="166"/>
      <c r="AX526" s="97"/>
      <c r="AY526" s="58"/>
      <c r="AZ526" s="199"/>
      <c r="BA526" s="204"/>
      <c r="BB526" s="199"/>
      <c r="BC526" s="200"/>
      <c r="BD526" s="199"/>
      <c r="BE526" s="200"/>
      <c r="BF526" s="199"/>
      <c r="BG526" s="200"/>
      <c r="BH526" s="199"/>
      <c r="BI526" s="200"/>
      <c r="BJ526" s="199"/>
      <c r="BK526" s="200"/>
    </row>
    <row r="527" spans="1:63" ht="13" x14ac:dyDescent="0.25">
      <c r="A527" s="372">
        <v>8723</v>
      </c>
      <c r="B527" s="373" t="s">
        <v>650</v>
      </c>
      <c r="C527" s="360">
        <v>1301</v>
      </c>
      <c r="D527" s="54">
        <v>711</v>
      </c>
      <c r="E527" s="367">
        <v>0.55159038013964312</v>
      </c>
      <c r="F527" s="45">
        <v>440</v>
      </c>
      <c r="G527" s="58">
        <v>263</v>
      </c>
      <c r="H527" s="45">
        <v>437</v>
      </c>
      <c r="I527" s="57">
        <v>258</v>
      </c>
      <c r="J527" s="97"/>
      <c r="K527" s="58"/>
      <c r="L527" s="45"/>
      <c r="M527" s="57"/>
      <c r="N527" s="97"/>
      <c r="O527" s="58"/>
      <c r="P527" s="165"/>
      <c r="Q527" s="166"/>
      <c r="R527" s="207"/>
      <c r="S527" s="170"/>
      <c r="T527" s="165"/>
      <c r="U527" s="166"/>
      <c r="V527" s="207"/>
      <c r="W527" s="170"/>
      <c r="X527" s="165"/>
      <c r="Y527" s="166"/>
      <c r="Z527" s="207"/>
      <c r="AA527" s="170"/>
      <c r="AB527" s="165"/>
      <c r="AC527" s="166"/>
      <c r="AD527" s="207"/>
      <c r="AE527" s="170"/>
      <c r="AF527" s="165"/>
      <c r="AG527" s="166"/>
      <c r="AH527" s="207"/>
      <c r="AI527" s="170"/>
      <c r="AJ527" s="165"/>
      <c r="AK527" s="166"/>
      <c r="AL527" s="207"/>
      <c r="AM527" s="170"/>
      <c r="AN527" s="165"/>
      <c r="AO527" s="166"/>
      <c r="AP527" s="207">
        <v>484</v>
      </c>
      <c r="AQ527" s="170">
        <v>211</v>
      </c>
      <c r="AR527" s="165">
        <v>396</v>
      </c>
      <c r="AS527" s="166">
        <v>304</v>
      </c>
      <c r="AT527" s="207"/>
      <c r="AU527" s="170"/>
      <c r="AV527" s="190"/>
      <c r="AW527" s="166"/>
      <c r="AX527" s="97"/>
      <c r="AY527" s="58"/>
      <c r="AZ527" s="199"/>
      <c r="BA527" s="204"/>
      <c r="BB527" s="199"/>
      <c r="BC527" s="200"/>
      <c r="BD527" s="199"/>
      <c r="BE527" s="200"/>
      <c r="BF527" s="199"/>
      <c r="BG527" s="200"/>
      <c r="BH527" s="199"/>
      <c r="BI527" s="200"/>
      <c r="BJ527" s="199"/>
      <c r="BK527" s="200"/>
    </row>
    <row r="528" spans="1:63" ht="13" x14ac:dyDescent="0.25">
      <c r="A528" s="372">
        <v>8724</v>
      </c>
      <c r="B528" s="373" t="s">
        <v>651</v>
      </c>
      <c r="C528" s="360">
        <v>699</v>
      </c>
      <c r="D528" s="54">
        <v>354</v>
      </c>
      <c r="E528" s="367">
        <v>0.57752489331436696</v>
      </c>
      <c r="F528" s="45">
        <v>262</v>
      </c>
      <c r="G528" s="58">
        <v>90</v>
      </c>
      <c r="H528" s="45">
        <v>248</v>
      </c>
      <c r="I528" s="57">
        <v>100</v>
      </c>
      <c r="J528" s="97"/>
      <c r="K528" s="58"/>
      <c r="L528" s="45"/>
      <c r="M528" s="57"/>
      <c r="N528" s="97"/>
      <c r="O528" s="58"/>
      <c r="P528" s="165"/>
      <c r="Q528" s="166"/>
      <c r="R528" s="207"/>
      <c r="S528" s="170"/>
      <c r="T528" s="165"/>
      <c r="U528" s="166"/>
      <c r="V528" s="207"/>
      <c r="W528" s="170"/>
      <c r="X528" s="165"/>
      <c r="Y528" s="166"/>
      <c r="Z528" s="207"/>
      <c r="AA528" s="170"/>
      <c r="AB528" s="165"/>
      <c r="AC528" s="166"/>
      <c r="AD528" s="207"/>
      <c r="AE528" s="170"/>
      <c r="AF528" s="165"/>
      <c r="AG528" s="166"/>
      <c r="AH528" s="207"/>
      <c r="AI528" s="170"/>
      <c r="AJ528" s="165"/>
      <c r="AK528" s="166"/>
      <c r="AL528" s="207"/>
      <c r="AM528" s="170"/>
      <c r="AN528" s="165"/>
      <c r="AO528" s="166"/>
      <c r="AP528" s="207">
        <v>224</v>
      </c>
      <c r="AQ528" s="170">
        <v>118</v>
      </c>
      <c r="AR528" s="165">
        <v>197</v>
      </c>
      <c r="AS528" s="166">
        <v>149</v>
      </c>
      <c r="AT528" s="207"/>
      <c r="AU528" s="170"/>
      <c r="AV528" s="190"/>
      <c r="AW528" s="166"/>
      <c r="AX528" s="97"/>
      <c r="AY528" s="58"/>
      <c r="AZ528" s="199"/>
      <c r="BA528" s="204"/>
      <c r="BB528" s="199"/>
      <c r="BC528" s="200"/>
      <c r="BD528" s="199"/>
      <c r="BE528" s="200"/>
      <c r="BF528" s="199"/>
      <c r="BG528" s="200"/>
      <c r="BH528" s="199"/>
      <c r="BI528" s="200"/>
      <c r="BJ528" s="199"/>
      <c r="BK528" s="200"/>
    </row>
    <row r="529" spans="1:63" ht="13" x14ac:dyDescent="0.25">
      <c r="A529" s="372">
        <v>8725</v>
      </c>
      <c r="B529" s="373" t="s">
        <v>652</v>
      </c>
      <c r="C529" s="360">
        <v>949</v>
      </c>
      <c r="D529" s="54">
        <v>384</v>
      </c>
      <c r="E529" s="367">
        <v>0.44183564567769479</v>
      </c>
      <c r="F529" s="45">
        <v>290</v>
      </c>
      <c r="G529" s="58">
        <v>89</v>
      </c>
      <c r="H529" s="45">
        <v>256</v>
      </c>
      <c r="I529" s="57">
        <v>123</v>
      </c>
      <c r="J529" s="97"/>
      <c r="K529" s="58"/>
      <c r="L529" s="45"/>
      <c r="M529" s="57"/>
      <c r="N529" s="97"/>
      <c r="O529" s="58"/>
      <c r="P529" s="165"/>
      <c r="Q529" s="166"/>
      <c r="R529" s="207"/>
      <c r="S529" s="170"/>
      <c r="T529" s="165"/>
      <c r="U529" s="166"/>
      <c r="V529" s="207"/>
      <c r="W529" s="170"/>
      <c r="X529" s="165"/>
      <c r="Y529" s="166"/>
      <c r="Z529" s="207"/>
      <c r="AA529" s="170"/>
      <c r="AB529" s="165"/>
      <c r="AC529" s="166"/>
      <c r="AD529" s="207"/>
      <c r="AE529" s="170"/>
      <c r="AF529" s="165"/>
      <c r="AG529" s="166"/>
      <c r="AH529" s="207"/>
      <c r="AI529" s="170"/>
      <c r="AJ529" s="165"/>
      <c r="AK529" s="166"/>
      <c r="AL529" s="207"/>
      <c r="AM529" s="170"/>
      <c r="AN529" s="165"/>
      <c r="AO529" s="166"/>
      <c r="AP529" s="207">
        <v>222</v>
      </c>
      <c r="AQ529" s="170">
        <v>155</v>
      </c>
      <c r="AR529" s="165">
        <v>200</v>
      </c>
      <c r="AS529" s="166">
        <v>182</v>
      </c>
      <c r="AT529" s="207"/>
      <c r="AU529" s="170"/>
      <c r="AV529" s="190"/>
      <c r="AW529" s="166"/>
      <c r="AX529" s="97"/>
      <c r="AY529" s="58"/>
      <c r="AZ529" s="199"/>
      <c r="BA529" s="204"/>
      <c r="BB529" s="199"/>
      <c r="BC529" s="200"/>
      <c r="BD529" s="199"/>
      <c r="BE529" s="200"/>
      <c r="BF529" s="199"/>
      <c r="BG529" s="200"/>
      <c r="BH529" s="199"/>
      <c r="BI529" s="200"/>
      <c r="BJ529" s="199"/>
      <c r="BK529" s="200"/>
    </row>
    <row r="530" spans="1:63" ht="13" x14ac:dyDescent="0.25">
      <c r="A530" s="372">
        <v>8726</v>
      </c>
      <c r="B530" s="373" t="s">
        <v>653</v>
      </c>
      <c r="C530" s="360">
        <v>669</v>
      </c>
      <c r="D530" s="54">
        <v>350</v>
      </c>
      <c r="E530" s="367">
        <v>0.53680981595092025</v>
      </c>
      <c r="F530" s="45">
        <v>259</v>
      </c>
      <c r="G530" s="58">
        <v>84</v>
      </c>
      <c r="H530" s="45">
        <v>240</v>
      </c>
      <c r="I530" s="57">
        <v>103</v>
      </c>
      <c r="J530" s="97"/>
      <c r="K530" s="58"/>
      <c r="L530" s="45"/>
      <c r="M530" s="57"/>
      <c r="N530" s="97"/>
      <c r="O530" s="58"/>
      <c r="P530" s="165"/>
      <c r="Q530" s="166"/>
      <c r="R530" s="207"/>
      <c r="S530" s="170"/>
      <c r="T530" s="165"/>
      <c r="U530" s="166"/>
      <c r="V530" s="207"/>
      <c r="W530" s="170"/>
      <c r="X530" s="165"/>
      <c r="Y530" s="166"/>
      <c r="Z530" s="207"/>
      <c r="AA530" s="170"/>
      <c r="AB530" s="165"/>
      <c r="AC530" s="166"/>
      <c r="AD530" s="207"/>
      <c r="AE530" s="170"/>
      <c r="AF530" s="165"/>
      <c r="AG530" s="166"/>
      <c r="AH530" s="207"/>
      <c r="AI530" s="170"/>
      <c r="AJ530" s="165"/>
      <c r="AK530" s="166"/>
      <c r="AL530" s="207"/>
      <c r="AM530" s="170"/>
      <c r="AN530" s="165"/>
      <c r="AO530" s="166"/>
      <c r="AP530" s="207">
        <v>237</v>
      </c>
      <c r="AQ530" s="170">
        <v>108</v>
      </c>
      <c r="AR530" s="165">
        <v>212</v>
      </c>
      <c r="AS530" s="166">
        <v>132</v>
      </c>
      <c r="AT530" s="207"/>
      <c r="AU530" s="170"/>
      <c r="AV530" s="190"/>
      <c r="AW530" s="166"/>
      <c r="AX530" s="97"/>
      <c r="AY530" s="58"/>
      <c r="AZ530" s="199"/>
      <c r="BA530" s="204"/>
      <c r="BB530" s="199"/>
      <c r="BC530" s="200"/>
      <c r="BD530" s="199"/>
      <c r="BE530" s="200"/>
      <c r="BF530" s="199"/>
      <c r="BG530" s="200"/>
      <c r="BH530" s="199"/>
      <c r="BI530" s="200"/>
      <c r="BJ530" s="199"/>
      <c r="BK530" s="200"/>
    </row>
    <row r="531" spans="1:63" ht="13" x14ac:dyDescent="0.25">
      <c r="A531" s="372">
        <v>8727</v>
      </c>
      <c r="B531" s="373" t="s">
        <v>654</v>
      </c>
      <c r="C531" s="360">
        <v>1112</v>
      </c>
      <c r="D531" s="54">
        <v>512</v>
      </c>
      <c r="E531" s="367">
        <v>0.50362976406533577</v>
      </c>
      <c r="F531" s="45">
        <v>352</v>
      </c>
      <c r="G531" s="58">
        <v>157</v>
      </c>
      <c r="H531" s="45">
        <v>354</v>
      </c>
      <c r="I531" s="57">
        <v>148</v>
      </c>
      <c r="J531" s="97"/>
      <c r="K531" s="58"/>
      <c r="L531" s="45"/>
      <c r="M531" s="57"/>
      <c r="N531" s="97"/>
      <c r="O531" s="58"/>
      <c r="P531" s="165"/>
      <c r="Q531" s="166"/>
      <c r="R531" s="207"/>
      <c r="S531" s="170"/>
      <c r="T531" s="165"/>
      <c r="U531" s="166"/>
      <c r="V531" s="207"/>
      <c r="W531" s="170"/>
      <c r="X531" s="165"/>
      <c r="Y531" s="166"/>
      <c r="Z531" s="207"/>
      <c r="AA531" s="170"/>
      <c r="AB531" s="165"/>
      <c r="AC531" s="166"/>
      <c r="AD531" s="207"/>
      <c r="AE531" s="170"/>
      <c r="AF531" s="165"/>
      <c r="AG531" s="166"/>
      <c r="AH531" s="207"/>
      <c r="AI531" s="170"/>
      <c r="AJ531" s="165"/>
      <c r="AK531" s="166"/>
      <c r="AL531" s="207"/>
      <c r="AM531" s="170"/>
      <c r="AN531" s="165"/>
      <c r="AO531" s="166"/>
      <c r="AP531" s="207">
        <v>313</v>
      </c>
      <c r="AQ531" s="170">
        <v>184</v>
      </c>
      <c r="AR531" s="165">
        <v>256</v>
      </c>
      <c r="AS531" s="166">
        <v>243</v>
      </c>
      <c r="AT531" s="207"/>
      <c r="AU531" s="170"/>
      <c r="AV531" s="190"/>
      <c r="AW531" s="166"/>
      <c r="AX531" s="97"/>
      <c r="AY531" s="58"/>
      <c r="AZ531" s="199"/>
      <c r="BA531" s="204"/>
      <c r="BB531" s="199"/>
      <c r="BC531" s="200"/>
      <c r="BD531" s="199"/>
      <c r="BE531" s="200"/>
      <c r="BF531" s="199"/>
      <c r="BG531" s="200"/>
      <c r="BH531" s="199"/>
      <c r="BI531" s="200"/>
      <c r="BJ531" s="199"/>
      <c r="BK531" s="200"/>
    </row>
    <row r="532" spans="1:63" ht="13" x14ac:dyDescent="0.25">
      <c r="A532" s="372">
        <v>8728</v>
      </c>
      <c r="B532" s="373" t="s">
        <v>655</v>
      </c>
      <c r="C532" s="360">
        <v>653</v>
      </c>
      <c r="D532" s="54">
        <v>412</v>
      </c>
      <c r="E532" s="367">
        <v>0.71646341463414631</v>
      </c>
      <c r="F532" s="45">
        <v>205</v>
      </c>
      <c r="G532" s="58">
        <v>200</v>
      </c>
      <c r="H532" s="45">
        <v>193</v>
      </c>
      <c r="I532" s="57">
        <v>213</v>
      </c>
      <c r="J532" s="97"/>
      <c r="K532" s="58"/>
      <c r="L532" s="45"/>
      <c r="M532" s="57"/>
      <c r="N532" s="97"/>
      <c r="O532" s="58"/>
      <c r="P532" s="165"/>
      <c r="Q532" s="166"/>
      <c r="R532" s="207"/>
      <c r="S532" s="170"/>
      <c r="T532" s="165"/>
      <c r="U532" s="166"/>
      <c r="V532" s="207"/>
      <c r="W532" s="170"/>
      <c r="X532" s="165"/>
      <c r="Y532" s="166"/>
      <c r="Z532" s="207"/>
      <c r="AA532" s="170"/>
      <c r="AB532" s="165"/>
      <c r="AC532" s="166"/>
      <c r="AD532" s="207"/>
      <c r="AE532" s="170"/>
      <c r="AF532" s="165"/>
      <c r="AG532" s="166"/>
      <c r="AH532" s="207"/>
      <c r="AI532" s="170"/>
      <c r="AJ532" s="165"/>
      <c r="AK532" s="166"/>
      <c r="AL532" s="207"/>
      <c r="AM532" s="170"/>
      <c r="AN532" s="165"/>
      <c r="AO532" s="166"/>
      <c r="AP532" s="207">
        <v>253</v>
      </c>
      <c r="AQ532" s="170">
        <v>152</v>
      </c>
      <c r="AR532" s="165">
        <v>183</v>
      </c>
      <c r="AS532" s="166">
        <v>227</v>
      </c>
      <c r="AT532" s="207"/>
      <c r="AU532" s="170"/>
      <c r="AV532" s="190"/>
      <c r="AW532" s="166"/>
      <c r="AX532" s="97"/>
      <c r="AY532" s="58"/>
      <c r="AZ532" s="199"/>
      <c r="BA532" s="204"/>
      <c r="BB532" s="199"/>
      <c r="BC532" s="200"/>
      <c r="BD532" s="199"/>
      <c r="BE532" s="200"/>
      <c r="BF532" s="199"/>
      <c r="BG532" s="200"/>
      <c r="BH532" s="199"/>
      <c r="BI532" s="200"/>
      <c r="BJ532" s="199"/>
      <c r="BK532" s="200"/>
    </row>
    <row r="533" spans="1:63" ht="13" x14ac:dyDescent="0.25">
      <c r="A533" s="372">
        <v>8901</v>
      </c>
      <c r="B533" s="373" t="s">
        <v>656</v>
      </c>
      <c r="C533" s="360">
        <v>123</v>
      </c>
      <c r="D533" s="54">
        <v>56</v>
      </c>
      <c r="E533" s="367">
        <v>0.43283582089552236</v>
      </c>
      <c r="F533" s="45">
        <v>50</v>
      </c>
      <c r="G533" s="58">
        <v>5</v>
      </c>
      <c r="H533" s="45">
        <v>48</v>
      </c>
      <c r="I533" s="57">
        <v>8</v>
      </c>
      <c r="J533" s="97"/>
      <c r="K533" s="58"/>
      <c r="L533" s="45"/>
      <c r="M533" s="57"/>
      <c r="N533" s="97"/>
      <c r="O533" s="58"/>
      <c r="P533" s="165"/>
      <c r="Q533" s="166"/>
      <c r="R533" s="207"/>
      <c r="S533" s="170"/>
      <c r="T533" s="165"/>
      <c r="U533" s="166"/>
      <c r="V533" s="207"/>
      <c r="W533" s="170"/>
      <c r="X533" s="165"/>
      <c r="Y533" s="166"/>
      <c r="Z533" s="207"/>
      <c r="AA533" s="170"/>
      <c r="AB533" s="165"/>
      <c r="AC533" s="166"/>
      <c r="AD533" s="207"/>
      <c r="AE533" s="170"/>
      <c r="AF533" s="165"/>
      <c r="AG533" s="166"/>
      <c r="AH533" s="207"/>
      <c r="AI533" s="170"/>
      <c r="AJ533" s="165"/>
      <c r="AK533" s="166"/>
      <c r="AL533" s="207"/>
      <c r="AM533" s="170"/>
      <c r="AN533" s="165"/>
      <c r="AO533" s="166"/>
      <c r="AP533" s="207">
        <v>43</v>
      </c>
      <c r="AQ533" s="170">
        <v>13</v>
      </c>
      <c r="AR533" s="165">
        <v>38</v>
      </c>
      <c r="AS533" s="166">
        <v>18</v>
      </c>
      <c r="AT533" s="207"/>
      <c r="AU533" s="170"/>
      <c r="AV533" s="190"/>
      <c r="AW533" s="166"/>
      <c r="AX533" s="97"/>
      <c r="AY533" s="58"/>
      <c r="AZ533" s="199"/>
      <c r="BA533" s="204"/>
      <c r="BB533" s="199"/>
      <c r="BC533" s="200"/>
      <c r="BD533" s="199"/>
      <c r="BE533" s="200"/>
      <c r="BF533" s="199"/>
      <c r="BG533" s="200"/>
      <c r="BH533" s="199"/>
      <c r="BI533" s="200"/>
      <c r="BJ533" s="199"/>
      <c r="BK533" s="200"/>
    </row>
    <row r="534" spans="1:63" ht="13" x14ac:dyDescent="0.25">
      <c r="A534" s="372">
        <v>8902</v>
      </c>
      <c r="B534" s="373" t="s">
        <v>657</v>
      </c>
      <c r="C534" s="360">
        <v>1256</v>
      </c>
      <c r="D534" s="54">
        <v>629</v>
      </c>
      <c r="E534" s="367">
        <v>0.52996108949416343</v>
      </c>
      <c r="F534" s="45">
        <v>324</v>
      </c>
      <c r="G534" s="58">
        <v>298</v>
      </c>
      <c r="H534" s="45">
        <v>369</v>
      </c>
      <c r="I534" s="57">
        <v>249</v>
      </c>
      <c r="J534" s="97"/>
      <c r="K534" s="58"/>
      <c r="L534" s="45"/>
      <c r="M534" s="57"/>
      <c r="N534" s="97"/>
      <c r="O534" s="58"/>
      <c r="P534" s="165"/>
      <c r="Q534" s="166"/>
      <c r="R534" s="207"/>
      <c r="S534" s="170"/>
      <c r="T534" s="165"/>
      <c r="U534" s="166"/>
      <c r="V534" s="207"/>
      <c r="W534" s="170"/>
      <c r="X534" s="165"/>
      <c r="Y534" s="166"/>
      <c r="Z534" s="207"/>
      <c r="AA534" s="170"/>
      <c r="AB534" s="165"/>
      <c r="AC534" s="166"/>
      <c r="AD534" s="207"/>
      <c r="AE534" s="170"/>
      <c r="AF534" s="165"/>
      <c r="AG534" s="166"/>
      <c r="AH534" s="207"/>
      <c r="AI534" s="170"/>
      <c r="AJ534" s="165"/>
      <c r="AK534" s="166"/>
      <c r="AL534" s="207"/>
      <c r="AM534" s="170"/>
      <c r="AN534" s="165"/>
      <c r="AO534" s="166"/>
      <c r="AP534" s="207">
        <v>378</v>
      </c>
      <c r="AQ534" s="170">
        <v>231</v>
      </c>
      <c r="AR534" s="165">
        <v>292</v>
      </c>
      <c r="AS534" s="166">
        <v>320</v>
      </c>
      <c r="AT534" s="207"/>
      <c r="AU534" s="170"/>
      <c r="AV534" s="190"/>
      <c r="AW534" s="166"/>
      <c r="AX534" s="97"/>
      <c r="AY534" s="58"/>
      <c r="AZ534" s="199"/>
      <c r="BA534" s="204"/>
      <c r="BB534" s="199"/>
      <c r="BC534" s="200"/>
      <c r="BD534" s="199"/>
      <c r="BE534" s="200"/>
      <c r="BF534" s="199"/>
      <c r="BG534" s="200"/>
      <c r="BH534" s="199"/>
      <c r="BI534" s="200"/>
      <c r="BJ534" s="199"/>
      <c r="BK534" s="200"/>
    </row>
    <row r="535" spans="1:63" ht="13" x14ac:dyDescent="0.25">
      <c r="A535" s="372">
        <v>8903</v>
      </c>
      <c r="B535" s="373" t="s">
        <v>658</v>
      </c>
      <c r="C535" s="360">
        <v>1393</v>
      </c>
      <c r="D535" s="54">
        <v>627</v>
      </c>
      <c r="E535" s="367">
        <v>0.48692579505300354</v>
      </c>
      <c r="F535" s="45">
        <v>360</v>
      </c>
      <c r="G535" s="58">
        <v>262</v>
      </c>
      <c r="H535" s="45">
        <v>419</v>
      </c>
      <c r="I535" s="57">
        <v>203</v>
      </c>
      <c r="J535" s="97"/>
      <c r="K535" s="58"/>
      <c r="L535" s="45"/>
      <c r="M535" s="57"/>
      <c r="N535" s="97"/>
      <c r="O535" s="58"/>
      <c r="P535" s="165"/>
      <c r="Q535" s="166"/>
      <c r="R535" s="207"/>
      <c r="S535" s="170"/>
      <c r="T535" s="165"/>
      <c r="U535" s="166"/>
      <c r="V535" s="207"/>
      <c r="W535" s="170"/>
      <c r="X535" s="165"/>
      <c r="Y535" s="166"/>
      <c r="Z535" s="207"/>
      <c r="AA535" s="170"/>
      <c r="AB535" s="165"/>
      <c r="AC535" s="166"/>
      <c r="AD535" s="207"/>
      <c r="AE535" s="170"/>
      <c r="AF535" s="165"/>
      <c r="AG535" s="166"/>
      <c r="AH535" s="207"/>
      <c r="AI535" s="170"/>
      <c r="AJ535" s="165"/>
      <c r="AK535" s="166"/>
      <c r="AL535" s="207"/>
      <c r="AM535" s="170"/>
      <c r="AN535" s="165"/>
      <c r="AO535" s="166"/>
      <c r="AP535" s="207">
        <v>405</v>
      </c>
      <c r="AQ535" s="170">
        <v>208</v>
      </c>
      <c r="AR535" s="165">
        <v>328</v>
      </c>
      <c r="AS535" s="166">
        <v>281</v>
      </c>
      <c r="AT535" s="207"/>
      <c r="AU535" s="170"/>
      <c r="AV535" s="190"/>
      <c r="AW535" s="166"/>
      <c r="AX535" s="208"/>
      <c r="AY535" s="170"/>
      <c r="AZ535" s="199"/>
      <c r="BA535" s="204"/>
      <c r="BB535" s="199"/>
      <c r="BC535" s="200"/>
      <c r="BD535" s="199"/>
      <c r="BE535" s="200"/>
      <c r="BF535" s="199"/>
      <c r="BG535" s="200"/>
      <c r="BH535" s="199"/>
      <c r="BI535" s="200"/>
      <c r="BJ535" s="199"/>
      <c r="BK535" s="200"/>
    </row>
    <row r="536" spans="1:63" ht="13" x14ac:dyDescent="0.25">
      <c r="A536" s="372">
        <v>8904</v>
      </c>
      <c r="B536" s="373" t="s">
        <v>659</v>
      </c>
      <c r="C536" s="360">
        <v>741</v>
      </c>
      <c r="D536" s="54">
        <v>490</v>
      </c>
      <c r="E536" s="367">
        <v>0.6977058029689609</v>
      </c>
      <c r="F536" s="45">
        <v>283</v>
      </c>
      <c r="G536" s="58">
        <v>201</v>
      </c>
      <c r="H536" s="45">
        <v>271</v>
      </c>
      <c r="I536" s="57">
        <v>213</v>
      </c>
      <c r="J536" s="97"/>
      <c r="K536" s="58"/>
      <c r="L536" s="45"/>
      <c r="M536" s="57"/>
      <c r="N536" s="97"/>
      <c r="O536" s="58"/>
      <c r="P536" s="165"/>
      <c r="Q536" s="166"/>
      <c r="R536" s="207"/>
      <c r="S536" s="170"/>
      <c r="T536" s="165"/>
      <c r="U536" s="166"/>
      <c r="V536" s="207"/>
      <c r="W536" s="170"/>
      <c r="X536" s="165"/>
      <c r="Y536" s="166"/>
      <c r="Z536" s="207"/>
      <c r="AA536" s="170"/>
      <c r="AB536" s="165"/>
      <c r="AC536" s="166"/>
      <c r="AD536" s="207"/>
      <c r="AE536" s="170"/>
      <c r="AF536" s="165"/>
      <c r="AG536" s="166"/>
      <c r="AH536" s="207"/>
      <c r="AI536" s="170"/>
      <c r="AJ536" s="165"/>
      <c r="AK536" s="166"/>
      <c r="AL536" s="207"/>
      <c r="AM536" s="170"/>
      <c r="AN536" s="165"/>
      <c r="AO536" s="166"/>
      <c r="AP536" s="207">
        <v>347</v>
      </c>
      <c r="AQ536" s="170">
        <v>136</v>
      </c>
      <c r="AR536" s="165">
        <v>281</v>
      </c>
      <c r="AS536" s="166">
        <v>202</v>
      </c>
      <c r="AT536" s="207"/>
      <c r="AU536" s="170"/>
      <c r="AV536" s="190"/>
      <c r="AW536" s="166"/>
      <c r="AX536" s="208"/>
      <c r="AY536" s="170"/>
      <c r="AZ536" s="199"/>
      <c r="BA536" s="204"/>
      <c r="BB536" s="199"/>
      <c r="BC536" s="200"/>
      <c r="BD536" s="199"/>
      <c r="BE536" s="200"/>
      <c r="BF536" s="199"/>
      <c r="BG536" s="200"/>
      <c r="BH536" s="199"/>
      <c r="BI536" s="200"/>
      <c r="BJ536" s="199"/>
      <c r="BK536" s="200"/>
    </row>
    <row r="537" spans="1:63" ht="13" x14ac:dyDescent="0.25">
      <c r="A537" s="372">
        <v>8905</v>
      </c>
      <c r="B537" s="373" t="s">
        <v>660</v>
      </c>
      <c r="C537" s="360">
        <v>1311</v>
      </c>
      <c r="D537" s="54">
        <v>820</v>
      </c>
      <c r="E537" s="367">
        <v>0.66894977168949776</v>
      </c>
      <c r="F537" s="45">
        <v>474</v>
      </c>
      <c r="G537" s="58">
        <v>343</v>
      </c>
      <c r="H537" s="45">
        <v>448</v>
      </c>
      <c r="I537" s="57">
        <v>355</v>
      </c>
      <c r="J537" s="97"/>
      <c r="K537" s="58"/>
      <c r="L537" s="45"/>
      <c r="M537" s="57"/>
      <c r="N537" s="97"/>
      <c r="O537" s="58"/>
      <c r="P537" s="165"/>
      <c r="Q537" s="166"/>
      <c r="R537" s="207"/>
      <c r="S537" s="170"/>
      <c r="T537" s="165"/>
      <c r="U537" s="166"/>
      <c r="V537" s="207"/>
      <c r="W537" s="170"/>
      <c r="X537" s="165"/>
      <c r="Y537" s="166"/>
      <c r="Z537" s="207"/>
      <c r="AA537" s="170"/>
      <c r="AB537" s="165"/>
      <c r="AC537" s="166"/>
      <c r="AD537" s="207"/>
      <c r="AE537" s="170"/>
      <c r="AF537" s="165"/>
      <c r="AG537" s="166"/>
      <c r="AH537" s="207"/>
      <c r="AI537" s="170"/>
      <c r="AJ537" s="165"/>
      <c r="AK537" s="166"/>
      <c r="AL537" s="207"/>
      <c r="AM537" s="170"/>
      <c r="AN537" s="165"/>
      <c r="AO537" s="166"/>
      <c r="AP537" s="207">
        <v>574</v>
      </c>
      <c r="AQ537" s="170">
        <v>226</v>
      </c>
      <c r="AR537" s="165">
        <v>467</v>
      </c>
      <c r="AS537" s="166">
        <v>328</v>
      </c>
      <c r="AT537" s="207"/>
      <c r="AU537" s="170"/>
      <c r="AV537" s="190"/>
      <c r="AW537" s="166"/>
      <c r="AX537" s="208"/>
      <c r="AY537" s="170"/>
      <c r="AZ537" s="199"/>
      <c r="BA537" s="204"/>
      <c r="BB537" s="199"/>
      <c r="BC537" s="200"/>
      <c r="BD537" s="199"/>
      <c r="BE537" s="200"/>
      <c r="BF537" s="199"/>
      <c r="BG537" s="200"/>
      <c r="BH537" s="199"/>
      <c r="BI537" s="200"/>
      <c r="BJ537" s="199"/>
      <c r="BK537" s="200"/>
    </row>
    <row r="538" spans="1:63" ht="13" x14ac:dyDescent="0.25">
      <c r="A538" s="372">
        <v>8906</v>
      </c>
      <c r="B538" s="373" t="s">
        <v>661</v>
      </c>
      <c r="C538" s="360">
        <v>865</v>
      </c>
      <c r="D538" s="54">
        <v>541</v>
      </c>
      <c r="E538" s="367">
        <v>0.67085714285714282</v>
      </c>
      <c r="F538" s="45">
        <v>337</v>
      </c>
      <c r="G538" s="58">
        <v>202</v>
      </c>
      <c r="H538" s="45">
        <v>331</v>
      </c>
      <c r="I538" s="57">
        <v>200</v>
      </c>
      <c r="J538" s="97"/>
      <c r="K538" s="58"/>
      <c r="L538" s="45"/>
      <c r="M538" s="57"/>
      <c r="N538" s="97"/>
      <c r="O538" s="58"/>
      <c r="P538" s="165"/>
      <c r="Q538" s="166"/>
      <c r="R538" s="207"/>
      <c r="S538" s="170"/>
      <c r="T538" s="165"/>
      <c r="U538" s="166"/>
      <c r="V538" s="207"/>
      <c r="W538" s="170"/>
      <c r="X538" s="165"/>
      <c r="Y538" s="166"/>
      <c r="Z538" s="207"/>
      <c r="AA538" s="170"/>
      <c r="AB538" s="165"/>
      <c r="AC538" s="166"/>
      <c r="AD538" s="207"/>
      <c r="AE538" s="170"/>
      <c r="AF538" s="165"/>
      <c r="AG538" s="166"/>
      <c r="AH538" s="207"/>
      <c r="AI538" s="170"/>
      <c r="AJ538" s="165"/>
      <c r="AK538" s="166"/>
      <c r="AL538" s="207"/>
      <c r="AM538" s="170"/>
      <c r="AN538" s="165"/>
      <c r="AO538" s="166"/>
      <c r="AP538" s="207">
        <v>422</v>
      </c>
      <c r="AQ538" s="170">
        <v>110</v>
      </c>
      <c r="AR538" s="165">
        <v>349</v>
      </c>
      <c r="AS538" s="166">
        <v>181</v>
      </c>
      <c r="AT538" s="207"/>
      <c r="AU538" s="170"/>
      <c r="AV538" s="190"/>
      <c r="AW538" s="166"/>
      <c r="AX538" s="208"/>
      <c r="AY538" s="170"/>
      <c r="AZ538" s="199"/>
      <c r="BA538" s="204"/>
      <c r="BB538" s="199"/>
      <c r="BC538" s="200"/>
      <c r="BD538" s="199"/>
      <c r="BE538" s="200"/>
      <c r="BF538" s="199"/>
      <c r="BG538" s="200"/>
      <c r="BH538" s="199"/>
      <c r="BI538" s="200"/>
      <c r="BJ538" s="199"/>
      <c r="BK538" s="200"/>
    </row>
    <row r="539" spans="1:63" ht="13" x14ac:dyDescent="0.25">
      <c r="A539" s="372">
        <v>8907</v>
      </c>
      <c r="B539" s="373" t="s">
        <v>662</v>
      </c>
      <c r="C539" s="360">
        <v>1133</v>
      </c>
      <c r="D539" s="54">
        <v>686</v>
      </c>
      <c r="E539" s="367">
        <v>0.64424778761061952</v>
      </c>
      <c r="F539" s="45">
        <v>430</v>
      </c>
      <c r="G539" s="58">
        <v>247</v>
      </c>
      <c r="H539" s="45">
        <v>421</v>
      </c>
      <c r="I539" s="57">
        <v>248</v>
      </c>
      <c r="J539" s="97"/>
      <c r="K539" s="58"/>
      <c r="L539" s="45"/>
      <c r="M539" s="57"/>
      <c r="N539" s="97"/>
      <c r="O539" s="58"/>
      <c r="P539" s="165"/>
      <c r="Q539" s="166"/>
      <c r="R539" s="207"/>
      <c r="S539" s="170"/>
      <c r="T539" s="165"/>
      <c r="U539" s="166"/>
      <c r="V539" s="207"/>
      <c r="W539" s="170"/>
      <c r="X539" s="165"/>
      <c r="Y539" s="166"/>
      <c r="Z539" s="207"/>
      <c r="AA539" s="170"/>
      <c r="AB539" s="165"/>
      <c r="AC539" s="166"/>
      <c r="AD539" s="207"/>
      <c r="AE539" s="170"/>
      <c r="AF539" s="165"/>
      <c r="AG539" s="166"/>
      <c r="AH539" s="207"/>
      <c r="AI539" s="170"/>
      <c r="AJ539" s="165"/>
      <c r="AK539" s="166"/>
      <c r="AL539" s="207"/>
      <c r="AM539" s="170"/>
      <c r="AN539" s="165"/>
      <c r="AO539" s="166"/>
      <c r="AP539" s="207">
        <v>474</v>
      </c>
      <c r="AQ539" s="170">
        <v>198</v>
      </c>
      <c r="AR539" s="165">
        <v>385</v>
      </c>
      <c r="AS539" s="166">
        <v>285</v>
      </c>
      <c r="AT539" s="207"/>
      <c r="AU539" s="170"/>
      <c r="AV539" s="190"/>
      <c r="AW539" s="166"/>
      <c r="AX539" s="208"/>
      <c r="AY539" s="170"/>
      <c r="AZ539" s="199"/>
      <c r="BA539" s="204"/>
      <c r="BB539" s="199"/>
      <c r="BC539" s="200"/>
      <c r="BD539" s="199"/>
      <c r="BE539" s="200"/>
      <c r="BF539" s="199"/>
      <c r="BG539" s="200"/>
      <c r="BH539" s="199"/>
      <c r="BI539" s="200"/>
      <c r="BJ539" s="199"/>
      <c r="BK539" s="200"/>
    </row>
    <row r="540" spans="1:63" ht="13" x14ac:dyDescent="0.25">
      <c r="A540" s="372">
        <v>8908</v>
      </c>
      <c r="B540" s="373" t="s">
        <v>663</v>
      </c>
      <c r="C540" s="360">
        <v>893</v>
      </c>
      <c r="D540" s="54">
        <v>470</v>
      </c>
      <c r="E540" s="367">
        <v>0.57046223224351744</v>
      </c>
      <c r="F540" s="45">
        <v>306</v>
      </c>
      <c r="G540" s="58">
        <v>156</v>
      </c>
      <c r="H540" s="45">
        <v>297</v>
      </c>
      <c r="I540" s="57">
        <v>159</v>
      </c>
      <c r="J540" s="97"/>
      <c r="K540" s="58"/>
      <c r="L540" s="45"/>
      <c r="M540" s="57"/>
      <c r="N540" s="97"/>
      <c r="O540" s="58"/>
      <c r="P540" s="165"/>
      <c r="Q540" s="166"/>
      <c r="R540" s="207"/>
      <c r="S540" s="170"/>
      <c r="T540" s="165"/>
      <c r="U540" s="166"/>
      <c r="V540" s="207"/>
      <c r="W540" s="170"/>
      <c r="X540" s="165"/>
      <c r="Y540" s="166"/>
      <c r="Z540" s="207"/>
      <c r="AA540" s="170"/>
      <c r="AB540" s="165"/>
      <c r="AC540" s="166"/>
      <c r="AD540" s="207"/>
      <c r="AE540" s="170"/>
      <c r="AF540" s="165"/>
      <c r="AG540" s="166"/>
      <c r="AH540" s="207"/>
      <c r="AI540" s="170"/>
      <c r="AJ540" s="165"/>
      <c r="AK540" s="166"/>
      <c r="AL540" s="207"/>
      <c r="AM540" s="170"/>
      <c r="AN540" s="165"/>
      <c r="AO540" s="166"/>
      <c r="AP540" s="207">
        <v>341</v>
      </c>
      <c r="AQ540" s="170">
        <v>119</v>
      </c>
      <c r="AR540" s="165">
        <v>308</v>
      </c>
      <c r="AS540" s="166">
        <v>155</v>
      </c>
      <c r="AT540" s="207"/>
      <c r="AU540" s="170"/>
      <c r="AV540" s="190"/>
      <c r="AW540" s="166"/>
      <c r="AX540" s="208"/>
      <c r="AY540" s="170"/>
      <c r="AZ540" s="199"/>
      <c r="BA540" s="204"/>
      <c r="BB540" s="199"/>
      <c r="BC540" s="200"/>
      <c r="BD540" s="199"/>
      <c r="BE540" s="200"/>
      <c r="BF540" s="199"/>
      <c r="BG540" s="200"/>
      <c r="BH540" s="199"/>
      <c r="BI540" s="200"/>
      <c r="BJ540" s="199"/>
      <c r="BK540" s="200"/>
    </row>
    <row r="541" spans="1:63" ht="13" x14ac:dyDescent="0.25">
      <c r="A541" s="372">
        <v>8909</v>
      </c>
      <c r="B541" s="373" t="s">
        <v>664</v>
      </c>
      <c r="C541" s="360">
        <v>1178</v>
      </c>
      <c r="D541" s="54">
        <v>710</v>
      </c>
      <c r="E541" s="367">
        <v>0.65692821368948251</v>
      </c>
      <c r="F541" s="45">
        <v>361</v>
      </c>
      <c r="G541" s="58">
        <v>346</v>
      </c>
      <c r="H541" s="45">
        <v>325</v>
      </c>
      <c r="I541" s="57">
        <v>372</v>
      </c>
      <c r="J541" s="97"/>
      <c r="K541" s="58"/>
      <c r="L541" s="45"/>
      <c r="M541" s="57"/>
      <c r="N541" s="97"/>
      <c r="O541" s="58"/>
      <c r="P541" s="165"/>
      <c r="Q541" s="166"/>
      <c r="R541" s="207"/>
      <c r="S541" s="170"/>
      <c r="T541" s="165"/>
      <c r="U541" s="166"/>
      <c r="V541" s="207"/>
      <c r="W541" s="170"/>
      <c r="X541" s="165"/>
      <c r="Y541" s="166"/>
      <c r="Z541" s="207"/>
      <c r="AA541" s="170"/>
      <c r="AB541" s="165"/>
      <c r="AC541" s="166"/>
      <c r="AD541" s="207"/>
      <c r="AE541" s="170"/>
      <c r="AF541" s="165"/>
      <c r="AG541" s="166"/>
      <c r="AH541" s="207"/>
      <c r="AI541" s="170"/>
      <c r="AJ541" s="165"/>
      <c r="AK541" s="166"/>
      <c r="AL541" s="207"/>
      <c r="AM541" s="170"/>
      <c r="AN541" s="165"/>
      <c r="AO541" s="166"/>
      <c r="AP541" s="207">
        <v>466</v>
      </c>
      <c r="AQ541" s="170">
        <v>233</v>
      </c>
      <c r="AR541" s="165">
        <v>373</v>
      </c>
      <c r="AS541" s="166">
        <v>330</v>
      </c>
      <c r="AT541" s="207"/>
      <c r="AU541" s="170"/>
      <c r="AV541" s="190"/>
      <c r="AW541" s="166"/>
      <c r="AX541" s="208"/>
      <c r="AY541" s="170"/>
      <c r="AZ541" s="199"/>
      <c r="BA541" s="204"/>
      <c r="BB541" s="199"/>
      <c r="BC541" s="200"/>
      <c r="BD541" s="199"/>
      <c r="BE541" s="200"/>
      <c r="BF541" s="199"/>
      <c r="BG541" s="200"/>
      <c r="BH541" s="199"/>
      <c r="BI541" s="200"/>
      <c r="BJ541" s="199"/>
      <c r="BK541" s="200"/>
    </row>
    <row r="542" spans="1:63" ht="13" x14ac:dyDescent="0.25">
      <c r="A542" s="372">
        <v>8910</v>
      </c>
      <c r="B542" s="373" t="s">
        <v>665</v>
      </c>
      <c r="C542" s="360">
        <v>921</v>
      </c>
      <c r="D542" s="54">
        <v>411</v>
      </c>
      <c r="E542" s="367">
        <v>0.50816104461371059</v>
      </c>
      <c r="F542" s="45">
        <v>305</v>
      </c>
      <c r="G542" s="58">
        <v>102</v>
      </c>
      <c r="H542" s="45">
        <v>285</v>
      </c>
      <c r="I542" s="57">
        <v>118</v>
      </c>
      <c r="J542" s="97"/>
      <c r="K542" s="58"/>
      <c r="L542" s="45"/>
      <c r="M542" s="57"/>
      <c r="N542" s="97"/>
      <c r="O542" s="58"/>
      <c r="P542" s="165"/>
      <c r="Q542" s="166"/>
      <c r="R542" s="207"/>
      <c r="S542" s="170"/>
      <c r="T542" s="165"/>
      <c r="U542" s="166"/>
      <c r="V542" s="207"/>
      <c r="W542" s="170"/>
      <c r="X542" s="165"/>
      <c r="Y542" s="166"/>
      <c r="Z542" s="207"/>
      <c r="AA542" s="170"/>
      <c r="AB542" s="165"/>
      <c r="AC542" s="166"/>
      <c r="AD542" s="207"/>
      <c r="AE542" s="170"/>
      <c r="AF542" s="165"/>
      <c r="AG542" s="166"/>
      <c r="AH542" s="207"/>
      <c r="AI542" s="170"/>
      <c r="AJ542" s="165"/>
      <c r="AK542" s="166"/>
      <c r="AL542" s="207"/>
      <c r="AM542" s="170"/>
      <c r="AN542" s="165"/>
      <c r="AO542" s="166"/>
      <c r="AP542" s="207">
        <v>315</v>
      </c>
      <c r="AQ542" s="170">
        <v>83</v>
      </c>
      <c r="AR542" s="165">
        <v>282</v>
      </c>
      <c r="AS542" s="166">
        <v>119</v>
      </c>
      <c r="AT542" s="207"/>
      <c r="AU542" s="170"/>
      <c r="AV542" s="190"/>
      <c r="AW542" s="166"/>
      <c r="AX542" s="208"/>
      <c r="AY542" s="170"/>
      <c r="AZ542" s="45"/>
      <c r="BA542" s="58"/>
      <c r="BB542" s="45"/>
      <c r="BC542" s="46"/>
      <c r="BD542" s="45"/>
      <c r="BE542" s="46"/>
      <c r="BF542" s="45"/>
      <c r="BG542" s="46"/>
      <c r="BH542" s="45"/>
      <c r="BI542" s="46"/>
      <c r="BJ542" s="45"/>
      <c r="BK542" s="46"/>
    </row>
    <row r="543" spans="1:63" ht="13" x14ac:dyDescent="0.25">
      <c r="A543" s="372">
        <v>8911</v>
      </c>
      <c r="B543" s="373" t="s">
        <v>666</v>
      </c>
      <c r="C543" s="360">
        <v>1264</v>
      </c>
      <c r="D543" s="54">
        <v>640</v>
      </c>
      <c r="E543" s="367">
        <v>0.56427378964941566</v>
      </c>
      <c r="F543" s="45">
        <v>449</v>
      </c>
      <c r="G543" s="58">
        <v>185</v>
      </c>
      <c r="H543" s="45">
        <v>406</v>
      </c>
      <c r="I543" s="57">
        <v>222</v>
      </c>
      <c r="J543" s="97"/>
      <c r="K543" s="58"/>
      <c r="L543" s="45"/>
      <c r="M543" s="57"/>
      <c r="N543" s="97"/>
      <c r="O543" s="58"/>
      <c r="P543" s="165"/>
      <c r="Q543" s="166"/>
      <c r="R543" s="207"/>
      <c r="S543" s="170"/>
      <c r="T543" s="165"/>
      <c r="U543" s="166"/>
      <c r="V543" s="207"/>
      <c r="W543" s="170"/>
      <c r="X543" s="165"/>
      <c r="Y543" s="166"/>
      <c r="Z543" s="207"/>
      <c r="AA543" s="170"/>
      <c r="AB543" s="165"/>
      <c r="AC543" s="166"/>
      <c r="AD543" s="207"/>
      <c r="AE543" s="170"/>
      <c r="AF543" s="165"/>
      <c r="AG543" s="166"/>
      <c r="AH543" s="207"/>
      <c r="AI543" s="170"/>
      <c r="AJ543" s="165"/>
      <c r="AK543" s="166"/>
      <c r="AL543" s="207"/>
      <c r="AM543" s="170"/>
      <c r="AN543" s="165"/>
      <c r="AO543" s="166"/>
      <c r="AP543" s="207">
        <v>478</v>
      </c>
      <c r="AQ543" s="170">
        <v>139</v>
      </c>
      <c r="AR543" s="165">
        <v>414</v>
      </c>
      <c r="AS543" s="166">
        <v>206</v>
      </c>
      <c r="AT543" s="207"/>
      <c r="AU543" s="170"/>
      <c r="AV543" s="190"/>
      <c r="AW543" s="166"/>
      <c r="AX543" s="208"/>
      <c r="AY543" s="170"/>
      <c r="AZ543" s="190"/>
      <c r="BA543" s="170"/>
      <c r="BB543" s="199"/>
      <c r="BC543" s="200"/>
      <c r="BD543" s="199"/>
      <c r="BE543" s="200"/>
      <c r="BF543" s="199"/>
      <c r="BG543" s="200"/>
      <c r="BH543" s="199"/>
      <c r="BI543" s="200"/>
      <c r="BJ543" s="199"/>
      <c r="BK543" s="200"/>
    </row>
    <row r="544" spans="1:63" ht="13" x14ac:dyDescent="0.25">
      <c r="A544" s="372">
        <v>8912</v>
      </c>
      <c r="B544" s="373" t="s">
        <v>667</v>
      </c>
      <c r="C544" s="360">
        <v>1299</v>
      </c>
      <c r="D544" s="54">
        <v>714</v>
      </c>
      <c r="E544" s="367">
        <v>0.59098101265822789</v>
      </c>
      <c r="F544" s="45">
        <v>402</v>
      </c>
      <c r="G544" s="58">
        <v>305</v>
      </c>
      <c r="H544" s="45">
        <v>458</v>
      </c>
      <c r="I544" s="57">
        <v>241</v>
      </c>
      <c r="J544" s="97"/>
      <c r="K544" s="58"/>
      <c r="L544" s="45"/>
      <c r="M544" s="57"/>
      <c r="N544" s="97"/>
      <c r="O544" s="58"/>
      <c r="P544" s="165"/>
      <c r="Q544" s="166"/>
      <c r="R544" s="207"/>
      <c r="S544" s="170"/>
      <c r="T544" s="165"/>
      <c r="U544" s="166"/>
      <c r="V544" s="207"/>
      <c r="W544" s="170"/>
      <c r="X544" s="165"/>
      <c r="Y544" s="166"/>
      <c r="Z544" s="207"/>
      <c r="AA544" s="170"/>
      <c r="AB544" s="165"/>
      <c r="AC544" s="166"/>
      <c r="AD544" s="207"/>
      <c r="AE544" s="170"/>
      <c r="AF544" s="165"/>
      <c r="AG544" s="166"/>
      <c r="AH544" s="207"/>
      <c r="AI544" s="170"/>
      <c r="AJ544" s="165"/>
      <c r="AK544" s="166"/>
      <c r="AL544" s="207"/>
      <c r="AM544" s="170"/>
      <c r="AN544" s="165"/>
      <c r="AO544" s="166"/>
      <c r="AP544" s="207">
        <v>439</v>
      </c>
      <c r="AQ544" s="170">
        <v>260</v>
      </c>
      <c r="AR544" s="165">
        <v>368</v>
      </c>
      <c r="AS544" s="166">
        <v>336</v>
      </c>
      <c r="AT544" s="207"/>
      <c r="AU544" s="170"/>
      <c r="AV544" s="190"/>
      <c r="AW544" s="166"/>
      <c r="AX544" s="208"/>
      <c r="AY544" s="170"/>
      <c r="AZ544" s="190"/>
      <c r="BA544" s="170"/>
      <c r="BB544" s="199"/>
      <c r="BC544" s="200"/>
      <c r="BD544" s="199"/>
      <c r="BE544" s="200"/>
      <c r="BF544" s="199"/>
      <c r="BG544" s="200"/>
      <c r="BH544" s="199"/>
      <c r="BI544" s="200"/>
      <c r="BJ544" s="199"/>
      <c r="BK544" s="200"/>
    </row>
    <row r="545" spans="1:63" ht="13" x14ac:dyDescent="0.25">
      <c r="A545" s="372">
        <v>8913</v>
      </c>
      <c r="B545" s="373" t="s">
        <v>668</v>
      </c>
      <c r="C545" s="360">
        <v>705</v>
      </c>
      <c r="D545" s="54">
        <v>385</v>
      </c>
      <c r="E545" s="367">
        <v>0.62</v>
      </c>
      <c r="F545" s="45">
        <v>218</v>
      </c>
      <c r="G545" s="58">
        <v>162</v>
      </c>
      <c r="H545" s="45">
        <v>199</v>
      </c>
      <c r="I545" s="57">
        <v>170</v>
      </c>
      <c r="J545" s="97"/>
      <c r="K545" s="58"/>
      <c r="L545" s="45"/>
      <c r="M545" s="57"/>
      <c r="N545" s="97"/>
      <c r="O545" s="58"/>
      <c r="P545" s="165"/>
      <c r="Q545" s="166"/>
      <c r="R545" s="207"/>
      <c r="S545" s="170"/>
      <c r="T545" s="165"/>
      <c r="U545" s="166"/>
      <c r="V545" s="207"/>
      <c r="W545" s="170"/>
      <c r="X545" s="165"/>
      <c r="Y545" s="166"/>
      <c r="Z545" s="207"/>
      <c r="AA545" s="170"/>
      <c r="AB545" s="165"/>
      <c r="AC545" s="166"/>
      <c r="AD545" s="207"/>
      <c r="AE545" s="170"/>
      <c r="AF545" s="165"/>
      <c r="AG545" s="166"/>
      <c r="AH545" s="207"/>
      <c r="AI545" s="170"/>
      <c r="AJ545" s="165"/>
      <c r="AK545" s="166"/>
      <c r="AL545" s="207"/>
      <c r="AM545" s="170"/>
      <c r="AN545" s="165"/>
      <c r="AO545" s="166"/>
      <c r="AP545" s="207">
        <v>264</v>
      </c>
      <c r="AQ545" s="170">
        <v>110</v>
      </c>
      <c r="AR545" s="165">
        <v>213</v>
      </c>
      <c r="AS545" s="166">
        <v>165</v>
      </c>
      <c r="AT545" s="207"/>
      <c r="AU545" s="170"/>
      <c r="AV545" s="190"/>
      <c r="AW545" s="166"/>
      <c r="AX545" s="208"/>
      <c r="AY545" s="170"/>
      <c r="AZ545" s="190"/>
      <c r="BA545" s="170"/>
      <c r="BB545" s="199"/>
      <c r="BC545" s="200"/>
      <c r="BD545" s="199"/>
      <c r="BE545" s="200"/>
      <c r="BF545" s="199"/>
      <c r="BG545" s="200"/>
      <c r="BH545" s="199"/>
      <c r="BI545" s="200"/>
      <c r="BJ545" s="199"/>
      <c r="BK545" s="200"/>
    </row>
    <row r="546" spans="1:63" ht="13" x14ac:dyDescent="0.25">
      <c r="A546" s="372">
        <v>8914</v>
      </c>
      <c r="B546" s="373" t="s">
        <v>669</v>
      </c>
      <c r="C546" s="360">
        <v>1218</v>
      </c>
      <c r="D546" s="54">
        <v>735</v>
      </c>
      <c r="E546" s="367">
        <v>0.64123376623376627</v>
      </c>
      <c r="F546" s="45">
        <v>442</v>
      </c>
      <c r="G546" s="58">
        <v>289</v>
      </c>
      <c r="H546" s="45">
        <v>476</v>
      </c>
      <c r="I546" s="57">
        <v>247</v>
      </c>
      <c r="J546" s="97"/>
      <c r="K546" s="58"/>
      <c r="L546" s="45"/>
      <c r="M546" s="57"/>
      <c r="N546" s="97"/>
      <c r="O546" s="58"/>
      <c r="P546" s="165"/>
      <c r="Q546" s="166"/>
      <c r="R546" s="207"/>
      <c r="S546" s="170"/>
      <c r="T546" s="165"/>
      <c r="U546" s="166"/>
      <c r="V546" s="207"/>
      <c r="W546" s="170"/>
      <c r="X546" s="165"/>
      <c r="Y546" s="166"/>
      <c r="Z546" s="207"/>
      <c r="AA546" s="170"/>
      <c r="AB546" s="165"/>
      <c r="AC546" s="166"/>
      <c r="AD546" s="207"/>
      <c r="AE546" s="170"/>
      <c r="AF546" s="165"/>
      <c r="AG546" s="166"/>
      <c r="AH546" s="207"/>
      <c r="AI546" s="170"/>
      <c r="AJ546" s="165"/>
      <c r="AK546" s="166"/>
      <c r="AL546" s="207"/>
      <c r="AM546" s="170"/>
      <c r="AN546" s="165"/>
      <c r="AO546" s="166"/>
      <c r="AP546" s="207">
        <v>480</v>
      </c>
      <c r="AQ546" s="170">
        <v>239</v>
      </c>
      <c r="AR546" s="165">
        <v>404</v>
      </c>
      <c r="AS546" s="166">
        <v>317</v>
      </c>
      <c r="AT546" s="207"/>
      <c r="AU546" s="170"/>
      <c r="AV546" s="190"/>
      <c r="AW546" s="166"/>
      <c r="AX546" s="208"/>
      <c r="AY546" s="170"/>
      <c r="AZ546" s="190"/>
      <c r="BA546" s="170"/>
      <c r="BB546" s="199"/>
      <c r="BC546" s="200"/>
      <c r="BD546" s="199"/>
      <c r="BE546" s="200"/>
      <c r="BF546" s="199"/>
      <c r="BG546" s="200"/>
      <c r="BH546" s="199"/>
      <c r="BI546" s="200"/>
      <c r="BJ546" s="199"/>
      <c r="BK546" s="200"/>
    </row>
    <row r="547" spans="1:63" ht="13" x14ac:dyDescent="0.25">
      <c r="A547" s="372">
        <v>9101</v>
      </c>
      <c r="B547" s="373" t="s">
        <v>670</v>
      </c>
      <c r="C547" s="360">
        <v>315</v>
      </c>
      <c r="D547" s="54">
        <v>202</v>
      </c>
      <c r="E547" s="367">
        <v>0.6891025641025641</v>
      </c>
      <c r="F547" s="45">
        <v>133</v>
      </c>
      <c r="G547" s="58">
        <v>67</v>
      </c>
      <c r="H547" s="45">
        <v>140</v>
      </c>
      <c r="I547" s="57">
        <v>58</v>
      </c>
      <c r="J547" s="97"/>
      <c r="K547" s="58"/>
      <c r="L547" s="45"/>
      <c r="M547" s="57"/>
      <c r="N547" s="97"/>
      <c r="O547" s="58"/>
      <c r="P547" s="165"/>
      <c r="Q547" s="166"/>
      <c r="R547" s="207"/>
      <c r="S547" s="170"/>
      <c r="T547" s="165"/>
      <c r="U547" s="166"/>
      <c r="V547" s="207"/>
      <c r="W547" s="170"/>
      <c r="X547" s="165"/>
      <c r="Y547" s="166"/>
      <c r="Z547" s="207"/>
      <c r="AA547" s="170"/>
      <c r="AB547" s="165"/>
      <c r="AC547" s="166"/>
      <c r="AD547" s="207"/>
      <c r="AE547" s="170"/>
      <c r="AF547" s="165"/>
      <c r="AG547" s="166"/>
      <c r="AH547" s="207"/>
      <c r="AI547" s="170"/>
      <c r="AJ547" s="165"/>
      <c r="AK547" s="166"/>
      <c r="AL547" s="207"/>
      <c r="AM547" s="170"/>
      <c r="AN547" s="165"/>
      <c r="AO547" s="166"/>
      <c r="AP547" s="207">
        <v>129</v>
      </c>
      <c r="AQ547" s="170">
        <v>67</v>
      </c>
      <c r="AR547" s="165">
        <v>98</v>
      </c>
      <c r="AS547" s="166">
        <v>99</v>
      </c>
      <c r="AT547" s="207"/>
      <c r="AU547" s="170"/>
      <c r="AV547" s="190"/>
      <c r="AW547" s="166"/>
      <c r="AX547" s="208"/>
      <c r="AY547" s="170"/>
      <c r="AZ547" s="190"/>
      <c r="BA547" s="170"/>
      <c r="BB547" s="199"/>
      <c r="BC547" s="200"/>
      <c r="BD547" s="199"/>
      <c r="BE547" s="200"/>
      <c r="BF547" s="199"/>
      <c r="BG547" s="200"/>
      <c r="BH547" s="199"/>
      <c r="BI547" s="200"/>
      <c r="BJ547" s="199"/>
      <c r="BK547" s="200"/>
    </row>
    <row r="548" spans="1:63" ht="13" x14ac:dyDescent="0.25">
      <c r="A548" s="372">
        <v>9102</v>
      </c>
      <c r="B548" s="373" t="s">
        <v>671</v>
      </c>
      <c r="C548" s="360">
        <v>1080</v>
      </c>
      <c r="D548" s="54">
        <v>687</v>
      </c>
      <c r="E548" s="367">
        <v>0.67004608294930879</v>
      </c>
      <c r="F548" s="45">
        <v>454</v>
      </c>
      <c r="G548" s="58">
        <v>229</v>
      </c>
      <c r="H548" s="45">
        <v>413</v>
      </c>
      <c r="I548" s="57">
        <v>258</v>
      </c>
      <c r="J548" s="97"/>
      <c r="K548" s="58"/>
      <c r="L548" s="45"/>
      <c r="M548" s="57"/>
      <c r="N548" s="97"/>
      <c r="O548" s="58"/>
      <c r="P548" s="165"/>
      <c r="Q548" s="166"/>
      <c r="R548" s="207"/>
      <c r="S548" s="170"/>
      <c r="T548" s="165"/>
      <c r="U548" s="166"/>
      <c r="V548" s="207"/>
      <c r="W548" s="170"/>
      <c r="X548" s="165"/>
      <c r="Y548" s="166"/>
      <c r="Z548" s="207"/>
      <c r="AA548" s="170"/>
      <c r="AB548" s="165"/>
      <c r="AC548" s="166"/>
      <c r="AD548" s="207"/>
      <c r="AE548" s="170"/>
      <c r="AF548" s="165"/>
      <c r="AG548" s="166"/>
      <c r="AH548" s="207"/>
      <c r="AI548" s="170"/>
      <c r="AJ548" s="165"/>
      <c r="AK548" s="166"/>
      <c r="AL548" s="207"/>
      <c r="AM548" s="170"/>
      <c r="AN548" s="165"/>
      <c r="AO548" s="166"/>
      <c r="AP548" s="207">
        <v>493</v>
      </c>
      <c r="AQ548" s="170">
        <v>182</v>
      </c>
      <c r="AR548" s="165">
        <v>407</v>
      </c>
      <c r="AS548" s="166">
        <v>271</v>
      </c>
      <c r="AT548" s="207"/>
      <c r="AU548" s="170"/>
      <c r="AV548" s="190"/>
      <c r="AW548" s="166"/>
      <c r="AX548" s="208"/>
      <c r="AY548" s="170"/>
      <c r="AZ548" s="190"/>
      <c r="BA548" s="170"/>
      <c r="BB548" s="199"/>
      <c r="BC548" s="200"/>
      <c r="BD548" s="199"/>
      <c r="BE548" s="200"/>
      <c r="BF548" s="199"/>
      <c r="BG548" s="200"/>
      <c r="BH548" s="199"/>
      <c r="BI548" s="200"/>
      <c r="BJ548" s="199"/>
      <c r="BK548" s="200"/>
    </row>
    <row r="549" spans="1:63" ht="13" x14ac:dyDescent="0.25">
      <c r="A549" s="372">
        <v>9103</v>
      </c>
      <c r="B549" s="373" t="s">
        <v>672</v>
      </c>
      <c r="C549" s="360">
        <v>1338</v>
      </c>
      <c r="D549" s="54">
        <v>860</v>
      </c>
      <c r="E549" s="367">
        <v>0.7230188679245283</v>
      </c>
      <c r="F549" s="45">
        <v>503</v>
      </c>
      <c r="G549" s="58">
        <v>349</v>
      </c>
      <c r="H549" s="45">
        <v>456</v>
      </c>
      <c r="I549" s="57">
        <v>385</v>
      </c>
      <c r="J549" s="97"/>
      <c r="K549" s="58"/>
      <c r="L549" s="45"/>
      <c r="M549" s="57"/>
      <c r="N549" s="97"/>
      <c r="O549" s="58"/>
      <c r="P549" s="165"/>
      <c r="Q549" s="166"/>
      <c r="R549" s="207"/>
      <c r="S549" s="170"/>
      <c r="T549" s="165"/>
      <c r="U549" s="166"/>
      <c r="V549" s="207"/>
      <c r="W549" s="170"/>
      <c r="X549" s="165"/>
      <c r="Y549" s="166"/>
      <c r="Z549" s="207"/>
      <c r="AA549" s="170"/>
      <c r="AB549" s="165"/>
      <c r="AC549" s="166"/>
      <c r="AD549" s="207"/>
      <c r="AE549" s="170"/>
      <c r="AF549" s="165"/>
      <c r="AG549" s="166"/>
      <c r="AH549" s="207"/>
      <c r="AI549" s="170"/>
      <c r="AJ549" s="165"/>
      <c r="AK549" s="166"/>
      <c r="AL549" s="207"/>
      <c r="AM549" s="170"/>
      <c r="AN549" s="165"/>
      <c r="AO549" s="166"/>
      <c r="AP549" s="207">
        <v>583</v>
      </c>
      <c r="AQ549" s="170">
        <v>265</v>
      </c>
      <c r="AR549" s="165">
        <v>459</v>
      </c>
      <c r="AS549" s="166">
        <v>384</v>
      </c>
      <c r="AT549" s="207"/>
      <c r="AU549" s="170"/>
      <c r="AV549" s="190"/>
      <c r="AW549" s="166"/>
      <c r="AX549" s="208"/>
      <c r="AY549" s="170"/>
      <c r="AZ549" s="190"/>
      <c r="BA549" s="170"/>
      <c r="BB549" s="199"/>
      <c r="BC549" s="200"/>
      <c r="BD549" s="199"/>
      <c r="BE549" s="200"/>
      <c r="BF549" s="199"/>
      <c r="BG549" s="200"/>
      <c r="BH549" s="199"/>
      <c r="BI549" s="200"/>
      <c r="BJ549" s="199"/>
      <c r="BK549" s="200"/>
    </row>
    <row r="550" spans="1:63" ht="13" x14ac:dyDescent="0.25">
      <c r="A550" s="372">
        <v>9104</v>
      </c>
      <c r="B550" s="373" t="s">
        <v>673</v>
      </c>
      <c r="C550" s="360">
        <v>1081</v>
      </c>
      <c r="D550" s="54">
        <v>593</v>
      </c>
      <c r="E550" s="367">
        <v>0.58807082945013978</v>
      </c>
      <c r="F550" s="45">
        <v>398</v>
      </c>
      <c r="G550" s="58">
        <v>190</v>
      </c>
      <c r="H550" s="45">
        <v>348</v>
      </c>
      <c r="I550" s="57">
        <v>238</v>
      </c>
      <c r="J550" s="97"/>
      <c r="K550" s="58"/>
      <c r="L550" s="45"/>
      <c r="M550" s="57"/>
      <c r="N550" s="97"/>
      <c r="O550" s="58"/>
      <c r="P550" s="165"/>
      <c r="Q550" s="166"/>
      <c r="R550" s="207"/>
      <c r="S550" s="170"/>
      <c r="T550" s="165"/>
      <c r="U550" s="166"/>
      <c r="V550" s="207"/>
      <c r="W550" s="170"/>
      <c r="X550" s="165"/>
      <c r="Y550" s="166"/>
      <c r="Z550" s="207"/>
      <c r="AA550" s="170"/>
      <c r="AB550" s="165"/>
      <c r="AC550" s="166"/>
      <c r="AD550" s="207"/>
      <c r="AE550" s="170"/>
      <c r="AF550" s="165"/>
      <c r="AG550" s="166"/>
      <c r="AH550" s="207"/>
      <c r="AI550" s="170"/>
      <c r="AJ550" s="165"/>
      <c r="AK550" s="166"/>
      <c r="AL550" s="207"/>
      <c r="AM550" s="170"/>
      <c r="AN550" s="165"/>
      <c r="AO550" s="166"/>
      <c r="AP550" s="207">
        <v>428</v>
      </c>
      <c r="AQ550" s="170">
        <v>155</v>
      </c>
      <c r="AR550" s="165">
        <v>364</v>
      </c>
      <c r="AS550" s="166">
        <v>221</v>
      </c>
      <c r="AT550" s="207"/>
      <c r="AU550" s="170"/>
      <c r="AV550" s="190"/>
      <c r="AW550" s="166"/>
      <c r="AX550" s="208"/>
      <c r="AY550" s="170"/>
      <c r="AZ550" s="190"/>
      <c r="BA550" s="170"/>
      <c r="BB550" s="199"/>
      <c r="BC550" s="200"/>
      <c r="BD550" s="199"/>
      <c r="BE550" s="200"/>
      <c r="BF550" s="199"/>
      <c r="BG550" s="200"/>
      <c r="BH550" s="199"/>
      <c r="BI550" s="200"/>
      <c r="BJ550" s="199"/>
      <c r="BK550" s="200"/>
    </row>
    <row r="551" spans="1:63" ht="13" x14ac:dyDescent="0.25">
      <c r="A551" s="372">
        <v>9105</v>
      </c>
      <c r="B551" s="373" t="s">
        <v>674</v>
      </c>
      <c r="C551" s="360">
        <v>1073</v>
      </c>
      <c r="D551" s="54">
        <v>716</v>
      </c>
      <c r="E551" s="367">
        <v>0.73402255639097747</v>
      </c>
      <c r="F551" s="45">
        <v>427</v>
      </c>
      <c r="G551" s="58">
        <v>285</v>
      </c>
      <c r="H551" s="45">
        <v>418</v>
      </c>
      <c r="I551" s="57">
        <v>288</v>
      </c>
      <c r="J551" s="97"/>
      <c r="K551" s="58"/>
      <c r="L551" s="45"/>
      <c r="M551" s="57"/>
      <c r="N551" s="97"/>
      <c r="O551" s="58"/>
      <c r="P551" s="165"/>
      <c r="Q551" s="166"/>
      <c r="R551" s="207"/>
      <c r="S551" s="170"/>
      <c r="T551" s="165"/>
      <c r="U551" s="166"/>
      <c r="V551" s="207"/>
      <c r="W551" s="170"/>
      <c r="X551" s="165"/>
      <c r="Y551" s="166"/>
      <c r="Z551" s="207"/>
      <c r="AA551" s="170"/>
      <c r="AB551" s="165"/>
      <c r="AC551" s="166"/>
      <c r="AD551" s="207"/>
      <c r="AE551" s="170"/>
      <c r="AF551" s="165"/>
      <c r="AG551" s="166"/>
      <c r="AH551" s="207"/>
      <c r="AI551" s="170"/>
      <c r="AJ551" s="165"/>
      <c r="AK551" s="166"/>
      <c r="AL551" s="207"/>
      <c r="AM551" s="170"/>
      <c r="AN551" s="165"/>
      <c r="AO551" s="166"/>
      <c r="AP551" s="207">
        <v>494</v>
      </c>
      <c r="AQ551" s="170">
        <v>212</v>
      </c>
      <c r="AR551" s="165">
        <v>373</v>
      </c>
      <c r="AS551" s="166">
        <v>327</v>
      </c>
      <c r="AT551" s="207"/>
      <c r="AU551" s="170"/>
      <c r="AV551" s="190"/>
      <c r="AW551" s="166"/>
      <c r="AX551" s="208"/>
      <c r="AY551" s="170"/>
      <c r="AZ551" s="190"/>
      <c r="BA551" s="170"/>
      <c r="BB551" s="199"/>
      <c r="BC551" s="200"/>
      <c r="BD551" s="199"/>
      <c r="BE551" s="200"/>
      <c r="BF551" s="199"/>
      <c r="BG551" s="200"/>
      <c r="BH551" s="199"/>
      <c r="BI551" s="200"/>
      <c r="BJ551" s="199"/>
      <c r="BK551" s="200"/>
    </row>
    <row r="552" spans="1:63" ht="13" x14ac:dyDescent="0.25">
      <c r="A552" s="372">
        <v>9106</v>
      </c>
      <c r="B552" s="373" t="s">
        <v>675</v>
      </c>
      <c r="C552" s="360">
        <v>1432</v>
      </c>
      <c r="D552" s="54">
        <v>728</v>
      </c>
      <c r="E552" s="367">
        <v>0.54215215901302261</v>
      </c>
      <c r="F552" s="45">
        <v>470</v>
      </c>
      <c r="G552" s="58">
        <v>254</v>
      </c>
      <c r="H552" s="45">
        <v>456</v>
      </c>
      <c r="I552" s="57">
        <v>258</v>
      </c>
      <c r="J552" s="97"/>
      <c r="K552" s="58"/>
      <c r="L552" s="45"/>
      <c r="M552" s="57"/>
      <c r="N552" s="97"/>
      <c r="O552" s="58"/>
      <c r="P552" s="165"/>
      <c r="Q552" s="166"/>
      <c r="R552" s="207"/>
      <c r="S552" s="170"/>
      <c r="T552" s="165"/>
      <c r="U552" s="166"/>
      <c r="V552" s="207"/>
      <c r="W552" s="170"/>
      <c r="X552" s="165"/>
      <c r="Y552" s="166"/>
      <c r="Z552" s="207"/>
      <c r="AA552" s="170"/>
      <c r="AB552" s="165"/>
      <c r="AC552" s="166"/>
      <c r="AD552" s="207"/>
      <c r="AE552" s="170"/>
      <c r="AF552" s="165"/>
      <c r="AG552" s="166"/>
      <c r="AH552" s="207"/>
      <c r="AI552" s="170"/>
      <c r="AJ552" s="165"/>
      <c r="AK552" s="166"/>
      <c r="AL552" s="207"/>
      <c r="AM552" s="170"/>
      <c r="AN552" s="165"/>
      <c r="AO552" s="166"/>
      <c r="AP552" s="207">
        <v>527</v>
      </c>
      <c r="AQ552" s="170">
        <v>181</v>
      </c>
      <c r="AR552" s="165">
        <v>447</v>
      </c>
      <c r="AS552" s="166">
        <v>260</v>
      </c>
      <c r="AT552" s="207"/>
      <c r="AU552" s="170"/>
      <c r="AV552" s="190"/>
      <c r="AW552" s="166"/>
      <c r="AX552" s="208"/>
      <c r="AY552" s="170"/>
      <c r="AZ552" s="190"/>
      <c r="BA552" s="170"/>
      <c r="BB552" s="199"/>
      <c r="BC552" s="200"/>
      <c r="BD552" s="199"/>
      <c r="BE552" s="200"/>
      <c r="BF552" s="199"/>
      <c r="BG552" s="200"/>
      <c r="BH552" s="199"/>
      <c r="BI552" s="200"/>
      <c r="BJ552" s="199"/>
      <c r="BK552" s="200"/>
    </row>
    <row r="553" spans="1:63" ht="13" x14ac:dyDescent="0.25">
      <c r="A553" s="372">
        <v>9107</v>
      </c>
      <c r="B553" s="373" t="s">
        <v>676</v>
      </c>
      <c r="C553" s="360">
        <v>682</v>
      </c>
      <c r="D553" s="54">
        <v>423</v>
      </c>
      <c r="E553" s="367">
        <v>0.67264573991031396</v>
      </c>
      <c r="F553" s="45">
        <v>285</v>
      </c>
      <c r="G553" s="58">
        <v>136</v>
      </c>
      <c r="H553" s="45">
        <v>245</v>
      </c>
      <c r="I553" s="57">
        <v>168</v>
      </c>
      <c r="J553" s="97"/>
      <c r="K553" s="58"/>
      <c r="L553" s="45"/>
      <c r="M553" s="57"/>
      <c r="N553" s="97"/>
      <c r="O553" s="58"/>
      <c r="P553" s="165"/>
      <c r="Q553" s="166"/>
      <c r="R553" s="207"/>
      <c r="S553" s="170"/>
      <c r="T553" s="165"/>
      <c r="U553" s="166"/>
      <c r="V553" s="207"/>
      <c r="W553" s="170"/>
      <c r="X553" s="165"/>
      <c r="Y553" s="166"/>
      <c r="Z553" s="207"/>
      <c r="AA553" s="170"/>
      <c r="AB553" s="165"/>
      <c r="AC553" s="166"/>
      <c r="AD553" s="207"/>
      <c r="AE553" s="170"/>
      <c r="AF553" s="165"/>
      <c r="AG553" s="166"/>
      <c r="AH553" s="207"/>
      <c r="AI553" s="170"/>
      <c r="AJ553" s="165"/>
      <c r="AK553" s="166"/>
      <c r="AL553" s="207"/>
      <c r="AM553" s="170"/>
      <c r="AN553" s="165"/>
      <c r="AO553" s="166"/>
      <c r="AP553" s="207">
        <v>307</v>
      </c>
      <c r="AQ553" s="170">
        <v>103</v>
      </c>
      <c r="AR553" s="165">
        <v>243</v>
      </c>
      <c r="AS553" s="166">
        <v>168</v>
      </c>
      <c r="AT553" s="207"/>
      <c r="AU553" s="170"/>
      <c r="AV553" s="165"/>
      <c r="AW553" s="166"/>
      <c r="AX553" s="207"/>
      <c r="AY553" s="170"/>
      <c r="AZ553" s="165"/>
      <c r="BA553" s="170"/>
      <c r="BB553" s="199"/>
      <c r="BC553" s="200"/>
      <c r="BD553" s="199"/>
      <c r="BE553" s="200"/>
      <c r="BF553" s="199"/>
      <c r="BG553" s="200"/>
      <c r="BH553" s="199"/>
      <c r="BI553" s="200"/>
      <c r="BJ553" s="199"/>
      <c r="BK553" s="200"/>
    </row>
    <row r="554" spans="1:63" s="4" customFormat="1" ht="13" x14ac:dyDescent="0.3">
      <c r="A554" s="372">
        <v>9108</v>
      </c>
      <c r="B554" s="373" t="s">
        <v>677</v>
      </c>
      <c r="C554" s="360">
        <v>479</v>
      </c>
      <c r="D554" s="54">
        <v>323</v>
      </c>
      <c r="E554" s="367">
        <v>0.71398747390396655</v>
      </c>
      <c r="F554" s="45">
        <v>183</v>
      </c>
      <c r="G554" s="58">
        <v>137</v>
      </c>
      <c r="H554" s="45">
        <v>177</v>
      </c>
      <c r="I554" s="57">
        <v>139</v>
      </c>
      <c r="J554" s="97"/>
      <c r="K554" s="58"/>
      <c r="L554" s="45"/>
      <c r="M554" s="57"/>
      <c r="N554" s="97"/>
      <c r="O554" s="58"/>
      <c r="P554" s="153"/>
      <c r="Q554" s="157"/>
      <c r="R554" s="223"/>
      <c r="S554" s="155"/>
      <c r="T554" s="153"/>
      <c r="U554" s="157"/>
      <c r="V554" s="223"/>
      <c r="W554" s="155"/>
      <c r="X554" s="153"/>
      <c r="Y554" s="157"/>
      <c r="Z554" s="223"/>
      <c r="AA554" s="155"/>
      <c r="AB554" s="153"/>
      <c r="AC554" s="157"/>
      <c r="AD554" s="223"/>
      <c r="AE554" s="155"/>
      <c r="AF554" s="153"/>
      <c r="AG554" s="157"/>
      <c r="AH554" s="223"/>
      <c r="AI554" s="155"/>
      <c r="AJ554" s="153"/>
      <c r="AK554" s="157"/>
      <c r="AL554" s="223"/>
      <c r="AM554" s="155"/>
      <c r="AN554" s="153"/>
      <c r="AO554" s="157"/>
      <c r="AP554" s="223">
        <v>197</v>
      </c>
      <c r="AQ554" s="155">
        <v>122</v>
      </c>
      <c r="AR554" s="153">
        <v>157</v>
      </c>
      <c r="AS554" s="157">
        <v>162</v>
      </c>
      <c r="AT554" s="223"/>
      <c r="AU554" s="155"/>
      <c r="AV554" s="209"/>
      <c r="AW554" s="210"/>
      <c r="AX554" s="211"/>
      <c r="AY554" s="212"/>
      <c r="AZ554" s="209"/>
      <c r="BA554" s="212"/>
      <c r="BB554" s="199"/>
      <c r="BC554" s="200"/>
      <c r="BD554" s="199"/>
      <c r="BE554" s="200"/>
      <c r="BF554" s="199"/>
      <c r="BG554" s="200"/>
      <c r="BH554" s="199"/>
      <c r="BI554" s="200"/>
      <c r="BJ554" s="199"/>
      <c r="BK554" s="200"/>
    </row>
    <row r="555" spans="1:63" s="4" customFormat="1" ht="13" x14ac:dyDescent="0.3">
      <c r="A555" s="372">
        <v>9109</v>
      </c>
      <c r="B555" s="373" t="s">
        <v>678</v>
      </c>
      <c r="C555" s="360">
        <v>976</v>
      </c>
      <c r="D555" s="54">
        <v>442</v>
      </c>
      <c r="E555" s="367">
        <v>0.48612538540596095</v>
      </c>
      <c r="F555" s="45">
        <v>309</v>
      </c>
      <c r="G555" s="58">
        <v>130</v>
      </c>
      <c r="H555" s="45">
        <v>261</v>
      </c>
      <c r="I555" s="57">
        <v>173</v>
      </c>
      <c r="J555" s="97"/>
      <c r="K555" s="58"/>
      <c r="L555" s="45"/>
      <c r="M555" s="57"/>
      <c r="N555" s="97"/>
      <c r="O555" s="58"/>
      <c r="P555" s="153"/>
      <c r="Q555" s="157"/>
      <c r="R555" s="223"/>
      <c r="S555" s="155"/>
      <c r="T555" s="153"/>
      <c r="U555" s="157"/>
      <c r="V555" s="223"/>
      <c r="W555" s="155"/>
      <c r="X555" s="153"/>
      <c r="Y555" s="157"/>
      <c r="Z555" s="223"/>
      <c r="AA555" s="155"/>
      <c r="AB555" s="153"/>
      <c r="AC555" s="157"/>
      <c r="AD555" s="223"/>
      <c r="AE555" s="155"/>
      <c r="AF555" s="153"/>
      <c r="AG555" s="157"/>
      <c r="AH555" s="223"/>
      <c r="AI555" s="155"/>
      <c r="AJ555" s="153"/>
      <c r="AK555" s="157"/>
      <c r="AL555" s="223"/>
      <c r="AM555" s="155"/>
      <c r="AN555" s="153"/>
      <c r="AO555" s="157"/>
      <c r="AP555" s="223">
        <v>307</v>
      </c>
      <c r="AQ555" s="155">
        <v>127</v>
      </c>
      <c r="AR555" s="153">
        <v>260</v>
      </c>
      <c r="AS555" s="157">
        <v>174</v>
      </c>
      <c r="AT555" s="223"/>
      <c r="AU555" s="155"/>
      <c r="AV555" s="213"/>
      <c r="AW555" s="210"/>
      <c r="AX555" s="214"/>
      <c r="AY555" s="212"/>
      <c r="AZ555" s="213"/>
      <c r="BA555" s="212"/>
      <c r="BB555" s="199"/>
      <c r="BC555" s="200"/>
      <c r="BD555" s="199"/>
      <c r="BE555" s="200"/>
      <c r="BF555" s="199"/>
      <c r="BG555" s="200"/>
      <c r="BH555" s="199"/>
      <c r="BI555" s="200"/>
      <c r="BJ555" s="199"/>
      <c r="BK555" s="200"/>
    </row>
    <row r="556" spans="1:63" s="4" customFormat="1" ht="13" x14ac:dyDescent="0.3">
      <c r="A556" s="372">
        <v>9110</v>
      </c>
      <c r="B556" s="373" t="s">
        <v>679</v>
      </c>
      <c r="C556" s="360">
        <v>1231</v>
      </c>
      <c r="D556" s="54">
        <v>656</v>
      </c>
      <c r="E556" s="367">
        <v>0.60991207034372497</v>
      </c>
      <c r="F556" s="45">
        <v>373</v>
      </c>
      <c r="G556" s="58">
        <v>278</v>
      </c>
      <c r="H556" s="45">
        <v>380</v>
      </c>
      <c r="I556" s="57">
        <v>264</v>
      </c>
      <c r="J556" s="97"/>
      <c r="K556" s="58"/>
      <c r="L556" s="45"/>
      <c r="M556" s="57"/>
      <c r="N556" s="97"/>
      <c r="O556" s="58"/>
      <c r="P556" s="153"/>
      <c r="Q556" s="157"/>
      <c r="R556" s="223"/>
      <c r="S556" s="155"/>
      <c r="T556" s="153"/>
      <c r="U556" s="157"/>
      <c r="V556" s="223"/>
      <c r="W556" s="155"/>
      <c r="X556" s="153"/>
      <c r="Y556" s="157"/>
      <c r="Z556" s="223"/>
      <c r="AA556" s="155"/>
      <c r="AB556" s="153"/>
      <c r="AC556" s="157"/>
      <c r="AD556" s="223"/>
      <c r="AE556" s="155"/>
      <c r="AF556" s="153"/>
      <c r="AG556" s="157"/>
      <c r="AH556" s="223"/>
      <c r="AI556" s="155"/>
      <c r="AJ556" s="153"/>
      <c r="AK556" s="157"/>
      <c r="AL556" s="223"/>
      <c r="AM556" s="155"/>
      <c r="AN556" s="153"/>
      <c r="AO556" s="157"/>
      <c r="AP556" s="223">
        <v>438</v>
      </c>
      <c r="AQ556" s="155">
        <v>202</v>
      </c>
      <c r="AR556" s="153">
        <v>339</v>
      </c>
      <c r="AS556" s="157">
        <v>297</v>
      </c>
      <c r="AT556" s="223"/>
      <c r="AU556" s="155"/>
      <c r="AV556" s="213"/>
      <c r="AW556" s="210"/>
      <c r="AX556" s="214"/>
      <c r="AY556" s="212"/>
      <c r="AZ556" s="213"/>
      <c r="BA556" s="212"/>
      <c r="BB556" s="199"/>
      <c r="BC556" s="200"/>
      <c r="BD556" s="199"/>
      <c r="BE556" s="200"/>
      <c r="BF556" s="199"/>
      <c r="BG556" s="200"/>
      <c r="BH556" s="199"/>
      <c r="BI556" s="200"/>
      <c r="BJ556" s="199"/>
      <c r="BK556" s="200"/>
    </row>
    <row r="557" spans="1:63" ht="13" x14ac:dyDescent="0.25">
      <c r="A557" s="372">
        <v>9111</v>
      </c>
      <c r="B557" s="373" t="s">
        <v>680</v>
      </c>
      <c r="C557" s="360">
        <v>432</v>
      </c>
      <c r="D557" s="54">
        <v>253</v>
      </c>
      <c r="E557" s="367">
        <v>0.65517241379310343</v>
      </c>
      <c r="F557" s="45">
        <v>132</v>
      </c>
      <c r="G557" s="58">
        <v>119</v>
      </c>
      <c r="H557" s="45">
        <v>152</v>
      </c>
      <c r="I557" s="57">
        <v>100</v>
      </c>
      <c r="J557" s="97"/>
      <c r="K557" s="58"/>
      <c r="L557" s="45"/>
      <c r="M557" s="57"/>
      <c r="N557" s="97"/>
      <c r="O557" s="58"/>
      <c r="P557" s="153"/>
      <c r="Q557" s="157"/>
      <c r="R557" s="223"/>
      <c r="S557" s="155"/>
      <c r="T557" s="153"/>
      <c r="U557" s="157"/>
      <c r="V557" s="223"/>
      <c r="W557" s="155"/>
      <c r="X557" s="153"/>
      <c r="Y557" s="157"/>
      <c r="Z557" s="223"/>
      <c r="AA557" s="155"/>
      <c r="AB557" s="153"/>
      <c r="AC557" s="157"/>
      <c r="AD557" s="223"/>
      <c r="AE557" s="155"/>
      <c r="AF557" s="153"/>
      <c r="AG557" s="157"/>
      <c r="AH557" s="223"/>
      <c r="AI557" s="155"/>
      <c r="AJ557" s="153"/>
      <c r="AK557" s="157"/>
      <c r="AL557" s="223"/>
      <c r="AM557" s="155"/>
      <c r="AN557" s="153"/>
      <c r="AO557" s="157"/>
      <c r="AP557" s="223">
        <v>140</v>
      </c>
      <c r="AQ557" s="155">
        <v>110</v>
      </c>
      <c r="AR557" s="153">
        <v>85</v>
      </c>
      <c r="AS557" s="157">
        <v>163</v>
      </c>
      <c r="AT557" s="223"/>
      <c r="AU557" s="155"/>
      <c r="AV557" s="213"/>
      <c r="AW557" s="210"/>
      <c r="AX557" s="214"/>
      <c r="AY557" s="212"/>
      <c r="AZ557" s="213"/>
      <c r="BA557" s="212"/>
      <c r="BB557" s="199"/>
      <c r="BC557" s="200"/>
      <c r="BD557" s="199"/>
      <c r="BE557" s="200"/>
      <c r="BF557" s="199"/>
      <c r="BG557" s="200"/>
      <c r="BH557" s="199"/>
      <c r="BI557" s="200"/>
      <c r="BJ557" s="199"/>
      <c r="BK557" s="200"/>
    </row>
    <row r="558" spans="1:63" ht="13" x14ac:dyDescent="0.25">
      <c r="A558" s="372">
        <v>9112</v>
      </c>
      <c r="B558" s="373" t="s">
        <v>681</v>
      </c>
      <c r="C558" s="360">
        <v>1132</v>
      </c>
      <c r="D558" s="54">
        <v>715</v>
      </c>
      <c r="E558" s="367">
        <v>0.72222222222222221</v>
      </c>
      <c r="F558" s="45">
        <v>402</v>
      </c>
      <c r="G558" s="58">
        <v>310</v>
      </c>
      <c r="H558" s="45">
        <v>356</v>
      </c>
      <c r="I558" s="57">
        <v>350</v>
      </c>
      <c r="J558" s="97"/>
      <c r="K558" s="58"/>
      <c r="L558" s="45"/>
      <c r="M558" s="57"/>
      <c r="N558" s="97"/>
      <c r="O558" s="58"/>
      <c r="P558" s="55"/>
      <c r="Q558" s="181"/>
      <c r="R558" s="224"/>
      <c r="S558" s="182"/>
      <c r="T558" s="55"/>
      <c r="U558" s="181"/>
      <c r="V558" s="224"/>
      <c r="W558" s="182"/>
      <c r="X558" s="55"/>
      <c r="Y558" s="181"/>
      <c r="Z558" s="224"/>
      <c r="AA558" s="182"/>
      <c r="AB558" s="55"/>
      <c r="AC558" s="181"/>
      <c r="AD558" s="224"/>
      <c r="AE558" s="182"/>
      <c r="AF558" s="55"/>
      <c r="AG558" s="181"/>
      <c r="AH558" s="224"/>
      <c r="AI558" s="182"/>
      <c r="AJ558" s="55"/>
      <c r="AK558" s="181"/>
      <c r="AL558" s="224"/>
      <c r="AM558" s="182"/>
      <c r="AN558" s="55"/>
      <c r="AO558" s="181"/>
      <c r="AP558" s="224">
        <v>435</v>
      </c>
      <c r="AQ558" s="182">
        <v>267</v>
      </c>
      <c r="AR558" s="55">
        <v>346</v>
      </c>
      <c r="AS558" s="181">
        <v>357</v>
      </c>
      <c r="AT558" s="224"/>
      <c r="AU558" s="180"/>
      <c r="AV558" s="215"/>
      <c r="AW558" s="218"/>
      <c r="AX558" s="216"/>
      <c r="AY558" s="217"/>
      <c r="AZ558" s="215"/>
      <c r="BA558" s="217"/>
      <c r="BB558" s="45"/>
      <c r="BC558" s="46"/>
      <c r="BD558" s="45"/>
      <c r="BE558" s="46"/>
      <c r="BF558" s="45"/>
      <c r="BG558" s="46"/>
      <c r="BH558" s="45"/>
      <c r="BI558" s="46"/>
      <c r="BJ558" s="45"/>
      <c r="BK558" s="46"/>
    </row>
    <row r="559" spans="1:63" ht="13" x14ac:dyDescent="0.25">
      <c r="A559" s="372">
        <v>9301</v>
      </c>
      <c r="B559" s="373" t="s">
        <v>682</v>
      </c>
      <c r="C559" s="360">
        <v>1233</v>
      </c>
      <c r="D559" s="54">
        <v>779</v>
      </c>
      <c r="E559" s="367">
        <v>0.65887096774193543</v>
      </c>
      <c r="F559" s="45">
        <v>529</v>
      </c>
      <c r="G559" s="58">
        <v>247</v>
      </c>
      <c r="H559" s="45">
        <v>505</v>
      </c>
      <c r="I559" s="57">
        <v>265</v>
      </c>
      <c r="J559" s="97"/>
      <c r="K559" s="58"/>
      <c r="L559" s="45"/>
      <c r="M559" s="57"/>
      <c r="N559" s="97"/>
      <c r="O559" s="58"/>
      <c r="P559" s="55"/>
      <c r="Q559" s="181"/>
      <c r="R559" s="224"/>
      <c r="S559" s="182"/>
      <c r="T559" s="55"/>
      <c r="U559" s="181"/>
      <c r="V559" s="224"/>
      <c r="W559" s="182"/>
      <c r="X559" s="55"/>
      <c r="Y559" s="181"/>
      <c r="Z559" s="224"/>
      <c r="AA559" s="182"/>
      <c r="AB559" s="55">
        <v>620</v>
      </c>
      <c r="AC559" s="181">
        <v>145</v>
      </c>
      <c r="AD559" s="224"/>
      <c r="AE559" s="182"/>
      <c r="AF559" s="55"/>
      <c r="AG559" s="181"/>
      <c r="AH559" s="224"/>
      <c r="AI559" s="182"/>
      <c r="AJ559" s="55"/>
      <c r="AK559" s="181"/>
      <c r="AL559" s="224"/>
      <c r="AM559" s="182"/>
      <c r="AN559" s="55"/>
      <c r="AO559" s="181"/>
      <c r="AP559" s="224">
        <v>576</v>
      </c>
      <c r="AQ559" s="182">
        <v>187</v>
      </c>
      <c r="AR559" s="55">
        <v>453</v>
      </c>
      <c r="AS559" s="181">
        <v>300</v>
      </c>
      <c r="AT559" s="224"/>
      <c r="AU559" s="180"/>
      <c r="AV559" s="215"/>
      <c r="AW559" s="218"/>
      <c r="AX559" s="216"/>
      <c r="AY559" s="217"/>
      <c r="AZ559" s="215"/>
      <c r="BA559" s="217"/>
      <c r="BB559" s="45"/>
      <c r="BC559" s="46"/>
      <c r="BD559" s="45"/>
      <c r="BE559" s="46"/>
      <c r="BF559" s="45"/>
      <c r="BG559" s="46"/>
      <c r="BH559" s="45"/>
      <c r="BI559" s="46"/>
      <c r="BJ559" s="45"/>
      <c r="BK559" s="46"/>
    </row>
    <row r="560" spans="1:63" ht="13" x14ac:dyDescent="0.25">
      <c r="A560" s="372">
        <v>9302</v>
      </c>
      <c r="B560" s="373" t="s">
        <v>683</v>
      </c>
      <c r="C560" s="360">
        <v>689</v>
      </c>
      <c r="D560" s="54">
        <v>409</v>
      </c>
      <c r="E560" s="367">
        <v>0.62886597938144329</v>
      </c>
      <c r="F560" s="45">
        <v>291</v>
      </c>
      <c r="G560" s="58">
        <v>115</v>
      </c>
      <c r="H560" s="45">
        <v>246</v>
      </c>
      <c r="I560" s="57">
        <v>157</v>
      </c>
      <c r="J560" s="97"/>
      <c r="K560" s="58"/>
      <c r="L560" s="45"/>
      <c r="M560" s="57"/>
      <c r="N560" s="97"/>
      <c r="O560" s="58"/>
      <c r="P560" s="55"/>
      <c r="Q560" s="181"/>
      <c r="R560" s="224"/>
      <c r="S560" s="182"/>
      <c r="T560" s="55"/>
      <c r="U560" s="181"/>
      <c r="V560" s="224"/>
      <c r="W560" s="182"/>
      <c r="X560" s="55"/>
      <c r="Y560" s="181"/>
      <c r="Z560" s="224"/>
      <c r="AA560" s="182"/>
      <c r="AB560" s="55">
        <v>354</v>
      </c>
      <c r="AC560" s="181">
        <v>51</v>
      </c>
      <c r="AD560" s="224"/>
      <c r="AE560" s="182"/>
      <c r="AF560" s="55"/>
      <c r="AG560" s="181"/>
      <c r="AH560" s="224"/>
      <c r="AI560" s="182"/>
      <c r="AJ560" s="55"/>
      <c r="AK560" s="181"/>
      <c r="AL560" s="224"/>
      <c r="AM560" s="182"/>
      <c r="AN560" s="55"/>
      <c r="AO560" s="181"/>
      <c r="AP560" s="224">
        <v>321</v>
      </c>
      <c r="AQ560" s="182">
        <v>81</v>
      </c>
      <c r="AR560" s="55">
        <v>256</v>
      </c>
      <c r="AS560" s="181">
        <v>146</v>
      </c>
      <c r="AT560" s="224"/>
      <c r="AU560" s="180"/>
      <c r="AV560" s="215"/>
      <c r="AW560" s="218"/>
      <c r="AX560" s="216"/>
      <c r="AY560" s="217"/>
      <c r="AZ560" s="215"/>
      <c r="BA560" s="217"/>
      <c r="BB560" s="45"/>
      <c r="BC560" s="46"/>
      <c r="BD560" s="45"/>
      <c r="BE560" s="46"/>
      <c r="BF560" s="45"/>
      <c r="BG560" s="46"/>
      <c r="BH560" s="45"/>
      <c r="BI560" s="46"/>
      <c r="BJ560" s="45"/>
      <c r="BK560" s="46"/>
    </row>
    <row r="561" spans="1:64" ht="13" x14ac:dyDescent="0.25">
      <c r="A561" s="372">
        <v>9501</v>
      </c>
      <c r="B561" s="373" t="s">
        <v>684</v>
      </c>
      <c r="C561" s="360">
        <v>1334</v>
      </c>
      <c r="D561" s="54">
        <v>504</v>
      </c>
      <c r="E561" s="367">
        <v>0.50447093889716843</v>
      </c>
      <c r="F561" s="45">
        <v>206</v>
      </c>
      <c r="G561" s="58">
        <v>293</v>
      </c>
      <c r="H561" s="45">
        <v>267</v>
      </c>
      <c r="I561" s="57">
        <v>232</v>
      </c>
      <c r="J561" s="97"/>
      <c r="K561" s="58"/>
      <c r="L561" s="45"/>
      <c r="M561" s="57"/>
      <c r="N561" s="97"/>
      <c r="O561" s="58"/>
      <c r="P561" s="55"/>
      <c r="Q561" s="181"/>
      <c r="R561" s="224"/>
      <c r="S561" s="182"/>
      <c r="T561" s="55"/>
      <c r="U561" s="181"/>
      <c r="V561" s="224"/>
      <c r="W561" s="182"/>
      <c r="X561" s="55"/>
      <c r="Y561" s="181"/>
      <c r="Z561" s="224"/>
      <c r="AA561" s="182"/>
      <c r="AB561" s="55"/>
      <c r="AC561" s="181"/>
      <c r="AD561" s="224"/>
      <c r="AE561" s="182"/>
      <c r="AF561" s="55"/>
      <c r="AG561" s="181"/>
      <c r="AH561" s="224"/>
      <c r="AI561" s="182"/>
      <c r="AJ561" s="55"/>
      <c r="AK561" s="181"/>
      <c r="AL561" s="224"/>
      <c r="AM561" s="182"/>
      <c r="AN561" s="45"/>
      <c r="AO561" s="57"/>
      <c r="AP561" s="224">
        <v>219</v>
      </c>
      <c r="AQ561" s="182">
        <v>276</v>
      </c>
      <c r="AR561" s="55">
        <v>153</v>
      </c>
      <c r="AS561" s="181">
        <v>345</v>
      </c>
      <c r="AT561" s="224"/>
      <c r="AU561" s="180"/>
      <c r="AV561" s="215"/>
      <c r="AW561" s="218"/>
      <c r="AX561" s="216"/>
      <c r="AY561" s="217"/>
      <c r="AZ561" s="215"/>
      <c r="BA561" s="217"/>
      <c r="BB561" s="45"/>
      <c r="BC561" s="46"/>
      <c r="BD561" s="45"/>
      <c r="BE561" s="46"/>
      <c r="BF561" s="45"/>
      <c r="BG561" s="46"/>
      <c r="BH561" s="45"/>
      <c r="BI561" s="46"/>
      <c r="BJ561" s="45"/>
      <c r="BK561" s="46"/>
    </row>
    <row r="562" spans="1:64" ht="13" x14ac:dyDescent="0.25">
      <c r="A562" s="372">
        <v>9502</v>
      </c>
      <c r="B562" s="373" t="s">
        <v>685</v>
      </c>
      <c r="C562" s="360">
        <v>1491</v>
      </c>
      <c r="D562" s="54">
        <v>663</v>
      </c>
      <c r="E562" s="367">
        <v>0.49834765366820888</v>
      </c>
      <c r="F562" s="45">
        <v>279</v>
      </c>
      <c r="G562" s="58">
        <v>381</v>
      </c>
      <c r="H562" s="45">
        <v>367</v>
      </c>
      <c r="I562" s="57">
        <v>282</v>
      </c>
      <c r="J562" s="97"/>
      <c r="K562" s="58"/>
      <c r="L562" s="45"/>
      <c r="M562" s="57"/>
      <c r="N562" s="97"/>
      <c r="O562" s="58"/>
      <c r="P562" s="55"/>
      <c r="Q562" s="181"/>
      <c r="R562" s="224"/>
      <c r="S562" s="182"/>
      <c r="T562" s="55"/>
      <c r="U562" s="181"/>
      <c r="V562" s="224"/>
      <c r="W562" s="182"/>
      <c r="X562" s="55"/>
      <c r="Y562" s="181"/>
      <c r="Z562" s="224"/>
      <c r="AA562" s="182"/>
      <c r="AB562" s="55"/>
      <c r="AC562" s="181"/>
      <c r="AD562" s="224"/>
      <c r="AE562" s="182"/>
      <c r="AF562" s="55"/>
      <c r="AG562" s="181"/>
      <c r="AH562" s="224"/>
      <c r="AI562" s="182"/>
      <c r="AJ562" s="55"/>
      <c r="AK562" s="181"/>
      <c r="AL562" s="224"/>
      <c r="AM562" s="182"/>
      <c r="AN562" s="55"/>
      <c r="AO562" s="181"/>
      <c r="AP562" s="224">
        <v>323</v>
      </c>
      <c r="AQ562" s="182">
        <v>323</v>
      </c>
      <c r="AR562" s="55">
        <v>241</v>
      </c>
      <c r="AS562" s="181">
        <v>402</v>
      </c>
      <c r="AT562" s="224"/>
      <c r="AU562" s="180"/>
      <c r="AV562" s="215"/>
      <c r="AW562" s="218"/>
      <c r="AX562" s="216"/>
      <c r="AY562" s="217"/>
      <c r="AZ562" s="215"/>
      <c r="BA562" s="217"/>
      <c r="BB562" s="45"/>
      <c r="BC562" s="46"/>
      <c r="BD562" s="45"/>
      <c r="BE562" s="46"/>
      <c r="BF562" s="45"/>
      <c r="BG562" s="46"/>
      <c r="BH562" s="45"/>
      <c r="BI562" s="46"/>
      <c r="BJ562" s="45"/>
      <c r="BK562" s="46"/>
    </row>
    <row r="563" spans="1:64" ht="13" x14ac:dyDescent="0.25">
      <c r="A563" s="372">
        <v>9503</v>
      </c>
      <c r="B563" s="373" t="s">
        <v>686</v>
      </c>
      <c r="C563" s="360">
        <v>1226</v>
      </c>
      <c r="D563" s="54">
        <v>339</v>
      </c>
      <c r="E563" s="367">
        <v>0.30724396336386345</v>
      </c>
      <c r="F563" s="45">
        <v>140</v>
      </c>
      <c r="G563" s="58">
        <v>197</v>
      </c>
      <c r="H563" s="45">
        <v>208</v>
      </c>
      <c r="I563" s="57">
        <v>122</v>
      </c>
      <c r="J563" s="97"/>
      <c r="K563" s="58"/>
      <c r="L563" s="45"/>
      <c r="M563" s="57"/>
      <c r="N563" s="97"/>
      <c r="O563" s="58"/>
      <c r="P563" s="55"/>
      <c r="Q563" s="181"/>
      <c r="R563" s="224"/>
      <c r="S563" s="182"/>
      <c r="T563" s="55"/>
      <c r="U563" s="181"/>
      <c r="V563" s="224"/>
      <c r="W563" s="182"/>
      <c r="X563" s="55"/>
      <c r="Y563" s="181"/>
      <c r="Z563" s="224"/>
      <c r="AA563" s="182"/>
      <c r="AB563" s="55"/>
      <c r="AC563" s="181"/>
      <c r="AD563" s="224"/>
      <c r="AE563" s="182"/>
      <c r="AF563" s="55"/>
      <c r="AG563" s="181"/>
      <c r="AH563" s="224"/>
      <c r="AI563" s="182"/>
      <c r="AJ563" s="55"/>
      <c r="AK563" s="181"/>
      <c r="AL563" s="224"/>
      <c r="AM563" s="182"/>
      <c r="AN563" s="55"/>
      <c r="AO563" s="181"/>
      <c r="AP563" s="224">
        <v>145</v>
      </c>
      <c r="AQ563" s="182">
        <v>182</v>
      </c>
      <c r="AR563" s="55">
        <v>103</v>
      </c>
      <c r="AS563" s="181">
        <v>230</v>
      </c>
      <c r="AT563" s="224"/>
      <c r="AU563" s="180"/>
      <c r="AV563" s="215"/>
      <c r="AW563" s="218"/>
      <c r="AX563" s="216"/>
      <c r="AY563" s="217"/>
      <c r="AZ563" s="215"/>
      <c r="BA563" s="217"/>
      <c r="BB563" s="45"/>
      <c r="BC563" s="46"/>
      <c r="BD563" s="45"/>
      <c r="BE563" s="46"/>
      <c r="BF563" s="45"/>
      <c r="BG563" s="46"/>
      <c r="BH563" s="45"/>
      <c r="BI563" s="46"/>
      <c r="BJ563" s="45"/>
      <c r="BK563" s="46"/>
    </row>
    <row r="564" spans="1:64" ht="13" x14ac:dyDescent="0.25">
      <c r="A564" s="372">
        <v>9701</v>
      </c>
      <c r="B564" s="373" t="s">
        <v>687</v>
      </c>
      <c r="C564" s="360">
        <v>1099</v>
      </c>
      <c r="D564" s="54">
        <v>520</v>
      </c>
      <c r="E564" s="367">
        <v>0.52052238805970152</v>
      </c>
      <c r="F564" s="45">
        <v>423</v>
      </c>
      <c r="G564" s="58">
        <v>84</v>
      </c>
      <c r="H564" s="45">
        <v>371</v>
      </c>
      <c r="I564" s="57">
        <v>134</v>
      </c>
      <c r="J564" s="97"/>
      <c r="K564" s="58"/>
      <c r="L564" s="45"/>
      <c r="M564" s="57"/>
      <c r="N564" s="97"/>
      <c r="O564" s="58"/>
      <c r="P564" s="55"/>
      <c r="Q564" s="181"/>
      <c r="R564" s="224"/>
      <c r="S564" s="182"/>
      <c r="T564" s="55"/>
      <c r="U564" s="181"/>
      <c r="V564" s="224"/>
      <c r="W564" s="182"/>
      <c r="X564" s="55"/>
      <c r="Y564" s="181"/>
      <c r="Z564" s="224"/>
      <c r="AA564" s="182"/>
      <c r="AB564" s="55"/>
      <c r="AC564" s="181"/>
      <c r="AD564" s="224">
        <v>241</v>
      </c>
      <c r="AE564" s="182">
        <v>262</v>
      </c>
      <c r="AF564" s="55"/>
      <c r="AG564" s="181"/>
      <c r="AH564" s="224"/>
      <c r="AI564" s="182"/>
      <c r="AJ564" s="55"/>
      <c r="AK564" s="181"/>
      <c r="AL564" s="224"/>
      <c r="AM564" s="182"/>
      <c r="AN564" s="55"/>
      <c r="AO564" s="181"/>
      <c r="AP564" s="224">
        <v>302</v>
      </c>
      <c r="AQ564" s="182">
        <v>209</v>
      </c>
      <c r="AR564" s="55">
        <v>277</v>
      </c>
      <c r="AS564" s="181">
        <v>236</v>
      </c>
      <c r="AT564" s="224"/>
      <c r="AU564" s="180"/>
      <c r="AV564" s="215"/>
      <c r="AW564" s="218"/>
      <c r="AX564" s="216"/>
      <c r="AY564" s="217"/>
      <c r="AZ564" s="215"/>
      <c r="BA564" s="217"/>
      <c r="BB564" s="45"/>
      <c r="BC564" s="46"/>
      <c r="BD564" s="45"/>
      <c r="BE564" s="46"/>
      <c r="BF564" s="45"/>
      <c r="BG564" s="46"/>
      <c r="BH564" s="45"/>
      <c r="BI564" s="46"/>
      <c r="BJ564" s="45"/>
      <c r="BK564" s="46"/>
    </row>
    <row r="565" spans="1:64" ht="13.5" thickBot="1" x14ac:dyDescent="0.3">
      <c r="A565" s="385">
        <v>9702</v>
      </c>
      <c r="B565" s="386" t="s">
        <v>688</v>
      </c>
      <c r="C565" s="387">
        <v>1563</v>
      </c>
      <c r="D565" s="388">
        <v>566</v>
      </c>
      <c r="E565" s="389">
        <v>0.41150159744408948</v>
      </c>
      <c r="F565" s="390">
        <v>482</v>
      </c>
      <c r="G565" s="391">
        <v>79</v>
      </c>
      <c r="H565" s="390">
        <v>446</v>
      </c>
      <c r="I565" s="392">
        <v>110</v>
      </c>
      <c r="J565" s="393"/>
      <c r="K565" s="391"/>
      <c r="L565" s="390"/>
      <c r="M565" s="392"/>
      <c r="N565" s="393"/>
      <c r="O565" s="391"/>
      <c r="P565" s="398"/>
      <c r="Q565" s="399"/>
      <c r="R565" s="396"/>
      <c r="S565" s="397"/>
      <c r="T565" s="398"/>
      <c r="U565" s="399"/>
      <c r="V565" s="396"/>
      <c r="W565" s="397"/>
      <c r="X565" s="398"/>
      <c r="Y565" s="399"/>
      <c r="Z565" s="396"/>
      <c r="AA565" s="397"/>
      <c r="AB565" s="398"/>
      <c r="AC565" s="399"/>
      <c r="AD565" s="396">
        <v>343</v>
      </c>
      <c r="AE565" s="397">
        <v>208</v>
      </c>
      <c r="AF565" s="398"/>
      <c r="AG565" s="399"/>
      <c r="AH565" s="396"/>
      <c r="AI565" s="397"/>
      <c r="AJ565" s="398"/>
      <c r="AK565" s="399"/>
      <c r="AL565" s="396"/>
      <c r="AM565" s="397"/>
      <c r="AN565" s="398"/>
      <c r="AO565" s="399"/>
      <c r="AP565" s="396">
        <v>412</v>
      </c>
      <c r="AQ565" s="397">
        <v>146</v>
      </c>
      <c r="AR565" s="398">
        <v>372</v>
      </c>
      <c r="AS565" s="399">
        <v>182</v>
      </c>
      <c r="AT565" s="396"/>
      <c r="AU565" s="400"/>
      <c r="AV565" s="394"/>
      <c r="AW565" s="401"/>
      <c r="AX565" s="395"/>
      <c r="AY565" s="402"/>
      <c r="AZ565" s="394"/>
      <c r="BA565" s="402"/>
      <c r="BB565" s="390"/>
      <c r="BC565" s="403"/>
      <c r="BD565" s="390"/>
      <c r="BE565" s="403"/>
      <c r="BF565" s="390"/>
      <c r="BG565" s="403"/>
      <c r="BH565" s="390"/>
      <c r="BI565" s="403"/>
      <c r="BJ565" s="390"/>
      <c r="BK565" s="403"/>
    </row>
    <row r="566" spans="1:64" ht="13.5" thickTop="1" x14ac:dyDescent="0.25">
      <c r="A566" s="658"/>
      <c r="B566" s="663" t="s">
        <v>4</v>
      </c>
      <c r="C566" s="664">
        <f>SUM(C4:C565)</f>
        <v>597466</v>
      </c>
      <c r="D566" s="665">
        <f>SUM(D4:D565)</f>
        <v>288751</v>
      </c>
      <c r="E566" s="666">
        <v>0.51505899937330968</v>
      </c>
      <c r="F566" s="675">
        <f t="shared" ref="F566:BK566" si="0">SUM(F4:F565)</f>
        <v>186175</v>
      </c>
      <c r="G566" s="676">
        <f t="shared" si="0"/>
        <v>99819</v>
      </c>
      <c r="H566" s="675">
        <f t="shared" si="0"/>
        <v>186770</v>
      </c>
      <c r="I566" s="677">
        <f t="shared" si="0"/>
        <v>97257</v>
      </c>
      <c r="J566" s="678">
        <f t="shared" si="0"/>
        <v>343</v>
      </c>
      <c r="K566" s="676">
        <f t="shared" si="0"/>
        <v>802</v>
      </c>
      <c r="L566" s="675">
        <f t="shared" si="0"/>
        <v>458</v>
      </c>
      <c r="M566" s="677">
        <f t="shared" si="0"/>
        <v>214</v>
      </c>
      <c r="N566" s="678">
        <f t="shared" si="0"/>
        <v>457</v>
      </c>
      <c r="O566" s="676">
        <f t="shared" si="0"/>
        <v>209</v>
      </c>
      <c r="P566" s="679">
        <f t="shared" si="0"/>
        <v>648</v>
      </c>
      <c r="Q566" s="680">
        <f t="shared" si="0"/>
        <v>457</v>
      </c>
      <c r="R566" s="681">
        <f t="shared" si="0"/>
        <v>380</v>
      </c>
      <c r="S566" s="682">
        <f t="shared" si="0"/>
        <v>233</v>
      </c>
      <c r="T566" s="679">
        <f t="shared" si="0"/>
        <v>1223</v>
      </c>
      <c r="U566" s="680">
        <f t="shared" si="0"/>
        <v>337</v>
      </c>
      <c r="V566" s="681">
        <f t="shared" si="0"/>
        <v>1230</v>
      </c>
      <c r="W566" s="682">
        <f t="shared" si="0"/>
        <v>330</v>
      </c>
      <c r="X566" s="679">
        <f t="shared" si="0"/>
        <v>1176</v>
      </c>
      <c r="Y566" s="680">
        <f t="shared" si="0"/>
        <v>453</v>
      </c>
      <c r="Z566" s="681">
        <f t="shared" si="0"/>
        <v>1246</v>
      </c>
      <c r="AA566" s="682">
        <f t="shared" si="0"/>
        <v>403</v>
      </c>
      <c r="AB566" s="679">
        <f t="shared" si="0"/>
        <v>974</v>
      </c>
      <c r="AC566" s="680">
        <f t="shared" si="0"/>
        <v>196</v>
      </c>
      <c r="AD566" s="681">
        <f t="shared" si="0"/>
        <v>584</v>
      </c>
      <c r="AE566" s="682">
        <f t="shared" si="0"/>
        <v>470</v>
      </c>
      <c r="AF566" s="679">
        <f t="shared" si="0"/>
        <v>8302</v>
      </c>
      <c r="AG566" s="680">
        <f t="shared" si="0"/>
        <v>10756</v>
      </c>
      <c r="AH566" s="681">
        <f t="shared" si="0"/>
        <v>6102</v>
      </c>
      <c r="AI566" s="682">
        <f t="shared" si="0"/>
        <v>4506</v>
      </c>
      <c r="AJ566" s="679">
        <f t="shared" si="0"/>
        <v>2155</v>
      </c>
      <c r="AK566" s="680">
        <f t="shared" si="0"/>
        <v>2779</v>
      </c>
      <c r="AL566" s="681">
        <f t="shared" si="0"/>
        <v>0</v>
      </c>
      <c r="AM566" s="682">
        <f t="shared" si="0"/>
        <v>3</v>
      </c>
      <c r="AN566" s="679">
        <f t="shared" si="0"/>
        <v>11221</v>
      </c>
      <c r="AO566" s="680">
        <f t="shared" si="0"/>
        <v>10251</v>
      </c>
      <c r="AP566" s="678">
        <f t="shared" si="0"/>
        <v>193602</v>
      </c>
      <c r="AQ566" s="676">
        <f t="shared" si="0"/>
        <v>88863</v>
      </c>
      <c r="AR566" s="679">
        <f t="shared" si="0"/>
        <v>159572</v>
      </c>
      <c r="AS566" s="680">
        <f t="shared" si="0"/>
        <v>122115</v>
      </c>
      <c r="AT566" s="681">
        <f t="shared" si="0"/>
        <v>1559</v>
      </c>
      <c r="AU566" s="683">
        <f t="shared" si="0"/>
        <v>937</v>
      </c>
      <c r="AV566" s="679">
        <f t="shared" si="0"/>
        <v>44250</v>
      </c>
      <c r="AW566" s="684">
        <f t="shared" si="0"/>
        <v>41369</v>
      </c>
      <c r="AX566" s="681">
        <f t="shared" si="0"/>
        <v>50018</v>
      </c>
      <c r="AY566" s="683">
        <f t="shared" si="0"/>
        <v>26856</v>
      </c>
      <c r="AZ566" s="679">
        <f t="shared" si="0"/>
        <v>25788</v>
      </c>
      <c r="BA566" s="683">
        <f t="shared" si="0"/>
        <v>56817</v>
      </c>
      <c r="BB566" s="679">
        <f t="shared" si="0"/>
        <v>890</v>
      </c>
      <c r="BC566" s="685">
        <f t="shared" si="0"/>
        <v>817</v>
      </c>
      <c r="BD566" s="679">
        <f t="shared" si="0"/>
        <v>1073</v>
      </c>
      <c r="BE566" s="685">
        <f t="shared" si="0"/>
        <v>1243</v>
      </c>
      <c r="BF566" s="679">
        <f t="shared" si="0"/>
        <v>1087</v>
      </c>
      <c r="BG566" s="685">
        <f t="shared" si="0"/>
        <v>1237</v>
      </c>
      <c r="BH566" s="679">
        <f t="shared" si="0"/>
        <v>1604</v>
      </c>
      <c r="BI566" s="685">
        <f t="shared" si="0"/>
        <v>815</v>
      </c>
      <c r="BJ566" s="679">
        <f t="shared" si="0"/>
        <v>442</v>
      </c>
      <c r="BK566" s="685">
        <f t="shared" si="0"/>
        <v>79</v>
      </c>
    </row>
    <row r="567" spans="1:64" ht="13" x14ac:dyDescent="0.25">
      <c r="A567" s="657"/>
      <c r="B567" s="667" t="s">
        <v>5</v>
      </c>
      <c r="C567" s="668"/>
      <c r="D567" s="326">
        <f>SUM(D566-D568)</f>
        <v>227468</v>
      </c>
      <c r="E567" s="480">
        <f>SUM(D567/C566)</f>
        <v>0.38072124606253743</v>
      </c>
      <c r="F567" s="686">
        <f t="shared" ref="F567:BK567" si="1">SUM(F566-F568)</f>
        <v>140550</v>
      </c>
      <c r="G567" s="687">
        <f t="shared" si="1"/>
        <v>84700</v>
      </c>
      <c r="H567" s="686">
        <f t="shared" si="1"/>
        <v>145900</v>
      </c>
      <c r="I567" s="688">
        <f t="shared" si="1"/>
        <v>77884</v>
      </c>
      <c r="J567" s="689">
        <f t="shared" si="1"/>
        <v>309</v>
      </c>
      <c r="K567" s="687">
        <f t="shared" si="1"/>
        <v>720</v>
      </c>
      <c r="L567" s="686">
        <f t="shared" si="1"/>
        <v>409</v>
      </c>
      <c r="M567" s="688">
        <f t="shared" si="1"/>
        <v>184</v>
      </c>
      <c r="N567" s="689">
        <f t="shared" si="1"/>
        <v>409</v>
      </c>
      <c r="O567" s="687">
        <f t="shared" si="1"/>
        <v>180</v>
      </c>
      <c r="P567" s="232">
        <f t="shared" si="1"/>
        <v>457</v>
      </c>
      <c r="Q567" s="288">
        <f t="shared" si="1"/>
        <v>328</v>
      </c>
      <c r="R567" s="361">
        <f t="shared" si="1"/>
        <v>325</v>
      </c>
      <c r="S567" s="317">
        <f t="shared" si="1"/>
        <v>186</v>
      </c>
      <c r="T567" s="232">
        <f t="shared" si="1"/>
        <v>939</v>
      </c>
      <c r="U567" s="288">
        <f t="shared" si="1"/>
        <v>266</v>
      </c>
      <c r="V567" s="361">
        <f t="shared" si="1"/>
        <v>941</v>
      </c>
      <c r="W567" s="317">
        <f t="shared" si="1"/>
        <v>262</v>
      </c>
      <c r="X567" s="232">
        <f t="shared" si="1"/>
        <v>889</v>
      </c>
      <c r="Y567" s="288">
        <f t="shared" si="1"/>
        <v>375</v>
      </c>
      <c r="Z567" s="361">
        <f t="shared" si="1"/>
        <v>948</v>
      </c>
      <c r="AA567" s="317">
        <f t="shared" si="1"/>
        <v>335</v>
      </c>
      <c r="AB567" s="232">
        <f t="shared" si="1"/>
        <v>781</v>
      </c>
      <c r="AC567" s="288">
        <f t="shared" si="1"/>
        <v>172</v>
      </c>
      <c r="AD567" s="361">
        <f t="shared" si="1"/>
        <v>474</v>
      </c>
      <c r="AE567" s="317">
        <f t="shared" si="1"/>
        <v>365</v>
      </c>
      <c r="AF567" s="232">
        <f t="shared" si="1"/>
        <v>7066</v>
      </c>
      <c r="AG567" s="288">
        <f t="shared" si="1"/>
        <v>9167</v>
      </c>
      <c r="AH567" s="361">
        <f t="shared" si="1"/>
        <v>5305</v>
      </c>
      <c r="AI567" s="317">
        <f t="shared" si="1"/>
        <v>4046</v>
      </c>
      <c r="AJ567" s="232">
        <f t="shared" si="1"/>
        <v>1773</v>
      </c>
      <c r="AK567" s="288">
        <f t="shared" si="1"/>
        <v>2446</v>
      </c>
      <c r="AL567" s="361">
        <f t="shared" si="1"/>
        <v>0</v>
      </c>
      <c r="AM567" s="317">
        <f t="shared" si="1"/>
        <v>3</v>
      </c>
      <c r="AN567" s="232">
        <f t="shared" si="1"/>
        <v>9003</v>
      </c>
      <c r="AO567" s="288">
        <f t="shared" si="1"/>
        <v>8323</v>
      </c>
      <c r="AP567" s="689">
        <f t="shared" si="1"/>
        <v>148380</v>
      </c>
      <c r="AQ567" s="687">
        <f t="shared" si="1"/>
        <v>73839</v>
      </c>
      <c r="AR567" s="232">
        <f t="shared" si="1"/>
        <v>120701</v>
      </c>
      <c r="AS567" s="288">
        <f t="shared" si="1"/>
        <v>101015</v>
      </c>
      <c r="AT567" s="361">
        <f t="shared" si="1"/>
        <v>1309</v>
      </c>
      <c r="AU567" s="345">
        <f t="shared" si="1"/>
        <v>825</v>
      </c>
      <c r="AV567" s="232">
        <f t="shared" si="1"/>
        <v>31004</v>
      </c>
      <c r="AW567" s="289">
        <f t="shared" si="1"/>
        <v>30571</v>
      </c>
      <c r="AX567" s="361">
        <f t="shared" si="1"/>
        <v>35173</v>
      </c>
      <c r="AY567" s="345">
        <f t="shared" si="1"/>
        <v>19777</v>
      </c>
      <c r="AZ567" s="232">
        <f t="shared" si="1"/>
        <v>18619</v>
      </c>
      <c r="BA567" s="345">
        <f t="shared" si="1"/>
        <v>40690</v>
      </c>
      <c r="BB567" s="232">
        <f t="shared" si="1"/>
        <v>733</v>
      </c>
      <c r="BC567" s="241">
        <f t="shared" si="1"/>
        <v>696</v>
      </c>
      <c r="BD567" s="232">
        <f t="shared" si="1"/>
        <v>878</v>
      </c>
      <c r="BE567" s="241">
        <f t="shared" si="1"/>
        <v>1022</v>
      </c>
      <c r="BF567" s="232">
        <f t="shared" si="1"/>
        <v>885</v>
      </c>
      <c r="BG567" s="241">
        <f t="shared" si="1"/>
        <v>1021</v>
      </c>
      <c r="BH567" s="232">
        <f t="shared" si="1"/>
        <v>1294</v>
      </c>
      <c r="BI567" s="241">
        <f t="shared" si="1"/>
        <v>685</v>
      </c>
      <c r="BJ567" s="232">
        <f t="shared" si="1"/>
        <v>308</v>
      </c>
      <c r="BK567" s="289">
        <f t="shared" si="1"/>
        <v>55</v>
      </c>
      <c r="BL567" s="701"/>
    </row>
    <row r="568" spans="1:64" ht="13.5" thickBot="1" x14ac:dyDescent="0.3">
      <c r="A568" s="656"/>
      <c r="B568" s="661" t="s">
        <v>6</v>
      </c>
      <c r="C568" s="662"/>
      <c r="D568" s="670">
        <v>61283</v>
      </c>
      <c r="E568" s="669">
        <f>SUM(D568/C566)</f>
        <v>0.10257152708271265</v>
      </c>
      <c r="F568" s="690">
        <v>45625</v>
      </c>
      <c r="G568" s="691">
        <v>15119</v>
      </c>
      <c r="H568" s="690">
        <v>40870</v>
      </c>
      <c r="I568" s="692">
        <v>19373</v>
      </c>
      <c r="J568" s="693">
        <v>34</v>
      </c>
      <c r="K568" s="691">
        <v>82</v>
      </c>
      <c r="L568" s="690">
        <v>49</v>
      </c>
      <c r="M568" s="692">
        <v>30</v>
      </c>
      <c r="N568" s="693">
        <v>48</v>
      </c>
      <c r="O568" s="691">
        <v>29</v>
      </c>
      <c r="P568" s="694">
        <v>191</v>
      </c>
      <c r="Q568" s="695">
        <v>129</v>
      </c>
      <c r="R568" s="696">
        <v>55</v>
      </c>
      <c r="S568" s="697">
        <v>47</v>
      </c>
      <c r="T568" s="694">
        <v>284</v>
      </c>
      <c r="U568" s="695">
        <v>71</v>
      </c>
      <c r="V568" s="696">
        <v>289</v>
      </c>
      <c r="W568" s="697">
        <v>68</v>
      </c>
      <c r="X568" s="694">
        <v>287</v>
      </c>
      <c r="Y568" s="695">
        <v>78</v>
      </c>
      <c r="Z568" s="696">
        <v>298</v>
      </c>
      <c r="AA568" s="697">
        <v>68</v>
      </c>
      <c r="AB568" s="694">
        <v>193</v>
      </c>
      <c r="AC568" s="695">
        <v>24</v>
      </c>
      <c r="AD568" s="696">
        <v>110</v>
      </c>
      <c r="AE568" s="697">
        <v>105</v>
      </c>
      <c r="AF568" s="694">
        <v>1236</v>
      </c>
      <c r="AG568" s="695">
        <v>1589</v>
      </c>
      <c r="AH568" s="696">
        <v>797</v>
      </c>
      <c r="AI568" s="697">
        <v>460</v>
      </c>
      <c r="AJ568" s="694">
        <v>382</v>
      </c>
      <c r="AK568" s="695">
        <v>333</v>
      </c>
      <c r="AL568" s="696">
        <v>0</v>
      </c>
      <c r="AM568" s="697">
        <v>0</v>
      </c>
      <c r="AN568" s="694">
        <v>2218</v>
      </c>
      <c r="AO568" s="695">
        <v>1928</v>
      </c>
      <c r="AP568" s="693">
        <v>45222</v>
      </c>
      <c r="AQ568" s="691">
        <v>15024</v>
      </c>
      <c r="AR568" s="694">
        <v>38871</v>
      </c>
      <c r="AS568" s="695">
        <v>21100</v>
      </c>
      <c r="AT568" s="696">
        <v>250</v>
      </c>
      <c r="AU568" s="698">
        <v>112</v>
      </c>
      <c r="AV568" s="694">
        <v>13246</v>
      </c>
      <c r="AW568" s="699">
        <v>10798</v>
      </c>
      <c r="AX568" s="696">
        <v>14845</v>
      </c>
      <c r="AY568" s="698">
        <v>7079</v>
      </c>
      <c r="AZ568" s="694">
        <v>7169</v>
      </c>
      <c r="BA568" s="698">
        <v>16127</v>
      </c>
      <c r="BB568" s="694">
        <v>157</v>
      </c>
      <c r="BC568" s="700">
        <v>121</v>
      </c>
      <c r="BD568" s="694">
        <v>195</v>
      </c>
      <c r="BE568" s="700">
        <v>221</v>
      </c>
      <c r="BF568" s="694">
        <v>202</v>
      </c>
      <c r="BG568" s="700">
        <v>216</v>
      </c>
      <c r="BH568" s="694">
        <v>310</v>
      </c>
      <c r="BI568" s="700">
        <v>130</v>
      </c>
      <c r="BJ568" s="694">
        <v>134</v>
      </c>
      <c r="BK568" s="700">
        <v>24</v>
      </c>
    </row>
    <row r="569" spans="1:64" ht="13.5" thickTop="1" x14ac:dyDescent="0.25">
      <c r="A569" s="370"/>
      <c r="B569" s="371"/>
      <c r="C569" s="359"/>
      <c r="D569" s="56"/>
      <c r="E569" s="366"/>
      <c r="F569" s="51"/>
      <c r="G569" s="96"/>
      <c r="H569" s="51"/>
      <c r="I569" s="659"/>
      <c r="J569" s="95"/>
      <c r="K569" s="660"/>
      <c r="L569" s="51"/>
      <c r="M569" s="659"/>
      <c r="N569" s="95"/>
      <c r="O569" s="660"/>
      <c r="P569" s="404"/>
      <c r="Q569" s="405"/>
      <c r="R569" s="406"/>
      <c r="S569" s="407"/>
      <c r="T569" s="404"/>
      <c r="U569" s="405"/>
      <c r="V569" s="406"/>
      <c r="W569" s="407"/>
      <c r="X569" s="404"/>
      <c r="Y569" s="405"/>
      <c r="Z569" s="406"/>
      <c r="AA569" s="407"/>
      <c r="AB569" s="404"/>
      <c r="AC569" s="405"/>
      <c r="AD569" s="406"/>
      <c r="AE569" s="407"/>
      <c r="AF569" s="404"/>
      <c r="AG569" s="405"/>
      <c r="AH569" s="406"/>
      <c r="AI569" s="407"/>
      <c r="AJ569" s="404"/>
      <c r="AK569" s="405"/>
      <c r="AL569" s="406"/>
      <c r="AM569" s="407"/>
      <c r="AN569" s="404"/>
      <c r="AO569" s="405"/>
      <c r="AP569" s="95"/>
      <c r="AQ569" s="660"/>
      <c r="AR569" s="404"/>
      <c r="AS569" s="405"/>
      <c r="AT569" s="406"/>
      <c r="AU569" s="407"/>
      <c r="AV569" s="404"/>
      <c r="AW569" s="405"/>
      <c r="AX569" s="406"/>
      <c r="AY569" s="407"/>
      <c r="AZ569" s="404"/>
      <c r="BA569" s="407"/>
      <c r="BB569" s="404"/>
      <c r="BC569" s="423"/>
      <c r="BD569" s="404"/>
      <c r="BE569" s="423"/>
      <c r="BF569" s="404"/>
      <c r="BG569" s="423"/>
      <c r="BH569" s="404"/>
      <c r="BI569" s="423"/>
      <c r="BJ569" s="404"/>
      <c r="BK569" s="423"/>
    </row>
    <row r="570" spans="1:64" ht="13" x14ac:dyDescent="0.25">
      <c r="A570" s="378"/>
      <c r="B570" s="378" t="s">
        <v>774</v>
      </c>
      <c r="C570" s="236">
        <f>SUM(C4:C193)</f>
        <v>219787</v>
      </c>
      <c r="D570" s="236">
        <f>SUM(D4:D193)</f>
        <v>87868</v>
      </c>
      <c r="E570" s="367">
        <v>0.41992945566465567</v>
      </c>
      <c r="F570" s="49">
        <f t="shared" ref="F570:AK570" si="2">SUM(F2:F191)</f>
        <v>69869</v>
      </c>
      <c r="G570" s="230">
        <f t="shared" si="2"/>
        <v>16661</v>
      </c>
      <c r="H570" s="49">
        <f t="shared" si="2"/>
        <v>66926</v>
      </c>
      <c r="I570" s="291">
        <f t="shared" si="2"/>
        <v>19313</v>
      </c>
      <c r="J570" s="302">
        <f t="shared" si="2"/>
        <v>0</v>
      </c>
      <c r="K570" s="231">
        <f t="shared" si="2"/>
        <v>0</v>
      </c>
      <c r="L570" s="49">
        <f t="shared" si="2"/>
        <v>0</v>
      </c>
      <c r="M570" s="291">
        <f t="shared" si="2"/>
        <v>0</v>
      </c>
      <c r="N570" s="302">
        <f t="shared" si="2"/>
        <v>0</v>
      </c>
      <c r="O570" s="231">
        <f t="shared" si="2"/>
        <v>0</v>
      </c>
      <c r="P570" s="49">
        <f t="shared" si="2"/>
        <v>0</v>
      </c>
      <c r="Q570" s="291">
        <f t="shared" si="2"/>
        <v>0</v>
      </c>
      <c r="R570" s="302">
        <f t="shared" si="2"/>
        <v>0</v>
      </c>
      <c r="S570" s="231">
        <f t="shared" si="2"/>
        <v>0</v>
      </c>
      <c r="T570" s="49">
        <f t="shared" si="2"/>
        <v>0</v>
      </c>
      <c r="U570" s="291">
        <f t="shared" si="2"/>
        <v>0</v>
      </c>
      <c r="V570" s="302">
        <f t="shared" si="2"/>
        <v>0</v>
      </c>
      <c r="W570" s="231">
        <f t="shared" si="2"/>
        <v>0</v>
      </c>
      <c r="X570" s="49">
        <f t="shared" si="2"/>
        <v>0</v>
      </c>
      <c r="Y570" s="291">
        <f t="shared" si="2"/>
        <v>0</v>
      </c>
      <c r="Z570" s="302">
        <f t="shared" si="2"/>
        <v>0</v>
      </c>
      <c r="AA570" s="231">
        <f t="shared" si="2"/>
        <v>0</v>
      </c>
      <c r="AB570" s="49">
        <f t="shared" si="2"/>
        <v>0</v>
      </c>
      <c r="AC570" s="291">
        <f t="shared" si="2"/>
        <v>0</v>
      </c>
      <c r="AD570" s="302">
        <f t="shared" si="2"/>
        <v>0</v>
      </c>
      <c r="AE570" s="231">
        <f t="shared" si="2"/>
        <v>0</v>
      </c>
      <c r="AF570" s="49">
        <f t="shared" si="2"/>
        <v>0</v>
      </c>
      <c r="AG570" s="291">
        <f t="shared" si="2"/>
        <v>0</v>
      </c>
      <c r="AH570" s="302">
        <f t="shared" si="2"/>
        <v>0</v>
      </c>
      <c r="AI570" s="231">
        <f t="shared" si="2"/>
        <v>0</v>
      </c>
      <c r="AJ570" s="49">
        <f t="shared" si="2"/>
        <v>0</v>
      </c>
      <c r="AK570" s="291">
        <f t="shared" si="2"/>
        <v>0</v>
      </c>
      <c r="AL570" s="302">
        <f t="shared" ref="AL570:BK570" si="3">SUM(AL2:AL191)</f>
        <v>0</v>
      </c>
      <c r="AM570" s="231">
        <f t="shared" si="3"/>
        <v>0</v>
      </c>
      <c r="AN570" s="49">
        <f t="shared" si="3"/>
        <v>0</v>
      </c>
      <c r="AO570" s="291">
        <f t="shared" si="3"/>
        <v>0</v>
      </c>
      <c r="AP570" s="302">
        <f t="shared" si="3"/>
        <v>64418</v>
      </c>
      <c r="AQ570" s="231">
        <f t="shared" si="3"/>
        <v>20940</v>
      </c>
      <c r="AR570" s="49">
        <f t="shared" si="3"/>
        <v>57756</v>
      </c>
      <c r="AS570" s="291">
        <f t="shared" si="3"/>
        <v>27132</v>
      </c>
      <c r="AT570" s="302">
        <f t="shared" si="3"/>
        <v>0</v>
      </c>
      <c r="AU570" s="231">
        <f t="shared" si="3"/>
        <v>0</v>
      </c>
      <c r="AV570" s="49">
        <f t="shared" si="3"/>
        <v>44031</v>
      </c>
      <c r="AW570" s="291">
        <f t="shared" si="3"/>
        <v>41086</v>
      </c>
      <c r="AX570" s="302">
        <f t="shared" si="3"/>
        <v>49761</v>
      </c>
      <c r="AY570" s="231">
        <f t="shared" si="3"/>
        <v>26659</v>
      </c>
      <c r="AZ570" s="49">
        <f t="shared" si="3"/>
        <v>25638</v>
      </c>
      <c r="BA570" s="231">
        <f t="shared" si="3"/>
        <v>56486</v>
      </c>
      <c r="BB570" s="49">
        <f t="shared" si="3"/>
        <v>0</v>
      </c>
      <c r="BC570" s="82">
        <f t="shared" si="3"/>
        <v>0</v>
      </c>
      <c r="BD570" s="49">
        <f t="shared" si="3"/>
        <v>0</v>
      </c>
      <c r="BE570" s="82">
        <f t="shared" si="3"/>
        <v>0</v>
      </c>
      <c r="BF570" s="49">
        <f t="shared" si="3"/>
        <v>0</v>
      </c>
      <c r="BG570" s="82">
        <f t="shared" si="3"/>
        <v>0</v>
      </c>
      <c r="BH570" s="49">
        <f t="shared" si="3"/>
        <v>0</v>
      </c>
      <c r="BI570" s="82">
        <f t="shared" si="3"/>
        <v>0</v>
      </c>
      <c r="BJ570" s="49">
        <f t="shared" si="3"/>
        <v>0</v>
      </c>
      <c r="BK570" s="82">
        <f t="shared" si="3"/>
        <v>0</v>
      </c>
    </row>
    <row r="571" spans="1:64" ht="13" x14ac:dyDescent="0.25">
      <c r="A571" s="378"/>
      <c r="B571" s="378" t="s">
        <v>689</v>
      </c>
      <c r="C571" s="236">
        <f>SUM(C4:C16)</f>
        <v>13154</v>
      </c>
      <c r="D571" s="282">
        <f>SUM(D4:D16)</f>
        <v>7182</v>
      </c>
      <c r="E571" s="367">
        <v>0.5572745979727155</v>
      </c>
      <c r="F571" s="49">
        <f t="shared" ref="F571:AK571" si="4">SUM(F2:F14)</f>
        <v>4447</v>
      </c>
      <c r="G571" s="230">
        <f t="shared" si="4"/>
        <v>1687</v>
      </c>
      <c r="H571" s="49">
        <f t="shared" si="4"/>
        <v>4456</v>
      </c>
      <c r="I571" s="291">
        <f t="shared" si="4"/>
        <v>1662</v>
      </c>
      <c r="J571" s="302">
        <f t="shared" si="4"/>
        <v>0</v>
      </c>
      <c r="K571" s="231">
        <f t="shared" si="4"/>
        <v>0</v>
      </c>
      <c r="L571" s="49">
        <f t="shared" si="4"/>
        <v>0</v>
      </c>
      <c r="M571" s="291">
        <f t="shared" si="4"/>
        <v>0</v>
      </c>
      <c r="N571" s="302">
        <f t="shared" si="4"/>
        <v>0</v>
      </c>
      <c r="O571" s="231">
        <f t="shared" si="4"/>
        <v>0</v>
      </c>
      <c r="P571" s="49">
        <f t="shared" si="4"/>
        <v>0</v>
      </c>
      <c r="Q571" s="291">
        <f t="shared" si="4"/>
        <v>0</v>
      </c>
      <c r="R571" s="302">
        <f t="shared" si="4"/>
        <v>0</v>
      </c>
      <c r="S571" s="231">
        <f t="shared" si="4"/>
        <v>0</v>
      </c>
      <c r="T571" s="49">
        <f t="shared" si="4"/>
        <v>0</v>
      </c>
      <c r="U571" s="291">
        <f t="shared" si="4"/>
        <v>0</v>
      </c>
      <c r="V571" s="302">
        <f t="shared" si="4"/>
        <v>0</v>
      </c>
      <c r="W571" s="231">
        <f t="shared" si="4"/>
        <v>0</v>
      </c>
      <c r="X571" s="49">
        <f t="shared" si="4"/>
        <v>0</v>
      </c>
      <c r="Y571" s="291">
        <f t="shared" si="4"/>
        <v>0</v>
      </c>
      <c r="Z571" s="302">
        <f t="shared" si="4"/>
        <v>0</v>
      </c>
      <c r="AA571" s="231">
        <f t="shared" si="4"/>
        <v>0</v>
      </c>
      <c r="AB571" s="49">
        <f t="shared" si="4"/>
        <v>0</v>
      </c>
      <c r="AC571" s="291">
        <f t="shared" si="4"/>
        <v>0</v>
      </c>
      <c r="AD571" s="302">
        <f t="shared" si="4"/>
        <v>0</v>
      </c>
      <c r="AE571" s="231">
        <f t="shared" si="4"/>
        <v>0</v>
      </c>
      <c r="AF571" s="49">
        <f t="shared" si="4"/>
        <v>0</v>
      </c>
      <c r="AG571" s="291">
        <f t="shared" si="4"/>
        <v>0</v>
      </c>
      <c r="AH571" s="302">
        <f t="shared" si="4"/>
        <v>0</v>
      </c>
      <c r="AI571" s="231">
        <f t="shared" si="4"/>
        <v>0</v>
      </c>
      <c r="AJ571" s="49">
        <f t="shared" si="4"/>
        <v>0</v>
      </c>
      <c r="AK571" s="291">
        <f t="shared" si="4"/>
        <v>0</v>
      </c>
      <c r="AL571" s="302">
        <f t="shared" ref="AL571:BK571" si="5">SUM(AL2:AL14)</f>
        <v>0</v>
      </c>
      <c r="AM571" s="231">
        <f t="shared" si="5"/>
        <v>0</v>
      </c>
      <c r="AN571" s="49">
        <f t="shared" si="5"/>
        <v>0</v>
      </c>
      <c r="AO571" s="291">
        <f t="shared" si="5"/>
        <v>0</v>
      </c>
      <c r="AP571" s="302">
        <f t="shared" si="5"/>
        <v>4519</v>
      </c>
      <c r="AQ571" s="231">
        <f t="shared" si="5"/>
        <v>1528</v>
      </c>
      <c r="AR571" s="49">
        <f t="shared" si="5"/>
        <v>3743</v>
      </c>
      <c r="AS571" s="291">
        <f t="shared" si="5"/>
        <v>2241</v>
      </c>
      <c r="AT571" s="302">
        <f t="shared" si="5"/>
        <v>0</v>
      </c>
      <c r="AU571" s="231">
        <f t="shared" si="5"/>
        <v>0</v>
      </c>
      <c r="AV571" s="49">
        <f t="shared" si="5"/>
        <v>3139</v>
      </c>
      <c r="AW571" s="291">
        <f t="shared" si="5"/>
        <v>2866</v>
      </c>
      <c r="AX571" s="302">
        <f t="shared" si="5"/>
        <v>3449</v>
      </c>
      <c r="AY571" s="231">
        <f t="shared" si="5"/>
        <v>1892</v>
      </c>
      <c r="AZ571" s="49">
        <f t="shared" si="5"/>
        <v>1297</v>
      </c>
      <c r="BA571" s="231">
        <f t="shared" si="5"/>
        <v>4399</v>
      </c>
      <c r="BB571" s="49">
        <f t="shared" si="5"/>
        <v>0</v>
      </c>
      <c r="BC571" s="82">
        <f t="shared" si="5"/>
        <v>0</v>
      </c>
      <c r="BD571" s="49">
        <f t="shared" si="5"/>
        <v>0</v>
      </c>
      <c r="BE571" s="82">
        <f t="shared" si="5"/>
        <v>0</v>
      </c>
      <c r="BF571" s="49">
        <f t="shared" si="5"/>
        <v>0</v>
      </c>
      <c r="BG571" s="82">
        <f t="shared" si="5"/>
        <v>0</v>
      </c>
      <c r="BH571" s="49">
        <f t="shared" si="5"/>
        <v>0</v>
      </c>
      <c r="BI571" s="82">
        <f t="shared" si="5"/>
        <v>0</v>
      </c>
      <c r="BJ571" s="49">
        <f t="shared" si="5"/>
        <v>0</v>
      </c>
      <c r="BK571" s="82">
        <f t="shared" si="5"/>
        <v>0</v>
      </c>
    </row>
    <row r="572" spans="1:64" ht="13" x14ac:dyDescent="0.25">
      <c r="A572" s="378"/>
      <c r="B572" s="378" t="s">
        <v>690</v>
      </c>
      <c r="C572" s="236">
        <f>SUM(C17:C27)</f>
        <v>14746</v>
      </c>
      <c r="D572" s="282">
        <f>SUM(D17:D27)</f>
        <v>7135</v>
      </c>
      <c r="E572" s="367">
        <v>0.49514762165117548</v>
      </c>
      <c r="F572" s="49">
        <f t="shared" ref="F572:AK572" si="6">SUM(F15:F25)</f>
        <v>5171</v>
      </c>
      <c r="G572" s="230">
        <f t="shared" si="6"/>
        <v>1399</v>
      </c>
      <c r="H572" s="49">
        <f t="shared" si="6"/>
        <v>4903</v>
      </c>
      <c r="I572" s="291">
        <f t="shared" si="6"/>
        <v>1635</v>
      </c>
      <c r="J572" s="302">
        <f t="shared" si="6"/>
        <v>0</v>
      </c>
      <c r="K572" s="231">
        <f t="shared" si="6"/>
        <v>0</v>
      </c>
      <c r="L572" s="49">
        <f t="shared" si="6"/>
        <v>0</v>
      </c>
      <c r="M572" s="291">
        <f t="shared" si="6"/>
        <v>0</v>
      </c>
      <c r="N572" s="302">
        <f t="shared" si="6"/>
        <v>0</v>
      </c>
      <c r="O572" s="231">
        <f t="shared" si="6"/>
        <v>0</v>
      </c>
      <c r="P572" s="49">
        <f t="shared" si="6"/>
        <v>0</v>
      </c>
      <c r="Q572" s="291">
        <f t="shared" si="6"/>
        <v>0</v>
      </c>
      <c r="R572" s="302">
        <f t="shared" si="6"/>
        <v>0</v>
      </c>
      <c r="S572" s="231">
        <f t="shared" si="6"/>
        <v>0</v>
      </c>
      <c r="T572" s="49">
        <f t="shared" si="6"/>
        <v>0</v>
      </c>
      <c r="U572" s="291">
        <f t="shared" si="6"/>
        <v>0</v>
      </c>
      <c r="V572" s="302">
        <f t="shared" si="6"/>
        <v>0</v>
      </c>
      <c r="W572" s="231">
        <f t="shared" si="6"/>
        <v>0</v>
      </c>
      <c r="X572" s="49">
        <f t="shared" si="6"/>
        <v>0</v>
      </c>
      <c r="Y572" s="291">
        <f t="shared" si="6"/>
        <v>0</v>
      </c>
      <c r="Z572" s="302">
        <f t="shared" si="6"/>
        <v>0</v>
      </c>
      <c r="AA572" s="231">
        <f t="shared" si="6"/>
        <v>0</v>
      </c>
      <c r="AB572" s="49">
        <f t="shared" si="6"/>
        <v>0</v>
      </c>
      <c r="AC572" s="291">
        <f t="shared" si="6"/>
        <v>0</v>
      </c>
      <c r="AD572" s="302">
        <f t="shared" si="6"/>
        <v>0</v>
      </c>
      <c r="AE572" s="231">
        <f t="shared" si="6"/>
        <v>0</v>
      </c>
      <c r="AF572" s="49">
        <f t="shared" si="6"/>
        <v>0</v>
      </c>
      <c r="AG572" s="291">
        <f t="shared" si="6"/>
        <v>0</v>
      </c>
      <c r="AH572" s="302">
        <f t="shared" si="6"/>
        <v>0</v>
      </c>
      <c r="AI572" s="231">
        <f t="shared" si="6"/>
        <v>0</v>
      </c>
      <c r="AJ572" s="49">
        <f t="shared" si="6"/>
        <v>0</v>
      </c>
      <c r="AK572" s="291">
        <f t="shared" si="6"/>
        <v>0</v>
      </c>
      <c r="AL572" s="302">
        <f t="shared" ref="AL572:BK572" si="7">SUM(AL15:AL25)</f>
        <v>0</v>
      </c>
      <c r="AM572" s="231">
        <f t="shared" si="7"/>
        <v>0</v>
      </c>
      <c r="AN572" s="49">
        <f t="shared" si="7"/>
        <v>0</v>
      </c>
      <c r="AO572" s="291">
        <f t="shared" si="7"/>
        <v>0</v>
      </c>
      <c r="AP572" s="302">
        <f t="shared" si="7"/>
        <v>4962</v>
      </c>
      <c r="AQ572" s="231">
        <f t="shared" si="7"/>
        <v>1516</v>
      </c>
      <c r="AR572" s="49">
        <f t="shared" si="7"/>
        <v>4258</v>
      </c>
      <c r="AS572" s="291">
        <f t="shared" si="7"/>
        <v>2169</v>
      </c>
      <c r="AT572" s="302">
        <f t="shared" si="7"/>
        <v>0</v>
      </c>
      <c r="AU572" s="231">
        <f t="shared" si="7"/>
        <v>0</v>
      </c>
      <c r="AV572" s="49">
        <f t="shared" si="7"/>
        <v>3590</v>
      </c>
      <c r="AW572" s="291">
        <f t="shared" si="7"/>
        <v>2842</v>
      </c>
      <c r="AX572" s="302">
        <f t="shared" si="7"/>
        <v>3739</v>
      </c>
      <c r="AY572" s="231">
        <f t="shared" si="7"/>
        <v>1939</v>
      </c>
      <c r="AZ572" s="49">
        <f t="shared" si="7"/>
        <v>1663</v>
      </c>
      <c r="BA572" s="231">
        <f t="shared" si="7"/>
        <v>4469</v>
      </c>
      <c r="BB572" s="49">
        <f t="shared" si="7"/>
        <v>0</v>
      </c>
      <c r="BC572" s="82">
        <f t="shared" si="7"/>
        <v>0</v>
      </c>
      <c r="BD572" s="49">
        <f t="shared" si="7"/>
        <v>0</v>
      </c>
      <c r="BE572" s="82">
        <f t="shared" si="7"/>
        <v>0</v>
      </c>
      <c r="BF572" s="49">
        <f t="shared" si="7"/>
        <v>0</v>
      </c>
      <c r="BG572" s="82">
        <f t="shared" si="7"/>
        <v>0</v>
      </c>
      <c r="BH572" s="49">
        <f t="shared" si="7"/>
        <v>0</v>
      </c>
      <c r="BI572" s="82">
        <f t="shared" si="7"/>
        <v>0</v>
      </c>
      <c r="BJ572" s="49">
        <f t="shared" si="7"/>
        <v>0</v>
      </c>
      <c r="BK572" s="82">
        <f t="shared" si="7"/>
        <v>0</v>
      </c>
    </row>
    <row r="573" spans="1:64" ht="13" x14ac:dyDescent="0.25">
      <c r="A573" s="379"/>
      <c r="B573" s="380" t="s">
        <v>691</v>
      </c>
      <c r="C573" s="179">
        <f>SUM(C28:C32)</f>
        <v>6367</v>
      </c>
      <c r="D573" s="179">
        <f>SUM(D28:D32)</f>
        <v>2563</v>
      </c>
      <c r="E573" s="367">
        <v>0.43094528923028685</v>
      </c>
      <c r="F573" s="49">
        <f t="shared" ref="F573:AK573" si="8">SUM(F26:F30)</f>
        <v>2487</v>
      </c>
      <c r="G573" s="237">
        <f t="shared" si="8"/>
        <v>537</v>
      </c>
      <c r="H573" s="70">
        <f t="shared" si="8"/>
        <v>2355</v>
      </c>
      <c r="I573" s="72">
        <f t="shared" si="8"/>
        <v>651</v>
      </c>
      <c r="J573" s="362">
        <f t="shared" si="8"/>
        <v>0</v>
      </c>
      <c r="K573" s="237">
        <f t="shared" si="8"/>
        <v>0</v>
      </c>
      <c r="L573" s="70">
        <f t="shared" si="8"/>
        <v>0</v>
      </c>
      <c r="M573" s="72">
        <f t="shared" si="8"/>
        <v>0</v>
      </c>
      <c r="N573" s="362">
        <f t="shared" si="8"/>
        <v>0</v>
      </c>
      <c r="O573" s="237">
        <f t="shared" si="8"/>
        <v>0</v>
      </c>
      <c r="P573" s="70">
        <f t="shared" si="8"/>
        <v>0</v>
      </c>
      <c r="Q573" s="72">
        <f t="shared" si="8"/>
        <v>0</v>
      </c>
      <c r="R573" s="362">
        <f t="shared" si="8"/>
        <v>0</v>
      </c>
      <c r="S573" s="237">
        <f t="shared" si="8"/>
        <v>0</v>
      </c>
      <c r="T573" s="70">
        <f t="shared" si="8"/>
        <v>0</v>
      </c>
      <c r="U573" s="72">
        <f t="shared" si="8"/>
        <v>0</v>
      </c>
      <c r="V573" s="362">
        <f t="shared" si="8"/>
        <v>0</v>
      </c>
      <c r="W573" s="237">
        <f t="shared" si="8"/>
        <v>0</v>
      </c>
      <c r="X573" s="70">
        <f t="shared" si="8"/>
        <v>0</v>
      </c>
      <c r="Y573" s="72">
        <f t="shared" si="8"/>
        <v>0</v>
      </c>
      <c r="Z573" s="362">
        <f t="shared" si="8"/>
        <v>0</v>
      </c>
      <c r="AA573" s="237">
        <f t="shared" si="8"/>
        <v>0</v>
      </c>
      <c r="AB573" s="70">
        <f t="shared" si="8"/>
        <v>0</v>
      </c>
      <c r="AC573" s="72">
        <f t="shared" si="8"/>
        <v>0</v>
      </c>
      <c r="AD573" s="362">
        <f t="shared" si="8"/>
        <v>0</v>
      </c>
      <c r="AE573" s="237">
        <f t="shared" si="8"/>
        <v>0</v>
      </c>
      <c r="AF573" s="70">
        <f t="shared" si="8"/>
        <v>0</v>
      </c>
      <c r="AG573" s="72">
        <f t="shared" si="8"/>
        <v>0</v>
      </c>
      <c r="AH573" s="362">
        <f t="shared" si="8"/>
        <v>0</v>
      </c>
      <c r="AI573" s="237">
        <f t="shared" si="8"/>
        <v>0</v>
      </c>
      <c r="AJ573" s="70">
        <f t="shared" si="8"/>
        <v>0</v>
      </c>
      <c r="AK573" s="72">
        <f t="shared" si="8"/>
        <v>0</v>
      </c>
      <c r="AL573" s="362">
        <f t="shared" ref="AL573:BK573" si="9">SUM(AL26:AL30)</f>
        <v>0</v>
      </c>
      <c r="AM573" s="237">
        <f t="shared" si="9"/>
        <v>0</v>
      </c>
      <c r="AN573" s="70">
        <f t="shared" si="9"/>
        <v>0</v>
      </c>
      <c r="AO573" s="72">
        <f t="shared" si="9"/>
        <v>0</v>
      </c>
      <c r="AP573" s="362">
        <f t="shared" si="9"/>
        <v>2283</v>
      </c>
      <c r="AQ573" s="237">
        <f t="shared" si="9"/>
        <v>682</v>
      </c>
      <c r="AR573" s="70">
        <f t="shared" si="9"/>
        <v>2040</v>
      </c>
      <c r="AS573" s="72">
        <f t="shared" si="9"/>
        <v>899</v>
      </c>
      <c r="AT573" s="362">
        <f t="shared" si="9"/>
        <v>0</v>
      </c>
      <c r="AU573" s="237">
        <f t="shared" si="9"/>
        <v>0</v>
      </c>
      <c r="AV573" s="70">
        <f t="shared" si="9"/>
        <v>1602</v>
      </c>
      <c r="AW573" s="72">
        <f t="shared" si="9"/>
        <v>1346</v>
      </c>
      <c r="AX573" s="362">
        <f t="shared" si="9"/>
        <v>1749</v>
      </c>
      <c r="AY573" s="237">
        <f t="shared" si="9"/>
        <v>855</v>
      </c>
      <c r="AZ573" s="70">
        <f t="shared" si="9"/>
        <v>871</v>
      </c>
      <c r="BA573" s="237">
        <f t="shared" si="9"/>
        <v>1947</v>
      </c>
      <c r="BB573" s="70">
        <f t="shared" si="9"/>
        <v>0</v>
      </c>
      <c r="BC573" s="71">
        <f t="shared" si="9"/>
        <v>0</v>
      </c>
      <c r="BD573" s="70">
        <f t="shared" si="9"/>
        <v>0</v>
      </c>
      <c r="BE573" s="71">
        <f t="shared" si="9"/>
        <v>0</v>
      </c>
      <c r="BF573" s="70">
        <f t="shared" si="9"/>
        <v>0</v>
      </c>
      <c r="BG573" s="71">
        <f t="shared" si="9"/>
        <v>0</v>
      </c>
      <c r="BH573" s="70">
        <f t="shared" si="9"/>
        <v>0</v>
      </c>
      <c r="BI573" s="71">
        <f t="shared" si="9"/>
        <v>0</v>
      </c>
      <c r="BJ573" s="70">
        <f t="shared" si="9"/>
        <v>0</v>
      </c>
      <c r="BK573" s="71">
        <f t="shared" si="9"/>
        <v>0</v>
      </c>
    </row>
    <row r="574" spans="1:64" ht="13" x14ac:dyDescent="0.25">
      <c r="A574" s="379"/>
      <c r="B574" s="380" t="s">
        <v>692</v>
      </c>
      <c r="C574" s="236">
        <f>SUM(C33:C40)</f>
        <v>9128</v>
      </c>
      <c r="D574" s="236">
        <f>SUM(D33:D40)</f>
        <v>5497</v>
      </c>
      <c r="E574" s="367">
        <v>0.6101657701174662</v>
      </c>
      <c r="F574" s="49">
        <f t="shared" ref="F574:AK574" si="10">SUM(F31:F38)</f>
        <v>3941</v>
      </c>
      <c r="G574" s="230">
        <f t="shared" si="10"/>
        <v>882</v>
      </c>
      <c r="H574" s="49">
        <f t="shared" si="10"/>
        <v>3635</v>
      </c>
      <c r="I574" s="291">
        <f t="shared" si="10"/>
        <v>1159</v>
      </c>
      <c r="J574" s="302">
        <f t="shared" si="10"/>
        <v>0</v>
      </c>
      <c r="K574" s="231">
        <f t="shared" si="10"/>
        <v>0</v>
      </c>
      <c r="L574" s="49">
        <f t="shared" si="10"/>
        <v>0</v>
      </c>
      <c r="M574" s="291">
        <f t="shared" si="10"/>
        <v>0</v>
      </c>
      <c r="N574" s="302">
        <f t="shared" si="10"/>
        <v>0</v>
      </c>
      <c r="O574" s="231">
        <f t="shared" si="10"/>
        <v>0</v>
      </c>
      <c r="P574" s="49">
        <f t="shared" si="10"/>
        <v>0</v>
      </c>
      <c r="Q574" s="291">
        <f t="shared" si="10"/>
        <v>0</v>
      </c>
      <c r="R574" s="302">
        <f t="shared" si="10"/>
        <v>0</v>
      </c>
      <c r="S574" s="231">
        <f t="shared" si="10"/>
        <v>0</v>
      </c>
      <c r="T574" s="49">
        <f t="shared" si="10"/>
        <v>0</v>
      </c>
      <c r="U574" s="291">
        <f t="shared" si="10"/>
        <v>0</v>
      </c>
      <c r="V574" s="302">
        <f t="shared" si="10"/>
        <v>0</v>
      </c>
      <c r="W574" s="231">
        <f t="shared" si="10"/>
        <v>0</v>
      </c>
      <c r="X574" s="49">
        <f t="shared" si="10"/>
        <v>0</v>
      </c>
      <c r="Y574" s="291">
        <f t="shared" si="10"/>
        <v>0</v>
      </c>
      <c r="Z574" s="302">
        <f t="shared" si="10"/>
        <v>0</v>
      </c>
      <c r="AA574" s="231">
        <f t="shared" si="10"/>
        <v>0</v>
      </c>
      <c r="AB574" s="49">
        <f t="shared" si="10"/>
        <v>0</v>
      </c>
      <c r="AC574" s="291">
        <f t="shared" si="10"/>
        <v>0</v>
      </c>
      <c r="AD574" s="302">
        <f t="shared" si="10"/>
        <v>0</v>
      </c>
      <c r="AE574" s="231">
        <f t="shared" si="10"/>
        <v>0</v>
      </c>
      <c r="AF574" s="49">
        <f t="shared" si="10"/>
        <v>0</v>
      </c>
      <c r="AG574" s="291">
        <f t="shared" si="10"/>
        <v>0</v>
      </c>
      <c r="AH574" s="302">
        <f t="shared" si="10"/>
        <v>0</v>
      </c>
      <c r="AI574" s="231">
        <f t="shared" si="10"/>
        <v>0</v>
      </c>
      <c r="AJ574" s="49">
        <f t="shared" si="10"/>
        <v>0</v>
      </c>
      <c r="AK574" s="291">
        <f t="shared" si="10"/>
        <v>0</v>
      </c>
      <c r="AL574" s="302">
        <f t="shared" ref="AL574:BK574" si="11">SUM(AL31:AL38)</f>
        <v>0</v>
      </c>
      <c r="AM574" s="231">
        <f t="shared" si="11"/>
        <v>0</v>
      </c>
      <c r="AN574" s="49">
        <f t="shared" si="11"/>
        <v>0</v>
      </c>
      <c r="AO574" s="291">
        <f t="shared" si="11"/>
        <v>0</v>
      </c>
      <c r="AP574" s="302">
        <f t="shared" si="11"/>
        <v>3715</v>
      </c>
      <c r="AQ574" s="231">
        <f t="shared" si="11"/>
        <v>1036</v>
      </c>
      <c r="AR574" s="49">
        <f t="shared" si="11"/>
        <v>3299</v>
      </c>
      <c r="AS574" s="291">
        <f t="shared" si="11"/>
        <v>1419</v>
      </c>
      <c r="AT574" s="302">
        <f t="shared" si="11"/>
        <v>0</v>
      </c>
      <c r="AU574" s="231">
        <f t="shared" si="11"/>
        <v>0</v>
      </c>
      <c r="AV574" s="49">
        <f t="shared" si="11"/>
        <v>2618</v>
      </c>
      <c r="AW574" s="291">
        <f t="shared" si="11"/>
        <v>2109</v>
      </c>
      <c r="AX574" s="302">
        <f t="shared" si="11"/>
        <v>2802</v>
      </c>
      <c r="AY574" s="231">
        <f t="shared" si="11"/>
        <v>1324</v>
      </c>
      <c r="AZ574" s="49">
        <f t="shared" si="11"/>
        <v>1170</v>
      </c>
      <c r="BA574" s="231">
        <f t="shared" si="11"/>
        <v>3358</v>
      </c>
      <c r="BB574" s="49">
        <f t="shared" si="11"/>
        <v>0</v>
      </c>
      <c r="BC574" s="82">
        <f t="shared" si="11"/>
        <v>0</v>
      </c>
      <c r="BD574" s="49">
        <f t="shared" si="11"/>
        <v>0</v>
      </c>
      <c r="BE574" s="82">
        <f t="shared" si="11"/>
        <v>0</v>
      </c>
      <c r="BF574" s="49">
        <f t="shared" si="11"/>
        <v>0</v>
      </c>
      <c r="BG574" s="82">
        <f t="shared" si="11"/>
        <v>0</v>
      </c>
      <c r="BH574" s="49">
        <f t="shared" si="11"/>
        <v>0</v>
      </c>
      <c r="BI574" s="82">
        <f t="shared" si="11"/>
        <v>0</v>
      </c>
      <c r="BJ574" s="49">
        <f t="shared" si="11"/>
        <v>0</v>
      </c>
      <c r="BK574" s="82">
        <f t="shared" si="11"/>
        <v>0</v>
      </c>
    </row>
    <row r="575" spans="1:64" ht="13" x14ac:dyDescent="0.25">
      <c r="A575" s="379"/>
      <c r="B575" s="380" t="s">
        <v>693</v>
      </c>
      <c r="C575" s="235">
        <f>SUM(C41:C49)</f>
        <v>10702</v>
      </c>
      <c r="D575" s="235">
        <f>SUM(D41:D49)</f>
        <v>6372</v>
      </c>
      <c r="E575" s="367">
        <v>0.62454536976592367</v>
      </c>
      <c r="F575" s="49">
        <f t="shared" ref="F575:AK575" si="12">SUM(F39:F47)</f>
        <v>5143</v>
      </c>
      <c r="G575" s="230">
        <f t="shared" si="12"/>
        <v>1562</v>
      </c>
      <c r="H575" s="49">
        <f t="shared" si="12"/>
        <v>4709</v>
      </c>
      <c r="I575" s="291">
        <f t="shared" si="12"/>
        <v>1977</v>
      </c>
      <c r="J575" s="302">
        <f t="shared" si="12"/>
        <v>0</v>
      </c>
      <c r="K575" s="231">
        <f t="shared" si="12"/>
        <v>0</v>
      </c>
      <c r="L575" s="49">
        <f t="shared" si="12"/>
        <v>0</v>
      </c>
      <c r="M575" s="291">
        <f t="shared" si="12"/>
        <v>0</v>
      </c>
      <c r="N575" s="302">
        <f t="shared" si="12"/>
        <v>0</v>
      </c>
      <c r="O575" s="231">
        <f t="shared" si="12"/>
        <v>0</v>
      </c>
      <c r="P575" s="49">
        <f t="shared" si="12"/>
        <v>0</v>
      </c>
      <c r="Q575" s="291">
        <f t="shared" si="12"/>
        <v>0</v>
      </c>
      <c r="R575" s="302">
        <f t="shared" si="12"/>
        <v>0</v>
      </c>
      <c r="S575" s="231">
        <f t="shared" si="12"/>
        <v>0</v>
      </c>
      <c r="T575" s="49">
        <f t="shared" si="12"/>
        <v>0</v>
      </c>
      <c r="U575" s="291">
        <f t="shared" si="12"/>
        <v>0</v>
      </c>
      <c r="V575" s="302">
        <f t="shared" si="12"/>
        <v>0</v>
      </c>
      <c r="W575" s="231">
        <f t="shared" si="12"/>
        <v>0</v>
      </c>
      <c r="X575" s="49">
        <f t="shared" si="12"/>
        <v>0</v>
      </c>
      <c r="Y575" s="291">
        <f t="shared" si="12"/>
        <v>0</v>
      </c>
      <c r="Z575" s="302">
        <f t="shared" si="12"/>
        <v>0</v>
      </c>
      <c r="AA575" s="231">
        <f t="shared" si="12"/>
        <v>0</v>
      </c>
      <c r="AB575" s="49">
        <f t="shared" si="12"/>
        <v>0</v>
      </c>
      <c r="AC575" s="291">
        <f t="shared" si="12"/>
        <v>0</v>
      </c>
      <c r="AD575" s="302">
        <f t="shared" si="12"/>
        <v>0</v>
      </c>
      <c r="AE575" s="231">
        <f t="shared" si="12"/>
        <v>0</v>
      </c>
      <c r="AF575" s="49">
        <f t="shared" si="12"/>
        <v>0</v>
      </c>
      <c r="AG575" s="291">
        <f t="shared" si="12"/>
        <v>0</v>
      </c>
      <c r="AH575" s="302">
        <f t="shared" si="12"/>
        <v>0</v>
      </c>
      <c r="AI575" s="231">
        <f t="shared" si="12"/>
        <v>0</v>
      </c>
      <c r="AJ575" s="49">
        <f t="shared" si="12"/>
        <v>0</v>
      </c>
      <c r="AK575" s="291">
        <f t="shared" si="12"/>
        <v>0</v>
      </c>
      <c r="AL575" s="302">
        <f t="shared" ref="AL575:BK575" si="13">SUM(AL39:AL47)</f>
        <v>0</v>
      </c>
      <c r="AM575" s="231">
        <f t="shared" si="13"/>
        <v>0</v>
      </c>
      <c r="AN575" s="49">
        <f t="shared" si="13"/>
        <v>0</v>
      </c>
      <c r="AO575" s="291">
        <f t="shared" si="13"/>
        <v>0</v>
      </c>
      <c r="AP575" s="302">
        <f t="shared" si="13"/>
        <v>5094</v>
      </c>
      <c r="AQ575" s="231">
        <f t="shared" si="13"/>
        <v>1553</v>
      </c>
      <c r="AR575" s="49">
        <f t="shared" si="13"/>
        <v>4169</v>
      </c>
      <c r="AS575" s="291">
        <f t="shared" si="13"/>
        <v>2423</v>
      </c>
      <c r="AT575" s="302">
        <f t="shared" si="13"/>
        <v>0</v>
      </c>
      <c r="AU575" s="231">
        <f t="shared" si="13"/>
        <v>0</v>
      </c>
      <c r="AV575" s="49">
        <f t="shared" si="13"/>
        <v>3712</v>
      </c>
      <c r="AW575" s="291">
        <f t="shared" si="13"/>
        <v>2857</v>
      </c>
      <c r="AX575" s="302">
        <f t="shared" si="13"/>
        <v>4011</v>
      </c>
      <c r="AY575" s="231">
        <f t="shared" si="13"/>
        <v>1793</v>
      </c>
      <c r="AZ575" s="49">
        <f t="shared" si="13"/>
        <v>1291</v>
      </c>
      <c r="BA575" s="231">
        <f t="shared" si="13"/>
        <v>5042</v>
      </c>
      <c r="BB575" s="49">
        <f t="shared" si="13"/>
        <v>0</v>
      </c>
      <c r="BC575" s="82">
        <f t="shared" si="13"/>
        <v>0</v>
      </c>
      <c r="BD575" s="49">
        <f t="shared" si="13"/>
        <v>0</v>
      </c>
      <c r="BE575" s="82">
        <f t="shared" si="13"/>
        <v>0</v>
      </c>
      <c r="BF575" s="49">
        <f t="shared" si="13"/>
        <v>0</v>
      </c>
      <c r="BG575" s="82">
        <f t="shared" si="13"/>
        <v>0</v>
      </c>
      <c r="BH575" s="49">
        <f t="shared" si="13"/>
        <v>0</v>
      </c>
      <c r="BI575" s="82">
        <f t="shared" si="13"/>
        <v>0</v>
      </c>
      <c r="BJ575" s="49">
        <f t="shared" si="13"/>
        <v>0</v>
      </c>
      <c r="BK575" s="82">
        <f t="shared" si="13"/>
        <v>0</v>
      </c>
    </row>
    <row r="576" spans="1:64" ht="13" x14ac:dyDescent="0.25">
      <c r="A576" s="379"/>
      <c r="B576" s="380" t="s">
        <v>775</v>
      </c>
      <c r="C576" s="235">
        <f>SUM(C50:C53)</f>
        <v>6930</v>
      </c>
      <c r="D576" s="235">
        <f>SUM(D50:D53)</f>
        <v>2355</v>
      </c>
      <c r="E576" s="367">
        <v>0.3663496708119971</v>
      </c>
      <c r="F576" s="49">
        <f t="shared" ref="F576:AK576" si="14">SUM(F48:F51)</f>
        <v>1930</v>
      </c>
      <c r="G576" s="230">
        <f t="shared" si="14"/>
        <v>441</v>
      </c>
      <c r="H576" s="49">
        <f t="shared" si="14"/>
        <v>1852</v>
      </c>
      <c r="I576" s="291">
        <f t="shared" si="14"/>
        <v>515</v>
      </c>
      <c r="J576" s="302">
        <f t="shared" si="14"/>
        <v>0</v>
      </c>
      <c r="K576" s="231">
        <f t="shared" si="14"/>
        <v>0</v>
      </c>
      <c r="L576" s="49">
        <f t="shared" si="14"/>
        <v>0</v>
      </c>
      <c r="M576" s="291">
        <f t="shared" si="14"/>
        <v>0</v>
      </c>
      <c r="N576" s="302">
        <f t="shared" si="14"/>
        <v>0</v>
      </c>
      <c r="O576" s="231">
        <f t="shared" si="14"/>
        <v>0</v>
      </c>
      <c r="P576" s="49">
        <f t="shared" si="14"/>
        <v>0</v>
      </c>
      <c r="Q576" s="291">
        <f t="shared" si="14"/>
        <v>0</v>
      </c>
      <c r="R576" s="302">
        <f t="shared" si="14"/>
        <v>0</v>
      </c>
      <c r="S576" s="231">
        <f t="shared" si="14"/>
        <v>0</v>
      </c>
      <c r="T576" s="49">
        <f t="shared" si="14"/>
        <v>0</v>
      </c>
      <c r="U576" s="291">
        <f t="shared" si="14"/>
        <v>0</v>
      </c>
      <c r="V576" s="302">
        <f t="shared" si="14"/>
        <v>0</v>
      </c>
      <c r="W576" s="231">
        <f t="shared" si="14"/>
        <v>0</v>
      </c>
      <c r="X576" s="49">
        <f t="shared" si="14"/>
        <v>0</v>
      </c>
      <c r="Y576" s="291">
        <f t="shared" si="14"/>
        <v>0</v>
      </c>
      <c r="Z576" s="302">
        <f t="shared" si="14"/>
        <v>0</v>
      </c>
      <c r="AA576" s="231">
        <f t="shared" si="14"/>
        <v>0</v>
      </c>
      <c r="AB576" s="49">
        <f t="shared" si="14"/>
        <v>0</v>
      </c>
      <c r="AC576" s="291">
        <f t="shared" si="14"/>
        <v>0</v>
      </c>
      <c r="AD576" s="302">
        <f t="shared" si="14"/>
        <v>0</v>
      </c>
      <c r="AE576" s="231">
        <f t="shared" si="14"/>
        <v>0</v>
      </c>
      <c r="AF576" s="49">
        <f t="shared" si="14"/>
        <v>0</v>
      </c>
      <c r="AG576" s="291">
        <f t="shared" si="14"/>
        <v>0</v>
      </c>
      <c r="AH576" s="302">
        <f t="shared" si="14"/>
        <v>0</v>
      </c>
      <c r="AI576" s="231">
        <f t="shared" si="14"/>
        <v>0</v>
      </c>
      <c r="AJ576" s="49">
        <f t="shared" si="14"/>
        <v>0</v>
      </c>
      <c r="AK576" s="291">
        <f t="shared" si="14"/>
        <v>0</v>
      </c>
      <c r="AL576" s="302">
        <f t="shared" ref="AL576:BK576" si="15">SUM(AL48:AL51)</f>
        <v>0</v>
      </c>
      <c r="AM576" s="231">
        <f t="shared" si="15"/>
        <v>0</v>
      </c>
      <c r="AN576" s="49">
        <f t="shared" si="15"/>
        <v>0</v>
      </c>
      <c r="AO576" s="291">
        <f t="shared" si="15"/>
        <v>0</v>
      </c>
      <c r="AP576" s="302">
        <f t="shared" si="15"/>
        <v>1864</v>
      </c>
      <c r="AQ576" s="231">
        <f t="shared" si="15"/>
        <v>465</v>
      </c>
      <c r="AR576" s="49">
        <f t="shared" si="15"/>
        <v>1599</v>
      </c>
      <c r="AS576" s="291">
        <f t="shared" si="15"/>
        <v>709</v>
      </c>
      <c r="AT576" s="302">
        <f t="shared" si="15"/>
        <v>0</v>
      </c>
      <c r="AU576" s="231">
        <f t="shared" si="15"/>
        <v>0</v>
      </c>
      <c r="AV576" s="49">
        <f t="shared" si="15"/>
        <v>1300</v>
      </c>
      <c r="AW576" s="291">
        <f t="shared" si="15"/>
        <v>1018</v>
      </c>
      <c r="AX576" s="302">
        <f t="shared" si="15"/>
        <v>1459</v>
      </c>
      <c r="AY576" s="231">
        <f t="shared" si="15"/>
        <v>604</v>
      </c>
      <c r="AZ576" s="49">
        <f t="shared" si="15"/>
        <v>702</v>
      </c>
      <c r="BA576" s="231">
        <f t="shared" si="15"/>
        <v>1534</v>
      </c>
      <c r="BB576" s="49">
        <f t="shared" si="15"/>
        <v>0</v>
      </c>
      <c r="BC576" s="82">
        <f t="shared" si="15"/>
        <v>0</v>
      </c>
      <c r="BD576" s="49">
        <f t="shared" si="15"/>
        <v>0</v>
      </c>
      <c r="BE576" s="82">
        <f t="shared" si="15"/>
        <v>0</v>
      </c>
      <c r="BF576" s="49">
        <f t="shared" si="15"/>
        <v>0</v>
      </c>
      <c r="BG576" s="82">
        <f t="shared" si="15"/>
        <v>0</v>
      </c>
      <c r="BH576" s="49">
        <f t="shared" si="15"/>
        <v>0</v>
      </c>
      <c r="BI576" s="82">
        <f t="shared" si="15"/>
        <v>0</v>
      </c>
      <c r="BJ576" s="49">
        <f t="shared" si="15"/>
        <v>0</v>
      </c>
      <c r="BK576" s="82">
        <f t="shared" si="15"/>
        <v>0</v>
      </c>
    </row>
    <row r="577" spans="1:63" ht="13" x14ac:dyDescent="0.25">
      <c r="A577" s="379"/>
      <c r="B577" s="380" t="s">
        <v>754</v>
      </c>
      <c r="C577" s="235">
        <f>SUM(C55:C65)</f>
        <v>11053</v>
      </c>
      <c r="D577" s="235">
        <f>SUM(D55:D65)</f>
        <v>4088</v>
      </c>
      <c r="E577" s="367">
        <v>0.41463194882421839</v>
      </c>
      <c r="F577" s="49">
        <f t="shared" ref="F577:AK577" si="16">SUM(F53:F63)</f>
        <v>4132</v>
      </c>
      <c r="G577" s="230">
        <f t="shared" si="16"/>
        <v>589</v>
      </c>
      <c r="H577" s="49">
        <f t="shared" si="16"/>
        <v>3806</v>
      </c>
      <c r="I577" s="291">
        <f t="shared" si="16"/>
        <v>904</v>
      </c>
      <c r="J577" s="302">
        <f t="shared" si="16"/>
        <v>0</v>
      </c>
      <c r="K577" s="231">
        <f t="shared" si="16"/>
        <v>0</v>
      </c>
      <c r="L577" s="49">
        <f t="shared" si="16"/>
        <v>0</v>
      </c>
      <c r="M577" s="291">
        <f t="shared" si="16"/>
        <v>0</v>
      </c>
      <c r="N577" s="302">
        <f t="shared" si="16"/>
        <v>0</v>
      </c>
      <c r="O577" s="231">
        <f t="shared" si="16"/>
        <v>0</v>
      </c>
      <c r="P577" s="49">
        <f t="shared" si="16"/>
        <v>0</v>
      </c>
      <c r="Q577" s="291">
        <f t="shared" si="16"/>
        <v>0</v>
      </c>
      <c r="R577" s="302">
        <f t="shared" si="16"/>
        <v>0</v>
      </c>
      <c r="S577" s="231">
        <f t="shared" si="16"/>
        <v>0</v>
      </c>
      <c r="T577" s="49">
        <f t="shared" si="16"/>
        <v>0</v>
      </c>
      <c r="U577" s="291">
        <f t="shared" si="16"/>
        <v>0</v>
      </c>
      <c r="V577" s="302">
        <f t="shared" si="16"/>
        <v>0</v>
      </c>
      <c r="W577" s="231">
        <f t="shared" si="16"/>
        <v>0</v>
      </c>
      <c r="X577" s="49">
        <f t="shared" si="16"/>
        <v>0</v>
      </c>
      <c r="Y577" s="291">
        <f t="shared" si="16"/>
        <v>0</v>
      </c>
      <c r="Z577" s="302">
        <f t="shared" si="16"/>
        <v>0</v>
      </c>
      <c r="AA577" s="231">
        <f t="shared" si="16"/>
        <v>0</v>
      </c>
      <c r="AB577" s="49">
        <f t="shared" si="16"/>
        <v>0</v>
      </c>
      <c r="AC577" s="291">
        <f t="shared" si="16"/>
        <v>0</v>
      </c>
      <c r="AD577" s="302">
        <f t="shared" si="16"/>
        <v>0</v>
      </c>
      <c r="AE577" s="231">
        <f t="shared" si="16"/>
        <v>0</v>
      </c>
      <c r="AF577" s="49">
        <f t="shared" si="16"/>
        <v>0</v>
      </c>
      <c r="AG577" s="291">
        <f t="shared" si="16"/>
        <v>0</v>
      </c>
      <c r="AH577" s="302">
        <f t="shared" si="16"/>
        <v>0</v>
      </c>
      <c r="AI577" s="231">
        <f t="shared" si="16"/>
        <v>0</v>
      </c>
      <c r="AJ577" s="49">
        <f t="shared" si="16"/>
        <v>0</v>
      </c>
      <c r="AK577" s="291">
        <f t="shared" si="16"/>
        <v>0</v>
      </c>
      <c r="AL577" s="302">
        <f t="shared" ref="AL577:BK577" si="17">SUM(AL53:AL63)</f>
        <v>0</v>
      </c>
      <c r="AM577" s="231">
        <f t="shared" si="17"/>
        <v>0</v>
      </c>
      <c r="AN577" s="49">
        <f t="shared" si="17"/>
        <v>0</v>
      </c>
      <c r="AO577" s="291">
        <f t="shared" si="17"/>
        <v>0</v>
      </c>
      <c r="AP577" s="302">
        <f t="shared" si="17"/>
        <v>3265</v>
      </c>
      <c r="AQ577" s="231">
        <f t="shared" si="17"/>
        <v>1384</v>
      </c>
      <c r="AR577" s="49">
        <f t="shared" si="17"/>
        <v>3150</v>
      </c>
      <c r="AS577" s="291">
        <f t="shared" si="17"/>
        <v>1491</v>
      </c>
      <c r="AT577" s="302">
        <f t="shared" si="17"/>
        <v>0</v>
      </c>
      <c r="AU577" s="231">
        <f t="shared" si="17"/>
        <v>0</v>
      </c>
      <c r="AV577" s="49">
        <f t="shared" si="17"/>
        <v>2480</v>
      </c>
      <c r="AW577" s="291">
        <f t="shared" si="17"/>
        <v>2194</v>
      </c>
      <c r="AX577" s="302">
        <f t="shared" si="17"/>
        <v>2688</v>
      </c>
      <c r="AY577" s="231">
        <f t="shared" si="17"/>
        <v>1547</v>
      </c>
      <c r="AZ577" s="49">
        <f t="shared" si="17"/>
        <v>1655</v>
      </c>
      <c r="BA577" s="231">
        <f t="shared" si="17"/>
        <v>2876</v>
      </c>
      <c r="BB577" s="49">
        <f t="shared" si="17"/>
        <v>0</v>
      </c>
      <c r="BC577" s="82">
        <f t="shared" si="17"/>
        <v>0</v>
      </c>
      <c r="BD577" s="49">
        <f t="shared" si="17"/>
        <v>0</v>
      </c>
      <c r="BE577" s="82">
        <f t="shared" si="17"/>
        <v>0</v>
      </c>
      <c r="BF577" s="49">
        <f t="shared" si="17"/>
        <v>0</v>
      </c>
      <c r="BG577" s="82">
        <f t="shared" si="17"/>
        <v>0</v>
      </c>
      <c r="BH577" s="49">
        <f t="shared" si="17"/>
        <v>0</v>
      </c>
      <c r="BI577" s="82">
        <f t="shared" si="17"/>
        <v>0</v>
      </c>
      <c r="BJ577" s="49">
        <f t="shared" si="17"/>
        <v>0</v>
      </c>
      <c r="BK577" s="82">
        <f t="shared" si="17"/>
        <v>0</v>
      </c>
    </row>
    <row r="578" spans="1:63" ht="13" x14ac:dyDescent="0.25">
      <c r="A578" s="379"/>
      <c r="B578" s="380" t="s">
        <v>694</v>
      </c>
      <c r="C578" s="235">
        <f>SUM(C66:C69)</f>
        <v>6108</v>
      </c>
      <c r="D578" s="235">
        <f>SUM(D66:D69)</f>
        <v>2473</v>
      </c>
      <c r="E578" s="367">
        <v>0.42323852617970265</v>
      </c>
      <c r="F578" s="49">
        <f t="shared" ref="F578:AK578" si="18">SUM(F64:F67)</f>
        <v>1405</v>
      </c>
      <c r="G578" s="230">
        <f t="shared" si="18"/>
        <v>230</v>
      </c>
      <c r="H578" s="49">
        <f t="shared" si="18"/>
        <v>1338</v>
      </c>
      <c r="I578" s="291">
        <f t="shared" si="18"/>
        <v>296</v>
      </c>
      <c r="J578" s="302">
        <f t="shared" si="18"/>
        <v>0</v>
      </c>
      <c r="K578" s="231">
        <f t="shared" si="18"/>
        <v>0</v>
      </c>
      <c r="L578" s="49">
        <f t="shared" si="18"/>
        <v>0</v>
      </c>
      <c r="M578" s="291">
        <f t="shared" si="18"/>
        <v>0</v>
      </c>
      <c r="N578" s="302">
        <f t="shared" si="18"/>
        <v>0</v>
      </c>
      <c r="O578" s="231">
        <f t="shared" si="18"/>
        <v>0</v>
      </c>
      <c r="P578" s="49">
        <f t="shared" si="18"/>
        <v>0</v>
      </c>
      <c r="Q578" s="291">
        <f t="shared" si="18"/>
        <v>0</v>
      </c>
      <c r="R578" s="302">
        <f t="shared" si="18"/>
        <v>0</v>
      </c>
      <c r="S578" s="231">
        <f t="shared" si="18"/>
        <v>0</v>
      </c>
      <c r="T578" s="49">
        <f t="shared" si="18"/>
        <v>0</v>
      </c>
      <c r="U578" s="291">
        <f t="shared" si="18"/>
        <v>0</v>
      </c>
      <c r="V578" s="302">
        <f t="shared" si="18"/>
        <v>0</v>
      </c>
      <c r="W578" s="231">
        <f t="shared" si="18"/>
        <v>0</v>
      </c>
      <c r="X578" s="49">
        <f t="shared" si="18"/>
        <v>0</v>
      </c>
      <c r="Y578" s="291">
        <f t="shared" si="18"/>
        <v>0</v>
      </c>
      <c r="Z578" s="302">
        <f t="shared" si="18"/>
        <v>0</v>
      </c>
      <c r="AA578" s="231">
        <f t="shared" si="18"/>
        <v>0</v>
      </c>
      <c r="AB578" s="49">
        <f t="shared" si="18"/>
        <v>0</v>
      </c>
      <c r="AC578" s="291">
        <f t="shared" si="18"/>
        <v>0</v>
      </c>
      <c r="AD578" s="302">
        <f t="shared" si="18"/>
        <v>0</v>
      </c>
      <c r="AE578" s="231">
        <f t="shared" si="18"/>
        <v>0</v>
      </c>
      <c r="AF578" s="49">
        <f t="shared" si="18"/>
        <v>0</v>
      </c>
      <c r="AG578" s="291">
        <f t="shared" si="18"/>
        <v>0</v>
      </c>
      <c r="AH578" s="302">
        <f t="shared" si="18"/>
        <v>0</v>
      </c>
      <c r="AI578" s="231">
        <f t="shared" si="18"/>
        <v>0</v>
      </c>
      <c r="AJ578" s="49">
        <f t="shared" si="18"/>
        <v>0</v>
      </c>
      <c r="AK578" s="291">
        <f t="shared" si="18"/>
        <v>0</v>
      </c>
      <c r="AL578" s="302">
        <f t="shared" ref="AL578:BK578" si="19">SUM(AL64:AL67)</f>
        <v>0</v>
      </c>
      <c r="AM578" s="231">
        <f t="shared" si="19"/>
        <v>0</v>
      </c>
      <c r="AN578" s="49">
        <f t="shared" si="19"/>
        <v>0</v>
      </c>
      <c r="AO578" s="291">
        <f t="shared" si="19"/>
        <v>0</v>
      </c>
      <c r="AP578" s="302">
        <f t="shared" si="19"/>
        <v>1200</v>
      </c>
      <c r="AQ578" s="231">
        <f t="shared" si="19"/>
        <v>412</v>
      </c>
      <c r="AR578" s="49">
        <f t="shared" si="19"/>
        <v>1123</v>
      </c>
      <c r="AS578" s="291">
        <f t="shared" si="19"/>
        <v>488</v>
      </c>
      <c r="AT578" s="302">
        <f t="shared" si="19"/>
        <v>0</v>
      </c>
      <c r="AU578" s="231">
        <f t="shared" si="19"/>
        <v>0</v>
      </c>
      <c r="AV578" s="49">
        <f t="shared" si="19"/>
        <v>852</v>
      </c>
      <c r="AW578" s="291">
        <f t="shared" si="19"/>
        <v>763</v>
      </c>
      <c r="AX578" s="302">
        <f t="shared" si="19"/>
        <v>952</v>
      </c>
      <c r="AY578" s="231">
        <f t="shared" si="19"/>
        <v>517</v>
      </c>
      <c r="AZ578" s="49">
        <f t="shared" si="19"/>
        <v>561</v>
      </c>
      <c r="BA578" s="231">
        <f t="shared" si="19"/>
        <v>1003</v>
      </c>
      <c r="BB578" s="49">
        <f t="shared" si="19"/>
        <v>0</v>
      </c>
      <c r="BC578" s="82">
        <f t="shared" si="19"/>
        <v>0</v>
      </c>
      <c r="BD578" s="49">
        <f t="shared" si="19"/>
        <v>0</v>
      </c>
      <c r="BE578" s="82">
        <f t="shared" si="19"/>
        <v>0</v>
      </c>
      <c r="BF578" s="49">
        <f t="shared" si="19"/>
        <v>0</v>
      </c>
      <c r="BG578" s="82">
        <f t="shared" si="19"/>
        <v>0</v>
      </c>
      <c r="BH578" s="49">
        <f t="shared" si="19"/>
        <v>0</v>
      </c>
      <c r="BI578" s="82">
        <f t="shared" si="19"/>
        <v>0</v>
      </c>
      <c r="BJ578" s="49">
        <f t="shared" si="19"/>
        <v>0</v>
      </c>
      <c r="BK578" s="82">
        <f t="shared" si="19"/>
        <v>0</v>
      </c>
    </row>
    <row r="579" spans="1:63" ht="13" x14ac:dyDescent="0.25">
      <c r="A579" s="379"/>
      <c r="B579" s="380" t="s">
        <v>755</v>
      </c>
      <c r="C579" s="235">
        <f>SUM(C70:C73)</f>
        <v>4935</v>
      </c>
      <c r="D579" s="235">
        <f>SUM(D70:D73)</f>
        <v>1670</v>
      </c>
      <c r="E579" s="367">
        <v>0.35862210375230674</v>
      </c>
      <c r="F579" s="49">
        <f t="shared" ref="F579:AK579" si="20">SUM(F68:F71)</f>
        <v>1963</v>
      </c>
      <c r="G579" s="230">
        <f t="shared" si="20"/>
        <v>372</v>
      </c>
      <c r="H579" s="49">
        <f t="shared" si="20"/>
        <v>1881</v>
      </c>
      <c r="I579" s="291">
        <f t="shared" si="20"/>
        <v>457</v>
      </c>
      <c r="J579" s="302">
        <f t="shared" si="20"/>
        <v>0</v>
      </c>
      <c r="K579" s="231">
        <f t="shared" si="20"/>
        <v>0</v>
      </c>
      <c r="L579" s="49">
        <f t="shared" si="20"/>
        <v>0</v>
      </c>
      <c r="M579" s="291">
        <f t="shared" si="20"/>
        <v>0</v>
      </c>
      <c r="N579" s="302">
        <f t="shared" si="20"/>
        <v>0</v>
      </c>
      <c r="O579" s="231">
        <f t="shared" si="20"/>
        <v>0</v>
      </c>
      <c r="P579" s="49">
        <f t="shared" si="20"/>
        <v>0</v>
      </c>
      <c r="Q579" s="291">
        <f t="shared" si="20"/>
        <v>0</v>
      </c>
      <c r="R579" s="302">
        <f t="shared" si="20"/>
        <v>0</v>
      </c>
      <c r="S579" s="231">
        <f t="shared" si="20"/>
        <v>0</v>
      </c>
      <c r="T579" s="49">
        <f t="shared" si="20"/>
        <v>0</v>
      </c>
      <c r="U579" s="291">
        <f t="shared" si="20"/>
        <v>0</v>
      </c>
      <c r="V579" s="302">
        <f t="shared" si="20"/>
        <v>0</v>
      </c>
      <c r="W579" s="231">
        <f t="shared" si="20"/>
        <v>0</v>
      </c>
      <c r="X579" s="49">
        <f t="shared" si="20"/>
        <v>0</v>
      </c>
      <c r="Y579" s="291">
        <f t="shared" si="20"/>
        <v>0</v>
      </c>
      <c r="Z579" s="302">
        <f t="shared" si="20"/>
        <v>0</v>
      </c>
      <c r="AA579" s="231">
        <f t="shared" si="20"/>
        <v>0</v>
      </c>
      <c r="AB579" s="49">
        <f t="shared" si="20"/>
        <v>0</v>
      </c>
      <c r="AC579" s="291">
        <f t="shared" si="20"/>
        <v>0</v>
      </c>
      <c r="AD579" s="302">
        <f t="shared" si="20"/>
        <v>0</v>
      </c>
      <c r="AE579" s="231">
        <f t="shared" si="20"/>
        <v>0</v>
      </c>
      <c r="AF579" s="49">
        <f t="shared" si="20"/>
        <v>0</v>
      </c>
      <c r="AG579" s="291">
        <f t="shared" si="20"/>
        <v>0</v>
      </c>
      <c r="AH579" s="302">
        <f t="shared" si="20"/>
        <v>0</v>
      </c>
      <c r="AI579" s="231">
        <f t="shared" si="20"/>
        <v>0</v>
      </c>
      <c r="AJ579" s="49">
        <f t="shared" si="20"/>
        <v>0</v>
      </c>
      <c r="AK579" s="291">
        <f t="shared" si="20"/>
        <v>0</v>
      </c>
      <c r="AL579" s="302">
        <f t="shared" ref="AL579:BK579" si="21">SUM(AL68:AL71)</f>
        <v>0</v>
      </c>
      <c r="AM579" s="231">
        <f t="shared" si="21"/>
        <v>0</v>
      </c>
      <c r="AN579" s="49">
        <f t="shared" si="21"/>
        <v>0</v>
      </c>
      <c r="AO579" s="291">
        <f t="shared" si="21"/>
        <v>0</v>
      </c>
      <c r="AP579" s="302">
        <f t="shared" si="21"/>
        <v>1850</v>
      </c>
      <c r="AQ579" s="231">
        <f t="shared" si="21"/>
        <v>467</v>
      </c>
      <c r="AR579" s="49">
        <f t="shared" si="21"/>
        <v>1664</v>
      </c>
      <c r="AS579" s="291">
        <f t="shared" si="21"/>
        <v>635</v>
      </c>
      <c r="AT579" s="302">
        <f t="shared" si="21"/>
        <v>0</v>
      </c>
      <c r="AU579" s="231">
        <f t="shared" si="21"/>
        <v>0</v>
      </c>
      <c r="AV579" s="49">
        <f t="shared" si="21"/>
        <v>1299</v>
      </c>
      <c r="AW579" s="291">
        <f t="shared" si="21"/>
        <v>993</v>
      </c>
      <c r="AX579" s="302">
        <f t="shared" si="21"/>
        <v>1399</v>
      </c>
      <c r="AY579" s="231">
        <f t="shared" si="21"/>
        <v>666</v>
      </c>
      <c r="AZ579" s="49">
        <f t="shared" si="21"/>
        <v>699</v>
      </c>
      <c r="BA579" s="231">
        <f t="shared" si="21"/>
        <v>1507</v>
      </c>
      <c r="BB579" s="49">
        <f t="shared" si="21"/>
        <v>0</v>
      </c>
      <c r="BC579" s="82">
        <f t="shared" si="21"/>
        <v>0</v>
      </c>
      <c r="BD579" s="49">
        <f t="shared" si="21"/>
        <v>0</v>
      </c>
      <c r="BE579" s="82">
        <f t="shared" si="21"/>
        <v>0</v>
      </c>
      <c r="BF579" s="49">
        <f t="shared" si="21"/>
        <v>0</v>
      </c>
      <c r="BG579" s="82">
        <f t="shared" si="21"/>
        <v>0</v>
      </c>
      <c r="BH579" s="49">
        <f t="shared" si="21"/>
        <v>0</v>
      </c>
      <c r="BI579" s="82">
        <f t="shared" si="21"/>
        <v>0</v>
      </c>
      <c r="BJ579" s="49">
        <f t="shared" si="21"/>
        <v>0</v>
      </c>
      <c r="BK579" s="82">
        <f t="shared" si="21"/>
        <v>0</v>
      </c>
    </row>
    <row r="580" spans="1:63" ht="13" x14ac:dyDescent="0.25">
      <c r="A580" s="379"/>
      <c r="B580" s="380" t="s">
        <v>756</v>
      </c>
      <c r="C580" s="235">
        <f>SUM(C74:C76)</f>
        <v>4178</v>
      </c>
      <c r="D580" s="235">
        <f>SUM(D74:D76)</f>
        <v>1398</v>
      </c>
      <c r="E580" s="367">
        <v>0.35261707988980717</v>
      </c>
      <c r="F580" s="49">
        <f t="shared" ref="F580:AK580" si="22">SUM(F72:F74)</f>
        <v>1036</v>
      </c>
      <c r="G580" s="230">
        <f t="shared" si="22"/>
        <v>238</v>
      </c>
      <c r="H580" s="49">
        <f t="shared" si="22"/>
        <v>986</v>
      </c>
      <c r="I580" s="291">
        <f t="shared" si="22"/>
        <v>279</v>
      </c>
      <c r="J580" s="302">
        <f t="shared" si="22"/>
        <v>0</v>
      </c>
      <c r="K580" s="231">
        <f t="shared" si="22"/>
        <v>0</v>
      </c>
      <c r="L580" s="49">
        <f t="shared" si="22"/>
        <v>0</v>
      </c>
      <c r="M580" s="291">
        <f t="shared" si="22"/>
        <v>0</v>
      </c>
      <c r="N580" s="302">
        <f t="shared" si="22"/>
        <v>0</v>
      </c>
      <c r="O580" s="231">
        <f t="shared" si="22"/>
        <v>0</v>
      </c>
      <c r="P580" s="49">
        <f t="shared" si="22"/>
        <v>0</v>
      </c>
      <c r="Q580" s="291">
        <f t="shared" si="22"/>
        <v>0</v>
      </c>
      <c r="R580" s="302">
        <f t="shared" si="22"/>
        <v>0</v>
      </c>
      <c r="S580" s="231">
        <f t="shared" si="22"/>
        <v>0</v>
      </c>
      <c r="T580" s="49">
        <f t="shared" si="22"/>
        <v>0</v>
      </c>
      <c r="U580" s="291">
        <f t="shared" si="22"/>
        <v>0</v>
      </c>
      <c r="V580" s="302">
        <f t="shared" si="22"/>
        <v>0</v>
      </c>
      <c r="W580" s="231">
        <f t="shared" si="22"/>
        <v>0</v>
      </c>
      <c r="X580" s="49">
        <f t="shared" si="22"/>
        <v>0</v>
      </c>
      <c r="Y580" s="291">
        <f t="shared" si="22"/>
        <v>0</v>
      </c>
      <c r="Z580" s="302">
        <f t="shared" si="22"/>
        <v>0</v>
      </c>
      <c r="AA580" s="231">
        <f t="shared" si="22"/>
        <v>0</v>
      </c>
      <c r="AB580" s="49">
        <f t="shared" si="22"/>
        <v>0</v>
      </c>
      <c r="AC580" s="291">
        <f t="shared" si="22"/>
        <v>0</v>
      </c>
      <c r="AD580" s="302">
        <f t="shared" si="22"/>
        <v>0</v>
      </c>
      <c r="AE580" s="231">
        <f t="shared" si="22"/>
        <v>0</v>
      </c>
      <c r="AF580" s="49">
        <f t="shared" si="22"/>
        <v>0</v>
      </c>
      <c r="AG580" s="291">
        <f t="shared" si="22"/>
        <v>0</v>
      </c>
      <c r="AH580" s="302">
        <f t="shared" si="22"/>
        <v>0</v>
      </c>
      <c r="AI580" s="231">
        <f t="shared" si="22"/>
        <v>0</v>
      </c>
      <c r="AJ580" s="49">
        <f t="shared" si="22"/>
        <v>0</v>
      </c>
      <c r="AK580" s="291">
        <f t="shared" si="22"/>
        <v>0</v>
      </c>
      <c r="AL580" s="302">
        <f t="shared" ref="AL580:BK580" si="23">SUM(AL72:AL74)</f>
        <v>0</v>
      </c>
      <c r="AM580" s="231">
        <f t="shared" si="23"/>
        <v>0</v>
      </c>
      <c r="AN580" s="49">
        <f t="shared" si="23"/>
        <v>0</v>
      </c>
      <c r="AO580" s="291">
        <f t="shared" si="23"/>
        <v>0</v>
      </c>
      <c r="AP580" s="302">
        <f t="shared" si="23"/>
        <v>918</v>
      </c>
      <c r="AQ580" s="231">
        <f t="shared" si="23"/>
        <v>326</v>
      </c>
      <c r="AR580" s="49">
        <f t="shared" si="23"/>
        <v>887</v>
      </c>
      <c r="AS580" s="291">
        <f t="shared" si="23"/>
        <v>364</v>
      </c>
      <c r="AT580" s="302">
        <f t="shared" si="23"/>
        <v>0</v>
      </c>
      <c r="AU580" s="231">
        <f t="shared" si="23"/>
        <v>0</v>
      </c>
      <c r="AV580" s="49">
        <f t="shared" si="23"/>
        <v>689</v>
      </c>
      <c r="AW580" s="291">
        <f t="shared" si="23"/>
        <v>554</v>
      </c>
      <c r="AX580" s="302">
        <f t="shared" si="23"/>
        <v>766</v>
      </c>
      <c r="AY580" s="231">
        <f t="shared" si="23"/>
        <v>360</v>
      </c>
      <c r="AZ580" s="49">
        <f t="shared" si="23"/>
        <v>418</v>
      </c>
      <c r="BA580" s="231">
        <f t="shared" si="23"/>
        <v>802</v>
      </c>
      <c r="BB580" s="49">
        <f t="shared" si="23"/>
        <v>0</v>
      </c>
      <c r="BC580" s="82">
        <f t="shared" si="23"/>
        <v>0</v>
      </c>
      <c r="BD580" s="49">
        <f t="shared" si="23"/>
        <v>0</v>
      </c>
      <c r="BE580" s="82">
        <f t="shared" si="23"/>
        <v>0</v>
      </c>
      <c r="BF580" s="49">
        <f t="shared" si="23"/>
        <v>0</v>
      </c>
      <c r="BG580" s="82">
        <f t="shared" si="23"/>
        <v>0</v>
      </c>
      <c r="BH580" s="49">
        <f t="shared" si="23"/>
        <v>0</v>
      </c>
      <c r="BI580" s="82">
        <f t="shared" si="23"/>
        <v>0</v>
      </c>
      <c r="BJ580" s="49">
        <f t="shared" si="23"/>
        <v>0</v>
      </c>
      <c r="BK580" s="82">
        <f t="shared" si="23"/>
        <v>0</v>
      </c>
    </row>
    <row r="581" spans="1:63" ht="13" x14ac:dyDescent="0.25">
      <c r="A581" s="379"/>
      <c r="B581" s="380" t="s">
        <v>776</v>
      </c>
      <c r="C581" s="235">
        <f>SUM(C77:C79)</f>
        <v>3620</v>
      </c>
      <c r="D581" s="235">
        <f>SUM(D77:D79)</f>
        <v>992</v>
      </c>
      <c r="E581" s="367">
        <v>0.27901430842607311</v>
      </c>
      <c r="F581" s="49">
        <f t="shared" ref="F581:AK581" si="24">SUM(F75:F77)</f>
        <v>1080</v>
      </c>
      <c r="G581" s="230">
        <f t="shared" si="24"/>
        <v>150</v>
      </c>
      <c r="H581" s="49">
        <f t="shared" si="24"/>
        <v>1078</v>
      </c>
      <c r="I581" s="291">
        <f t="shared" si="24"/>
        <v>152</v>
      </c>
      <c r="J581" s="302">
        <f t="shared" si="24"/>
        <v>0</v>
      </c>
      <c r="K581" s="231">
        <f t="shared" si="24"/>
        <v>0</v>
      </c>
      <c r="L581" s="49">
        <f t="shared" si="24"/>
        <v>0</v>
      </c>
      <c r="M581" s="291">
        <f t="shared" si="24"/>
        <v>0</v>
      </c>
      <c r="N581" s="302">
        <f t="shared" si="24"/>
        <v>0</v>
      </c>
      <c r="O581" s="231">
        <f t="shared" si="24"/>
        <v>0</v>
      </c>
      <c r="P581" s="49">
        <f t="shared" si="24"/>
        <v>0</v>
      </c>
      <c r="Q581" s="291">
        <f t="shared" si="24"/>
        <v>0</v>
      </c>
      <c r="R581" s="302">
        <f t="shared" si="24"/>
        <v>0</v>
      </c>
      <c r="S581" s="231">
        <f t="shared" si="24"/>
        <v>0</v>
      </c>
      <c r="T581" s="49">
        <f t="shared" si="24"/>
        <v>0</v>
      </c>
      <c r="U581" s="291">
        <f t="shared" si="24"/>
        <v>0</v>
      </c>
      <c r="V581" s="302">
        <f t="shared" si="24"/>
        <v>0</v>
      </c>
      <c r="W581" s="231">
        <f t="shared" si="24"/>
        <v>0</v>
      </c>
      <c r="X581" s="49">
        <f t="shared" si="24"/>
        <v>0</v>
      </c>
      <c r="Y581" s="291">
        <f t="shared" si="24"/>
        <v>0</v>
      </c>
      <c r="Z581" s="302">
        <f t="shared" si="24"/>
        <v>0</v>
      </c>
      <c r="AA581" s="231">
        <f t="shared" si="24"/>
        <v>0</v>
      </c>
      <c r="AB581" s="49">
        <f t="shared" si="24"/>
        <v>0</v>
      </c>
      <c r="AC581" s="291">
        <f t="shared" si="24"/>
        <v>0</v>
      </c>
      <c r="AD581" s="302">
        <f t="shared" si="24"/>
        <v>0</v>
      </c>
      <c r="AE581" s="231">
        <f t="shared" si="24"/>
        <v>0</v>
      </c>
      <c r="AF581" s="49">
        <f t="shared" si="24"/>
        <v>0</v>
      </c>
      <c r="AG581" s="291">
        <f t="shared" si="24"/>
        <v>0</v>
      </c>
      <c r="AH581" s="302">
        <f t="shared" si="24"/>
        <v>0</v>
      </c>
      <c r="AI581" s="231">
        <f t="shared" si="24"/>
        <v>0</v>
      </c>
      <c r="AJ581" s="49">
        <f t="shared" si="24"/>
        <v>0</v>
      </c>
      <c r="AK581" s="291">
        <f t="shared" si="24"/>
        <v>0</v>
      </c>
      <c r="AL581" s="302">
        <f t="shared" ref="AL581:BK581" si="25">SUM(AL75:AL77)</f>
        <v>0</v>
      </c>
      <c r="AM581" s="231">
        <f t="shared" si="25"/>
        <v>0</v>
      </c>
      <c r="AN581" s="49">
        <f t="shared" si="25"/>
        <v>0</v>
      </c>
      <c r="AO581" s="291">
        <f t="shared" si="25"/>
        <v>0</v>
      </c>
      <c r="AP581" s="302">
        <f t="shared" si="25"/>
        <v>1007</v>
      </c>
      <c r="AQ581" s="231">
        <f t="shared" si="25"/>
        <v>207</v>
      </c>
      <c r="AR581" s="49">
        <f t="shared" si="25"/>
        <v>946</v>
      </c>
      <c r="AS581" s="291">
        <f t="shared" si="25"/>
        <v>263</v>
      </c>
      <c r="AT581" s="302">
        <f t="shared" si="25"/>
        <v>0</v>
      </c>
      <c r="AU581" s="231">
        <f t="shared" si="25"/>
        <v>0</v>
      </c>
      <c r="AV581" s="49">
        <f t="shared" si="25"/>
        <v>552</v>
      </c>
      <c r="AW581" s="291">
        <f t="shared" si="25"/>
        <v>649</v>
      </c>
      <c r="AX581" s="302">
        <f t="shared" si="25"/>
        <v>724</v>
      </c>
      <c r="AY581" s="231">
        <f t="shared" si="25"/>
        <v>355</v>
      </c>
      <c r="AZ581" s="49">
        <f t="shared" si="25"/>
        <v>507</v>
      </c>
      <c r="BA581" s="231">
        <f t="shared" si="25"/>
        <v>656</v>
      </c>
      <c r="BB581" s="49">
        <f t="shared" si="25"/>
        <v>0</v>
      </c>
      <c r="BC581" s="82">
        <f t="shared" si="25"/>
        <v>0</v>
      </c>
      <c r="BD581" s="49">
        <f t="shared" si="25"/>
        <v>0</v>
      </c>
      <c r="BE581" s="82">
        <f t="shared" si="25"/>
        <v>0</v>
      </c>
      <c r="BF581" s="49">
        <f t="shared" si="25"/>
        <v>0</v>
      </c>
      <c r="BG581" s="82">
        <f t="shared" si="25"/>
        <v>0</v>
      </c>
      <c r="BH581" s="49">
        <f t="shared" si="25"/>
        <v>0</v>
      </c>
      <c r="BI581" s="82">
        <f t="shared" si="25"/>
        <v>0</v>
      </c>
      <c r="BJ581" s="49">
        <f t="shared" si="25"/>
        <v>0</v>
      </c>
      <c r="BK581" s="82">
        <f t="shared" si="25"/>
        <v>0</v>
      </c>
    </row>
    <row r="582" spans="1:63" ht="13" x14ac:dyDescent="0.25">
      <c r="A582" s="379"/>
      <c r="B582" s="380" t="s">
        <v>757</v>
      </c>
      <c r="C582" s="235">
        <f>SUM(C81:C85)</f>
        <v>5452</v>
      </c>
      <c r="D582" s="235">
        <f>SUM(D81:D85)</f>
        <v>1195</v>
      </c>
      <c r="E582" s="367">
        <v>0.22040816326530613</v>
      </c>
      <c r="F582" s="49">
        <f t="shared" ref="F582:AK582" si="26">SUM(F79:F83)</f>
        <v>980</v>
      </c>
      <c r="G582" s="230">
        <f t="shared" si="26"/>
        <v>109</v>
      </c>
      <c r="H582" s="49">
        <f t="shared" si="26"/>
        <v>975</v>
      </c>
      <c r="I582" s="291">
        <f t="shared" si="26"/>
        <v>111</v>
      </c>
      <c r="J582" s="302">
        <f t="shared" si="26"/>
        <v>0</v>
      </c>
      <c r="K582" s="231">
        <f t="shared" si="26"/>
        <v>0</v>
      </c>
      <c r="L582" s="49">
        <f t="shared" si="26"/>
        <v>0</v>
      </c>
      <c r="M582" s="291">
        <f t="shared" si="26"/>
        <v>0</v>
      </c>
      <c r="N582" s="302">
        <f t="shared" si="26"/>
        <v>0</v>
      </c>
      <c r="O582" s="231">
        <f t="shared" si="26"/>
        <v>0</v>
      </c>
      <c r="P582" s="49">
        <f t="shared" si="26"/>
        <v>0</v>
      </c>
      <c r="Q582" s="291">
        <f t="shared" si="26"/>
        <v>0</v>
      </c>
      <c r="R582" s="302">
        <f t="shared" si="26"/>
        <v>0</v>
      </c>
      <c r="S582" s="231">
        <f t="shared" si="26"/>
        <v>0</v>
      </c>
      <c r="T582" s="49">
        <f t="shared" si="26"/>
        <v>0</v>
      </c>
      <c r="U582" s="291">
        <f t="shared" si="26"/>
        <v>0</v>
      </c>
      <c r="V582" s="302">
        <f t="shared" si="26"/>
        <v>0</v>
      </c>
      <c r="W582" s="231">
        <f t="shared" si="26"/>
        <v>0</v>
      </c>
      <c r="X582" s="49">
        <f t="shared" si="26"/>
        <v>0</v>
      </c>
      <c r="Y582" s="291">
        <f t="shared" si="26"/>
        <v>0</v>
      </c>
      <c r="Z582" s="302">
        <f t="shared" si="26"/>
        <v>0</v>
      </c>
      <c r="AA582" s="231">
        <f t="shared" si="26"/>
        <v>0</v>
      </c>
      <c r="AB582" s="49">
        <f t="shared" si="26"/>
        <v>0</v>
      </c>
      <c r="AC582" s="291">
        <f t="shared" si="26"/>
        <v>0</v>
      </c>
      <c r="AD582" s="302">
        <f t="shared" si="26"/>
        <v>0</v>
      </c>
      <c r="AE582" s="231">
        <f t="shared" si="26"/>
        <v>0</v>
      </c>
      <c r="AF582" s="49">
        <f t="shared" si="26"/>
        <v>0</v>
      </c>
      <c r="AG582" s="291">
        <f t="shared" si="26"/>
        <v>0</v>
      </c>
      <c r="AH582" s="302">
        <f t="shared" si="26"/>
        <v>0</v>
      </c>
      <c r="AI582" s="231">
        <f t="shared" si="26"/>
        <v>0</v>
      </c>
      <c r="AJ582" s="49">
        <f t="shared" si="26"/>
        <v>0</v>
      </c>
      <c r="AK582" s="291">
        <f t="shared" si="26"/>
        <v>0</v>
      </c>
      <c r="AL582" s="302">
        <f t="shared" ref="AL582:BK582" si="27">SUM(AL79:AL83)</f>
        <v>0</v>
      </c>
      <c r="AM582" s="231">
        <f t="shared" si="27"/>
        <v>0</v>
      </c>
      <c r="AN582" s="49">
        <f t="shared" si="27"/>
        <v>0</v>
      </c>
      <c r="AO582" s="291">
        <f t="shared" si="27"/>
        <v>0</v>
      </c>
      <c r="AP582" s="302">
        <f t="shared" si="27"/>
        <v>868</v>
      </c>
      <c r="AQ582" s="231">
        <f t="shared" si="27"/>
        <v>176</v>
      </c>
      <c r="AR582" s="49">
        <f t="shared" si="27"/>
        <v>824</v>
      </c>
      <c r="AS582" s="291">
        <f t="shared" si="27"/>
        <v>204</v>
      </c>
      <c r="AT582" s="302">
        <f t="shared" si="27"/>
        <v>0</v>
      </c>
      <c r="AU582" s="231">
        <f t="shared" si="27"/>
        <v>0</v>
      </c>
      <c r="AV582" s="49">
        <f t="shared" si="27"/>
        <v>493</v>
      </c>
      <c r="AW582" s="291">
        <f t="shared" si="27"/>
        <v>536</v>
      </c>
      <c r="AX582" s="302">
        <f t="shared" si="27"/>
        <v>633</v>
      </c>
      <c r="AY582" s="231">
        <f t="shared" si="27"/>
        <v>285</v>
      </c>
      <c r="AZ582" s="49">
        <f t="shared" si="27"/>
        <v>478</v>
      </c>
      <c r="BA582" s="231">
        <f t="shared" si="27"/>
        <v>507</v>
      </c>
      <c r="BB582" s="49">
        <f t="shared" si="27"/>
        <v>0</v>
      </c>
      <c r="BC582" s="82">
        <f t="shared" si="27"/>
        <v>0</v>
      </c>
      <c r="BD582" s="49">
        <f t="shared" si="27"/>
        <v>0</v>
      </c>
      <c r="BE582" s="82">
        <f t="shared" si="27"/>
        <v>0</v>
      </c>
      <c r="BF582" s="49">
        <f t="shared" si="27"/>
        <v>0</v>
      </c>
      <c r="BG582" s="82">
        <f t="shared" si="27"/>
        <v>0</v>
      </c>
      <c r="BH582" s="49">
        <f t="shared" si="27"/>
        <v>0</v>
      </c>
      <c r="BI582" s="82">
        <f t="shared" si="27"/>
        <v>0</v>
      </c>
      <c r="BJ582" s="49">
        <f t="shared" si="27"/>
        <v>0</v>
      </c>
      <c r="BK582" s="82">
        <f t="shared" si="27"/>
        <v>0</v>
      </c>
    </row>
    <row r="583" spans="1:63" ht="13" x14ac:dyDescent="0.25">
      <c r="A583" s="379"/>
      <c r="B583" s="380" t="s">
        <v>758</v>
      </c>
      <c r="C583" s="235">
        <f>SUM(C86:C93)</f>
        <v>9374</v>
      </c>
      <c r="D583" s="235">
        <f>SUM(D86:D93)</f>
        <v>2852</v>
      </c>
      <c r="E583" s="367">
        <v>0.33187819420783643</v>
      </c>
      <c r="F583" s="49">
        <f t="shared" ref="F583:AK583" si="28">SUM(F84:F91)</f>
        <v>2698</v>
      </c>
      <c r="G583" s="230">
        <f t="shared" si="28"/>
        <v>396</v>
      </c>
      <c r="H583" s="49">
        <f t="shared" si="28"/>
        <v>2517</v>
      </c>
      <c r="I583" s="291">
        <f t="shared" si="28"/>
        <v>572</v>
      </c>
      <c r="J583" s="302">
        <f t="shared" si="28"/>
        <v>0</v>
      </c>
      <c r="K583" s="231">
        <f t="shared" si="28"/>
        <v>0</v>
      </c>
      <c r="L583" s="49">
        <f t="shared" si="28"/>
        <v>0</v>
      </c>
      <c r="M583" s="291">
        <f t="shared" si="28"/>
        <v>0</v>
      </c>
      <c r="N583" s="302">
        <f t="shared" si="28"/>
        <v>0</v>
      </c>
      <c r="O583" s="231">
        <f t="shared" si="28"/>
        <v>0</v>
      </c>
      <c r="P583" s="49">
        <f t="shared" si="28"/>
        <v>0</v>
      </c>
      <c r="Q583" s="291">
        <f t="shared" si="28"/>
        <v>0</v>
      </c>
      <c r="R583" s="302">
        <f t="shared" si="28"/>
        <v>0</v>
      </c>
      <c r="S583" s="231">
        <f t="shared" si="28"/>
        <v>0</v>
      </c>
      <c r="T583" s="49">
        <f t="shared" si="28"/>
        <v>0</v>
      </c>
      <c r="U583" s="291">
        <f t="shared" si="28"/>
        <v>0</v>
      </c>
      <c r="V583" s="302">
        <f t="shared" si="28"/>
        <v>0</v>
      </c>
      <c r="W583" s="231">
        <f t="shared" si="28"/>
        <v>0</v>
      </c>
      <c r="X583" s="49">
        <f t="shared" si="28"/>
        <v>0</v>
      </c>
      <c r="Y583" s="291">
        <f t="shared" si="28"/>
        <v>0</v>
      </c>
      <c r="Z583" s="302">
        <f t="shared" si="28"/>
        <v>0</v>
      </c>
      <c r="AA583" s="231">
        <f t="shared" si="28"/>
        <v>0</v>
      </c>
      <c r="AB583" s="49">
        <f t="shared" si="28"/>
        <v>0</v>
      </c>
      <c r="AC583" s="291">
        <f t="shared" si="28"/>
        <v>0</v>
      </c>
      <c r="AD583" s="302">
        <f t="shared" si="28"/>
        <v>0</v>
      </c>
      <c r="AE583" s="231">
        <f t="shared" si="28"/>
        <v>0</v>
      </c>
      <c r="AF583" s="49">
        <f t="shared" si="28"/>
        <v>0</v>
      </c>
      <c r="AG583" s="291">
        <f t="shared" si="28"/>
        <v>0</v>
      </c>
      <c r="AH583" s="302">
        <f t="shared" si="28"/>
        <v>0</v>
      </c>
      <c r="AI583" s="231">
        <f t="shared" si="28"/>
        <v>0</v>
      </c>
      <c r="AJ583" s="49">
        <f t="shared" si="28"/>
        <v>0</v>
      </c>
      <c r="AK583" s="291">
        <f t="shared" si="28"/>
        <v>0</v>
      </c>
      <c r="AL583" s="302">
        <f t="shared" ref="AL583:BK583" si="29">SUM(AL84:AL91)</f>
        <v>0</v>
      </c>
      <c r="AM583" s="231">
        <f t="shared" si="29"/>
        <v>0</v>
      </c>
      <c r="AN583" s="49">
        <f t="shared" si="29"/>
        <v>0</v>
      </c>
      <c r="AO583" s="291">
        <f t="shared" si="29"/>
        <v>0</v>
      </c>
      <c r="AP583" s="302">
        <f t="shared" si="29"/>
        <v>2341</v>
      </c>
      <c r="AQ583" s="231">
        <f t="shared" si="29"/>
        <v>708</v>
      </c>
      <c r="AR583" s="49">
        <f t="shared" si="29"/>
        <v>2214</v>
      </c>
      <c r="AS583" s="291">
        <f t="shared" si="29"/>
        <v>828</v>
      </c>
      <c r="AT583" s="302">
        <f t="shared" si="29"/>
        <v>0</v>
      </c>
      <c r="AU583" s="231">
        <f t="shared" si="29"/>
        <v>0</v>
      </c>
      <c r="AV583" s="49">
        <f t="shared" si="29"/>
        <v>1671</v>
      </c>
      <c r="AW583" s="291">
        <f t="shared" si="29"/>
        <v>1392</v>
      </c>
      <c r="AX583" s="302">
        <f t="shared" si="29"/>
        <v>1813</v>
      </c>
      <c r="AY583" s="231">
        <f t="shared" si="29"/>
        <v>952</v>
      </c>
      <c r="AZ583" s="49">
        <f t="shared" si="29"/>
        <v>1100</v>
      </c>
      <c r="BA583" s="231">
        <f t="shared" si="29"/>
        <v>1857</v>
      </c>
      <c r="BB583" s="49">
        <f t="shared" si="29"/>
        <v>0</v>
      </c>
      <c r="BC583" s="82">
        <f t="shared" si="29"/>
        <v>0</v>
      </c>
      <c r="BD583" s="49">
        <f t="shared" si="29"/>
        <v>0</v>
      </c>
      <c r="BE583" s="82">
        <f t="shared" si="29"/>
        <v>0</v>
      </c>
      <c r="BF583" s="49">
        <f t="shared" si="29"/>
        <v>0</v>
      </c>
      <c r="BG583" s="82">
        <f t="shared" si="29"/>
        <v>0</v>
      </c>
      <c r="BH583" s="49">
        <f t="shared" si="29"/>
        <v>0</v>
      </c>
      <c r="BI583" s="82">
        <f t="shared" si="29"/>
        <v>0</v>
      </c>
      <c r="BJ583" s="49">
        <f t="shared" si="29"/>
        <v>0</v>
      </c>
      <c r="BK583" s="82">
        <f t="shared" si="29"/>
        <v>0</v>
      </c>
    </row>
    <row r="584" spans="1:63" ht="13" x14ac:dyDescent="0.25">
      <c r="A584" s="379"/>
      <c r="B584" s="380" t="s">
        <v>695</v>
      </c>
      <c r="C584" s="235">
        <f>SUM(C94:C102)</f>
        <v>10459</v>
      </c>
      <c r="D584" s="235">
        <f>SUM(D94:D102)</f>
        <v>5912</v>
      </c>
      <c r="E584" s="367">
        <v>0.57434765924788944</v>
      </c>
      <c r="F584" s="49">
        <f t="shared" ref="F584:AK584" si="30">SUM(F92:F100)</f>
        <v>4171</v>
      </c>
      <c r="G584" s="230">
        <f t="shared" si="30"/>
        <v>691</v>
      </c>
      <c r="H584" s="49">
        <f t="shared" si="30"/>
        <v>3909</v>
      </c>
      <c r="I584" s="291">
        <f t="shared" si="30"/>
        <v>923</v>
      </c>
      <c r="J584" s="302">
        <f t="shared" si="30"/>
        <v>0</v>
      </c>
      <c r="K584" s="231">
        <f t="shared" si="30"/>
        <v>0</v>
      </c>
      <c r="L584" s="49">
        <f t="shared" si="30"/>
        <v>0</v>
      </c>
      <c r="M584" s="291">
        <f t="shared" si="30"/>
        <v>0</v>
      </c>
      <c r="N584" s="302">
        <f t="shared" si="30"/>
        <v>0</v>
      </c>
      <c r="O584" s="231">
        <f t="shared" si="30"/>
        <v>0</v>
      </c>
      <c r="P584" s="49">
        <f t="shared" si="30"/>
        <v>0</v>
      </c>
      <c r="Q584" s="291">
        <f t="shared" si="30"/>
        <v>0</v>
      </c>
      <c r="R584" s="302">
        <f t="shared" si="30"/>
        <v>0</v>
      </c>
      <c r="S584" s="231">
        <f t="shared" si="30"/>
        <v>0</v>
      </c>
      <c r="T584" s="49">
        <f t="shared" si="30"/>
        <v>0</v>
      </c>
      <c r="U584" s="291">
        <f t="shared" si="30"/>
        <v>0</v>
      </c>
      <c r="V584" s="302">
        <f t="shared" si="30"/>
        <v>0</v>
      </c>
      <c r="W584" s="231">
        <f t="shared" si="30"/>
        <v>0</v>
      </c>
      <c r="X584" s="49">
        <f t="shared" si="30"/>
        <v>0</v>
      </c>
      <c r="Y584" s="291">
        <f t="shared" si="30"/>
        <v>0</v>
      </c>
      <c r="Z584" s="302">
        <f t="shared" si="30"/>
        <v>0</v>
      </c>
      <c r="AA584" s="231">
        <f t="shared" si="30"/>
        <v>0</v>
      </c>
      <c r="AB584" s="49">
        <f t="shared" si="30"/>
        <v>0</v>
      </c>
      <c r="AC584" s="291">
        <f t="shared" si="30"/>
        <v>0</v>
      </c>
      <c r="AD584" s="302">
        <f t="shared" si="30"/>
        <v>0</v>
      </c>
      <c r="AE584" s="231">
        <f t="shared" si="30"/>
        <v>0</v>
      </c>
      <c r="AF584" s="49">
        <f t="shared" si="30"/>
        <v>0</v>
      </c>
      <c r="AG584" s="291">
        <f t="shared" si="30"/>
        <v>0</v>
      </c>
      <c r="AH584" s="302">
        <f t="shared" si="30"/>
        <v>0</v>
      </c>
      <c r="AI584" s="231">
        <f t="shared" si="30"/>
        <v>0</v>
      </c>
      <c r="AJ584" s="49">
        <f t="shared" si="30"/>
        <v>0</v>
      </c>
      <c r="AK584" s="291">
        <f t="shared" si="30"/>
        <v>0</v>
      </c>
      <c r="AL584" s="302">
        <f t="shared" ref="AL584:BK584" si="31">SUM(AL92:AL100)</f>
        <v>0</v>
      </c>
      <c r="AM584" s="231">
        <f t="shared" si="31"/>
        <v>0</v>
      </c>
      <c r="AN584" s="49">
        <f t="shared" si="31"/>
        <v>0</v>
      </c>
      <c r="AO584" s="291">
        <f t="shared" si="31"/>
        <v>0</v>
      </c>
      <c r="AP584" s="302">
        <f t="shared" si="31"/>
        <v>3779</v>
      </c>
      <c r="AQ584" s="231">
        <f t="shared" si="31"/>
        <v>1035</v>
      </c>
      <c r="AR584" s="49">
        <f t="shared" si="31"/>
        <v>3509</v>
      </c>
      <c r="AS584" s="291">
        <f t="shared" si="31"/>
        <v>1284</v>
      </c>
      <c r="AT584" s="302">
        <f t="shared" si="31"/>
        <v>0</v>
      </c>
      <c r="AU584" s="231">
        <f t="shared" si="31"/>
        <v>0</v>
      </c>
      <c r="AV584" s="49">
        <f t="shared" si="31"/>
        <v>2799</v>
      </c>
      <c r="AW584" s="291">
        <f t="shared" si="31"/>
        <v>1993</v>
      </c>
      <c r="AX584" s="302">
        <f t="shared" si="31"/>
        <v>2828</v>
      </c>
      <c r="AY584" s="231">
        <f t="shared" si="31"/>
        <v>1443</v>
      </c>
      <c r="AZ584" s="49">
        <f t="shared" si="31"/>
        <v>1510</v>
      </c>
      <c r="BA584" s="231">
        <f t="shared" si="31"/>
        <v>3165</v>
      </c>
      <c r="BB584" s="49">
        <f t="shared" si="31"/>
        <v>0</v>
      </c>
      <c r="BC584" s="82">
        <f t="shared" si="31"/>
        <v>0</v>
      </c>
      <c r="BD584" s="49">
        <f t="shared" si="31"/>
        <v>0</v>
      </c>
      <c r="BE584" s="82">
        <f t="shared" si="31"/>
        <v>0</v>
      </c>
      <c r="BF584" s="49">
        <f t="shared" si="31"/>
        <v>0</v>
      </c>
      <c r="BG584" s="82">
        <f t="shared" si="31"/>
        <v>0</v>
      </c>
      <c r="BH584" s="49">
        <f t="shared" si="31"/>
        <v>0</v>
      </c>
      <c r="BI584" s="82">
        <f t="shared" si="31"/>
        <v>0</v>
      </c>
      <c r="BJ584" s="49">
        <f t="shared" si="31"/>
        <v>0</v>
      </c>
      <c r="BK584" s="82">
        <f t="shared" si="31"/>
        <v>0</v>
      </c>
    </row>
    <row r="585" spans="1:63" ht="13" x14ac:dyDescent="0.25">
      <c r="A585" s="379"/>
      <c r="B585" s="380" t="s">
        <v>696</v>
      </c>
      <c r="C585" s="235">
        <f>SUM(C103:C112)</f>
        <v>10888</v>
      </c>
      <c r="D585" s="235">
        <f>SUM(D103:D112)</f>
        <v>5076</v>
      </c>
      <c r="E585" s="367">
        <v>0.48442396313364056</v>
      </c>
      <c r="F585" s="49">
        <f t="shared" ref="F585:AK585" si="32">SUM(F101:F110)</f>
        <v>5086</v>
      </c>
      <c r="G585" s="230">
        <f t="shared" si="32"/>
        <v>630</v>
      </c>
      <c r="H585" s="49">
        <f t="shared" si="32"/>
        <v>4769</v>
      </c>
      <c r="I585" s="291">
        <f t="shared" si="32"/>
        <v>927</v>
      </c>
      <c r="J585" s="302">
        <f t="shared" si="32"/>
        <v>0</v>
      </c>
      <c r="K585" s="231">
        <f t="shared" si="32"/>
        <v>0</v>
      </c>
      <c r="L585" s="49">
        <f t="shared" si="32"/>
        <v>0</v>
      </c>
      <c r="M585" s="291">
        <f t="shared" si="32"/>
        <v>0</v>
      </c>
      <c r="N585" s="302">
        <f t="shared" si="32"/>
        <v>0</v>
      </c>
      <c r="O585" s="231">
        <f t="shared" si="32"/>
        <v>0</v>
      </c>
      <c r="P585" s="49">
        <f t="shared" si="32"/>
        <v>0</v>
      </c>
      <c r="Q585" s="291">
        <f t="shared" si="32"/>
        <v>0</v>
      </c>
      <c r="R585" s="302">
        <f t="shared" si="32"/>
        <v>0</v>
      </c>
      <c r="S585" s="231">
        <f t="shared" si="32"/>
        <v>0</v>
      </c>
      <c r="T585" s="49">
        <f t="shared" si="32"/>
        <v>0</v>
      </c>
      <c r="U585" s="291">
        <f t="shared" si="32"/>
        <v>0</v>
      </c>
      <c r="V585" s="302">
        <f t="shared" si="32"/>
        <v>0</v>
      </c>
      <c r="W585" s="231">
        <f t="shared" si="32"/>
        <v>0</v>
      </c>
      <c r="X585" s="49">
        <f t="shared" si="32"/>
        <v>0</v>
      </c>
      <c r="Y585" s="291">
        <f t="shared" si="32"/>
        <v>0</v>
      </c>
      <c r="Z585" s="302">
        <f t="shared" si="32"/>
        <v>0</v>
      </c>
      <c r="AA585" s="231">
        <f t="shared" si="32"/>
        <v>0</v>
      </c>
      <c r="AB585" s="49">
        <f t="shared" si="32"/>
        <v>0</v>
      </c>
      <c r="AC585" s="291">
        <f t="shared" si="32"/>
        <v>0</v>
      </c>
      <c r="AD585" s="302">
        <f t="shared" si="32"/>
        <v>0</v>
      </c>
      <c r="AE585" s="231">
        <f t="shared" si="32"/>
        <v>0</v>
      </c>
      <c r="AF585" s="49">
        <f t="shared" si="32"/>
        <v>0</v>
      </c>
      <c r="AG585" s="291">
        <f t="shared" si="32"/>
        <v>0</v>
      </c>
      <c r="AH585" s="302">
        <f t="shared" si="32"/>
        <v>0</v>
      </c>
      <c r="AI585" s="231">
        <f t="shared" si="32"/>
        <v>0</v>
      </c>
      <c r="AJ585" s="49">
        <f t="shared" si="32"/>
        <v>0</v>
      </c>
      <c r="AK585" s="291">
        <f t="shared" si="32"/>
        <v>0</v>
      </c>
      <c r="AL585" s="302">
        <f t="shared" ref="AL585:BK585" si="33">SUM(AL101:AL110)</f>
        <v>0</v>
      </c>
      <c r="AM585" s="231">
        <f t="shared" si="33"/>
        <v>0</v>
      </c>
      <c r="AN585" s="49">
        <f t="shared" si="33"/>
        <v>0</v>
      </c>
      <c r="AO585" s="291">
        <f t="shared" si="33"/>
        <v>0</v>
      </c>
      <c r="AP585" s="302">
        <f t="shared" si="33"/>
        <v>4717</v>
      </c>
      <c r="AQ585" s="231">
        <f t="shared" si="33"/>
        <v>937</v>
      </c>
      <c r="AR585" s="49">
        <f t="shared" si="33"/>
        <v>4441</v>
      </c>
      <c r="AS585" s="291">
        <f t="shared" si="33"/>
        <v>1171</v>
      </c>
      <c r="AT585" s="302">
        <f t="shared" si="33"/>
        <v>0</v>
      </c>
      <c r="AU585" s="231">
        <f t="shared" si="33"/>
        <v>0</v>
      </c>
      <c r="AV585" s="49">
        <f t="shared" si="33"/>
        <v>2868</v>
      </c>
      <c r="AW585" s="291">
        <f t="shared" si="33"/>
        <v>2750</v>
      </c>
      <c r="AX585" s="302">
        <f t="shared" si="33"/>
        <v>3389</v>
      </c>
      <c r="AY585" s="231">
        <f t="shared" si="33"/>
        <v>1595</v>
      </c>
      <c r="AZ585" s="49">
        <f t="shared" si="33"/>
        <v>2081</v>
      </c>
      <c r="BA585" s="231">
        <f t="shared" si="33"/>
        <v>3381</v>
      </c>
      <c r="BB585" s="49">
        <f t="shared" si="33"/>
        <v>0</v>
      </c>
      <c r="BC585" s="82">
        <f t="shared" si="33"/>
        <v>0</v>
      </c>
      <c r="BD585" s="49">
        <f t="shared" si="33"/>
        <v>0</v>
      </c>
      <c r="BE585" s="82">
        <f t="shared" si="33"/>
        <v>0</v>
      </c>
      <c r="BF585" s="49">
        <f t="shared" si="33"/>
        <v>0</v>
      </c>
      <c r="BG585" s="82">
        <f t="shared" si="33"/>
        <v>0</v>
      </c>
      <c r="BH585" s="49">
        <f t="shared" si="33"/>
        <v>0</v>
      </c>
      <c r="BI585" s="82">
        <f t="shared" si="33"/>
        <v>0</v>
      </c>
      <c r="BJ585" s="49">
        <f t="shared" si="33"/>
        <v>0</v>
      </c>
      <c r="BK585" s="82">
        <f t="shared" si="33"/>
        <v>0</v>
      </c>
    </row>
    <row r="586" spans="1:63" ht="13" x14ac:dyDescent="0.25">
      <c r="A586" s="379"/>
      <c r="B586" s="380" t="s">
        <v>7</v>
      </c>
      <c r="C586" s="235">
        <f>SUM(C113)</f>
        <v>1451</v>
      </c>
      <c r="D586" s="235">
        <f>SUM(D113)</f>
        <v>280</v>
      </c>
      <c r="E586" s="367">
        <v>0.21352313167259787</v>
      </c>
      <c r="F586" s="49">
        <f t="shared" ref="F586:AK586" si="34">SUM(F111)</f>
        <v>417</v>
      </c>
      <c r="G586" s="230">
        <f t="shared" si="34"/>
        <v>49</v>
      </c>
      <c r="H586" s="49">
        <f t="shared" si="34"/>
        <v>375</v>
      </c>
      <c r="I586" s="291">
        <f t="shared" si="34"/>
        <v>89</v>
      </c>
      <c r="J586" s="302">
        <f t="shared" si="34"/>
        <v>0</v>
      </c>
      <c r="K586" s="231">
        <f t="shared" si="34"/>
        <v>0</v>
      </c>
      <c r="L586" s="49">
        <f t="shared" si="34"/>
        <v>0</v>
      </c>
      <c r="M586" s="291">
        <f t="shared" si="34"/>
        <v>0</v>
      </c>
      <c r="N586" s="302">
        <f t="shared" si="34"/>
        <v>0</v>
      </c>
      <c r="O586" s="231">
        <f t="shared" si="34"/>
        <v>0</v>
      </c>
      <c r="P586" s="49">
        <f t="shared" si="34"/>
        <v>0</v>
      </c>
      <c r="Q586" s="291">
        <f t="shared" si="34"/>
        <v>0</v>
      </c>
      <c r="R586" s="302">
        <f t="shared" si="34"/>
        <v>0</v>
      </c>
      <c r="S586" s="231">
        <f t="shared" si="34"/>
        <v>0</v>
      </c>
      <c r="T586" s="49">
        <f t="shared" si="34"/>
        <v>0</v>
      </c>
      <c r="U586" s="291">
        <f t="shared" si="34"/>
        <v>0</v>
      </c>
      <c r="V586" s="302">
        <f t="shared" si="34"/>
        <v>0</v>
      </c>
      <c r="W586" s="231">
        <f t="shared" si="34"/>
        <v>0</v>
      </c>
      <c r="X586" s="49">
        <f t="shared" si="34"/>
        <v>0</v>
      </c>
      <c r="Y586" s="291">
        <f t="shared" si="34"/>
        <v>0</v>
      </c>
      <c r="Z586" s="302">
        <f t="shared" si="34"/>
        <v>0</v>
      </c>
      <c r="AA586" s="231">
        <f t="shared" si="34"/>
        <v>0</v>
      </c>
      <c r="AB586" s="49">
        <f t="shared" si="34"/>
        <v>0</v>
      </c>
      <c r="AC586" s="291">
        <f t="shared" si="34"/>
        <v>0</v>
      </c>
      <c r="AD586" s="302">
        <f t="shared" si="34"/>
        <v>0</v>
      </c>
      <c r="AE586" s="231">
        <f t="shared" si="34"/>
        <v>0</v>
      </c>
      <c r="AF586" s="49">
        <f t="shared" si="34"/>
        <v>0</v>
      </c>
      <c r="AG586" s="291">
        <f t="shared" si="34"/>
        <v>0</v>
      </c>
      <c r="AH586" s="302">
        <f t="shared" si="34"/>
        <v>0</v>
      </c>
      <c r="AI586" s="231">
        <f t="shared" si="34"/>
        <v>0</v>
      </c>
      <c r="AJ586" s="49">
        <f t="shared" si="34"/>
        <v>0</v>
      </c>
      <c r="AK586" s="291">
        <f t="shared" si="34"/>
        <v>0</v>
      </c>
      <c r="AL586" s="302">
        <f t="shared" ref="AL586:BK586" si="35">SUM(AL111)</f>
        <v>0</v>
      </c>
      <c r="AM586" s="231">
        <f t="shared" si="35"/>
        <v>0</v>
      </c>
      <c r="AN586" s="49">
        <f t="shared" si="35"/>
        <v>0</v>
      </c>
      <c r="AO586" s="291">
        <f t="shared" si="35"/>
        <v>0</v>
      </c>
      <c r="AP586" s="302">
        <f t="shared" si="35"/>
        <v>416</v>
      </c>
      <c r="AQ586" s="231">
        <f t="shared" si="35"/>
        <v>51</v>
      </c>
      <c r="AR586" s="49">
        <f t="shared" si="35"/>
        <v>396</v>
      </c>
      <c r="AS586" s="291">
        <f t="shared" si="35"/>
        <v>69</v>
      </c>
      <c r="AT586" s="302">
        <f t="shared" si="35"/>
        <v>0</v>
      </c>
      <c r="AU586" s="231">
        <f t="shared" si="35"/>
        <v>0</v>
      </c>
      <c r="AV586" s="49">
        <f t="shared" si="35"/>
        <v>258</v>
      </c>
      <c r="AW586" s="291">
        <f t="shared" si="35"/>
        <v>201</v>
      </c>
      <c r="AX586" s="302">
        <f t="shared" si="35"/>
        <v>312</v>
      </c>
      <c r="AY586" s="231">
        <f t="shared" si="35"/>
        <v>116</v>
      </c>
      <c r="AZ586" s="49">
        <f t="shared" si="35"/>
        <v>157</v>
      </c>
      <c r="BA586" s="231">
        <f t="shared" si="35"/>
        <v>291</v>
      </c>
      <c r="BB586" s="49">
        <f t="shared" si="35"/>
        <v>0</v>
      </c>
      <c r="BC586" s="82">
        <f t="shared" si="35"/>
        <v>0</v>
      </c>
      <c r="BD586" s="49">
        <f t="shared" si="35"/>
        <v>0</v>
      </c>
      <c r="BE586" s="82">
        <f t="shared" si="35"/>
        <v>0</v>
      </c>
      <c r="BF586" s="49">
        <f t="shared" si="35"/>
        <v>0</v>
      </c>
      <c r="BG586" s="82">
        <f t="shared" si="35"/>
        <v>0</v>
      </c>
      <c r="BH586" s="49">
        <f t="shared" si="35"/>
        <v>0</v>
      </c>
      <c r="BI586" s="82">
        <f t="shared" si="35"/>
        <v>0</v>
      </c>
      <c r="BJ586" s="49">
        <f t="shared" si="35"/>
        <v>0</v>
      </c>
      <c r="BK586" s="82">
        <f t="shared" si="35"/>
        <v>0</v>
      </c>
    </row>
    <row r="587" spans="1:63" ht="13" x14ac:dyDescent="0.25">
      <c r="A587" s="379"/>
      <c r="B587" s="380" t="s">
        <v>697</v>
      </c>
      <c r="C587" s="235">
        <f>SUM(C114:C116)</f>
        <v>4425</v>
      </c>
      <c r="D587" s="235">
        <f>SUM(D114:D116)</f>
        <v>1216</v>
      </c>
      <c r="E587" s="367">
        <v>0.31101362271992611</v>
      </c>
      <c r="F587" s="49">
        <f t="shared" ref="F587:AK587" si="36">SUM(F112:F114)</f>
        <v>755</v>
      </c>
      <c r="G587" s="230">
        <f t="shared" si="36"/>
        <v>103</v>
      </c>
      <c r="H587" s="49">
        <f t="shared" si="36"/>
        <v>737</v>
      </c>
      <c r="I587" s="291">
        <f t="shared" si="36"/>
        <v>126</v>
      </c>
      <c r="J587" s="302">
        <f t="shared" si="36"/>
        <v>0</v>
      </c>
      <c r="K587" s="231">
        <f t="shared" si="36"/>
        <v>0</v>
      </c>
      <c r="L587" s="49">
        <f t="shared" si="36"/>
        <v>0</v>
      </c>
      <c r="M587" s="291">
        <f t="shared" si="36"/>
        <v>0</v>
      </c>
      <c r="N587" s="302">
        <f t="shared" si="36"/>
        <v>0</v>
      </c>
      <c r="O587" s="231">
        <f t="shared" si="36"/>
        <v>0</v>
      </c>
      <c r="P587" s="49">
        <f t="shared" si="36"/>
        <v>0</v>
      </c>
      <c r="Q587" s="291">
        <f t="shared" si="36"/>
        <v>0</v>
      </c>
      <c r="R587" s="302">
        <f t="shared" si="36"/>
        <v>0</v>
      </c>
      <c r="S587" s="231">
        <f t="shared" si="36"/>
        <v>0</v>
      </c>
      <c r="T587" s="49">
        <f t="shared" si="36"/>
        <v>0</v>
      </c>
      <c r="U587" s="291">
        <f t="shared" si="36"/>
        <v>0</v>
      </c>
      <c r="V587" s="302">
        <f t="shared" si="36"/>
        <v>0</v>
      </c>
      <c r="W587" s="231">
        <f t="shared" si="36"/>
        <v>0</v>
      </c>
      <c r="X587" s="49">
        <f t="shared" si="36"/>
        <v>0</v>
      </c>
      <c r="Y587" s="291">
        <f t="shared" si="36"/>
        <v>0</v>
      </c>
      <c r="Z587" s="302">
        <f t="shared" si="36"/>
        <v>0</v>
      </c>
      <c r="AA587" s="231">
        <f t="shared" si="36"/>
        <v>0</v>
      </c>
      <c r="AB587" s="49">
        <f t="shared" si="36"/>
        <v>0</v>
      </c>
      <c r="AC587" s="291">
        <f t="shared" si="36"/>
        <v>0</v>
      </c>
      <c r="AD587" s="302">
        <f t="shared" si="36"/>
        <v>0</v>
      </c>
      <c r="AE587" s="231">
        <f t="shared" si="36"/>
        <v>0</v>
      </c>
      <c r="AF587" s="49">
        <f t="shared" si="36"/>
        <v>0</v>
      </c>
      <c r="AG587" s="291">
        <f t="shared" si="36"/>
        <v>0</v>
      </c>
      <c r="AH587" s="302">
        <f t="shared" si="36"/>
        <v>0</v>
      </c>
      <c r="AI587" s="231">
        <f t="shared" si="36"/>
        <v>0</v>
      </c>
      <c r="AJ587" s="49">
        <f t="shared" si="36"/>
        <v>0</v>
      </c>
      <c r="AK587" s="291">
        <f t="shared" si="36"/>
        <v>0</v>
      </c>
      <c r="AL587" s="302">
        <f t="shared" ref="AL587:BK587" si="37">SUM(AL112:AL114)</f>
        <v>0</v>
      </c>
      <c r="AM587" s="231">
        <f t="shared" si="37"/>
        <v>0</v>
      </c>
      <c r="AN587" s="49">
        <f t="shared" si="37"/>
        <v>0</v>
      </c>
      <c r="AO587" s="291">
        <f t="shared" si="37"/>
        <v>0</v>
      </c>
      <c r="AP587" s="302">
        <f t="shared" si="37"/>
        <v>584</v>
      </c>
      <c r="AQ587" s="231">
        <f t="shared" si="37"/>
        <v>257</v>
      </c>
      <c r="AR587" s="49">
        <f t="shared" si="37"/>
        <v>578</v>
      </c>
      <c r="AS587" s="291">
        <f t="shared" si="37"/>
        <v>261</v>
      </c>
      <c r="AT587" s="302">
        <f t="shared" si="37"/>
        <v>0</v>
      </c>
      <c r="AU587" s="231">
        <f t="shared" si="37"/>
        <v>0</v>
      </c>
      <c r="AV587" s="49">
        <f t="shared" si="37"/>
        <v>488</v>
      </c>
      <c r="AW587" s="291">
        <f t="shared" si="37"/>
        <v>362</v>
      </c>
      <c r="AX587" s="302">
        <f t="shared" si="37"/>
        <v>495</v>
      </c>
      <c r="AY587" s="231">
        <f t="shared" si="37"/>
        <v>265</v>
      </c>
      <c r="AZ587" s="49">
        <f t="shared" si="37"/>
        <v>298</v>
      </c>
      <c r="BA587" s="231">
        <f t="shared" si="37"/>
        <v>521</v>
      </c>
      <c r="BB587" s="49">
        <f t="shared" si="37"/>
        <v>0</v>
      </c>
      <c r="BC587" s="82">
        <f t="shared" si="37"/>
        <v>0</v>
      </c>
      <c r="BD587" s="49">
        <f t="shared" si="37"/>
        <v>0</v>
      </c>
      <c r="BE587" s="82">
        <f t="shared" si="37"/>
        <v>0</v>
      </c>
      <c r="BF587" s="49">
        <f t="shared" si="37"/>
        <v>0</v>
      </c>
      <c r="BG587" s="82">
        <f t="shared" si="37"/>
        <v>0</v>
      </c>
      <c r="BH587" s="49">
        <f t="shared" si="37"/>
        <v>0</v>
      </c>
      <c r="BI587" s="82">
        <f t="shared" si="37"/>
        <v>0</v>
      </c>
      <c r="BJ587" s="49">
        <f t="shared" si="37"/>
        <v>0</v>
      </c>
      <c r="BK587" s="82">
        <f t="shared" si="37"/>
        <v>0</v>
      </c>
    </row>
    <row r="588" spans="1:63" ht="13" x14ac:dyDescent="0.25">
      <c r="A588" s="379"/>
      <c r="B588" s="380" t="s">
        <v>698</v>
      </c>
      <c r="C588" s="235">
        <f>SUM(C117:C118)</f>
        <v>1860</v>
      </c>
      <c r="D588" s="235">
        <f>SUM(D117:D118)</f>
        <v>379</v>
      </c>
      <c r="E588" s="367">
        <v>0.22276422764227644</v>
      </c>
      <c r="F588" s="49">
        <f t="shared" ref="F588:AK588" si="38">SUM(F115:F116)</f>
        <v>745</v>
      </c>
      <c r="G588" s="230">
        <f t="shared" si="38"/>
        <v>74</v>
      </c>
      <c r="H588" s="49">
        <f t="shared" si="38"/>
        <v>705</v>
      </c>
      <c r="I588" s="291">
        <f t="shared" si="38"/>
        <v>113</v>
      </c>
      <c r="J588" s="302">
        <f t="shared" si="38"/>
        <v>0</v>
      </c>
      <c r="K588" s="231">
        <f t="shared" si="38"/>
        <v>0</v>
      </c>
      <c r="L588" s="49">
        <f t="shared" si="38"/>
        <v>0</v>
      </c>
      <c r="M588" s="291">
        <f t="shared" si="38"/>
        <v>0</v>
      </c>
      <c r="N588" s="302">
        <f t="shared" si="38"/>
        <v>0</v>
      </c>
      <c r="O588" s="231">
        <f t="shared" si="38"/>
        <v>0</v>
      </c>
      <c r="P588" s="49">
        <f t="shared" si="38"/>
        <v>0</v>
      </c>
      <c r="Q588" s="291">
        <f t="shared" si="38"/>
        <v>0</v>
      </c>
      <c r="R588" s="302">
        <f t="shared" si="38"/>
        <v>0</v>
      </c>
      <c r="S588" s="231">
        <f t="shared" si="38"/>
        <v>0</v>
      </c>
      <c r="T588" s="49">
        <f t="shared" si="38"/>
        <v>0</v>
      </c>
      <c r="U588" s="291">
        <f t="shared" si="38"/>
        <v>0</v>
      </c>
      <c r="V588" s="302">
        <f t="shared" si="38"/>
        <v>0</v>
      </c>
      <c r="W588" s="231">
        <f t="shared" si="38"/>
        <v>0</v>
      </c>
      <c r="X588" s="49">
        <f t="shared" si="38"/>
        <v>0</v>
      </c>
      <c r="Y588" s="291">
        <f t="shared" si="38"/>
        <v>0</v>
      </c>
      <c r="Z588" s="302">
        <f t="shared" si="38"/>
        <v>0</v>
      </c>
      <c r="AA588" s="231">
        <f t="shared" si="38"/>
        <v>0</v>
      </c>
      <c r="AB588" s="49">
        <f t="shared" si="38"/>
        <v>0</v>
      </c>
      <c r="AC588" s="291">
        <f t="shared" si="38"/>
        <v>0</v>
      </c>
      <c r="AD588" s="302">
        <f t="shared" si="38"/>
        <v>0</v>
      </c>
      <c r="AE588" s="231">
        <f t="shared" si="38"/>
        <v>0</v>
      </c>
      <c r="AF588" s="49">
        <f t="shared" si="38"/>
        <v>0</v>
      </c>
      <c r="AG588" s="291">
        <f t="shared" si="38"/>
        <v>0</v>
      </c>
      <c r="AH588" s="302">
        <f t="shared" si="38"/>
        <v>0</v>
      </c>
      <c r="AI588" s="231">
        <f t="shared" si="38"/>
        <v>0</v>
      </c>
      <c r="AJ588" s="49">
        <f t="shared" si="38"/>
        <v>0</v>
      </c>
      <c r="AK588" s="291">
        <f t="shared" si="38"/>
        <v>0</v>
      </c>
      <c r="AL588" s="302">
        <f t="shared" ref="AL588:BK588" si="39">SUM(AL115:AL116)</f>
        <v>0</v>
      </c>
      <c r="AM588" s="231">
        <f t="shared" si="39"/>
        <v>0</v>
      </c>
      <c r="AN588" s="49">
        <f t="shared" si="39"/>
        <v>0</v>
      </c>
      <c r="AO588" s="291">
        <f t="shared" si="39"/>
        <v>0</v>
      </c>
      <c r="AP588" s="302">
        <f t="shared" si="39"/>
        <v>640</v>
      </c>
      <c r="AQ588" s="231">
        <f t="shared" si="39"/>
        <v>166</v>
      </c>
      <c r="AR588" s="49">
        <f t="shared" si="39"/>
        <v>582</v>
      </c>
      <c r="AS588" s="291">
        <f t="shared" si="39"/>
        <v>217</v>
      </c>
      <c r="AT588" s="302">
        <f t="shared" si="39"/>
        <v>0</v>
      </c>
      <c r="AU588" s="231">
        <f t="shared" si="39"/>
        <v>0</v>
      </c>
      <c r="AV588" s="49">
        <f t="shared" si="39"/>
        <v>445</v>
      </c>
      <c r="AW588" s="291">
        <f t="shared" si="39"/>
        <v>368</v>
      </c>
      <c r="AX588" s="302">
        <f t="shared" si="39"/>
        <v>497</v>
      </c>
      <c r="AY588" s="231">
        <f t="shared" si="39"/>
        <v>224</v>
      </c>
      <c r="AZ588" s="49">
        <f t="shared" si="39"/>
        <v>301</v>
      </c>
      <c r="BA588" s="231">
        <f t="shared" si="39"/>
        <v>470</v>
      </c>
      <c r="BB588" s="49">
        <f t="shared" si="39"/>
        <v>0</v>
      </c>
      <c r="BC588" s="82">
        <f t="shared" si="39"/>
        <v>0</v>
      </c>
      <c r="BD588" s="49">
        <f t="shared" si="39"/>
        <v>0</v>
      </c>
      <c r="BE588" s="82">
        <f t="shared" si="39"/>
        <v>0</v>
      </c>
      <c r="BF588" s="49">
        <f t="shared" si="39"/>
        <v>0</v>
      </c>
      <c r="BG588" s="82">
        <f t="shared" si="39"/>
        <v>0</v>
      </c>
      <c r="BH588" s="49">
        <f t="shared" si="39"/>
        <v>0</v>
      </c>
      <c r="BI588" s="82">
        <f t="shared" si="39"/>
        <v>0</v>
      </c>
      <c r="BJ588" s="49">
        <f t="shared" si="39"/>
        <v>0</v>
      </c>
      <c r="BK588" s="82">
        <f t="shared" si="39"/>
        <v>0</v>
      </c>
    </row>
    <row r="589" spans="1:63" ht="13" x14ac:dyDescent="0.25">
      <c r="A589" s="379"/>
      <c r="B589" s="380" t="s">
        <v>699</v>
      </c>
      <c r="C589" s="235">
        <f>SUM(C119:C122)</f>
        <v>4019</v>
      </c>
      <c r="D589" s="235">
        <f>SUM(D119:D122)</f>
        <v>1542</v>
      </c>
      <c r="E589" s="367">
        <v>0.42171654711847639</v>
      </c>
      <c r="F589" s="49">
        <f t="shared" ref="F589:AK589" si="40">SUM(F117:F120)</f>
        <v>895</v>
      </c>
      <c r="G589" s="230">
        <f t="shared" si="40"/>
        <v>548</v>
      </c>
      <c r="H589" s="49">
        <f t="shared" si="40"/>
        <v>1011</v>
      </c>
      <c r="I589" s="291">
        <f t="shared" si="40"/>
        <v>438</v>
      </c>
      <c r="J589" s="302">
        <f t="shared" si="40"/>
        <v>0</v>
      </c>
      <c r="K589" s="231">
        <f t="shared" si="40"/>
        <v>0</v>
      </c>
      <c r="L589" s="49">
        <f t="shared" si="40"/>
        <v>0</v>
      </c>
      <c r="M589" s="291">
        <f t="shared" si="40"/>
        <v>0</v>
      </c>
      <c r="N589" s="302">
        <f t="shared" si="40"/>
        <v>0</v>
      </c>
      <c r="O589" s="231">
        <f t="shared" si="40"/>
        <v>0</v>
      </c>
      <c r="P589" s="49">
        <f t="shared" si="40"/>
        <v>0</v>
      </c>
      <c r="Q589" s="291">
        <f t="shared" si="40"/>
        <v>0</v>
      </c>
      <c r="R589" s="302">
        <f t="shared" si="40"/>
        <v>0</v>
      </c>
      <c r="S589" s="231">
        <f t="shared" si="40"/>
        <v>0</v>
      </c>
      <c r="T589" s="49">
        <f t="shared" si="40"/>
        <v>0</v>
      </c>
      <c r="U589" s="291">
        <f t="shared" si="40"/>
        <v>0</v>
      </c>
      <c r="V589" s="302">
        <f t="shared" si="40"/>
        <v>0</v>
      </c>
      <c r="W589" s="231">
        <f t="shared" si="40"/>
        <v>0</v>
      </c>
      <c r="X589" s="49">
        <f t="shared" si="40"/>
        <v>0</v>
      </c>
      <c r="Y589" s="291">
        <f t="shared" si="40"/>
        <v>0</v>
      </c>
      <c r="Z589" s="302">
        <f t="shared" si="40"/>
        <v>0</v>
      </c>
      <c r="AA589" s="231">
        <f t="shared" si="40"/>
        <v>0</v>
      </c>
      <c r="AB589" s="49">
        <f t="shared" si="40"/>
        <v>0</v>
      </c>
      <c r="AC589" s="291">
        <f t="shared" si="40"/>
        <v>0</v>
      </c>
      <c r="AD589" s="302">
        <f t="shared" si="40"/>
        <v>0</v>
      </c>
      <c r="AE589" s="231">
        <f t="shared" si="40"/>
        <v>0</v>
      </c>
      <c r="AF589" s="49">
        <f t="shared" si="40"/>
        <v>0</v>
      </c>
      <c r="AG589" s="291">
        <f t="shared" si="40"/>
        <v>0</v>
      </c>
      <c r="AH589" s="302">
        <f t="shared" si="40"/>
        <v>0</v>
      </c>
      <c r="AI589" s="231">
        <f t="shared" si="40"/>
        <v>0</v>
      </c>
      <c r="AJ589" s="49">
        <f t="shared" si="40"/>
        <v>0</v>
      </c>
      <c r="AK589" s="291">
        <f t="shared" si="40"/>
        <v>0</v>
      </c>
      <c r="AL589" s="302">
        <f t="shared" ref="AL589:BK589" si="41">SUM(AL117:AL120)</f>
        <v>0</v>
      </c>
      <c r="AM589" s="231">
        <f t="shared" si="41"/>
        <v>0</v>
      </c>
      <c r="AN589" s="49">
        <f t="shared" si="41"/>
        <v>0</v>
      </c>
      <c r="AO589" s="291">
        <f t="shared" si="41"/>
        <v>0</v>
      </c>
      <c r="AP589" s="302">
        <f t="shared" si="41"/>
        <v>907</v>
      </c>
      <c r="AQ589" s="231">
        <f t="shared" si="41"/>
        <v>520</v>
      </c>
      <c r="AR589" s="49">
        <f t="shared" si="41"/>
        <v>686</v>
      </c>
      <c r="AS589" s="291">
        <f t="shared" si="41"/>
        <v>731</v>
      </c>
      <c r="AT589" s="302">
        <f t="shared" si="41"/>
        <v>0</v>
      </c>
      <c r="AU589" s="231">
        <f t="shared" si="41"/>
        <v>0</v>
      </c>
      <c r="AV589" s="49">
        <f t="shared" si="41"/>
        <v>511</v>
      </c>
      <c r="AW589" s="291">
        <f t="shared" si="41"/>
        <v>921</v>
      </c>
      <c r="AX589" s="302">
        <f t="shared" si="41"/>
        <v>769</v>
      </c>
      <c r="AY589" s="231">
        <f t="shared" si="41"/>
        <v>541</v>
      </c>
      <c r="AZ589" s="49">
        <f t="shared" si="41"/>
        <v>345</v>
      </c>
      <c r="BA589" s="231">
        <f t="shared" si="41"/>
        <v>1031</v>
      </c>
      <c r="BB589" s="49">
        <f t="shared" si="41"/>
        <v>0</v>
      </c>
      <c r="BC589" s="82">
        <f t="shared" si="41"/>
        <v>0</v>
      </c>
      <c r="BD589" s="49">
        <f t="shared" si="41"/>
        <v>0</v>
      </c>
      <c r="BE589" s="82">
        <f t="shared" si="41"/>
        <v>0</v>
      </c>
      <c r="BF589" s="49">
        <f t="shared" si="41"/>
        <v>0</v>
      </c>
      <c r="BG589" s="82">
        <f t="shared" si="41"/>
        <v>0</v>
      </c>
      <c r="BH589" s="49">
        <f t="shared" si="41"/>
        <v>0</v>
      </c>
      <c r="BI589" s="82">
        <f t="shared" si="41"/>
        <v>0</v>
      </c>
      <c r="BJ589" s="49">
        <f t="shared" si="41"/>
        <v>0</v>
      </c>
      <c r="BK589" s="82">
        <f t="shared" si="41"/>
        <v>0</v>
      </c>
    </row>
    <row r="590" spans="1:63" ht="13" x14ac:dyDescent="0.25">
      <c r="A590" s="379"/>
      <c r="B590" s="380" t="s">
        <v>759</v>
      </c>
      <c r="C590" s="235">
        <f>SUM(C123:C127)</f>
        <v>6421</v>
      </c>
      <c r="D590" s="235">
        <f>SUM(D123:D127)</f>
        <v>1725</v>
      </c>
      <c r="E590" s="367">
        <v>0.28352193458378544</v>
      </c>
      <c r="F590" s="49">
        <f t="shared" ref="F590:AK590" si="42">SUM(F121:F125)</f>
        <v>1072</v>
      </c>
      <c r="G590" s="230">
        <f t="shared" si="42"/>
        <v>443</v>
      </c>
      <c r="H590" s="49">
        <f t="shared" si="42"/>
        <v>1133</v>
      </c>
      <c r="I590" s="291">
        <f t="shared" si="42"/>
        <v>380</v>
      </c>
      <c r="J590" s="302">
        <f t="shared" si="42"/>
        <v>0</v>
      </c>
      <c r="K590" s="231">
        <f t="shared" si="42"/>
        <v>0</v>
      </c>
      <c r="L590" s="49">
        <f t="shared" si="42"/>
        <v>0</v>
      </c>
      <c r="M590" s="291">
        <f t="shared" si="42"/>
        <v>0</v>
      </c>
      <c r="N590" s="302">
        <f t="shared" si="42"/>
        <v>0</v>
      </c>
      <c r="O590" s="231">
        <f t="shared" si="42"/>
        <v>0</v>
      </c>
      <c r="P590" s="49">
        <f t="shared" si="42"/>
        <v>0</v>
      </c>
      <c r="Q590" s="291">
        <f t="shared" si="42"/>
        <v>0</v>
      </c>
      <c r="R590" s="302">
        <f t="shared" si="42"/>
        <v>0</v>
      </c>
      <c r="S590" s="231">
        <f t="shared" si="42"/>
        <v>0</v>
      </c>
      <c r="T590" s="49">
        <f t="shared" si="42"/>
        <v>0</v>
      </c>
      <c r="U590" s="291">
        <f t="shared" si="42"/>
        <v>0</v>
      </c>
      <c r="V590" s="302">
        <f t="shared" si="42"/>
        <v>0</v>
      </c>
      <c r="W590" s="231">
        <f t="shared" si="42"/>
        <v>0</v>
      </c>
      <c r="X590" s="49">
        <f t="shared" si="42"/>
        <v>0</v>
      </c>
      <c r="Y590" s="291">
        <f t="shared" si="42"/>
        <v>0</v>
      </c>
      <c r="Z590" s="302">
        <f t="shared" si="42"/>
        <v>0</v>
      </c>
      <c r="AA590" s="231">
        <f t="shared" si="42"/>
        <v>0</v>
      </c>
      <c r="AB590" s="49">
        <f t="shared" si="42"/>
        <v>0</v>
      </c>
      <c r="AC590" s="291">
        <f t="shared" si="42"/>
        <v>0</v>
      </c>
      <c r="AD590" s="302">
        <f t="shared" si="42"/>
        <v>0</v>
      </c>
      <c r="AE590" s="231">
        <f t="shared" si="42"/>
        <v>0</v>
      </c>
      <c r="AF590" s="49">
        <f t="shared" si="42"/>
        <v>0</v>
      </c>
      <c r="AG590" s="291">
        <f t="shared" si="42"/>
        <v>0</v>
      </c>
      <c r="AH590" s="302">
        <f t="shared" si="42"/>
        <v>0</v>
      </c>
      <c r="AI590" s="231">
        <f t="shared" si="42"/>
        <v>0</v>
      </c>
      <c r="AJ590" s="49">
        <f t="shared" si="42"/>
        <v>0</v>
      </c>
      <c r="AK590" s="291">
        <f t="shared" si="42"/>
        <v>0</v>
      </c>
      <c r="AL590" s="302">
        <f t="shared" ref="AL590:BK590" si="43">SUM(AL121:AL125)</f>
        <v>0</v>
      </c>
      <c r="AM590" s="231">
        <f t="shared" si="43"/>
        <v>0</v>
      </c>
      <c r="AN590" s="49">
        <f t="shared" si="43"/>
        <v>0</v>
      </c>
      <c r="AO590" s="291">
        <f t="shared" si="43"/>
        <v>0</v>
      </c>
      <c r="AP590" s="302">
        <f t="shared" si="43"/>
        <v>1013</v>
      </c>
      <c r="AQ590" s="231">
        <f t="shared" si="43"/>
        <v>482</v>
      </c>
      <c r="AR590" s="49">
        <f t="shared" si="43"/>
        <v>900</v>
      </c>
      <c r="AS590" s="291">
        <f t="shared" si="43"/>
        <v>588</v>
      </c>
      <c r="AT590" s="302">
        <f t="shared" si="43"/>
        <v>0</v>
      </c>
      <c r="AU590" s="231">
        <f t="shared" si="43"/>
        <v>0</v>
      </c>
      <c r="AV590" s="49">
        <f t="shared" si="43"/>
        <v>614</v>
      </c>
      <c r="AW590" s="291">
        <f t="shared" si="43"/>
        <v>885</v>
      </c>
      <c r="AX590" s="302">
        <f t="shared" si="43"/>
        <v>821</v>
      </c>
      <c r="AY590" s="231">
        <f t="shared" si="43"/>
        <v>539</v>
      </c>
      <c r="AZ590" s="49">
        <f t="shared" si="43"/>
        <v>422</v>
      </c>
      <c r="BA590" s="231">
        <f t="shared" si="43"/>
        <v>1030</v>
      </c>
      <c r="BB590" s="49">
        <f t="shared" si="43"/>
        <v>0</v>
      </c>
      <c r="BC590" s="82">
        <f t="shared" si="43"/>
        <v>0</v>
      </c>
      <c r="BD590" s="49">
        <f t="shared" si="43"/>
        <v>0</v>
      </c>
      <c r="BE590" s="82">
        <f t="shared" si="43"/>
        <v>0</v>
      </c>
      <c r="BF590" s="49">
        <f t="shared" si="43"/>
        <v>0</v>
      </c>
      <c r="BG590" s="82">
        <f t="shared" si="43"/>
        <v>0</v>
      </c>
      <c r="BH590" s="49">
        <f t="shared" si="43"/>
        <v>0</v>
      </c>
      <c r="BI590" s="82">
        <f t="shared" si="43"/>
        <v>0</v>
      </c>
      <c r="BJ590" s="49">
        <f t="shared" si="43"/>
        <v>0</v>
      </c>
      <c r="BK590" s="82">
        <f t="shared" si="43"/>
        <v>0</v>
      </c>
    </row>
    <row r="591" spans="1:63" ht="13" x14ac:dyDescent="0.25">
      <c r="A591" s="379"/>
      <c r="B591" s="380" t="s">
        <v>760</v>
      </c>
      <c r="C591" s="235">
        <f>SUM(C128:C132)</f>
        <v>4366</v>
      </c>
      <c r="D591" s="235">
        <f>SUM(D128:D132)</f>
        <v>785</v>
      </c>
      <c r="E591" s="367">
        <v>0.20317820658342792</v>
      </c>
      <c r="F591" s="49">
        <f t="shared" ref="F591:AK591" si="44">SUM(F126:F130)</f>
        <v>857</v>
      </c>
      <c r="G591" s="230">
        <f t="shared" si="44"/>
        <v>265</v>
      </c>
      <c r="H591" s="49">
        <f t="shared" si="44"/>
        <v>887</v>
      </c>
      <c r="I591" s="291">
        <f t="shared" si="44"/>
        <v>232</v>
      </c>
      <c r="J591" s="302">
        <f t="shared" si="44"/>
        <v>0</v>
      </c>
      <c r="K591" s="231">
        <f t="shared" si="44"/>
        <v>0</v>
      </c>
      <c r="L591" s="49">
        <f t="shared" si="44"/>
        <v>0</v>
      </c>
      <c r="M591" s="291">
        <f t="shared" si="44"/>
        <v>0</v>
      </c>
      <c r="N591" s="302">
        <f t="shared" si="44"/>
        <v>0</v>
      </c>
      <c r="O591" s="231">
        <f t="shared" si="44"/>
        <v>0</v>
      </c>
      <c r="P591" s="49">
        <f t="shared" si="44"/>
        <v>0</v>
      </c>
      <c r="Q591" s="291">
        <f t="shared" si="44"/>
        <v>0</v>
      </c>
      <c r="R591" s="302">
        <f t="shared" si="44"/>
        <v>0</v>
      </c>
      <c r="S591" s="231">
        <f t="shared" si="44"/>
        <v>0</v>
      </c>
      <c r="T591" s="49">
        <f t="shared" si="44"/>
        <v>0</v>
      </c>
      <c r="U591" s="291">
        <f t="shared" si="44"/>
        <v>0</v>
      </c>
      <c r="V591" s="302">
        <f t="shared" si="44"/>
        <v>0</v>
      </c>
      <c r="W591" s="231">
        <f t="shared" si="44"/>
        <v>0</v>
      </c>
      <c r="X591" s="49">
        <f t="shared" si="44"/>
        <v>0</v>
      </c>
      <c r="Y591" s="291">
        <f t="shared" si="44"/>
        <v>0</v>
      </c>
      <c r="Z591" s="302">
        <f t="shared" si="44"/>
        <v>0</v>
      </c>
      <c r="AA591" s="231">
        <f t="shared" si="44"/>
        <v>0</v>
      </c>
      <c r="AB591" s="49">
        <f t="shared" si="44"/>
        <v>0</v>
      </c>
      <c r="AC591" s="291">
        <f t="shared" si="44"/>
        <v>0</v>
      </c>
      <c r="AD591" s="302">
        <f t="shared" si="44"/>
        <v>0</v>
      </c>
      <c r="AE591" s="231">
        <f t="shared" si="44"/>
        <v>0</v>
      </c>
      <c r="AF591" s="49">
        <f t="shared" si="44"/>
        <v>0</v>
      </c>
      <c r="AG591" s="291">
        <f t="shared" si="44"/>
        <v>0</v>
      </c>
      <c r="AH591" s="302">
        <f t="shared" si="44"/>
        <v>0</v>
      </c>
      <c r="AI591" s="231">
        <f t="shared" si="44"/>
        <v>0</v>
      </c>
      <c r="AJ591" s="49">
        <f t="shared" si="44"/>
        <v>0</v>
      </c>
      <c r="AK591" s="291">
        <f t="shared" si="44"/>
        <v>0</v>
      </c>
      <c r="AL591" s="302">
        <f t="shared" ref="AL591:BK591" si="45">SUM(AL126:AL130)</f>
        <v>0</v>
      </c>
      <c r="AM591" s="231">
        <f t="shared" si="45"/>
        <v>0</v>
      </c>
      <c r="AN591" s="49">
        <f t="shared" si="45"/>
        <v>0</v>
      </c>
      <c r="AO591" s="291">
        <f t="shared" si="45"/>
        <v>0</v>
      </c>
      <c r="AP591" s="302">
        <f t="shared" si="45"/>
        <v>775</v>
      </c>
      <c r="AQ591" s="231">
        <f t="shared" si="45"/>
        <v>326</v>
      </c>
      <c r="AR591" s="49">
        <f t="shared" si="45"/>
        <v>695</v>
      </c>
      <c r="AS591" s="291">
        <f t="shared" si="45"/>
        <v>405</v>
      </c>
      <c r="AT591" s="302">
        <f t="shared" si="45"/>
        <v>0</v>
      </c>
      <c r="AU591" s="231">
        <f t="shared" si="45"/>
        <v>0</v>
      </c>
      <c r="AV591" s="49">
        <f t="shared" si="45"/>
        <v>512</v>
      </c>
      <c r="AW591" s="291">
        <f t="shared" si="45"/>
        <v>596</v>
      </c>
      <c r="AX591" s="302">
        <f t="shared" si="45"/>
        <v>596</v>
      </c>
      <c r="AY591" s="231">
        <f t="shared" si="45"/>
        <v>411</v>
      </c>
      <c r="AZ591" s="49">
        <f t="shared" si="45"/>
        <v>376</v>
      </c>
      <c r="BA591" s="231">
        <f t="shared" si="45"/>
        <v>692</v>
      </c>
      <c r="BB591" s="49">
        <f t="shared" si="45"/>
        <v>0</v>
      </c>
      <c r="BC591" s="82">
        <f t="shared" si="45"/>
        <v>0</v>
      </c>
      <c r="BD591" s="49">
        <f t="shared" si="45"/>
        <v>0</v>
      </c>
      <c r="BE591" s="82">
        <f t="shared" si="45"/>
        <v>0</v>
      </c>
      <c r="BF591" s="49">
        <f t="shared" si="45"/>
        <v>0</v>
      </c>
      <c r="BG591" s="82">
        <f t="shared" si="45"/>
        <v>0</v>
      </c>
      <c r="BH591" s="49">
        <f t="shared" si="45"/>
        <v>0</v>
      </c>
      <c r="BI591" s="82">
        <f t="shared" si="45"/>
        <v>0</v>
      </c>
      <c r="BJ591" s="49">
        <f t="shared" si="45"/>
        <v>0</v>
      </c>
      <c r="BK591" s="82">
        <f t="shared" si="45"/>
        <v>0</v>
      </c>
    </row>
    <row r="592" spans="1:63" ht="13" x14ac:dyDescent="0.25">
      <c r="A592" s="379"/>
      <c r="B592" s="380" t="s">
        <v>700</v>
      </c>
      <c r="C592" s="235">
        <f>SUM(C133:C135)</f>
        <v>4149</v>
      </c>
      <c r="D592" s="235">
        <f>SUM(D133:D135)</f>
        <v>1203</v>
      </c>
      <c r="E592" s="367">
        <v>0.31269958241218376</v>
      </c>
      <c r="F592" s="49">
        <f t="shared" ref="F592:AK592" si="46">SUM(F131:F133)</f>
        <v>876</v>
      </c>
      <c r="G592" s="230">
        <f t="shared" si="46"/>
        <v>134</v>
      </c>
      <c r="H592" s="49">
        <f t="shared" si="46"/>
        <v>894</v>
      </c>
      <c r="I592" s="291">
        <f t="shared" si="46"/>
        <v>117</v>
      </c>
      <c r="J592" s="302">
        <f t="shared" si="46"/>
        <v>0</v>
      </c>
      <c r="K592" s="231">
        <f t="shared" si="46"/>
        <v>0</v>
      </c>
      <c r="L592" s="49">
        <f t="shared" si="46"/>
        <v>0</v>
      </c>
      <c r="M592" s="291">
        <f t="shared" si="46"/>
        <v>0</v>
      </c>
      <c r="N592" s="302">
        <f t="shared" si="46"/>
        <v>0</v>
      </c>
      <c r="O592" s="231">
        <f t="shared" si="46"/>
        <v>0</v>
      </c>
      <c r="P592" s="49">
        <f t="shared" si="46"/>
        <v>0</v>
      </c>
      <c r="Q592" s="291">
        <f t="shared" si="46"/>
        <v>0</v>
      </c>
      <c r="R592" s="302">
        <f t="shared" si="46"/>
        <v>0</v>
      </c>
      <c r="S592" s="231">
        <f t="shared" si="46"/>
        <v>0</v>
      </c>
      <c r="T592" s="49">
        <f t="shared" si="46"/>
        <v>0</v>
      </c>
      <c r="U592" s="291">
        <f t="shared" si="46"/>
        <v>0</v>
      </c>
      <c r="V592" s="302">
        <f t="shared" si="46"/>
        <v>0</v>
      </c>
      <c r="W592" s="231">
        <f t="shared" si="46"/>
        <v>0</v>
      </c>
      <c r="X592" s="49">
        <f t="shared" si="46"/>
        <v>0</v>
      </c>
      <c r="Y592" s="291">
        <f t="shared" si="46"/>
        <v>0</v>
      </c>
      <c r="Z592" s="302">
        <f t="shared" si="46"/>
        <v>0</v>
      </c>
      <c r="AA592" s="231">
        <f t="shared" si="46"/>
        <v>0</v>
      </c>
      <c r="AB592" s="49">
        <f t="shared" si="46"/>
        <v>0</v>
      </c>
      <c r="AC592" s="291">
        <f t="shared" si="46"/>
        <v>0</v>
      </c>
      <c r="AD592" s="302">
        <f t="shared" si="46"/>
        <v>0</v>
      </c>
      <c r="AE592" s="231">
        <f t="shared" si="46"/>
        <v>0</v>
      </c>
      <c r="AF592" s="49">
        <f t="shared" si="46"/>
        <v>0</v>
      </c>
      <c r="AG592" s="291">
        <f t="shared" si="46"/>
        <v>0</v>
      </c>
      <c r="AH592" s="302">
        <f t="shared" si="46"/>
        <v>0</v>
      </c>
      <c r="AI592" s="231">
        <f t="shared" si="46"/>
        <v>0</v>
      </c>
      <c r="AJ592" s="49">
        <f t="shared" si="46"/>
        <v>0</v>
      </c>
      <c r="AK592" s="291">
        <f t="shared" si="46"/>
        <v>0</v>
      </c>
      <c r="AL592" s="302">
        <f t="shared" ref="AL592:BK592" si="47">SUM(AL131:AL133)</f>
        <v>0</v>
      </c>
      <c r="AM592" s="231">
        <f t="shared" si="47"/>
        <v>0</v>
      </c>
      <c r="AN592" s="49">
        <f t="shared" si="47"/>
        <v>0</v>
      </c>
      <c r="AO592" s="291">
        <f t="shared" si="47"/>
        <v>0</v>
      </c>
      <c r="AP592" s="302">
        <f t="shared" si="47"/>
        <v>774</v>
      </c>
      <c r="AQ592" s="231">
        <f t="shared" si="47"/>
        <v>217</v>
      </c>
      <c r="AR592" s="49">
        <f t="shared" si="47"/>
        <v>741</v>
      </c>
      <c r="AS592" s="291">
        <f t="shared" si="47"/>
        <v>252</v>
      </c>
      <c r="AT592" s="302">
        <f t="shared" si="47"/>
        <v>0</v>
      </c>
      <c r="AU592" s="231">
        <f t="shared" si="47"/>
        <v>0</v>
      </c>
      <c r="AV592" s="49">
        <f t="shared" si="47"/>
        <v>400</v>
      </c>
      <c r="AW592" s="291">
        <f t="shared" si="47"/>
        <v>610</v>
      </c>
      <c r="AX592" s="302">
        <f t="shared" si="47"/>
        <v>569</v>
      </c>
      <c r="AY592" s="231">
        <f t="shared" si="47"/>
        <v>337</v>
      </c>
      <c r="AZ592" s="49">
        <f t="shared" si="47"/>
        <v>402</v>
      </c>
      <c r="BA592" s="231">
        <f t="shared" si="47"/>
        <v>572</v>
      </c>
      <c r="BB592" s="49">
        <f t="shared" si="47"/>
        <v>0</v>
      </c>
      <c r="BC592" s="82">
        <f t="shared" si="47"/>
        <v>0</v>
      </c>
      <c r="BD592" s="49">
        <f t="shared" si="47"/>
        <v>0</v>
      </c>
      <c r="BE592" s="82">
        <f t="shared" si="47"/>
        <v>0</v>
      </c>
      <c r="BF592" s="49">
        <f t="shared" si="47"/>
        <v>0</v>
      </c>
      <c r="BG592" s="82">
        <f t="shared" si="47"/>
        <v>0</v>
      </c>
      <c r="BH592" s="49">
        <f t="shared" si="47"/>
        <v>0</v>
      </c>
      <c r="BI592" s="82">
        <f t="shared" si="47"/>
        <v>0</v>
      </c>
      <c r="BJ592" s="49">
        <f t="shared" si="47"/>
        <v>0</v>
      </c>
      <c r="BK592" s="82">
        <f t="shared" si="47"/>
        <v>0</v>
      </c>
    </row>
    <row r="593" spans="1:63" ht="13" x14ac:dyDescent="0.25">
      <c r="A593" s="379"/>
      <c r="B593" s="380" t="s">
        <v>701</v>
      </c>
      <c r="C593" s="235">
        <f>SUM(C136:C153)</f>
        <v>19423</v>
      </c>
      <c r="D593" s="235">
        <f>SUM(D136:D153)</f>
        <v>8855</v>
      </c>
      <c r="E593" s="367">
        <v>0.47504734606131954</v>
      </c>
      <c r="F593" s="49">
        <f t="shared" ref="F593:AK593" si="48">SUM(F134:F151)</f>
        <v>7271</v>
      </c>
      <c r="G593" s="230">
        <f t="shared" si="48"/>
        <v>1409</v>
      </c>
      <c r="H593" s="49">
        <f t="shared" si="48"/>
        <v>6825</v>
      </c>
      <c r="I593" s="291">
        <f t="shared" si="48"/>
        <v>1809</v>
      </c>
      <c r="J593" s="302">
        <f t="shared" si="48"/>
        <v>0</v>
      </c>
      <c r="K593" s="231">
        <f t="shared" si="48"/>
        <v>0</v>
      </c>
      <c r="L593" s="49">
        <f t="shared" si="48"/>
        <v>0</v>
      </c>
      <c r="M593" s="291">
        <f t="shared" si="48"/>
        <v>0</v>
      </c>
      <c r="N593" s="302">
        <f t="shared" si="48"/>
        <v>0</v>
      </c>
      <c r="O593" s="231">
        <f t="shared" si="48"/>
        <v>0</v>
      </c>
      <c r="P593" s="49">
        <f t="shared" si="48"/>
        <v>0</v>
      </c>
      <c r="Q593" s="291">
        <f t="shared" si="48"/>
        <v>0</v>
      </c>
      <c r="R593" s="302">
        <f t="shared" si="48"/>
        <v>0</v>
      </c>
      <c r="S593" s="231">
        <f t="shared" si="48"/>
        <v>0</v>
      </c>
      <c r="T593" s="49">
        <f t="shared" si="48"/>
        <v>0</v>
      </c>
      <c r="U593" s="291">
        <f t="shared" si="48"/>
        <v>0</v>
      </c>
      <c r="V593" s="302">
        <f t="shared" si="48"/>
        <v>0</v>
      </c>
      <c r="W593" s="231">
        <f t="shared" si="48"/>
        <v>0</v>
      </c>
      <c r="X593" s="49">
        <f t="shared" si="48"/>
        <v>0</v>
      </c>
      <c r="Y593" s="291">
        <f t="shared" si="48"/>
        <v>0</v>
      </c>
      <c r="Z593" s="302">
        <f t="shared" si="48"/>
        <v>0</v>
      </c>
      <c r="AA593" s="231">
        <f t="shared" si="48"/>
        <v>0</v>
      </c>
      <c r="AB593" s="49">
        <f t="shared" si="48"/>
        <v>0</v>
      </c>
      <c r="AC593" s="291">
        <f t="shared" si="48"/>
        <v>0</v>
      </c>
      <c r="AD593" s="302">
        <f t="shared" si="48"/>
        <v>0</v>
      </c>
      <c r="AE593" s="231">
        <f t="shared" si="48"/>
        <v>0</v>
      </c>
      <c r="AF593" s="49">
        <f t="shared" si="48"/>
        <v>0</v>
      </c>
      <c r="AG593" s="291">
        <f t="shared" si="48"/>
        <v>0</v>
      </c>
      <c r="AH593" s="302">
        <f t="shared" si="48"/>
        <v>0</v>
      </c>
      <c r="AI593" s="231">
        <f t="shared" si="48"/>
        <v>0</v>
      </c>
      <c r="AJ593" s="49">
        <f t="shared" si="48"/>
        <v>0</v>
      </c>
      <c r="AK593" s="291">
        <f t="shared" si="48"/>
        <v>0</v>
      </c>
      <c r="AL593" s="302">
        <f t="shared" ref="AL593:BK593" si="49">SUM(AL134:AL151)</f>
        <v>0</v>
      </c>
      <c r="AM593" s="231">
        <f t="shared" si="49"/>
        <v>0</v>
      </c>
      <c r="AN593" s="49">
        <f t="shared" si="49"/>
        <v>0</v>
      </c>
      <c r="AO593" s="291">
        <f t="shared" si="49"/>
        <v>0</v>
      </c>
      <c r="AP593" s="302">
        <f t="shared" si="49"/>
        <v>6548</v>
      </c>
      <c r="AQ593" s="231">
        <f t="shared" si="49"/>
        <v>2033</v>
      </c>
      <c r="AR593" s="49">
        <f t="shared" si="49"/>
        <v>6083</v>
      </c>
      <c r="AS593" s="291">
        <f t="shared" si="49"/>
        <v>2466</v>
      </c>
      <c r="AT593" s="302">
        <f t="shared" si="49"/>
        <v>0</v>
      </c>
      <c r="AU593" s="231">
        <f t="shared" si="49"/>
        <v>0</v>
      </c>
      <c r="AV593" s="49">
        <f t="shared" si="49"/>
        <v>4217</v>
      </c>
      <c r="AW593" s="291">
        <f t="shared" si="49"/>
        <v>4350</v>
      </c>
      <c r="AX593" s="302">
        <f t="shared" si="49"/>
        <v>4940</v>
      </c>
      <c r="AY593" s="231">
        <f t="shared" si="49"/>
        <v>2856</v>
      </c>
      <c r="AZ593" s="49">
        <f t="shared" si="49"/>
        <v>2928</v>
      </c>
      <c r="BA593" s="231">
        <f t="shared" si="49"/>
        <v>5415</v>
      </c>
      <c r="BB593" s="49">
        <f t="shared" si="49"/>
        <v>0</v>
      </c>
      <c r="BC593" s="82">
        <f t="shared" si="49"/>
        <v>0</v>
      </c>
      <c r="BD593" s="49">
        <f t="shared" si="49"/>
        <v>0</v>
      </c>
      <c r="BE593" s="82">
        <f t="shared" si="49"/>
        <v>0</v>
      </c>
      <c r="BF593" s="49">
        <f t="shared" si="49"/>
        <v>0</v>
      </c>
      <c r="BG593" s="82">
        <f t="shared" si="49"/>
        <v>0</v>
      </c>
      <c r="BH593" s="49">
        <f t="shared" si="49"/>
        <v>0</v>
      </c>
      <c r="BI593" s="82">
        <f t="shared" si="49"/>
        <v>0</v>
      </c>
      <c r="BJ593" s="49">
        <f t="shared" si="49"/>
        <v>0</v>
      </c>
      <c r="BK593" s="82">
        <f t="shared" si="49"/>
        <v>0</v>
      </c>
    </row>
    <row r="594" spans="1:63" ht="13" x14ac:dyDescent="0.25">
      <c r="A594" s="379"/>
      <c r="B594" s="380" t="s">
        <v>702</v>
      </c>
      <c r="C594" s="235">
        <f>SUM(C154:C162)</f>
        <v>9946</v>
      </c>
      <c r="D594" s="235">
        <f>SUM(D154:D162)</f>
        <v>3103</v>
      </c>
      <c r="E594" s="367">
        <v>0.34135880690125742</v>
      </c>
      <c r="F594" s="49">
        <f t="shared" ref="F594:AK594" si="50">SUM(F152:F160)</f>
        <v>2851</v>
      </c>
      <c r="G594" s="230">
        <f t="shared" si="50"/>
        <v>737</v>
      </c>
      <c r="H594" s="49">
        <f t="shared" si="50"/>
        <v>2672</v>
      </c>
      <c r="I594" s="291">
        <f t="shared" si="50"/>
        <v>884</v>
      </c>
      <c r="J594" s="302">
        <f t="shared" si="50"/>
        <v>0</v>
      </c>
      <c r="K594" s="231">
        <f t="shared" si="50"/>
        <v>0</v>
      </c>
      <c r="L594" s="49">
        <f t="shared" si="50"/>
        <v>0</v>
      </c>
      <c r="M594" s="291">
        <f t="shared" si="50"/>
        <v>0</v>
      </c>
      <c r="N594" s="302">
        <f t="shared" si="50"/>
        <v>0</v>
      </c>
      <c r="O594" s="231">
        <f t="shared" si="50"/>
        <v>0</v>
      </c>
      <c r="P594" s="49">
        <f t="shared" si="50"/>
        <v>0</v>
      </c>
      <c r="Q594" s="291">
        <f t="shared" si="50"/>
        <v>0</v>
      </c>
      <c r="R594" s="302">
        <f t="shared" si="50"/>
        <v>0</v>
      </c>
      <c r="S594" s="231">
        <f t="shared" si="50"/>
        <v>0</v>
      </c>
      <c r="T594" s="49">
        <f t="shared" si="50"/>
        <v>0</v>
      </c>
      <c r="U594" s="291">
        <f t="shared" si="50"/>
        <v>0</v>
      </c>
      <c r="V594" s="302">
        <f t="shared" si="50"/>
        <v>0</v>
      </c>
      <c r="W594" s="231">
        <f t="shared" si="50"/>
        <v>0</v>
      </c>
      <c r="X594" s="49">
        <f t="shared" si="50"/>
        <v>0</v>
      </c>
      <c r="Y594" s="291">
        <f t="shared" si="50"/>
        <v>0</v>
      </c>
      <c r="Z594" s="302">
        <f t="shared" si="50"/>
        <v>0</v>
      </c>
      <c r="AA594" s="231">
        <f t="shared" si="50"/>
        <v>0</v>
      </c>
      <c r="AB594" s="49">
        <f t="shared" si="50"/>
        <v>0</v>
      </c>
      <c r="AC594" s="291">
        <f t="shared" si="50"/>
        <v>0</v>
      </c>
      <c r="AD594" s="302">
        <f t="shared" si="50"/>
        <v>0</v>
      </c>
      <c r="AE594" s="231">
        <f t="shared" si="50"/>
        <v>0</v>
      </c>
      <c r="AF594" s="49">
        <f t="shared" si="50"/>
        <v>0</v>
      </c>
      <c r="AG594" s="291">
        <f t="shared" si="50"/>
        <v>0</v>
      </c>
      <c r="AH594" s="302">
        <f t="shared" si="50"/>
        <v>0</v>
      </c>
      <c r="AI594" s="231">
        <f t="shared" si="50"/>
        <v>0</v>
      </c>
      <c r="AJ594" s="49">
        <f t="shared" si="50"/>
        <v>0</v>
      </c>
      <c r="AK594" s="291">
        <f t="shared" si="50"/>
        <v>0</v>
      </c>
      <c r="AL594" s="302">
        <f t="shared" ref="AL594:BK594" si="51">SUM(AL152:AL160)</f>
        <v>0</v>
      </c>
      <c r="AM594" s="231">
        <f t="shared" si="51"/>
        <v>0</v>
      </c>
      <c r="AN594" s="49">
        <f t="shared" si="51"/>
        <v>0</v>
      </c>
      <c r="AO594" s="291">
        <f t="shared" si="51"/>
        <v>0</v>
      </c>
      <c r="AP594" s="302">
        <f t="shared" si="51"/>
        <v>2457</v>
      </c>
      <c r="AQ594" s="231">
        <f t="shared" si="51"/>
        <v>1075</v>
      </c>
      <c r="AR594" s="49">
        <f t="shared" si="51"/>
        <v>2252</v>
      </c>
      <c r="AS594" s="291">
        <f t="shared" si="51"/>
        <v>1269</v>
      </c>
      <c r="AT594" s="302">
        <f t="shared" si="51"/>
        <v>0</v>
      </c>
      <c r="AU594" s="231">
        <f t="shared" si="51"/>
        <v>0</v>
      </c>
      <c r="AV594" s="49">
        <f t="shared" si="51"/>
        <v>1820</v>
      </c>
      <c r="AW594" s="291">
        <f t="shared" si="51"/>
        <v>1717</v>
      </c>
      <c r="AX594" s="302">
        <f t="shared" si="51"/>
        <v>1974</v>
      </c>
      <c r="AY594" s="231">
        <f t="shared" si="51"/>
        <v>1280</v>
      </c>
      <c r="AZ594" s="49">
        <f t="shared" si="51"/>
        <v>1123</v>
      </c>
      <c r="BA594" s="231">
        <f t="shared" si="51"/>
        <v>2309</v>
      </c>
      <c r="BB594" s="49">
        <f t="shared" si="51"/>
        <v>0</v>
      </c>
      <c r="BC594" s="82">
        <f t="shared" si="51"/>
        <v>0</v>
      </c>
      <c r="BD594" s="49">
        <f t="shared" si="51"/>
        <v>0</v>
      </c>
      <c r="BE594" s="82">
        <f t="shared" si="51"/>
        <v>0</v>
      </c>
      <c r="BF594" s="49">
        <f t="shared" si="51"/>
        <v>0</v>
      </c>
      <c r="BG594" s="82">
        <f t="shared" si="51"/>
        <v>0</v>
      </c>
      <c r="BH594" s="49">
        <f t="shared" si="51"/>
        <v>0</v>
      </c>
      <c r="BI594" s="82">
        <f t="shared" si="51"/>
        <v>0</v>
      </c>
      <c r="BJ594" s="49">
        <f t="shared" si="51"/>
        <v>0</v>
      </c>
      <c r="BK594" s="82">
        <f t="shared" si="51"/>
        <v>0</v>
      </c>
    </row>
    <row r="595" spans="1:63" ht="13" x14ac:dyDescent="0.25">
      <c r="A595" s="379"/>
      <c r="B595" s="380" t="s">
        <v>761</v>
      </c>
      <c r="C595" s="235">
        <f>SUM(C163:C174)</f>
        <v>13943</v>
      </c>
      <c r="D595" s="235">
        <f>SUM(D163:D174)</f>
        <v>4600</v>
      </c>
      <c r="E595" s="367">
        <v>0.34630433236110125</v>
      </c>
      <c r="F595" s="49">
        <f t="shared" ref="F595:AK595" si="52">SUM(F161:F172)</f>
        <v>2779</v>
      </c>
      <c r="G595" s="230">
        <f t="shared" si="52"/>
        <v>1326</v>
      </c>
      <c r="H595" s="49">
        <f t="shared" si="52"/>
        <v>2921</v>
      </c>
      <c r="I595" s="291">
        <f t="shared" si="52"/>
        <v>1175</v>
      </c>
      <c r="J595" s="302">
        <f t="shared" si="52"/>
        <v>0</v>
      </c>
      <c r="K595" s="231">
        <f t="shared" si="52"/>
        <v>0</v>
      </c>
      <c r="L595" s="49">
        <f t="shared" si="52"/>
        <v>0</v>
      </c>
      <c r="M595" s="291">
        <f t="shared" si="52"/>
        <v>0</v>
      </c>
      <c r="N595" s="302">
        <f t="shared" si="52"/>
        <v>0</v>
      </c>
      <c r="O595" s="231">
        <f t="shared" si="52"/>
        <v>0</v>
      </c>
      <c r="P595" s="49">
        <f t="shared" si="52"/>
        <v>0</v>
      </c>
      <c r="Q595" s="291">
        <f t="shared" si="52"/>
        <v>0</v>
      </c>
      <c r="R595" s="302">
        <f t="shared" si="52"/>
        <v>0</v>
      </c>
      <c r="S595" s="231">
        <f t="shared" si="52"/>
        <v>0</v>
      </c>
      <c r="T595" s="49">
        <f t="shared" si="52"/>
        <v>0</v>
      </c>
      <c r="U595" s="291">
        <f t="shared" si="52"/>
        <v>0</v>
      </c>
      <c r="V595" s="302">
        <f t="shared" si="52"/>
        <v>0</v>
      </c>
      <c r="W595" s="231">
        <f t="shared" si="52"/>
        <v>0</v>
      </c>
      <c r="X595" s="49">
        <f t="shared" si="52"/>
        <v>0</v>
      </c>
      <c r="Y595" s="291">
        <f t="shared" si="52"/>
        <v>0</v>
      </c>
      <c r="Z595" s="302">
        <f t="shared" si="52"/>
        <v>0</v>
      </c>
      <c r="AA595" s="231">
        <f t="shared" si="52"/>
        <v>0</v>
      </c>
      <c r="AB595" s="49">
        <f t="shared" si="52"/>
        <v>0</v>
      </c>
      <c r="AC595" s="291">
        <f t="shared" si="52"/>
        <v>0</v>
      </c>
      <c r="AD595" s="302">
        <f t="shared" si="52"/>
        <v>0</v>
      </c>
      <c r="AE595" s="231">
        <f t="shared" si="52"/>
        <v>0</v>
      </c>
      <c r="AF595" s="49">
        <f t="shared" si="52"/>
        <v>0</v>
      </c>
      <c r="AG595" s="291">
        <f t="shared" si="52"/>
        <v>0</v>
      </c>
      <c r="AH595" s="302">
        <f t="shared" si="52"/>
        <v>0</v>
      </c>
      <c r="AI595" s="231">
        <f t="shared" si="52"/>
        <v>0</v>
      </c>
      <c r="AJ595" s="49">
        <f t="shared" si="52"/>
        <v>0</v>
      </c>
      <c r="AK595" s="291">
        <f t="shared" si="52"/>
        <v>0</v>
      </c>
      <c r="AL595" s="302">
        <f t="shared" ref="AL595:BK595" si="53">SUM(AL161:AL172)</f>
        <v>0</v>
      </c>
      <c r="AM595" s="231">
        <f t="shared" si="53"/>
        <v>0</v>
      </c>
      <c r="AN595" s="49">
        <f t="shared" si="53"/>
        <v>0</v>
      </c>
      <c r="AO595" s="291">
        <f t="shared" si="53"/>
        <v>0</v>
      </c>
      <c r="AP595" s="302">
        <f t="shared" si="53"/>
        <v>2754</v>
      </c>
      <c r="AQ595" s="231">
        <f t="shared" si="53"/>
        <v>1309</v>
      </c>
      <c r="AR595" s="49">
        <f t="shared" si="53"/>
        <v>2294</v>
      </c>
      <c r="AS595" s="291">
        <f t="shared" si="53"/>
        <v>1755</v>
      </c>
      <c r="AT595" s="302">
        <f t="shared" si="53"/>
        <v>0</v>
      </c>
      <c r="AU595" s="231">
        <f t="shared" si="53"/>
        <v>0</v>
      </c>
      <c r="AV595" s="49">
        <f t="shared" si="53"/>
        <v>1771</v>
      </c>
      <c r="AW595" s="291">
        <f t="shared" si="53"/>
        <v>2297</v>
      </c>
      <c r="AX595" s="302">
        <f t="shared" si="53"/>
        <v>2263</v>
      </c>
      <c r="AY595" s="231">
        <f t="shared" si="53"/>
        <v>1491</v>
      </c>
      <c r="AZ595" s="49">
        <f t="shared" si="53"/>
        <v>1053</v>
      </c>
      <c r="BA595" s="231">
        <f t="shared" si="53"/>
        <v>2876</v>
      </c>
      <c r="BB595" s="49">
        <f t="shared" si="53"/>
        <v>0</v>
      </c>
      <c r="BC595" s="82">
        <f t="shared" si="53"/>
        <v>0</v>
      </c>
      <c r="BD595" s="49">
        <f t="shared" si="53"/>
        <v>0</v>
      </c>
      <c r="BE595" s="82">
        <f t="shared" si="53"/>
        <v>0</v>
      </c>
      <c r="BF595" s="49">
        <f t="shared" si="53"/>
        <v>0</v>
      </c>
      <c r="BG595" s="82">
        <f t="shared" si="53"/>
        <v>0</v>
      </c>
      <c r="BH595" s="49">
        <f t="shared" si="53"/>
        <v>0</v>
      </c>
      <c r="BI595" s="82">
        <f t="shared" si="53"/>
        <v>0</v>
      </c>
      <c r="BJ595" s="49">
        <f t="shared" si="53"/>
        <v>0</v>
      </c>
      <c r="BK595" s="82">
        <f t="shared" si="53"/>
        <v>0</v>
      </c>
    </row>
    <row r="596" spans="1:63" ht="13" x14ac:dyDescent="0.25">
      <c r="A596" s="379"/>
      <c r="B596" s="380" t="s">
        <v>753</v>
      </c>
      <c r="C596" s="235">
        <f>SUM(C175:C193)</f>
        <v>20187</v>
      </c>
      <c r="D596" s="235">
        <f>SUM(D175:D193)</f>
        <v>6518</v>
      </c>
      <c r="E596" s="367">
        <v>0.34587497550460511</v>
      </c>
      <c r="F596" s="49">
        <f t="shared" ref="F596:AK596" si="54">SUM(F173:F191)</f>
        <v>4904</v>
      </c>
      <c r="G596" s="230">
        <f t="shared" si="54"/>
        <v>1582</v>
      </c>
      <c r="H596" s="49">
        <f t="shared" si="54"/>
        <v>4831</v>
      </c>
      <c r="I596" s="291">
        <f t="shared" si="54"/>
        <v>1640</v>
      </c>
      <c r="J596" s="302">
        <f t="shared" si="54"/>
        <v>0</v>
      </c>
      <c r="K596" s="231">
        <f t="shared" si="54"/>
        <v>0</v>
      </c>
      <c r="L596" s="49">
        <f t="shared" si="54"/>
        <v>0</v>
      </c>
      <c r="M596" s="291">
        <f t="shared" si="54"/>
        <v>0</v>
      </c>
      <c r="N596" s="302">
        <f t="shared" si="54"/>
        <v>0</v>
      </c>
      <c r="O596" s="231">
        <f t="shared" si="54"/>
        <v>0</v>
      </c>
      <c r="P596" s="49">
        <f t="shared" si="54"/>
        <v>0</v>
      </c>
      <c r="Q596" s="291">
        <f t="shared" si="54"/>
        <v>0</v>
      </c>
      <c r="R596" s="302">
        <f t="shared" si="54"/>
        <v>0</v>
      </c>
      <c r="S596" s="231">
        <f t="shared" si="54"/>
        <v>0</v>
      </c>
      <c r="T596" s="49">
        <f t="shared" si="54"/>
        <v>0</v>
      </c>
      <c r="U596" s="291">
        <f t="shared" si="54"/>
        <v>0</v>
      </c>
      <c r="V596" s="302">
        <f t="shared" si="54"/>
        <v>0</v>
      </c>
      <c r="W596" s="231">
        <f t="shared" si="54"/>
        <v>0</v>
      </c>
      <c r="X596" s="49">
        <f t="shared" si="54"/>
        <v>0</v>
      </c>
      <c r="Y596" s="291">
        <f t="shared" si="54"/>
        <v>0</v>
      </c>
      <c r="Z596" s="302">
        <f t="shared" si="54"/>
        <v>0</v>
      </c>
      <c r="AA596" s="231">
        <f t="shared" si="54"/>
        <v>0</v>
      </c>
      <c r="AB596" s="49">
        <f t="shared" si="54"/>
        <v>0</v>
      </c>
      <c r="AC596" s="291">
        <f t="shared" si="54"/>
        <v>0</v>
      </c>
      <c r="AD596" s="302">
        <f t="shared" si="54"/>
        <v>0</v>
      </c>
      <c r="AE596" s="231">
        <f t="shared" si="54"/>
        <v>0</v>
      </c>
      <c r="AF596" s="49">
        <f t="shared" si="54"/>
        <v>0</v>
      </c>
      <c r="AG596" s="291">
        <f t="shared" si="54"/>
        <v>0</v>
      </c>
      <c r="AH596" s="302">
        <f t="shared" si="54"/>
        <v>0</v>
      </c>
      <c r="AI596" s="231">
        <f t="shared" si="54"/>
        <v>0</v>
      </c>
      <c r="AJ596" s="49">
        <f t="shared" si="54"/>
        <v>0</v>
      </c>
      <c r="AK596" s="291">
        <f t="shared" si="54"/>
        <v>0</v>
      </c>
      <c r="AL596" s="302">
        <f t="shared" ref="AL596:BK596" si="55">SUM(AL173:AL191)</f>
        <v>0</v>
      </c>
      <c r="AM596" s="231">
        <f t="shared" si="55"/>
        <v>0</v>
      </c>
      <c r="AN596" s="49">
        <f t="shared" si="55"/>
        <v>0</v>
      </c>
      <c r="AO596" s="291">
        <f t="shared" si="55"/>
        <v>0</v>
      </c>
      <c r="AP596" s="302">
        <f t="shared" si="55"/>
        <v>4477</v>
      </c>
      <c r="AQ596" s="231">
        <f t="shared" si="55"/>
        <v>1926</v>
      </c>
      <c r="AR596" s="49">
        <f t="shared" si="55"/>
        <v>4039</v>
      </c>
      <c r="AS596" s="291">
        <f t="shared" si="55"/>
        <v>2347</v>
      </c>
      <c r="AT596" s="302">
        <f t="shared" si="55"/>
        <v>0</v>
      </c>
      <c r="AU596" s="231">
        <f t="shared" si="55"/>
        <v>0</v>
      </c>
      <c r="AV596" s="49">
        <f t="shared" si="55"/>
        <v>2883</v>
      </c>
      <c r="AW596" s="291">
        <f t="shared" si="55"/>
        <v>3538</v>
      </c>
      <c r="AX596" s="302">
        <f t="shared" si="55"/>
        <v>3620</v>
      </c>
      <c r="AY596" s="231">
        <f t="shared" si="55"/>
        <v>2265</v>
      </c>
      <c r="AZ596" s="49">
        <f t="shared" si="55"/>
        <v>1881</v>
      </c>
      <c r="BA596" s="231">
        <f t="shared" si="55"/>
        <v>4325</v>
      </c>
      <c r="BB596" s="49">
        <f t="shared" si="55"/>
        <v>0</v>
      </c>
      <c r="BC596" s="82">
        <f t="shared" si="55"/>
        <v>0</v>
      </c>
      <c r="BD596" s="49">
        <f t="shared" si="55"/>
        <v>0</v>
      </c>
      <c r="BE596" s="82">
        <f t="shared" si="55"/>
        <v>0</v>
      </c>
      <c r="BF596" s="49">
        <f t="shared" si="55"/>
        <v>0</v>
      </c>
      <c r="BG596" s="82">
        <f t="shared" si="55"/>
        <v>0</v>
      </c>
      <c r="BH596" s="49">
        <f t="shared" si="55"/>
        <v>0</v>
      </c>
      <c r="BI596" s="82">
        <f t="shared" si="55"/>
        <v>0</v>
      </c>
      <c r="BJ596" s="49">
        <f t="shared" si="55"/>
        <v>0</v>
      </c>
      <c r="BK596" s="82">
        <f t="shared" si="55"/>
        <v>0</v>
      </c>
    </row>
    <row r="597" spans="1:63" ht="13" x14ac:dyDescent="0.25">
      <c r="A597" s="379"/>
      <c r="B597" s="380" t="s">
        <v>777</v>
      </c>
      <c r="C597" s="235">
        <f>SUM(C194:C204)</f>
        <v>10504</v>
      </c>
      <c r="D597" s="235">
        <f>SUM(D194:D204)</f>
        <v>6122</v>
      </c>
      <c r="E597" s="367">
        <v>0.63028715560729531</v>
      </c>
      <c r="F597" s="49">
        <f t="shared" ref="F597:BK597" si="56">SUM(F194:F204)</f>
        <v>4216</v>
      </c>
      <c r="G597" s="230">
        <f t="shared" si="56"/>
        <v>1848</v>
      </c>
      <c r="H597" s="49">
        <f t="shared" si="56"/>
        <v>3879</v>
      </c>
      <c r="I597" s="291">
        <f t="shared" si="56"/>
        <v>2148</v>
      </c>
      <c r="J597" s="302">
        <f t="shared" si="56"/>
        <v>0</v>
      </c>
      <c r="K597" s="231">
        <f t="shared" si="56"/>
        <v>0</v>
      </c>
      <c r="L597" s="49">
        <f t="shared" si="56"/>
        <v>0</v>
      </c>
      <c r="M597" s="291">
        <f t="shared" si="56"/>
        <v>0</v>
      </c>
      <c r="N597" s="302">
        <f t="shared" si="56"/>
        <v>0</v>
      </c>
      <c r="O597" s="231">
        <f t="shared" si="56"/>
        <v>0</v>
      </c>
      <c r="P597" s="49">
        <f t="shared" si="56"/>
        <v>0</v>
      </c>
      <c r="Q597" s="291">
        <f t="shared" si="56"/>
        <v>0</v>
      </c>
      <c r="R597" s="302">
        <f t="shared" si="56"/>
        <v>0</v>
      </c>
      <c r="S597" s="231">
        <f t="shared" si="56"/>
        <v>0</v>
      </c>
      <c r="T597" s="49">
        <f t="shared" si="56"/>
        <v>0</v>
      </c>
      <c r="U597" s="291">
        <f t="shared" si="56"/>
        <v>0</v>
      </c>
      <c r="V597" s="302">
        <f t="shared" si="56"/>
        <v>0</v>
      </c>
      <c r="W597" s="231">
        <f t="shared" si="56"/>
        <v>0</v>
      </c>
      <c r="X597" s="49">
        <f t="shared" si="56"/>
        <v>0</v>
      </c>
      <c r="Y597" s="291">
        <f t="shared" si="56"/>
        <v>0</v>
      </c>
      <c r="Z597" s="302">
        <f t="shared" si="56"/>
        <v>0</v>
      </c>
      <c r="AA597" s="231">
        <f t="shared" si="56"/>
        <v>0</v>
      </c>
      <c r="AB597" s="49">
        <f t="shared" si="56"/>
        <v>0</v>
      </c>
      <c r="AC597" s="291">
        <f t="shared" si="56"/>
        <v>0</v>
      </c>
      <c r="AD597" s="302">
        <f t="shared" si="56"/>
        <v>0</v>
      </c>
      <c r="AE597" s="231">
        <f t="shared" si="56"/>
        <v>0</v>
      </c>
      <c r="AF597" s="49">
        <f t="shared" si="56"/>
        <v>0</v>
      </c>
      <c r="AG597" s="291">
        <f t="shared" si="56"/>
        <v>0</v>
      </c>
      <c r="AH597" s="302">
        <f t="shared" si="56"/>
        <v>0</v>
      </c>
      <c r="AI597" s="231">
        <f t="shared" si="56"/>
        <v>0</v>
      </c>
      <c r="AJ597" s="49">
        <f t="shared" si="56"/>
        <v>0</v>
      </c>
      <c r="AK597" s="291">
        <f t="shared" si="56"/>
        <v>0</v>
      </c>
      <c r="AL597" s="302">
        <f t="shared" si="56"/>
        <v>0</v>
      </c>
      <c r="AM597" s="231">
        <f t="shared" si="56"/>
        <v>0</v>
      </c>
      <c r="AN597" s="49">
        <f t="shared" si="56"/>
        <v>0</v>
      </c>
      <c r="AO597" s="291">
        <f t="shared" si="56"/>
        <v>0</v>
      </c>
      <c r="AP597" s="302">
        <f t="shared" si="56"/>
        <v>4559</v>
      </c>
      <c r="AQ597" s="231">
        <f t="shared" si="56"/>
        <v>1441</v>
      </c>
      <c r="AR597" s="49">
        <f t="shared" si="56"/>
        <v>3856</v>
      </c>
      <c r="AS597" s="291">
        <f t="shared" si="56"/>
        <v>2157</v>
      </c>
      <c r="AT597" s="302">
        <f t="shared" si="56"/>
        <v>0</v>
      </c>
      <c r="AU597" s="231">
        <f t="shared" si="56"/>
        <v>0</v>
      </c>
      <c r="AV597" s="49">
        <f t="shared" si="56"/>
        <v>0</v>
      </c>
      <c r="AW597" s="291">
        <f t="shared" si="56"/>
        <v>0</v>
      </c>
      <c r="AX597" s="302">
        <f t="shared" si="56"/>
        <v>0</v>
      </c>
      <c r="AY597" s="231">
        <f t="shared" si="56"/>
        <v>0</v>
      </c>
      <c r="AZ597" s="49">
        <f t="shared" si="56"/>
        <v>0</v>
      </c>
      <c r="BA597" s="231">
        <f t="shared" si="56"/>
        <v>0</v>
      </c>
      <c r="BB597" s="49">
        <f t="shared" si="56"/>
        <v>0</v>
      </c>
      <c r="BC597" s="82">
        <f t="shared" si="56"/>
        <v>0</v>
      </c>
      <c r="BD597" s="49">
        <f t="shared" si="56"/>
        <v>0</v>
      </c>
      <c r="BE597" s="82">
        <f t="shared" si="56"/>
        <v>0</v>
      </c>
      <c r="BF597" s="49">
        <f t="shared" si="56"/>
        <v>0</v>
      </c>
      <c r="BG597" s="82">
        <f t="shared" si="56"/>
        <v>0</v>
      </c>
      <c r="BH597" s="49">
        <f t="shared" si="56"/>
        <v>0</v>
      </c>
      <c r="BI597" s="82">
        <f t="shared" si="56"/>
        <v>0</v>
      </c>
      <c r="BJ597" s="49">
        <f t="shared" si="56"/>
        <v>0</v>
      </c>
      <c r="BK597" s="82">
        <f t="shared" si="56"/>
        <v>0</v>
      </c>
    </row>
    <row r="598" spans="1:63" ht="13" x14ac:dyDescent="0.25">
      <c r="A598" s="379"/>
      <c r="B598" s="380" t="s">
        <v>703</v>
      </c>
      <c r="C598" s="235">
        <f>SUM(C205:C208)</f>
        <v>5921</v>
      </c>
      <c r="D598" s="235">
        <f>SUM(D205:D208)</f>
        <v>2573</v>
      </c>
      <c r="E598" s="367">
        <v>0.43265935572309799</v>
      </c>
      <c r="F598" s="49">
        <f t="shared" ref="F598:BK598" si="57">SUM(F205:F208)</f>
        <v>1606</v>
      </c>
      <c r="G598" s="230">
        <f t="shared" si="57"/>
        <v>930</v>
      </c>
      <c r="H598" s="49">
        <f t="shared" si="57"/>
        <v>1784</v>
      </c>
      <c r="I598" s="291">
        <f t="shared" si="57"/>
        <v>753</v>
      </c>
      <c r="J598" s="302">
        <f t="shared" si="57"/>
        <v>0</v>
      </c>
      <c r="K598" s="231">
        <f t="shared" si="57"/>
        <v>0</v>
      </c>
      <c r="L598" s="49">
        <f t="shared" si="57"/>
        <v>0</v>
      </c>
      <c r="M598" s="291">
        <f t="shared" si="57"/>
        <v>0</v>
      </c>
      <c r="N598" s="302">
        <f t="shared" si="57"/>
        <v>0</v>
      </c>
      <c r="O598" s="231">
        <f t="shared" si="57"/>
        <v>0</v>
      </c>
      <c r="P598" s="49">
        <f t="shared" si="57"/>
        <v>0</v>
      </c>
      <c r="Q598" s="291">
        <f t="shared" si="57"/>
        <v>0</v>
      </c>
      <c r="R598" s="302">
        <f t="shared" si="57"/>
        <v>0</v>
      </c>
      <c r="S598" s="231">
        <f t="shared" si="57"/>
        <v>0</v>
      </c>
      <c r="T598" s="49">
        <f t="shared" si="57"/>
        <v>0</v>
      </c>
      <c r="U598" s="291">
        <f t="shared" si="57"/>
        <v>0</v>
      </c>
      <c r="V598" s="302">
        <f t="shared" si="57"/>
        <v>0</v>
      </c>
      <c r="W598" s="231">
        <f t="shared" si="57"/>
        <v>0</v>
      </c>
      <c r="X598" s="49">
        <f t="shared" si="57"/>
        <v>0</v>
      </c>
      <c r="Y598" s="291">
        <f t="shared" si="57"/>
        <v>0</v>
      </c>
      <c r="Z598" s="302">
        <f t="shared" si="57"/>
        <v>0</v>
      </c>
      <c r="AA598" s="231">
        <f t="shared" si="57"/>
        <v>0</v>
      </c>
      <c r="AB598" s="49">
        <f t="shared" si="57"/>
        <v>0</v>
      </c>
      <c r="AC598" s="291">
        <f t="shared" si="57"/>
        <v>0</v>
      </c>
      <c r="AD598" s="302">
        <f t="shared" si="57"/>
        <v>0</v>
      </c>
      <c r="AE598" s="231">
        <f t="shared" si="57"/>
        <v>0</v>
      </c>
      <c r="AF598" s="49">
        <f t="shared" si="57"/>
        <v>0</v>
      </c>
      <c r="AG598" s="291">
        <f t="shared" si="57"/>
        <v>0</v>
      </c>
      <c r="AH598" s="302">
        <f t="shared" si="57"/>
        <v>0</v>
      </c>
      <c r="AI598" s="231">
        <f t="shared" si="57"/>
        <v>0</v>
      </c>
      <c r="AJ598" s="49">
        <f t="shared" si="57"/>
        <v>0</v>
      </c>
      <c r="AK598" s="291">
        <f t="shared" si="57"/>
        <v>0</v>
      </c>
      <c r="AL598" s="302">
        <f t="shared" si="57"/>
        <v>0</v>
      </c>
      <c r="AM598" s="231">
        <f t="shared" si="57"/>
        <v>0</v>
      </c>
      <c r="AN598" s="49">
        <f t="shared" si="57"/>
        <v>0</v>
      </c>
      <c r="AO598" s="291">
        <f t="shared" si="57"/>
        <v>0</v>
      </c>
      <c r="AP598" s="302">
        <f t="shared" si="57"/>
        <v>1682</v>
      </c>
      <c r="AQ598" s="231">
        <f t="shared" si="57"/>
        <v>830</v>
      </c>
      <c r="AR598" s="49">
        <f t="shared" si="57"/>
        <v>1351</v>
      </c>
      <c r="AS598" s="291">
        <f t="shared" si="57"/>
        <v>1142</v>
      </c>
      <c r="AT598" s="302">
        <f t="shared" si="57"/>
        <v>1559</v>
      </c>
      <c r="AU598" s="231">
        <f t="shared" si="57"/>
        <v>937</v>
      </c>
      <c r="AV598" s="49">
        <f t="shared" si="57"/>
        <v>0</v>
      </c>
      <c r="AW598" s="291">
        <f t="shared" si="57"/>
        <v>0</v>
      </c>
      <c r="AX598" s="302">
        <f t="shared" si="57"/>
        <v>0</v>
      </c>
      <c r="AY598" s="231">
        <f t="shared" si="57"/>
        <v>0</v>
      </c>
      <c r="AZ598" s="49">
        <f t="shared" si="57"/>
        <v>0</v>
      </c>
      <c r="BA598" s="231">
        <f t="shared" si="57"/>
        <v>0</v>
      </c>
      <c r="BB598" s="49">
        <f t="shared" si="57"/>
        <v>0</v>
      </c>
      <c r="BC598" s="82">
        <f t="shared" si="57"/>
        <v>0</v>
      </c>
      <c r="BD598" s="49">
        <f t="shared" si="57"/>
        <v>0</v>
      </c>
      <c r="BE598" s="82">
        <f t="shared" si="57"/>
        <v>0</v>
      </c>
      <c r="BF598" s="49">
        <f t="shared" si="57"/>
        <v>0</v>
      </c>
      <c r="BG598" s="82">
        <f t="shared" si="57"/>
        <v>0</v>
      </c>
      <c r="BH598" s="49">
        <f t="shared" si="57"/>
        <v>0</v>
      </c>
      <c r="BI598" s="82">
        <f t="shared" si="57"/>
        <v>0</v>
      </c>
      <c r="BJ598" s="49">
        <f t="shared" si="57"/>
        <v>0</v>
      </c>
      <c r="BK598" s="82">
        <f t="shared" si="57"/>
        <v>0</v>
      </c>
    </row>
    <row r="599" spans="1:63" ht="13" x14ac:dyDescent="0.25">
      <c r="A599" s="379"/>
      <c r="B599" s="380" t="s">
        <v>8</v>
      </c>
      <c r="C599" s="235">
        <f>SUM(C209:C212)</f>
        <v>3993</v>
      </c>
      <c r="D599" s="235">
        <f>SUM(D209:D212)</f>
        <v>2257</v>
      </c>
      <c r="E599" s="367">
        <v>0.55530360292265057</v>
      </c>
      <c r="F599" s="49">
        <f t="shared" ref="F599:BK599" si="58">SUM(F209:F212)</f>
        <v>1461</v>
      </c>
      <c r="G599" s="230">
        <f t="shared" si="58"/>
        <v>773</v>
      </c>
      <c r="H599" s="49">
        <f t="shared" si="58"/>
        <v>1585</v>
      </c>
      <c r="I599" s="291">
        <f t="shared" si="58"/>
        <v>631</v>
      </c>
      <c r="J599" s="302">
        <f t="shared" si="58"/>
        <v>0</v>
      </c>
      <c r="K599" s="231">
        <f t="shared" si="58"/>
        <v>0</v>
      </c>
      <c r="L599" s="49">
        <f t="shared" si="58"/>
        <v>0</v>
      </c>
      <c r="M599" s="291">
        <f t="shared" si="58"/>
        <v>0</v>
      </c>
      <c r="N599" s="302">
        <f t="shared" si="58"/>
        <v>0</v>
      </c>
      <c r="O599" s="231">
        <f t="shared" si="58"/>
        <v>0</v>
      </c>
      <c r="P599" s="49">
        <f t="shared" si="58"/>
        <v>0</v>
      </c>
      <c r="Q599" s="291">
        <f t="shared" si="58"/>
        <v>0</v>
      </c>
      <c r="R599" s="302">
        <f t="shared" si="58"/>
        <v>0</v>
      </c>
      <c r="S599" s="231">
        <f t="shared" si="58"/>
        <v>0</v>
      </c>
      <c r="T599" s="49">
        <f t="shared" si="58"/>
        <v>0</v>
      </c>
      <c r="U599" s="291">
        <f t="shared" si="58"/>
        <v>0</v>
      </c>
      <c r="V599" s="302">
        <f t="shared" si="58"/>
        <v>0</v>
      </c>
      <c r="W599" s="231">
        <f t="shared" si="58"/>
        <v>0</v>
      </c>
      <c r="X599" s="49">
        <f t="shared" si="58"/>
        <v>0</v>
      </c>
      <c r="Y599" s="291">
        <f t="shared" si="58"/>
        <v>0</v>
      </c>
      <c r="Z599" s="302">
        <f t="shared" si="58"/>
        <v>0</v>
      </c>
      <c r="AA599" s="231">
        <f t="shared" si="58"/>
        <v>0</v>
      </c>
      <c r="AB599" s="49">
        <f t="shared" si="58"/>
        <v>0</v>
      </c>
      <c r="AC599" s="291">
        <f t="shared" si="58"/>
        <v>0</v>
      </c>
      <c r="AD599" s="302">
        <f t="shared" si="58"/>
        <v>0</v>
      </c>
      <c r="AE599" s="231">
        <f t="shared" si="58"/>
        <v>0</v>
      </c>
      <c r="AF599" s="49">
        <f t="shared" si="58"/>
        <v>0</v>
      </c>
      <c r="AG599" s="291">
        <f t="shared" si="58"/>
        <v>0</v>
      </c>
      <c r="AH599" s="302">
        <f t="shared" si="58"/>
        <v>0</v>
      </c>
      <c r="AI599" s="231">
        <f t="shared" si="58"/>
        <v>0</v>
      </c>
      <c r="AJ599" s="49">
        <f t="shared" si="58"/>
        <v>0</v>
      </c>
      <c r="AK599" s="291">
        <f t="shared" si="58"/>
        <v>0</v>
      </c>
      <c r="AL599" s="302">
        <f t="shared" si="58"/>
        <v>0</v>
      </c>
      <c r="AM599" s="231">
        <f t="shared" si="58"/>
        <v>0</v>
      </c>
      <c r="AN599" s="49">
        <f t="shared" si="58"/>
        <v>0</v>
      </c>
      <c r="AO599" s="291">
        <f t="shared" si="58"/>
        <v>0</v>
      </c>
      <c r="AP599" s="302">
        <f t="shared" si="58"/>
        <v>1574</v>
      </c>
      <c r="AQ599" s="231">
        <f t="shared" si="58"/>
        <v>625</v>
      </c>
      <c r="AR599" s="49">
        <f t="shared" si="58"/>
        <v>1301</v>
      </c>
      <c r="AS599" s="291">
        <f t="shared" si="58"/>
        <v>906</v>
      </c>
      <c r="AT599" s="302">
        <f t="shared" si="58"/>
        <v>0</v>
      </c>
      <c r="AU599" s="231">
        <f t="shared" si="58"/>
        <v>0</v>
      </c>
      <c r="AV599" s="49">
        <f t="shared" si="58"/>
        <v>0</v>
      </c>
      <c r="AW599" s="291">
        <f t="shared" si="58"/>
        <v>0</v>
      </c>
      <c r="AX599" s="302">
        <f t="shared" si="58"/>
        <v>0</v>
      </c>
      <c r="AY599" s="231">
        <f t="shared" si="58"/>
        <v>0</v>
      </c>
      <c r="AZ599" s="49">
        <f t="shared" si="58"/>
        <v>0</v>
      </c>
      <c r="BA599" s="231">
        <f t="shared" si="58"/>
        <v>0</v>
      </c>
      <c r="BB599" s="49">
        <f t="shared" si="58"/>
        <v>0</v>
      </c>
      <c r="BC599" s="82">
        <f t="shared" si="58"/>
        <v>0</v>
      </c>
      <c r="BD599" s="49">
        <f t="shared" si="58"/>
        <v>0</v>
      </c>
      <c r="BE599" s="82">
        <f t="shared" si="58"/>
        <v>0</v>
      </c>
      <c r="BF599" s="49">
        <f t="shared" si="58"/>
        <v>0</v>
      </c>
      <c r="BG599" s="82">
        <f t="shared" si="58"/>
        <v>0</v>
      </c>
      <c r="BH599" s="49">
        <f t="shared" si="58"/>
        <v>0</v>
      </c>
      <c r="BI599" s="82">
        <f t="shared" si="58"/>
        <v>0</v>
      </c>
      <c r="BJ599" s="49">
        <f t="shared" si="58"/>
        <v>0</v>
      </c>
      <c r="BK599" s="82">
        <f t="shared" si="58"/>
        <v>0</v>
      </c>
    </row>
    <row r="600" spans="1:63" ht="13" x14ac:dyDescent="0.25">
      <c r="A600" s="379"/>
      <c r="B600" s="380" t="s">
        <v>17</v>
      </c>
      <c r="C600" s="235">
        <f>SUM(C213:C225)</f>
        <v>12311</v>
      </c>
      <c r="D600" s="235">
        <f>SUM(D213:D225)</f>
        <v>4615</v>
      </c>
      <c r="E600" s="367">
        <v>0.43518741472028255</v>
      </c>
      <c r="F600" s="49">
        <f t="shared" ref="F600:BK600" si="59">SUM(F213:F225)</f>
        <v>3646</v>
      </c>
      <c r="G600" s="230">
        <f t="shared" si="59"/>
        <v>917</v>
      </c>
      <c r="H600" s="49">
        <f t="shared" si="59"/>
        <v>3160</v>
      </c>
      <c r="I600" s="291">
        <f t="shared" si="59"/>
        <v>1369</v>
      </c>
      <c r="J600" s="302">
        <f t="shared" si="59"/>
        <v>0</v>
      </c>
      <c r="K600" s="231">
        <f t="shared" si="59"/>
        <v>0</v>
      </c>
      <c r="L600" s="49">
        <f t="shared" si="59"/>
        <v>0</v>
      </c>
      <c r="M600" s="291">
        <f t="shared" si="59"/>
        <v>0</v>
      </c>
      <c r="N600" s="302">
        <f t="shared" si="59"/>
        <v>0</v>
      </c>
      <c r="O600" s="231">
        <f t="shared" si="59"/>
        <v>0</v>
      </c>
      <c r="P600" s="49">
        <f t="shared" si="59"/>
        <v>0</v>
      </c>
      <c r="Q600" s="291">
        <f t="shared" si="59"/>
        <v>0</v>
      </c>
      <c r="R600" s="302">
        <f t="shared" si="59"/>
        <v>0</v>
      </c>
      <c r="S600" s="231">
        <f t="shared" si="59"/>
        <v>0</v>
      </c>
      <c r="T600" s="49">
        <f t="shared" si="59"/>
        <v>0</v>
      </c>
      <c r="U600" s="291">
        <f t="shared" si="59"/>
        <v>0</v>
      </c>
      <c r="V600" s="302">
        <f t="shared" si="59"/>
        <v>0</v>
      </c>
      <c r="W600" s="231">
        <f t="shared" si="59"/>
        <v>0</v>
      </c>
      <c r="X600" s="49">
        <f t="shared" si="59"/>
        <v>0</v>
      </c>
      <c r="Y600" s="291">
        <f t="shared" si="59"/>
        <v>0</v>
      </c>
      <c r="Z600" s="302">
        <f t="shared" si="59"/>
        <v>0</v>
      </c>
      <c r="AA600" s="231">
        <f t="shared" si="59"/>
        <v>0</v>
      </c>
      <c r="AB600" s="49">
        <f t="shared" si="59"/>
        <v>0</v>
      </c>
      <c r="AC600" s="291">
        <f t="shared" si="59"/>
        <v>0</v>
      </c>
      <c r="AD600" s="302">
        <f t="shared" si="59"/>
        <v>0</v>
      </c>
      <c r="AE600" s="231">
        <f t="shared" si="59"/>
        <v>0</v>
      </c>
      <c r="AF600" s="49">
        <f t="shared" si="59"/>
        <v>0</v>
      </c>
      <c r="AG600" s="291">
        <f t="shared" si="59"/>
        <v>0</v>
      </c>
      <c r="AH600" s="302">
        <f t="shared" si="59"/>
        <v>0</v>
      </c>
      <c r="AI600" s="231">
        <f t="shared" si="59"/>
        <v>0</v>
      </c>
      <c r="AJ600" s="49">
        <f t="shared" si="59"/>
        <v>0</v>
      </c>
      <c r="AK600" s="291">
        <f t="shared" si="59"/>
        <v>0</v>
      </c>
      <c r="AL600" s="302">
        <f t="shared" si="59"/>
        <v>0</v>
      </c>
      <c r="AM600" s="231">
        <f t="shared" si="59"/>
        <v>0</v>
      </c>
      <c r="AN600" s="49">
        <f t="shared" si="59"/>
        <v>0</v>
      </c>
      <c r="AO600" s="291">
        <f t="shared" si="59"/>
        <v>0</v>
      </c>
      <c r="AP600" s="302">
        <f t="shared" si="59"/>
        <v>2637</v>
      </c>
      <c r="AQ600" s="231">
        <f t="shared" si="59"/>
        <v>1892</v>
      </c>
      <c r="AR600" s="49">
        <f t="shared" si="59"/>
        <v>2415</v>
      </c>
      <c r="AS600" s="291">
        <f t="shared" si="59"/>
        <v>2144</v>
      </c>
      <c r="AT600" s="302">
        <f t="shared" si="59"/>
        <v>0</v>
      </c>
      <c r="AU600" s="231">
        <f t="shared" si="59"/>
        <v>0</v>
      </c>
      <c r="AV600" s="49">
        <f t="shared" si="59"/>
        <v>0</v>
      </c>
      <c r="AW600" s="291">
        <f t="shared" si="59"/>
        <v>0</v>
      </c>
      <c r="AX600" s="302">
        <f t="shared" si="59"/>
        <v>0</v>
      </c>
      <c r="AY600" s="231">
        <f t="shared" si="59"/>
        <v>0</v>
      </c>
      <c r="AZ600" s="49">
        <f t="shared" si="59"/>
        <v>0</v>
      </c>
      <c r="BA600" s="231">
        <f t="shared" si="59"/>
        <v>0</v>
      </c>
      <c r="BB600" s="49">
        <f t="shared" si="59"/>
        <v>0</v>
      </c>
      <c r="BC600" s="82">
        <f t="shared" si="59"/>
        <v>0</v>
      </c>
      <c r="BD600" s="49">
        <f t="shared" si="59"/>
        <v>0</v>
      </c>
      <c r="BE600" s="82">
        <f t="shared" si="59"/>
        <v>0</v>
      </c>
      <c r="BF600" s="49">
        <f t="shared" si="59"/>
        <v>0</v>
      </c>
      <c r="BG600" s="82">
        <f t="shared" si="59"/>
        <v>0</v>
      </c>
      <c r="BH600" s="49">
        <f t="shared" si="59"/>
        <v>0</v>
      </c>
      <c r="BI600" s="82">
        <f t="shared" si="59"/>
        <v>0</v>
      </c>
      <c r="BJ600" s="49">
        <f t="shared" si="59"/>
        <v>0</v>
      </c>
      <c r="BK600" s="82">
        <f t="shared" si="59"/>
        <v>0</v>
      </c>
    </row>
    <row r="601" spans="1:63" ht="13" x14ac:dyDescent="0.25">
      <c r="A601" s="379"/>
      <c r="B601" s="381" t="s">
        <v>804</v>
      </c>
      <c r="C601" s="235">
        <f>SUM(C226:C232)</f>
        <v>9427</v>
      </c>
      <c r="D601" s="235">
        <f>SUM(D226:D232)</f>
        <v>4380</v>
      </c>
      <c r="E601" s="367">
        <v>0.49196592257090477</v>
      </c>
      <c r="F601" s="49">
        <f t="shared" ref="F601:BK601" si="60">SUM(F226:F232)</f>
        <v>1776</v>
      </c>
      <c r="G601" s="230">
        <f t="shared" si="60"/>
        <v>2576</v>
      </c>
      <c r="H601" s="49">
        <f t="shared" si="60"/>
        <v>2338</v>
      </c>
      <c r="I601" s="291">
        <f t="shared" si="60"/>
        <v>1974</v>
      </c>
      <c r="J601" s="302">
        <f t="shared" si="60"/>
        <v>0</v>
      </c>
      <c r="K601" s="231">
        <f t="shared" si="60"/>
        <v>0</v>
      </c>
      <c r="L601" s="49">
        <f t="shared" si="60"/>
        <v>0</v>
      </c>
      <c r="M601" s="291">
        <f t="shared" si="60"/>
        <v>0</v>
      </c>
      <c r="N601" s="302">
        <f t="shared" si="60"/>
        <v>0</v>
      </c>
      <c r="O601" s="231">
        <f t="shared" si="60"/>
        <v>0</v>
      </c>
      <c r="P601" s="49">
        <f t="shared" si="60"/>
        <v>0</v>
      </c>
      <c r="Q601" s="291">
        <f t="shared" si="60"/>
        <v>0</v>
      </c>
      <c r="R601" s="302">
        <f t="shared" si="60"/>
        <v>0</v>
      </c>
      <c r="S601" s="231">
        <f t="shared" si="60"/>
        <v>0</v>
      </c>
      <c r="T601" s="49">
        <f t="shared" si="60"/>
        <v>0</v>
      </c>
      <c r="U601" s="291">
        <f t="shared" si="60"/>
        <v>0</v>
      </c>
      <c r="V601" s="302">
        <f t="shared" si="60"/>
        <v>0</v>
      </c>
      <c r="W601" s="231">
        <f t="shared" si="60"/>
        <v>0</v>
      </c>
      <c r="X601" s="49">
        <f t="shared" si="60"/>
        <v>0</v>
      </c>
      <c r="Y601" s="291">
        <f t="shared" si="60"/>
        <v>0</v>
      </c>
      <c r="Z601" s="302">
        <f t="shared" si="60"/>
        <v>0</v>
      </c>
      <c r="AA601" s="231">
        <f t="shared" si="60"/>
        <v>0</v>
      </c>
      <c r="AB601" s="49">
        <f t="shared" si="60"/>
        <v>0</v>
      </c>
      <c r="AC601" s="291">
        <f t="shared" si="60"/>
        <v>0</v>
      </c>
      <c r="AD601" s="302">
        <f t="shared" si="60"/>
        <v>0</v>
      </c>
      <c r="AE601" s="231">
        <f t="shared" si="60"/>
        <v>0</v>
      </c>
      <c r="AF601" s="49">
        <f t="shared" si="60"/>
        <v>0</v>
      </c>
      <c r="AG601" s="291">
        <f t="shared" si="60"/>
        <v>0</v>
      </c>
      <c r="AH601" s="302">
        <f t="shared" si="60"/>
        <v>0</v>
      </c>
      <c r="AI601" s="231">
        <f t="shared" si="60"/>
        <v>0</v>
      </c>
      <c r="AJ601" s="49">
        <f t="shared" si="60"/>
        <v>0</v>
      </c>
      <c r="AK601" s="291">
        <f t="shared" si="60"/>
        <v>0</v>
      </c>
      <c r="AL601" s="302">
        <f t="shared" si="60"/>
        <v>0</v>
      </c>
      <c r="AM601" s="231">
        <f t="shared" si="60"/>
        <v>0</v>
      </c>
      <c r="AN601" s="49">
        <f t="shared" si="60"/>
        <v>0</v>
      </c>
      <c r="AO601" s="291">
        <f t="shared" si="60"/>
        <v>0</v>
      </c>
      <c r="AP601" s="302">
        <f t="shared" si="60"/>
        <v>2329</v>
      </c>
      <c r="AQ601" s="231">
        <f t="shared" si="60"/>
        <v>1941</v>
      </c>
      <c r="AR601" s="49">
        <f t="shared" si="60"/>
        <v>1627</v>
      </c>
      <c r="AS601" s="291">
        <f t="shared" si="60"/>
        <v>2607</v>
      </c>
      <c r="AT601" s="302">
        <f t="shared" si="60"/>
        <v>0</v>
      </c>
      <c r="AU601" s="231">
        <f t="shared" si="60"/>
        <v>0</v>
      </c>
      <c r="AV601" s="49">
        <f t="shared" si="60"/>
        <v>0</v>
      </c>
      <c r="AW601" s="291">
        <f t="shared" si="60"/>
        <v>0</v>
      </c>
      <c r="AX601" s="302">
        <f t="shared" si="60"/>
        <v>0</v>
      </c>
      <c r="AY601" s="231">
        <f t="shared" si="60"/>
        <v>0</v>
      </c>
      <c r="AZ601" s="49">
        <f t="shared" si="60"/>
        <v>0</v>
      </c>
      <c r="BA601" s="231">
        <f t="shared" si="60"/>
        <v>0</v>
      </c>
      <c r="BB601" s="49">
        <f t="shared" si="60"/>
        <v>0</v>
      </c>
      <c r="BC601" s="82">
        <f t="shared" si="60"/>
        <v>0</v>
      </c>
      <c r="BD601" s="49">
        <f t="shared" si="60"/>
        <v>0</v>
      </c>
      <c r="BE601" s="82">
        <f t="shared" si="60"/>
        <v>0</v>
      </c>
      <c r="BF601" s="49">
        <f t="shared" si="60"/>
        <v>0</v>
      </c>
      <c r="BG601" s="82">
        <f t="shared" si="60"/>
        <v>0</v>
      </c>
      <c r="BH601" s="49">
        <f t="shared" si="60"/>
        <v>0</v>
      </c>
      <c r="BI601" s="82">
        <f t="shared" si="60"/>
        <v>0</v>
      </c>
      <c r="BJ601" s="49">
        <f t="shared" si="60"/>
        <v>0</v>
      </c>
      <c r="BK601" s="82">
        <f t="shared" si="60"/>
        <v>0</v>
      </c>
    </row>
    <row r="602" spans="1:63" ht="13" x14ac:dyDescent="0.25">
      <c r="A602" s="379"/>
      <c r="B602" s="381" t="s">
        <v>18</v>
      </c>
      <c r="C602" s="235">
        <f>SUM(C233:C238)</f>
        <v>5262</v>
      </c>
      <c r="D602" s="235">
        <f>SUM(D233:D238)</f>
        <v>3079</v>
      </c>
      <c r="E602" s="367">
        <v>0.66994514847739739</v>
      </c>
      <c r="F602" s="49">
        <f t="shared" ref="F602:BK602" si="61">SUM(F233:F238)</f>
        <v>1881</v>
      </c>
      <c r="G602" s="230">
        <f t="shared" si="61"/>
        <v>1176</v>
      </c>
      <c r="H602" s="49">
        <f t="shared" si="61"/>
        <v>1558</v>
      </c>
      <c r="I602" s="291">
        <f t="shared" si="61"/>
        <v>1456</v>
      </c>
      <c r="J602" s="302">
        <f t="shared" si="61"/>
        <v>0</v>
      </c>
      <c r="K602" s="231">
        <f t="shared" si="61"/>
        <v>0</v>
      </c>
      <c r="L602" s="49">
        <f t="shared" si="61"/>
        <v>0</v>
      </c>
      <c r="M602" s="291">
        <f t="shared" si="61"/>
        <v>0</v>
      </c>
      <c r="N602" s="302">
        <f t="shared" si="61"/>
        <v>0</v>
      </c>
      <c r="O602" s="231">
        <f t="shared" si="61"/>
        <v>0</v>
      </c>
      <c r="P602" s="49">
        <f t="shared" si="61"/>
        <v>0</v>
      </c>
      <c r="Q602" s="291">
        <f t="shared" si="61"/>
        <v>0</v>
      </c>
      <c r="R602" s="302">
        <f t="shared" si="61"/>
        <v>0</v>
      </c>
      <c r="S602" s="231">
        <f t="shared" si="61"/>
        <v>0</v>
      </c>
      <c r="T602" s="49">
        <f t="shared" si="61"/>
        <v>0</v>
      </c>
      <c r="U602" s="291">
        <f t="shared" si="61"/>
        <v>0</v>
      </c>
      <c r="V602" s="302">
        <f t="shared" si="61"/>
        <v>0</v>
      </c>
      <c r="W602" s="231">
        <f t="shared" si="61"/>
        <v>0</v>
      </c>
      <c r="X602" s="49">
        <f t="shared" si="61"/>
        <v>0</v>
      </c>
      <c r="Y602" s="291">
        <f t="shared" si="61"/>
        <v>0</v>
      </c>
      <c r="Z602" s="302">
        <f t="shared" si="61"/>
        <v>0</v>
      </c>
      <c r="AA602" s="231">
        <f t="shared" si="61"/>
        <v>0</v>
      </c>
      <c r="AB602" s="49">
        <f t="shared" si="61"/>
        <v>0</v>
      </c>
      <c r="AC602" s="291">
        <f t="shared" si="61"/>
        <v>0</v>
      </c>
      <c r="AD602" s="302">
        <f t="shared" si="61"/>
        <v>0</v>
      </c>
      <c r="AE602" s="231">
        <f t="shared" si="61"/>
        <v>0</v>
      </c>
      <c r="AF602" s="49">
        <f t="shared" si="61"/>
        <v>0</v>
      </c>
      <c r="AG602" s="291">
        <f t="shared" si="61"/>
        <v>0</v>
      </c>
      <c r="AH602" s="302">
        <f t="shared" si="61"/>
        <v>0</v>
      </c>
      <c r="AI602" s="231">
        <f t="shared" si="61"/>
        <v>0</v>
      </c>
      <c r="AJ602" s="49">
        <f t="shared" si="61"/>
        <v>0</v>
      </c>
      <c r="AK602" s="291">
        <f t="shared" si="61"/>
        <v>0</v>
      </c>
      <c r="AL602" s="302">
        <f t="shared" si="61"/>
        <v>0</v>
      </c>
      <c r="AM602" s="231">
        <f t="shared" si="61"/>
        <v>0</v>
      </c>
      <c r="AN602" s="49">
        <f t="shared" si="61"/>
        <v>0</v>
      </c>
      <c r="AO602" s="291">
        <f t="shared" si="61"/>
        <v>0</v>
      </c>
      <c r="AP602" s="302">
        <f t="shared" si="61"/>
        <v>2079</v>
      </c>
      <c r="AQ602" s="231">
        <f t="shared" si="61"/>
        <v>938</v>
      </c>
      <c r="AR602" s="49">
        <f t="shared" si="61"/>
        <v>1535</v>
      </c>
      <c r="AS602" s="291">
        <f t="shared" si="61"/>
        <v>1480</v>
      </c>
      <c r="AT602" s="302">
        <f t="shared" si="61"/>
        <v>0</v>
      </c>
      <c r="AU602" s="231">
        <f t="shared" si="61"/>
        <v>0</v>
      </c>
      <c r="AV602" s="49">
        <f t="shared" si="61"/>
        <v>0</v>
      </c>
      <c r="AW602" s="291">
        <f t="shared" si="61"/>
        <v>0</v>
      </c>
      <c r="AX602" s="302">
        <f t="shared" si="61"/>
        <v>0</v>
      </c>
      <c r="AY602" s="231">
        <f t="shared" si="61"/>
        <v>0</v>
      </c>
      <c r="AZ602" s="49">
        <f t="shared" si="61"/>
        <v>0</v>
      </c>
      <c r="BA602" s="231">
        <f t="shared" si="61"/>
        <v>0</v>
      </c>
      <c r="BB602" s="49">
        <f t="shared" si="61"/>
        <v>0</v>
      </c>
      <c r="BC602" s="82">
        <f t="shared" si="61"/>
        <v>0</v>
      </c>
      <c r="BD602" s="49">
        <f t="shared" si="61"/>
        <v>0</v>
      </c>
      <c r="BE602" s="82">
        <f t="shared" si="61"/>
        <v>0</v>
      </c>
      <c r="BF602" s="49">
        <f t="shared" si="61"/>
        <v>0</v>
      </c>
      <c r="BG602" s="82">
        <f t="shared" si="61"/>
        <v>0</v>
      </c>
      <c r="BH602" s="49">
        <f t="shared" si="61"/>
        <v>0</v>
      </c>
      <c r="BI602" s="82">
        <f t="shared" si="61"/>
        <v>0</v>
      </c>
      <c r="BJ602" s="49">
        <f t="shared" si="61"/>
        <v>0</v>
      </c>
      <c r="BK602" s="82">
        <f t="shared" si="61"/>
        <v>0</v>
      </c>
    </row>
    <row r="603" spans="1:63" ht="13" x14ac:dyDescent="0.25">
      <c r="A603" s="379"/>
      <c r="B603" s="381" t="s">
        <v>704</v>
      </c>
      <c r="C603" s="235">
        <f>SUM(C239:C245)</f>
        <v>6762</v>
      </c>
      <c r="D603" s="235">
        <f>SUM(D239:D245)</f>
        <v>3765</v>
      </c>
      <c r="E603" s="367">
        <v>0.60586222288349945</v>
      </c>
      <c r="F603" s="49">
        <f t="shared" ref="F603:BK603" si="62">SUM(F239:F245)</f>
        <v>2236</v>
      </c>
      <c r="G603" s="230">
        <f t="shared" si="62"/>
        <v>1500</v>
      </c>
      <c r="H603" s="49">
        <f t="shared" si="62"/>
        <v>2354</v>
      </c>
      <c r="I603" s="291">
        <f t="shared" si="62"/>
        <v>1350</v>
      </c>
      <c r="J603" s="302">
        <f t="shared" si="62"/>
        <v>0</v>
      </c>
      <c r="K603" s="231">
        <f t="shared" si="62"/>
        <v>0</v>
      </c>
      <c r="L603" s="49">
        <f t="shared" si="62"/>
        <v>0</v>
      </c>
      <c r="M603" s="291">
        <f t="shared" si="62"/>
        <v>0</v>
      </c>
      <c r="N603" s="302">
        <f t="shared" si="62"/>
        <v>0</v>
      </c>
      <c r="O603" s="231">
        <f t="shared" si="62"/>
        <v>0</v>
      </c>
      <c r="P603" s="49">
        <f t="shared" si="62"/>
        <v>0</v>
      </c>
      <c r="Q603" s="291">
        <f t="shared" si="62"/>
        <v>0</v>
      </c>
      <c r="R603" s="302">
        <f t="shared" si="62"/>
        <v>0</v>
      </c>
      <c r="S603" s="231">
        <f t="shared" si="62"/>
        <v>0</v>
      </c>
      <c r="T603" s="49">
        <f t="shared" si="62"/>
        <v>0</v>
      </c>
      <c r="U603" s="291">
        <f t="shared" si="62"/>
        <v>0</v>
      </c>
      <c r="V603" s="302">
        <f t="shared" si="62"/>
        <v>0</v>
      </c>
      <c r="W603" s="231">
        <f t="shared" si="62"/>
        <v>0</v>
      </c>
      <c r="X603" s="49">
        <f t="shared" si="62"/>
        <v>0</v>
      </c>
      <c r="Y603" s="291">
        <f t="shared" si="62"/>
        <v>0</v>
      </c>
      <c r="Z603" s="302">
        <f t="shared" si="62"/>
        <v>0</v>
      </c>
      <c r="AA603" s="231">
        <f t="shared" si="62"/>
        <v>0</v>
      </c>
      <c r="AB603" s="49">
        <f t="shared" si="62"/>
        <v>0</v>
      </c>
      <c r="AC603" s="291">
        <f t="shared" si="62"/>
        <v>0</v>
      </c>
      <c r="AD603" s="302">
        <f t="shared" si="62"/>
        <v>0</v>
      </c>
      <c r="AE603" s="231">
        <f t="shared" si="62"/>
        <v>0</v>
      </c>
      <c r="AF603" s="49">
        <f t="shared" si="62"/>
        <v>0</v>
      </c>
      <c r="AG603" s="291">
        <f t="shared" si="62"/>
        <v>0</v>
      </c>
      <c r="AH603" s="302">
        <f t="shared" si="62"/>
        <v>0</v>
      </c>
      <c r="AI603" s="231">
        <f t="shared" si="62"/>
        <v>0</v>
      </c>
      <c r="AJ603" s="49">
        <f t="shared" si="62"/>
        <v>0</v>
      </c>
      <c r="AK603" s="291">
        <f t="shared" si="62"/>
        <v>0</v>
      </c>
      <c r="AL603" s="302">
        <f t="shared" si="62"/>
        <v>0</v>
      </c>
      <c r="AM603" s="231">
        <f t="shared" si="62"/>
        <v>0</v>
      </c>
      <c r="AN603" s="49">
        <f t="shared" si="62"/>
        <v>0</v>
      </c>
      <c r="AO603" s="291">
        <f t="shared" si="62"/>
        <v>0</v>
      </c>
      <c r="AP603" s="302">
        <f t="shared" si="62"/>
        <v>2419</v>
      </c>
      <c r="AQ603" s="231">
        <f t="shared" si="62"/>
        <v>1261</v>
      </c>
      <c r="AR603" s="49">
        <f t="shared" si="62"/>
        <v>1922</v>
      </c>
      <c r="AS603" s="291">
        <f t="shared" si="62"/>
        <v>1751</v>
      </c>
      <c r="AT603" s="302">
        <f t="shared" si="62"/>
        <v>0</v>
      </c>
      <c r="AU603" s="231">
        <f t="shared" si="62"/>
        <v>0</v>
      </c>
      <c r="AV603" s="49">
        <f t="shared" si="62"/>
        <v>0</v>
      </c>
      <c r="AW603" s="291">
        <f t="shared" si="62"/>
        <v>0</v>
      </c>
      <c r="AX603" s="302">
        <f t="shared" si="62"/>
        <v>0</v>
      </c>
      <c r="AY603" s="231">
        <f t="shared" si="62"/>
        <v>0</v>
      </c>
      <c r="AZ603" s="49">
        <f t="shared" si="62"/>
        <v>0</v>
      </c>
      <c r="BA603" s="231">
        <f t="shared" si="62"/>
        <v>0</v>
      </c>
      <c r="BB603" s="49">
        <f t="shared" si="62"/>
        <v>0</v>
      </c>
      <c r="BC603" s="82">
        <f t="shared" si="62"/>
        <v>0</v>
      </c>
      <c r="BD603" s="49">
        <f t="shared" si="62"/>
        <v>0</v>
      </c>
      <c r="BE603" s="82">
        <f t="shared" si="62"/>
        <v>0</v>
      </c>
      <c r="BF603" s="49">
        <f t="shared" si="62"/>
        <v>0</v>
      </c>
      <c r="BG603" s="82">
        <f t="shared" si="62"/>
        <v>0</v>
      </c>
      <c r="BH603" s="49">
        <f t="shared" si="62"/>
        <v>0</v>
      </c>
      <c r="BI603" s="82">
        <f t="shared" si="62"/>
        <v>0</v>
      </c>
      <c r="BJ603" s="49">
        <f t="shared" si="62"/>
        <v>0</v>
      </c>
      <c r="BK603" s="82">
        <f t="shared" si="62"/>
        <v>0</v>
      </c>
    </row>
    <row r="604" spans="1:63" ht="13" x14ac:dyDescent="0.25">
      <c r="A604" s="379"/>
      <c r="B604" s="381" t="s">
        <v>705</v>
      </c>
      <c r="C604" s="235">
        <f>SUM(C246:C253)</f>
        <v>7317</v>
      </c>
      <c r="D604" s="235">
        <f>SUM(D246:D253)</f>
        <v>5097</v>
      </c>
      <c r="E604" s="367">
        <v>0.6970114309323785</v>
      </c>
      <c r="F604" s="49">
        <f t="shared" ref="F604:BK604" si="63">SUM(F246:F253)</f>
        <v>3198</v>
      </c>
      <c r="G604" s="230">
        <f t="shared" si="63"/>
        <v>1833</v>
      </c>
      <c r="H604" s="49">
        <f t="shared" si="63"/>
        <v>3064</v>
      </c>
      <c r="I604" s="291">
        <f t="shared" si="63"/>
        <v>1901</v>
      </c>
      <c r="J604" s="302">
        <f t="shared" si="63"/>
        <v>0</v>
      </c>
      <c r="K604" s="231">
        <f t="shared" si="63"/>
        <v>0</v>
      </c>
      <c r="L604" s="49">
        <f t="shared" si="63"/>
        <v>0</v>
      </c>
      <c r="M604" s="291">
        <f t="shared" si="63"/>
        <v>0</v>
      </c>
      <c r="N604" s="302">
        <f t="shared" si="63"/>
        <v>0</v>
      </c>
      <c r="O604" s="231">
        <f t="shared" si="63"/>
        <v>0</v>
      </c>
      <c r="P604" s="49">
        <f t="shared" si="63"/>
        <v>0</v>
      </c>
      <c r="Q604" s="291">
        <f t="shared" si="63"/>
        <v>0</v>
      </c>
      <c r="R604" s="302">
        <f t="shared" si="63"/>
        <v>0</v>
      </c>
      <c r="S604" s="231">
        <f t="shared" si="63"/>
        <v>0</v>
      </c>
      <c r="T604" s="49">
        <f t="shared" si="63"/>
        <v>0</v>
      </c>
      <c r="U604" s="291">
        <f t="shared" si="63"/>
        <v>0</v>
      </c>
      <c r="V604" s="302">
        <f t="shared" si="63"/>
        <v>0</v>
      </c>
      <c r="W604" s="231">
        <f t="shared" si="63"/>
        <v>0</v>
      </c>
      <c r="X604" s="49">
        <f t="shared" si="63"/>
        <v>0</v>
      </c>
      <c r="Y604" s="291">
        <f t="shared" si="63"/>
        <v>0</v>
      </c>
      <c r="Z604" s="302">
        <f t="shared" si="63"/>
        <v>0</v>
      </c>
      <c r="AA604" s="231">
        <f t="shared" si="63"/>
        <v>0</v>
      </c>
      <c r="AB604" s="49">
        <f t="shared" si="63"/>
        <v>0</v>
      </c>
      <c r="AC604" s="291">
        <f t="shared" si="63"/>
        <v>0</v>
      </c>
      <c r="AD604" s="302">
        <f t="shared" si="63"/>
        <v>0</v>
      </c>
      <c r="AE604" s="231">
        <f t="shared" si="63"/>
        <v>0</v>
      </c>
      <c r="AF604" s="49">
        <f t="shared" si="63"/>
        <v>0</v>
      </c>
      <c r="AG604" s="291">
        <f t="shared" si="63"/>
        <v>0</v>
      </c>
      <c r="AH604" s="302">
        <f t="shared" si="63"/>
        <v>0</v>
      </c>
      <c r="AI604" s="231">
        <f t="shared" si="63"/>
        <v>0</v>
      </c>
      <c r="AJ604" s="49">
        <f t="shared" si="63"/>
        <v>0</v>
      </c>
      <c r="AK604" s="291">
        <f t="shared" si="63"/>
        <v>0</v>
      </c>
      <c r="AL604" s="302">
        <f t="shared" si="63"/>
        <v>0</v>
      </c>
      <c r="AM604" s="231">
        <f t="shared" si="63"/>
        <v>0</v>
      </c>
      <c r="AN604" s="49">
        <f t="shared" si="63"/>
        <v>0</v>
      </c>
      <c r="AO604" s="291">
        <f t="shared" si="63"/>
        <v>0</v>
      </c>
      <c r="AP604" s="302">
        <f t="shared" si="63"/>
        <v>3741</v>
      </c>
      <c r="AQ604" s="231">
        <f t="shared" si="63"/>
        <v>1272</v>
      </c>
      <c r="AR604" s="49">
        <f t="shared" si="63"/>
        <v>3096</v>
      </c>
      <c r="AS604" s="291">
        <f t="shared" si="63"/>
        <v>1916</v>
      </c>
      <c r="AT604" s="302">
        <f t="shared" si="63"/>
        <v>0</v>
      </c>
      <c r="AU604" s="231">
        <f t="shared" si="63"/>
        <v>0</v>
      </c>
      <c r="AV604" s="49">
        <f t="shared" si="63"/>
        <v>0</v>
      </c>
      <c r="AW604" s="291">
        <f t="shared" si="63"/>
        <v>0</v>
      </c>
      <c r="AX604" s="302">
        <f t="shared" si="63"/>
        <v>0</v>
      </c>
      <c r="AY604" s="231">
        <f t="shared" si="63"/>
        <v>0</v>
      </c>
      <c r="AZ604" s="49">
        <f t="shared" si="63"/>
        <v>0</v>
      </c>
      <c r="BA604" s="231">
        <f t="shared" si="63"/>
        <v>0</v>
      </c>
      <c r="BB604" s="49">
        <f t="shared" si="63"/>
        <v>0</v>
      </c>
      <c r="BC604" s="82">
        <f t="shared" si="63"/>
        <v>0</v>
      </c>
      <c r="BD604" s="49">
        <f t="shared" si="63"/>
        <v>0</v>
      </c>
      <c r="BE604" s="82">
        <f t="shared" si="63"/>
        <v>0</v>
      </c>
      <c r="BF604" s="49">
        <f t="shared" si="63"/>
        <v>0</v>
      </c>
      <c r="BG604" s="82">
        <f t="shared" si="63"/>
        <v>0</v>
      </c>
      <c r="BH604" s="49">
        <f t="shared" si="63"/>
        <v>0</v>
      </c>
      <c r="BI604" s="82">
        <f t="shared" si="63"/>
        <v>0</v>
      </c>
      <c r="BJ604" s="49">
        <f t="shared" si="63"/>
        <v>0</v>
      </c>
      <c r="BK604" s="82">
        <f t="shared" si="63"/>
        <v>0</v>
      </c>
    </row>
    <row r="605" spans="1:63" ht="13" x14ac:dyDescent="0.25">
      <c r="A605" s="379"/>
      <c r="B605" s="381" t="s">
        <v>832</v>
      </c>
      <c r="C605" s="235">
        <f>SUM(C398:C398)</f>
        <v>95</v>
      </c>
      <c r="D605" s="235">
        <f>SUM(D398:D398)</f>
        <v>42</v>
      </c>
      <c r="E605" s="367">
        <v>1.6363636363636365</v>
      </c>
      <c r="F605" s="49">
        <f t="shared" ref="F605:BK605" si="64">SUM(F398:F398)</f>
        <v>34</v>
      </c>
      <c r="G605" s="230">
        <f t="shared" si="64"/>
        <v>8</v>
      </c>
      <c r="H605" s="49">
        <f t="shared" si="64"/>
        <v>36</v>
      </c>
      <c r="I605" s="291">
        <f t="shared" si="64"/>
        <v>6</v>
      </c>
      <c r="J605" s="302">
        <f t="shared" si="64"/>
        <v>0</v>
      </c>
      <c r="K605" s="231">
        <f t="shared" si="64"/>
        <v>0</v>
      </c>
      <c r="L605" s="49">
        <f t="shared" si="64"/>
        <v>0</v>
      </c>
      <c r="M605" s="291">
        <f t="shared" si="64"/>
        <v>0</v>
      </c>
      <c r="N605" s="302">
        <f t="shared" si="64"/>
        <v>0</v>
      </c>
      <c r="O605" s="231">
        <f t="shared" si="64"/>
        <v>0</v>
      </c>
      <c r="P605" s="49">
        <f t="shared" si="64"/>
        <v>0</v>
      </c>
      <c r="Q605" s="291">
        <f t="shared" si="64"/>
        <v>0</v>
      </c>
      <c r="R605" s="302">
        <f t="shared" si="64"/>
        <v>0</v>
      </c>
      <c r="S605" s="231">
        <f t="shared" si="64"/>
        <v>0</v>
      </c>
      <c r="T605" s="49">
        <f t="shared" si="64"/>
        <v>0</v>
      </c>
      <c r="U605" s="291">
        <f t="shared" si="64"/>
        <v>0</v>
      </c>
      <c r="V605" s="302">
        <f t="shared" si="64"/>
        <v>0</v>
      </c>
      <c r="W605" s="231">
        <f t="shared" si="64"/>
        <v>0</v>
      </c>
      <c r="X605" s="49">
        <f t="shared" si="64"/>
        <v>0</v>
      </c>
      <c r="Y605" s="291">
        <f t="shared" si="64"/>
        <v>0</v>
      </c>
      <c r="Z605" s="302">
        <f t="shared" si="64"/>
        <v>0</v>
      </c>
      <c r="AA605" s="231">
        <f t="shared" si="64"/>
        <v>0</v>
      </c>
      <c r="AB605" s="49">
        <f t="shared" si="64"/>
        <v>0</v>
      </c>
      <c r="AC605" s="291">
        <f t="shared" si="64"/>
        <v>0</v>
      </c>
      <c r="AD605" s="302">
        <f t="shared" si="64"/>
        <v>0</v>
      </c>
      <c r="AE605" s="231">
        <f t="shared" si="64"/>
        <v>0</v>
      </c>
      <c r="AF605" s="49">
        <f t="shared" si="64"/>
        <v>0</v>
      </c>
      <c r="AG605" s="291">
        <f t="shared" si="64"/>
        <v>0</v>
      </c>
      <c r="AH605" s="302">
        <f t="shared" si="64"/>
        <v>0</v>
      </c>
      <c r="AI605" s="231">
        <f t="shared" si="64"/>
        <v>0</v>
      </c>
      <c r="AJ605" s="49">
        <f t="shared" si="64"/>
        <v>0</v>
      </c>
      <c r="AK605" s="291">
        <f t="shared" si="64"/>
        <v>0</v>
      </c>
      <c r="AL605" s="302">
        <f t="shared" si="64"/>
        <v>0</v>
      </c>
      <c r="AM605" s="231">
        <f t="shared" si="64"/>
        <v>0</v>
      </c>
      <c r="AN605" s="49">
        <f t="shared" si="64"/>
        <v>0</v>
      </c>
      <c r="AO605" s="291">
        <f t="shared" si="64"/>
        <v>0</v>
      </c>
      <c r="AP605" s="302">
        <f t="shared" si="64"/>
        <v>30</v>
      </c>
      <c r="AQ605" s="231">
        <f t="shared" si="64"/>
        <v>12</v>
      </c>
      <c r="AR605" s="49">
        <f t="shared" si="64"/>
        <v>28</v>
      </c>
      <c r="AS605" s="291">
        <f t="shared" si="64"/>
        <v>14</v>
      </c>
      <c r="AT605" s="302">
        <f t="shared" si="64"/>
        <v>0</v>
      </c>
      <c r="AU605" s="231">
        <f t="shared" si="64"/>
        <v>0</v>
      </c>
      <c r="AV605" s="49">
        <f t="shared" si="64"/>
        <v>0</v>
      </c>
      <c r="AW605" s="291">
        <f t="shared" si="64"/>
        <v>0</v>
      </c>
      <c r="AX605" s="302">
        <f t="shared" si="64"/>
        <v>0</v>
      </c>
      <c r="AY605" s="231">
        <f t="shared" si="64"/>
        <v>0</v>
      </c>
      <c r="AZ605" s="49">
        <f t="shared" si="64"/>
        <v>0</v>
      </c>
      <c r="BA605" s="231">
        <f t="shared" si="64"/>
        <v>0</v>
      </c>
      <c r="BB605" s="49">
        <f t="shared" si="64"/>
        <v>0</v>
      </c>
      <c r="BC605" s="82">
        <f t="shared" si="64"/>
        <v>0</v>
      </c>
      <c r="BD605" s="49">
        <f t="shared" si="64"/>
        <v>0</v>
      </c>
      <c r="BE605" s="82">
        <f t="shared" si="64"/>
        <v>0</v>
      </c>
      <c r="BF605" s="49">
        <f t="shared" si="64"/>
        <v>0</v>
      </c>
      <c r="BG605" s="82">
        <f t="shared" si="64"/>
        <v>0</v>
      </c>
      <c r="BH605" s="49">
        <f t="shared" si="64"/>
        <v>0</v>
      </c>
      <c r="BI605" s="82">
        <f t="shared" si="64"/>
        <v>0</v>
      </c>
      <c r="BJ605" s="49">
        <f t="shared" si="64"/>
        <v>0</v>
      </c>
      <c r="BK605" s="82">
        <f t="shared" si="64"/>
        <v>0</v>
      </c>
    </row>
    <row r="606" spans="1:63" ht="13" x14ac:dyDescent="0.25">
      <c r="A606" s="379"/>
      <c r="B606" s="381" t="s">
        <v>706</v>
      </c>
      <c r="C606" s="235">
        <f>SUM(C255:C263)</f>
        <v>8939</v>
      </c>
      <c r="D606" s="235">
        <f>SUM(D255:D263)</f>
        <v>5857</v>
      </c>
      <c r="E606" s="367">
        <v>0.70260927743086532</v>
      </c>
      <c r="F606" s="49">
        <f t="shared" ref="F606:BK606" si="65">SUM(F255:F263)</f>
        <v>3719</v>
      </c>
      <c r="G606" s="230">
        <f t="shared" si="65"/>
        <v>2090</v>
      </c>
      <c r="H606" s="49">
        <f t="shared" si="65"/>
        <v>3196</v>
      </c>
      <c r="I606" s="291">
        <f t="shared" si="65"/>
        <v>2541</v>
      </c>
      <c r="J606" s="302">
        <f t="shared" si="65"/>
        <v>0</v>
      </c>
      <c r="K606" s="231">
        <f t="shared" si="65"/>
        <v>0</v>
      </c>
      <c r="L606" s="49">
        <f t="shared" si="65"/>
        <v>0</v>
      </c>
      <c r="M606" s="291">
        <f t="shared" si="65"/>
        <v>0</v>
      </c>
      <c r="N606" s="302">
        <f t="shared" si="65"/>
        <v>0</v>
      </c>
      <c r="O606" s="231">
        <f t="shared" si="65"/>
        <v>0</v>
      </c>
      <c r="P606" s="49">
        <f t="shared" si="65"/>
        <v>0</v>
      </c>
      <c r="Q606" s="291">
        <f t="shared" si="65"/>
        <v>0</v>
      </c>
      <c r="R606" s="302">
        <f t="shared" si="65"/>
        <v>0</v>
      </c>
      <c r="S606" s="231">
        <f t="shared" si="65"/>
        <v>0</v>
      </c>
      <c r="T606" s="49">
        <f t="shared" si="65"/>
        <v>0</v>
      </c>
      <c r="U606" s="291">
        <f t="shared" si="65"/>
        <v>0</v>
      </c>
      <c r="V606" s="302">
        <f t="shared" si="65"/>
        <v>0</v>
      </c>
      <c r="W606" s="231">
        <f t="shared" si="65"/>
        <v>0</v>
      </c>
      <c r="X606" s="49">
        <f t="shared" si="65"/>
        <v>0</v>
      </c>
      <c r="Y606" s="291">
        <f t="shared" si="65"/>
        <v>0</v>
      </c>
      <c r="Z606" s="302">
        <f t="shared" si="65"/>
        <v>0</v>
      </c>
      <c r="AA606" s="231">
        <f t="shared" si="65"/>
        <v>0</v>
      </c>
      <c r="AB606" s="49">
        <f t="shared" si="65"/>
        <v>0</v>
      </c>
      <c r="AC606" s="291">
        <f t="shared" si="65"/>
        <v>0</v>
      </c>
      <c r="AD606" s="302">
        <f t="shared" si="65"/>
        <v>0</v>
      </c>
      <c r="AE606" s="231">
        <f t="shared" si="65"/>
        <v>0</v>
      </c>
      <c r="AF606" s="49">
        <f t="shared" si="65"/>
        <v>0</v>
      </c>
      <c r="AG606" s="291">
        <f t="shared" si="65"/>
        <v>0</v>
      </c>
      <c r="AH606" s="302">
        <f t="shared" si="65"/>
        <v>0</v>
      </c>
      <c r="AI606" s="231">
        <f t="shared" si="65"/>
        <v>0</v>
      </c>
      <c r="AJ606" s="49">
        <f t="shared" si="65"/>
        <v>0</v>
      </c>
      <c r="AK606" s="291">
        <f t="shared" si="65"/>
        <v>0</v>
      </c>
      <c r="AL606" s="302">
        <f t="shared" si="65"/>
        <v>0</v>
      </c>
      <c r="AM606" s="231">
        <f t="shared" si="65"/>
        <v>0</v>
      </c>
      <c r="AN606" s="49">
        <f t="shared" si="65"/>
        <v>0</v>
      </c>
      <c r="AO606" s="291">
        <f t="shared" si="65"/>
        <v>0</v>
      </c>
      <c r="AP606" s="302">
        <f t="shared" si="65"/>
        <v>4267</v>
      </c>
      <c r="AQ606" s="231">
        <f t="shared" si="65"/>
        <v>1457</v>
      </c>
      <c r="AR606" s="49">
        <f t="shared" si="65"/>
        <v>3452</v>
      </c>
      <c r="AS606" s="291">
        <f t="shared" si="65"/>
        <v>2282</v>
      </c>
      <c r="AT606" s="302">
        <f t="shared" si="65"/>
        <v>0</v>
      </c>
      <c r="AU606" s="231">
        <f t="shared" si="65"/>
        <v>0</v>
      </c>
      <c r="AV606" s="49">
        <f t="shared" si="65"/>
        <v>0</v>
      </c>
      <c r="AW606" s="291">
        <f t="shared" si="65"/>
        <v>0</v>
      </c>
      <c r="AX606" s="302">
        <f t="shared" si="65"/>
        <v>0</v>
      </c>
      <c r="AY606" s="231">
        <f t="shared" si="65"/>
        <v>0</v>
      </c>
      <c r="AZ606" s="49">
        <f t="shared" si="65"/>
        <v>0</v>
      </c>
      <c r="BA606" s="231">
        <f t="shared" si="65"/>
        <v>0</v>
      </c>
      <c r="BB606" s="49">
        <f t="shared" si="65"/>
        <v>0</v>
      </c>
      <c r="BC606" s="82">
        <f t="shared" si="65"/>
        <v>0</v>
      </c>
      <c r="BD606" s="49">
        <f t="shared" si="65"/>
        <v>0</v>
      </c>
      <c r="BE606" s="82">
        <f t="shared" si="65"/>
        <v>0</v>
      </c>
      <c r="BF606" s="49">
        <f t="shared" si="65"/>
        <v>0</v>
      </c>
      <c r="BG606" s="82">
        <f t="shared" si="65"/>
        <v>0</v>
      </c>
      <c r="BH606" s="49">
        <f t="shared" si="65"/>
        <v>0</v>
      </c>
      <c r="BI606" s="82">
        <f t="shared" si="65"/>
        <v>0</v>
      </c>
      <c r="BJ606" s="49">
        <f t="shared" si="65"/>
        <v>0</v>
      </c>
      <c r="BK606" s="82">
        <f t="shared" si="65"/>
        <v>0</v>
      </c>
    </row>
    <row r="607" spans="1:63" ht="13" x14ac:dyDescent="0.25">
      <c r="A607" s="379"/>
      <c r="B607" s="381" t="s">
        <v>707</v>
      </c>
      <c r="C607" s="235">
        <f>SUM(C264:C267)</f>
        <v>4513</v>
      </c>
      <c r="D607" s="235">
        <f>SUM(D264:D267)</f>
        <v>1761</v>
      </c>
      <c r="E607" s="367">
        <v>0.41038562664329536</v>
      </c>
      <c r="F607" s="49">
        <f t="shared" ref="F607:BK607" si="66">SUM(F264:F267)</f>
        <v>1240</v>
      </c>
      <c r="G607" s="230">
        <f t="shared" si="66"/>
        <v>507</v>
      </c>
      <c r="H607" s="49">
        <f t="shared" si="66"/>
        <v>1258</v>
      </c>
      <c r="I607" s="291">
        <f t="shared" si="66"/>
        <v>474</v>
      </c>
      <c r="J607" s="302">
        <f t="shared" si="66"/>
        <v>0</v>
      </c>
      <c r="K607" s="231">
        <f t="shared" si="66"/>
        <v>0</v>
      </c>
      <c r="L607" s="49">
        <f t="shared" si="66"/>
        <v>0</v>
      </c>
      <c r="M607" s="291">
        <f t="shared" si="66"/>
        <v>0</v>
      </c>
      <c r="N607" s="302">
        <f t="shared" si="66"/>
        <v>0</v>
      </c>
      <c r="O607" s="231">
        <f t="shared" si="66"/>
        <v>0</v>
      </c>
      <c r="P607" s="49">
        <f t="shared" si="66"/>
        <v>0</v>
      </c>
      <c r="Q607" s="291">
        <f t="shared" si="66"/>
        <v>0</v>
      </c>
      <c r="R607" s="302">
        <f t="shared" si="66"/>
        <v>0</v>
      </c>
      <c r="S607" s="231">
        <f t="shared" si="66"/>
        <v>0</v>
      </c>
      <c r="T607" s="49">
        <f t="shared" si="66"/>
        <v>0</v>
      </c>
      <c r="U607" s="291">
        <f t="shared" si="66"/>
        <v>0</v>
      </c>
      <c r="V607" s="302">
        <f t="shared" si="66"/>
        <v>0</v>
      </c>
      <c r="W607" s="231">
        <f t="shared" si="66"/>
        <v>0</v>
      </c>
      <c r="X607" s="49">
        <f t="shared" si="66"/>
        <v>0</v>
      </c>
      <c r="Y607" s="291">
        <f t="shared" si="66"/>
        <v>0</v>
      </c>
      <c r="Z607" s="302">
        <f t="shared" si="66"/>
        <v>0</v>
      </c>
      <c r="AA607" s="231">
        <f t="shared" si="66"/>
        <v>0</v>
      </c>
      <c r="AB607" s="49">
        <f t="shared" si="66"/>
        <v>0</v>
      </c>
      <c r="AC607" s="291">
        <f t="shared" si="66"/>
        <v>0</v>
      </c>
      <c r="AD607" s="302">
        <f t="shared" si="66"/>
        <v>0</v>
      </c>
      <c r="AE607" s="231">
        <f t="shared" si="66"/>
        <v>0</v>
      </c>
      <c r="AF607" s="49">
        <f t="shared" si="66"/>
        <v>0</v>
      </c>
      <c r="AG607" s="291">
        <f t="shared" si="66"/>
        <v>0</v>
      </c>
      <c r="AH607" s="302">
        <f t="shared" si="66"/>
        <v>0</v>
      </c>
      <c r="AI607" s="231">
        <f t="shared" si="66"/>
        <v>0</v>
      </c>
      <c r="AJ607" s="49">
        <f t="shared" si="66"/>
        <v>0</v>
      </c>
      <c r="AK607" s="291">
        <f t="shared" si="66"/>
        <v>0</v>
      </c>
      <c r="AL607" s="302">
        <f t="shared" si="66"/>
        <v>0</v>
      </c>
      <c r="AM607" s="231">
        <f t="shared" si="66"/>
        <v>0</v>
      </c>
      <c r="AN607" s="49">
        <f t="shared" si="66"/>
        <v>0</v>
      </c>
      <c r="AO607" s="291">
        <f t="shared" si="66"/>
        <v>0</v>
      </c>
      <c r="AP607" s="302">
        <f t="shared" si="66"/>
        <v>1107</v>
      </c>
      <c r="AQ607" s="231">
        <f t="shared" si="66"/>
        <v>601</v>
      </c>
      <c r="AR607" s="49">
        <f t="shared" si="66"/>
        <v>950</v>
      </c>
      <c r="AS607" s="291">
        <f t="shared" si="66"/>
        <v>765</v>
      </c>
      <c r="AT607" s="302">
        <f t="shared" si="66"/>
        <v>0</v>
      </c>
      <c r="AU607" s="231">
        <f t="shared" si="66"/>
        <v>0</v>
      </c>
      <c r="AV607" s="49">
        <f t="shared" si="66"/>
        <v>0</v>
      </c>
      <c r="AW607" s="291">
        <f t="shared" si="66"/>
        <v>0</v>
      </c>
      <c r="AX607" s="302">
        <f t="shared" si="66"/>
        <v>0</v>
      </c>
      <c r="AY607" s="231">
        <f t="shared" si="66"/>
        <v>0</v>
      </c>
      <c r="AZ607" s="49">
        <f t="shared" si="66"/>
        <v>0</v>
      </c>
      <c r="BA607" s="231">
        <f t="shared" si="66"/>
        <v>0</v>
      </c>
      <c r="BB607" s="49">
        <f t="shared" si="66"/>
        <v>890</v>
      </c>
      <c r="BC607" s="82">
        <f t="shared" si="66"/>
        <v>817</v>
      </c>
      <c r="BD607" s="49">
        <f t="shared" si="66"/>
        <v>0</v>
      </c>
      <c r="BE607" s="82">
        <f t="shared" si="66"/>
        <v>0</v>
      </c>
      <c r="BF607" s="49">
        <f t="shared" si="66"/>
        <v>0</v>
      </c>
      <c r="BG607" s="82">
        <f t="shared" si="66"/>
        <v>0</v>
      </c>
      <c r="BH607" s="49">
        <f t="shared" si="66"/>
        <v>0</v>
      </c>
      <c r="BI607" s="82">
        <f t="shared" si="66"/>
        <v>0</v>
      </c>
      <c r="BJ607" s="49">
        <f t="shared" si="66"/>
        <v>0</v>
      </c>
      <c r="BK607" s="82">
        <f t="shared" si="66"/>
        <v>0</v>
      </c>
    </row>
    <row r="608" spans="1:63" ht="13" x14ac:dyDescent="0.25">
      <c r="A608" s="379"/>
      <c r="B608" s="381" t="s">
        <v>19</v>
      </c>
      <c r="C608" s="235">
        <f>SUM(C268:C274)</f>
        <v>6490</v>
      </c>
      <c r="D608" s="235">
        <f>SUM(D268:D274)</f>
        <v>2521</v>
      </c>
      <c r="E608" s="367">
        <v>0.40641876253664561</v>
      </c>
      <c r="F608" s="49">
        <f t="shared" ref="F608:BK608" si="67">SUM(F268:F274)</f>
        <v>1794</v>
      </c>
      <c r="G608" s="230">
        <f t="shared" si="67"/>
        <v>688</v>
      </c>
      <c r="H608" s="49">
        <f t="shared" si="67"/>
        <v>1775</v>
      </c>
      <c r="I608" s="291">
        <f t="shared" si="67"/>
        <v>698</v>
      </c>
      <c r="J608" s="302">
        <f t="shared" si="67"/>
        <v>0</v>
      </c>
      <c r="K608" s="231">
        <f t="shared" si="67"/>
        <v>0</v>
      </c>
      <c r="L608" s="49">
        <f t="shared" si="67"/>
        <v>0</v>
      </c>
      <c r="M608" s="291">
        <f t="shared" si="67"/>
        <v>0</v>
      </c>
      <c r="N608" s="302">
        <f t="shared" si="67"/>
        <v>0</v>
      </c>
      <c r="O608" s="231">
        <f t="shared" si="67"/>
        <v>0</v>
      </c>
      <c r="P608" s="49">
        <f t="shared" si="67"/>
        <v>0</v>
      </c>
      <c r="Q608" s="291">
        <f t="shared" si="67"/>
        <v>0</v>
      </c>
      <c r="R608" s="302">
        <f t="shared" si="67"/>
        <v>0</v>
      </c>
      <c r="S608" s="231">
        <f t="shared" si="67"/>
        <v>0</v>
      </c>
      <c r="T608" s="49">
        <f t="shared" si="67"/>
        <v>0</v>
      </c>
      <c r="U608" s="291">
        <f t="shared" si="67"/>
        <v>0</v>
      </c>
      <c r="V608" s="302">
        <f t="shared" si="67"/>
        <v>0</v>
      </c>
      <c r="W608" s="231">
        <f t="shared" si="67"/>
        <v>0</v>
      </c>
      <c r="X608" s="49">
        <f t="shared" si="67"/>
        <v>0</v>
      </c>
      <c r="Y608" s="291">
        <f t="shared" si="67"/>
        <v>0</v>
      </c>
      <c r="Z608" s="302">
        <f t="shared" si="67"/>
        <v>0</v>
      </c>
      <c r="AA608" s="231">
        <f t="shared" si="67"/>
        <v>0</v>
      </c>
      <c r="AB608" s="49">
        <f t="shared" si="67"/>
        <v>0</v>
      </c>
      <c r="AC608" s="291">
        <f t="shared" si="67"/>
        <v>0</v>
      </c>
      <c r="AD608" s="302">
        <f t="shared" si="67"/>
        <v>0</v>
      </c>
      <c r="AE608" s="231">
        <f t="shared" si="67"/>
        <v>0</v>
      </c>
      <c r="AF608" s="49">
        <f t="shared" si="67"/>
        <v>0</v>
      </c>
      <c r="AG608" s="291">
        <f t="shared" si="67"/>
        <v>0</v>
      </c>
      <c r="AH608" s="302">
        <f t="shared" si="67"/>
        <v>0</v>
      </c>
      <c r="AI608" s="231">
        <f t="shared" si="67"/>
        <v>0</v>
      </c>
      <c r="AJ608" s="49">
        <f t="shared" si="67"/>
        <v>0</v>
      </c>
      <c r="AK608" s="291">
        <f t="shared" si="67"/>
        <v>0</v>
      </c>
      <c r="AL608" s="302">
        <f t="shared" si="67"/>
        <v>0</v>
      </c>
      <c r="AM608" s="231">
        <f t="shared" si="67"/>
        <v>0</v>
      </c>
      <c r="AN608" s="49">
        <f t="shared" si="67"/>
        <v>0</v>
      </c>
      <c r="AO608" s="291">
        <f t="shared" si="67"/>
        <v>0</v>
      </c>
      <c r="AP608" s="302">
        <f t="shared" si="67"/>
        <v>1557</v>
      </c>
      <c r="AQ608" s="231">
        <f t="shared" si="67"/>
        <v>894</v>
      </c>
      <c r="AR608" s="49">
        <f t="shared" si="67"/>
        <v>1328</v>
      </c>
      <c r="AS608" s="291">
        <f t="shared" si="67"/>
        <v>1115</v>
      </c>
      <c r="AT608" s="302">
        <f t="shared" si="67"/>
        <v>0</v>
      </c>
      <c r="AU608" s="231">
        <f t="shared" si="67"/>
        <v>0</v>
      </c>
      <c r="AV608" s="49">
        <f t="shared" si="67"/>
        <v>0</v>
      </c>
      <c r="AW608" s="291">
        <f t="shared" si="67"/>
        <v>0</v>
      </c>
      <c r="AX608" s="302">
        <f t="shared" si="67"/>
        <v>0</v>
      </c>
      <c r="AY608" s="231">
        <f t="shared" si="67"/>
        <v>0</v>
      </c>
      <c r="AZ608" s="49">
        <f t="shared" si="67"/>
        <v>0</v>
      </c>
      <c r="BA608" s="231">
        <f t="shared" si="67"/>
        <v>0</v>
      </c>
      <c r="BB608" s="49">
        <f t="shared" si="67"/>
        <v>0</v>
      </c>
      <c r="BC608" s="82">
        <f t="shared" si="67"/>
        <v>0</v>
      </c>
      <c r="BD608" s="49">
        <f t="shared" si="67"/>
        <v>1073</v>
      </c>
      <c r="BE608" s="82">
        <f t="shared" si="67"/>
        <v>1243</v>
      </c>
      <c r="BF608" s="49">
        <f t="shared" si="67"/>
        <v>1087</v>
      </c>
      <c r="BG608" s="82">
        <f t="shared" si="67"/>
        <v>1237</v>
      </c>
      <c r="BH608" s="49">
        <f t="shared" si="67"/>
        <v>1604</v>
      </c>
      <c r="BI608" s="82">
        <f t="shared" si="67"/>
        <v>815</v>
      </c>
      <c r="BJ608" s="49">
        <f t="shared" si="67"/>
        <v>0</v>
      </c>
      <c r="BK608" s="82">
        <f t="shared" si="67"/>
        <v>0</v>
      </c>
    </row>
    <row r="609" spans="1:63" ht="13" x14ac:dyDescent="0.25">
      <c r="A609" s="379"/>
      <c r="B609" s="381" t="s">
        <v>778</v>
      </c>
      <c r="C609" s="296">
        <f>SUM(C275:C286)</f>
        <v>13173</v>
      </c>
      <c r="D609" s="296">
        <f>SUM(D275:D286)</f>
        <v>5871</v>
      </c>
      <c r="E609" s="367">
        <v>0.44178003228037815</v>
      </c>
      <c r="F609" s="49">
        <f t="shared" ref="F609:BK609" si="68">SUM(F275:F286)</f>
        <v>4020</v>
      </c>
      <c r="G609" s="230">
        <f t="shared" si="68"/>
        <v>1796</v>
      </c>
      <c r="H609" s="49">
        <f t="shared" si="68"/>
        <v>4353</v>
      </c>
      <c r="I609" s="291">
        <f t="shared" si="68"/>
        <v>1445</v>
      </c>
      <c r="J609" s="302">
        <f t="shared" si="68"/>
        <v>0</v>
      </c>
      <c r="K609" s="231">
        <f t="shared" si="68"/>
        <v>0</v>
      </c>
      <c r="L609" s="49">
        <f t="shared" si="68"/>
        <v>0</v>
      </c>
      <c r="M609" s="291">
        <f t="shared" si="68"/>
        <v>0</v>
      </c>
      <c r="N609" s="302">
        <f t="shared" si="68"/>
        <v>0</v>
      </c>
      <c r="O609" s="231">
        <f t="shared" si="68"/>
        <v>0</v>
      </c>
      <c r="P609" s="49">
        <f t="shared" si="68"/>
        <v>0</v>
      </c>
      <c r="Q609" s="291">
        <f t="shared" si="68"/>
        <v>0</v>
      </c>
      <c r="R609" s="302">
        <f t="shared" si="68"/>
        <v>0</v>
      </c>
      <c r="S609" s="231">
        <f t="shared" si="68"/>
        <v>0</v>
      </c>
      <c r="T609" s="49">
        <f t="shared" si="68"/>
        <v>0</v>
      </c>
      <c r="U609" s="291">
        <f t="shared" si="68"/>
        <v>0</v>
      </c>
      <c r="V609" s="302">
        <f t="shared" si="68"/>
        <v>0</v>
      </c>
      <c r="W609" s="231">
        <f t="shared" si="68"/>
        <v>0</v>
      </c>
      <c r="X609" s="49">
        <f t="shared" si="68"/>
        <v>0</v>
      </c>
      <c r="Y609" s="291">
        <f t="shared" si="68"/>
        <v>0</v>
      </c>
      <c r="Z609" s="302">
        <f t="shared" si="68"/>
        <v>0</v>
      </c>
      <c r="AA609" s="231">
        <f t="shared" si="68"/>
        <v>0</v>
      </c>
      <c r="AB609" s="49">
        <f t="shared" si="68"/>
        <v>0</v>
      </c>
      <c r="AC609" s="291">
        <f t="shared" si="68"/>
        <v>0</v>
      </c>
      <c r="AD609" s="302">
        <f t="shared" si="68"/>
        <v>0</v>
      </c>
      <c r="AE609" s="231">
        <f t="shared" si="68"/>
        <v>0</v>
      </c>
      <c r="AF609" s="49">
        <f t="shared" si="68"/>
        <v>0</v>
      </c>
      <c r="AG609" s="291">
        <f t="shared" si="68"/>
        <v>0</v>
      </c>
      <c r="AH609" s="302">
        <f t="shared" si="68"/>
        <v>0</v>
      </c>
      <c r="AI609" s="231">
        <f t="shared" si="68"/>
        <v>0</v>
      </c>
      <c r="AJ609" s="49">
        <f t="shared" si="68"/>
        <v>0</v>
      </c>
      <c r="AK609" s="291">
        <f t="shared" si="68"/>
        <v>0</v>
      </c>
      <c r="AL609" s="302">
        <f t="shared" si="68"/>
        <v>0</v>
      </c>
      <c r="AM609" s="231">
        <f t="shared" si="68"/>
        <v>0</v>
      </c>
      <c r="AN609" s="49">
        <f t="shared" si="68"/>
        <v>0</v>
      </c>
      <c r="AO609" s="291">
        <f t="shared" si="68"/>
        <v>0</v>
      </c>
      <c r="AP609" s="302">
        <f t="shared" si="68"/>
        <v>4140</v>
      </c>
      <c r="AQ609" s="231">
        <f t="shared" si="68"/>
        <v>1588</v>
      </c>
      <c r="AR609" s="49">
        <f t="shared" si="68"/>
        <v>3497</v>
      </c>
      <c r="AS609" s="291">
        <f t="shared" si="68"/>
        <v>2170</v>
      </c>
      <c r="AT609" s="302">
        <f t="shared" si="68"/>
        <v>0</v>
      </c>
      <c r="AU609" s="231">
        <f t="shared" si="68"/>
        <v>0</v>
      </c>
      <c r="AV609" s="49">
        <f t="shared" si="68"/>
        <v>0</v>
      </c>
      <c r="AW609" s="291">
        <f t="shared" si="68"/>
        <v>0</v>
      </c>
      <c r="AX609" s="302">
        <f t="shared" si="68"/>
        <v>0</v>
      </c>
      <c r="AY609" s="231">
        <f t="shared" si="68"/>
        <v>0</v>
      </c>
      <c r="AZ609" s="49">
        <f t="shared" si="68"/>
        <v>0</v>
      </c>
      <c r="BA609" s="231">
        <f t="shared" si="68"/>
        <v>0</v>
      </c>
      <c r="BB609" s="49">
        <f t="shared" si="68"/>
        <v>0</v>
      </c>
      <c r="BC609" s="82">
        <f t="shared" si="68"/>
        <v>0</v>
      </c>
      <c r="BD609" s="49">
        <f t="shared" si="68"/>
        <v>0</v>
      </c>
      <c r="BE609" s="82">
        <f t="shared" si="68"/>
        <v>0</v>
      </c>
      <c r="BF609" s="49">
        <f t="shared" si="68"/>
        <v>0</v>
      </c>
      <c r="BG609" s="82">
        <f t="shared" si="68"/>
        <v>0</v>
      </c>
      <c r="BH609" s="49">
        <f t="shared" si="68"/>
        <v>0</v>
      </c>
      <c r="BI609" s="82">
        <f t="shared" si="68"/>
        <v>0</v>
      </c>
      <c r="BJ609" s="49">
        <f t="shared" si="68"/>
        <v>442</v>
      </c>
      <c r="BK609" s="82">
        <f t="shared" si="68"/>
        <v>79</v>
      </c>
    </row>
    <row r="610" spans="1:63" ht="13" x14ac:dyDescent="0.25">
      <c r="A610" s="379"/>
      <c r="B610" s="381" t="s">
        <v>708</v>
      </c>
      <c r="C610" s="235">
        <f>SUM(C287:C294)</f>
        <v>7271</v>
      </c>
      <c r="D610" s="235">
        <f>SUM(D287:D294)</f>
        <v>3615</v>
      </c>
      <c r="E610" s="367">
        <v>0.49869379898253813</v>
      </c>
      <c r="F610" s="49">
        <f t="shared" ref="F610:BK610" si="69">SUM(F287:F294)</f>
        <v>1898</v>
      </c>
      <c r="G610" s="230">
        <f t="shared" si="69"/>
        <v>1671</v>
      </c>
      <c r="H610" s="49">
        <f t="shared" si="69"/>
        <v>2324</v>
      </c>
      <c r="I610" s="291">
        <f t="shared" si="69"/>
        <v>1226</v>
      </c>
      <c r="J610" s="302">
        <f t="shared" si="69"/>
        <v>0</v>
      </c>
      <c r="K610" s="231">
        <f t="shared" si="69"/>
        <v>0</v>
      </c>
      <c r="L610" s="49">
        <f t="shared" si="69"/>
        <v>0</v>
      </c>
      <c r="M610" s="291">
        <f t="shared" si="69"/>
        <v>0</v>
      </c>
      <c r="N610" s="302">
        <f t="shared" si="69"/>
        <v>0</v>
      </c>
      <c r="O610" s="231">
        <f t="shared" si="69"/>
        <v>0</v>
      </c>
      <c r="P610" s="49">
        <f t="shared" si="69"/>
        <v>0</v>
      </c>
      <c r="Q610" s="291">
        <f t="shared" si="69"/>
        <v>0</v>
      </c>
      <c r="R610" s="302">
        <f t="shared" si="69"/>
        <v>0</v>
      </c>
      <c r="S610" s="231">
        <f t="shared" si="69"/>
        <v>0</v>
      </c>
      <c r="T610" s="49">
        <f t="shared" si="69"/>
        <v>0</v>
      </c>
      <c r="U610" s="291">
        <f t="shared" si="69"/>
        <v>0</v>
      </c>
      <c r="V610" s="302">
        <f t="shared" si="69"/>
        <v>0</v>
      </c>
      <c r="W610" s="231">
        <f t="shared" si="69"/>
        <v>0</v>
      </c>
      <c r="X610" s="49">
        <f t="shared" si="69"/>
        <v>0</v>
      </c>
      <c r="Y610" s="291">
        <f t="shared" si="69"/>
        <v>0</v>
      </c>
      <c r="Z610" s="302">
        <f t="shared" si="69"/>
        <v>0</v>
      </c>
      <c r="AA610" s="231">
        <f t="shared" si="69"/>
        <v>0</v>
      </c>
      <c r="AB610" s="49">
        <f t="shared" si="69"/>
        <v>0</v>
      </c>
      <c r="AC610" s="291">
        <f t="shared" si="69"/>
        <v>0</v>
      </c>
      <c r="AD610" s="302">
        <f t="shared" si="69"/>
        <v>0</v>
      </c>
      <c r="AE610" s="231">
        <f t="shared" si="69"/>
        <v>0</v>
      </c>
      <c r="AF610" s="49">
        <f t="shared" si="69"/>
        <v>0</v>
      </c>
      <c r="AG610" s="291">
        <f t="shared" si="69"/>
        <v>0</v>
      </c>
      <c r="AH610" s="302">
        <f t="shared" si="69"/>
        <v>0</v>
      </c>
      <c r="AI610" s="231">
        <f t="shared" si="69"/>
        <v>0</v>
      </c>
      <c r="AJ610" s="49">
        <f t="shared" si="69"/>
        <v>0</v>
      </c>
      <c r="AK610" s="291">
        <f t="shared" si="69"/>
        <v>0</v>
      </c>
      <c r="AL610" s="302">
        <f t="shared" si="69"/>
        <v>0</v>
      </c>
      <c r="AM610" s="231">
        <f t="shared" si="69"/>
        <v>0</v>
      </c>
      <c r="AN610" s="49">
        <f t="shared" si="69"/>
        <v>0</v>
      </c>
      <c r="AO610" s="291">
        <f t="shared" si="69"/>
        <v>0</v>
      </c>
      <c r="AP610" s="302">
        <f t="shared" si="69"/>
        <v>2227</v>
      </c>
      <c r="AQ610" s="231">
        <f t="shared" si="69"/>
        <v>1297</v>
      </c>
      <c r="AR610" s="49">
        <f t="shared" si="69"/>
        <v>1684</v>
      </c>
      <c r="AS610" s="291">
        <f t="shared" si="69"/>
        <v>1794</v>
      </c>
      <c r="AT610" s="302">
        <f t="shared" si="69"/>
        <v>0</v>
      </c>
      <c r="AU610" s="231">
        <f t="shared" si="69"/>
        <v>0</v>
      </c>
      <c r="AV610" s="49">
        <f t="shared" si="69"/>
        <v>0</v>
      </c>
      <c r="AW610" s="291">
        <f t="shared" si="69"/>
        <v>0</v>
      </c>
      <c r="AX610" s="302">
        <f t="shared" si="69"/>
        <v>0</v>
      </c>
      <c r="AY610" s="231">
        <f t="shared" si="69"/>
        <v>0</v>
      </c>
      <c r="AZ610" s="49">
        <f t="shared" si="69"/>
        <v>0</v>
      </c>
      <c r="BA610" s="231">
        <f t="shared" si="69"/>
        <v>0</v>
      </c>
      <c r="BB610" s="49">
        <f t="shared" si="69"/>
        <v>0</v>
      </c>
      <c r="BC610" s="82">
        <f t="shared" si="69"/>
        <v>0</v>
      </c>
      <c r="BD610" s="49">
        <f t="shared" si="69"/>
        <v>0</v>
      </c>
      <c r="BE610" s="82">
        <f t="shared" si="69"/>
        <v>0</v>
      </c>
      <c r="BF610" s="49">
        <f t="shared" si="69"/>
        <v>0</v>
      </c>
      <c r="BG610" s="82">
        <f t="shared" si="69"/>
        <v>0</v>
      </c>
      <c r="BH610" s="49">
        <f t="shared" si="69"/>
        <v>0</v>
      </c>
      <c r="BI610" s="82">
        <f t="shared" si="69"/>
        <v>0</v>
      </c>
      <c r="BJ610" s="49">
        <f t="shared" si="69"/>
        <v>0</v>
      </c>
      <c r="BK610" s="82">
        <f t="shared" si="69"/>
        <v>0</v>
      </c>
    </row>
    <row r="611" spans="1:63" ht="13" x14ac:dyDescent="0.25">
      <c r="A611" s="379"/>
      <c r="B611" s="381" t="s">
        <v>709</v>
      </c>
      <c r="C611" s="235">
        <f>SUM(C295:C301)</f>
        <v>7722</v>
      </c>
      <c r="D611" s="235">
        <f>SUM(D295:D301)</f>
        <v>4002</v>
      </c>
      <c r="E611" s="367">
        <v>0.54817574511819112</v>
      </c>
      <c r="F611" s="49">
        <f t="shared" ref="F611:BK611" si="70">SUM(F295:F301)</f>
        <v>2317</v>
      </c>
      <c r="G611" s="230">
        <f t="shared" si="70"/>
        <v>1658</v>
      </c>
      <c r="H611" s="49">
        <f t="shared" si="70"/>
        <v>2333</v>
      </c>
      <c r="I611" s="291">
        <f t="shared" si="70"/>
        <v>1609</v>
      </c>
      <c r="J611" s="302">
        <f t="shared" si="70"/>
        <v>0</v>
      </c>
      <c r="K611" s="231">
        <f t="shared" si="70"/>
        <v>0</v>
      </c>
      <c r="L611" s="49">
        <f t="shared" si="70"/>
        <v>0</v>
      </c>
      <c r="M611" s="291">
        <f t="shared" si="70"/>
        <v>0</v>
      </c>
      <c r="N611" s="302">
        <f t="shared" si="70"/>
        <v>0</v>
      </c>
      <c r="O611" s="231">
        <f t="shared" si="70"/>
        <v>0</v>
      </c>
      <c r="P611" s="49">
        <f t="shared" si="70"/>
        <v>0</v>
      </c>
      <c r="Q611" s="291">
        <f t="shared" si="70"/>
        <v>0</v>
      </c>
      <c r="R611" s="302">
        <f t="shared" si="70"/>
        <v>0</v>
      </c>
      <c r="S611" s="231">
        <f t="shared" si="70"/>
        <v>0</v>
      </c>
      <c r="T611" s="49">
        <f t="shared" si="70"/>
        <v>0</v>
      </c>
      <c r="U611" s="291">
        <f t="shared" si="70"/>
        <v>0</v>
      </c>
      <c r="V611" s="302">
        <f t="shared" si="70"/>
        <v>0</v>
      </c>
      <c r="W611" s="231">
        <f t="shared" si="70"/>
        <v>0</v>
      </c>
      <c r="X611" s="49">
        <f t="shared" si="70"/>
        <v>0</v>
      </c>
      <c r="Y611" s="291">
        <f t="shared" si="70"/>
        <v>0</v>
      </c>
      <c r="Z611" s="302">
        <f t="shared" si="70"/>
        <v>0</v>
      </c>
      <c r="AA611" s="231">
        <f t="shared" si="70"/>
        <v>0</v>
      </c>
      <c r="AB611" s="49">
        <f t="shared" si="70"/>
        <v>0</v>
      </c>
      <c r="AC611" s="291">
        <f t="shared" si="70"/>
        <v>0</v>
      </c>
      <c r="AD611" s="302">
        <f t="shared" si="70"/>
        <v>0</v>
      </c>
      <c r="AE611" s="231">
        <f t="shared" si="70"/>
        <v>0</v>
      </c>
      <c r="AF611" s="49">
        <f t="shared" si="70"/>
        <v>0</v>
      </c>
      <c r="AG611" s="291">
        <f t="shared" si="70"/>
        <v>0</v>
      </c>
      <c r="AH611" s="302">
        <f t="shared" si="70"/>
        <v>0</v>
      </c>
      <c r="AI611" s="231">
        <f t="shared" si="70"/>
        <v>0</v>
      </c>
      <c r="AJ611" s="49">
        <f t="shared" si="70"/>
        <v>0</v>
      </c>
      <c r="AK611" s="291">
        <f t="shared" si="70"/>
        <v>0</v>
      </c>
      <c r="AL611" s="302">
        <f t="shared" si="70"/>
        <v>0</v>
      </c>
      <c r="AM611" s="231">
        <f t="shared" si="70"/>
        <v>0</v>
      </c>
      <c r="AN611" s="49">
        <f t="shared" si="70"/>
        <v>0</v>
      </c>
      <c r="AO611" s="291">
        <f t="shared" si="70"/>
        <v>0</v>
      </c>
      <c r="AP611" s="302">
        <f t="shared" si="70"/>
        <v>2757</v>
      </c>
      <c r="AQ611" s="231">
        <f t="shared" si="70"/>
        <v>1183</v>
      </c>
      <c r="AR611" s="49">
        <f t="shared" si="70"/>
        <v>2202</v>
      </c>
      <c r="AS611" s="291">
        <f t="shared" si="70"/>
        <v>1680</v>
      </c>
      <c r="AT611" s="302">
        <f t="shared" si="70"/>
        <v>0</v>
      </c>
      <c r="AU611" s="231">
        <f t="shared" si="70"/>
        <v>0</v>
      </c>
      <c r="AV611" s="49">
        <f t="shared" si="70"/>
        <v>0</v>
      </c>
      <c r="AW611" s="291">
        <f t="shared" si="70"/>
        <v>0</v>
      </c>
      <c r="AX611" s="302">
        <f t="shared" si="70"/>
        <v>0</v>
      </c>
      <c r="AY611" s="231">
        <f t="shared" si="70"/>
        <v>0</v>
      </c>
      <c r="AZ611" s="49">
        <f t="shared" si="70"/>
        <v>0</v>
      </c>
      <c r="BA611" s="231">
        <f t="shared" si="70"/>
        <v>0</v>
      </c>
      <c r="BB611" s="49">
        <f t="shared" si="70"/>
        <v>0</v>
      </c>
      <c r="BC611" s="82">
        <f t="shared" si="70"/>
        <v>0</v>
      </c>
      <c r="BD611" s="49">
        <f t="shared" si="70"/>
        <v>0</v>
      </c>
      <c r="BE611" s="82">
        <f t="shared" si="70"/>
        <v>0</v>
      </c>
      <c r="BF611" s="49">
        <f t="shared" si="70"/>
        <v>0</v>
      </c>
      <c r="BG611" s="82">
        <f t="shared" si="70"/>
        <v>0</v>
      </c>
      <c r="BH611" s="49">
        <f t="shared" si="70"/>
        <v>0</v>
      </c>
      <c r="BI611" s="82">
        <f t="shared" si="70"/>
        <v>0</v>
      </c>
      <c r="BJ611" s="49">
        <f t="shared" si="70"/>
        <v>0</v>
      </c>
      <c r="BK611" s="82">
        <f t="shared" si="70"/>
        <v>0</v>
      </c>
    </row>
    <row r="612" spans="1:63" ht="13" x14ac:dyDescent="0.25">
      <c r="A612" s="379"/>
      <c r="B612" s="381" t="s">
        <v>733</v>
      </c>
      <c r="C612" s="235">
        <f>SUM(C302:C309)</f>
        <v>6843</v>
      </c>
      <c r="D612" s="235">
        <f>SUM(D302:D309)</f>
        <v>3294</v>
      </c>
      <c r="E612" s="367">
        <v>0.52375314488678404</v>
      </c>
      <c r="F612" s="49">
        <f t="shared" ref="F612:BK612" si="71">SUM(F302:F309)</f>
        <v>2235</v>
      </c>
      <c r="G612" s="230">
        <f t="shared" si="71"/>
        <v>1023</v>
      </c>
      <c r="H612" s="49">
        <f t="shared" si="71"/>
        <v>2027</v>
      </c>
      <c r="I612" s="291">
        <f t="shared" si="71"/>
        <v>1200</v>
      </c>
      <c r="J612" s="302">
        <f t="shared" si="71"/>
        <v>0</v>
      </c>
      <c r="K612" s="231">
        <f t="shared" si="71"/>
        <v>0</v>
      </c>
      <c r="L612" s="49">
        <f t="shared" si="71"/>
        <v>0</v>
      </c>
      <c r="M612" s="291">
        <f t="shared" si="71"/>
        <v>0</v>
      </c>
      <c r="N612" s="302">
        <f t="shared" si="71"/>
        <v>0</v>
      </c>
      <c r="O612" s="231">
        <f t="shared" si="71"/>
        <v>0</v>
      </c>
      <c r="P612" s="49">
        <f t="shared" si="71"/>
        <v>0</v>
      </c>
      <c r="Q612" s="291">
        <f t="shared" si="71"/>
        <v>0</v>
      </c>
      <c r="R612" s="302">
        <f t="shared" si="71"/>
        <v>0</v>
      </c>
      <c r="S612" s="231">
        <f t="shared" si="71"/>
        <v>0</v>
      </c>
      <c r="T612" s="49">
        <f t="shared" si="71"/>
        <v>0</v>
      </c>
      <c r="U612" s="291">
        <f t="shared" si="71"/>
        <v>0</v>
      </c>
      <c r="V612" s="302">
        <f t="shared" si="71"/>
        <v>0</v>
      </c>
      <c r="W612" s="231">
        <f t="shared" si="71"/>
        <v>0</v>
      </c>
      <c r="X612" s="49">
        <f t="shared" si="71"/>
        <v>0</v>
      </c>
      <c r="Y612" s="291">
        <f t="shared" si="71"/>
        <v>0</v>
      </c>
      <c r="Z612" s="302">
        <f t="shared" si="71"/>
        <v>0</v>
      </c>
      <c r="AA612" s="231">
        <f t="shared" si="71"/>
        <v>0</v>
      </c>
      <c r="AB612" s="49">
        <f t="shared" si="71"/>
        <v>0</v>
      </c>
      <c r="AC612" s="291">
        <f t="shared" si="71"/>
        <v>0</v>
      </c>
      <c r="AD612" s="302">
        <f t="shared" si="71"/>
        <v>0</v>
      </c>
      <c r="AE612" s="231">
        <f t="shared" si="71"/>
        <v>0</v>
      </c>
      <c r="AF612" s="49">
        <f t="shared" si="71"/>
        <v>0</v>
      </c>
      <c r="AG612" s="291">
        <f t="shared" si="71"/>
        <v>0</v>
      </c>
      <c r="AH612" s="302">
        <f t="shared" si="71"/>
        <v>0</v>
      </c>
      <c r="AI612" s="231">
        <f t="shared" si="71"/>
        <v>0</v>
      </c>
      <c r="AJ612" s="49">
        <f t="shared" si="71"/>
        <v>0</v>
      </c>
      <c r="AK612" s="291">
        <f t="shared" si="71"/>
        <v>0</v>
      </c>
      <c r="AL612" s="302">
        <f t="shared" si="71"/>
        <v>0</v>
      </c>
      <c r="AM612" s="231">
        <f t="shared" si="71"/>
        <v>0</v>
      </c>
      <c r="AN612" s="49">
        <f t="shared" si="71"/>
        <v>0</v>
      </c>
      <c r="AO612" s="291">
        <f t="shared" si="71"/>
        <v>0</v>
      </c>
      <c r="AP612" s="302">
        <f t="shared" si="71"/>
        <v>2172</v>
      </c>
      <c r="AQ612" s="231">
        <f t="shared" si="71"/>
        <v>1042</v>
      </c>
      <c r="AR612" s="49">
        <f t="shared" si="71"/>
        <v>1800</v>
      </c>
      <c r="AS612" s="291">
        <f t="shared" si="71"/>
        <v>1420</v>
      </c>
      <c r="AT612" s="302">
        <f t="shared" si="71"/>
        <v>0</v>
      </c>
      <c r="AU612" s="231">
        <f t="shared" si="71"/>
        <v>0</v>
      </c>
      <c r="AV612" s="49">
        <f t="shared" si="71"/>
        <v>0</v>
      </c>
      <c r="AW612" s="291">
        <f t="shared" si="71"/>
        <v>0</v>
      </c>
      <c r="AX612" s="302">
        <f t="shared" si="71"/>
        <v>0</v>
      </c>
      <c r="AY612" s="231">
        <f t="shared" si="71"/>
        <v>0</v>
      </c>
      <c r="AZ612" s="49">
        <f t="shared" si="71"/>
        <v>0</v>
      </c>
      <c r="BA612" s="231">
        <f t="shared" si="71"/>
        <v>0</v>
      </c>
      <c r="BB612" s="49">
        <f t="shared" si="71"/>
        <v>0</v>
      </c>
      <c r="BC612" s="82">
        <f t="shared" si="71"/>
        <v>0</v>
      </c>
      <c r="BD612" s="49">
        <f t="shared" si="71"/>
        <v>0</v>
      </c>
      <c r="BE612" s="82">
        <f t="shared" si="71"/>
        <v>0</v>
      </c>
      <c r="BF612" s="49">
        <f t="shared" si="71"/>
        <v>0</v>
      </c>
      <c r="BG612" s="82">
        <f t="shared" si="71"/>
        <v>0</v>
      </c>
      <c r="BH612" s="49">
        <f t="shared" si="71"/>
        <v>0</v>
      </c>
      <c r="BI612" s="82">
        <f t="shared" si="71"/>
        <v>0</v>
      </c>
      <c r="BJ612" s="49">
        <f t="shared" si="71"/>
        <v>0</v>
      </c>
      <c r="BK612" s="82">
        <f t="shared" si="71"/>
        <v>0</v>
      </c>
    </row>
    <row r="613" spans="1:63" ht="13" x14ac:dyDescent="0.25">
      <c r="A613" s="379"/>
      <c r="B613" s="381" t="s">
        <v>20</v>
      </c>
      <c r="C613" s="235">
        <f>SUM(C310:C314)</f>
        <v>7066</v>
      </c>
      <c r="D613" s="235">
        <f>SUM(D310:D314)</f>
        <v>4631</v>
      </c>
      <c r="E613" s="367">
        <v>0.68357487922705318</v>
      </c>
      <c r="F613" s="49">
        <f t="shared" ref="F613:BK613" si="72">SUM(F310:F314)</f>
        <v>3596</v>
      </c>
      <c r="G613" s="230">
        <f t="shared" si="72"/>
        <v>1014</v>
      </c>
      <c r="H613" s="49">
        <f t="shared" si="72"/>
        <v>3173</v>
      </c>
      <c r="I613" s="291">
        <f t="shared" si="72"/>
        <v>1378</v>
      </c>
      <c r="J613" s="302">
        <f t="shared" si="72"/>
        <v>0</v>
      </c>
      <c r="K613" s="231">
        <f t="shared" si="72"/>
        <v>0</v>
      </c>
      <c r="L613" s="49">
        <f t="shared" si="72"/>
        <v>0</v>
      </c>
      <c r="M613" s="291">
        <f t="shared" si="72"/>
        <v>0</v>
      </c>
      <c r="N613" s="302">
        <f t="shared" si="72"/>
        <v>0</v>
      </c>
      <c r="O613" s="231">
        <f t="shared" si="72"/>
        <v>0</v>
      </c>
      <c r="P613" s="49">
        <f t="shared" si="72"/>
        <v>0</v>
      </c>
      <c r="Q613" s="291">
        <f t="shared" si="72"/>
        <v>0</v>
      </c>
      <c r="R613" s="302">
        <f t="shared" si="72"/>
        <v>0</v>
      </c>
      <c r="S613" s="231">
        <f t="shared" si="72"/>
        <v>0</v>
      </c>
      <c r="T613" s="49">
        <f t="shared" si="72"/>
        <v>0</v>
      </c>
      <c r="U613" s="291">
        <f t="shared" si="72"/>
        <v>0</v>
      </c>
      <c r="V613" s="302">
        <f t="shared" si="72"/>
        <v>0</v>
      </c>
      <c r="W613" s="231">
        <f t="shared" si="72"/>
        <v>0</v>
      </c>
      <c r="X613" s="49">
        <f t="shared" si="72"/>
        <v>0</v>
      </c>
      <c r="Y613" s="291">
        <f t="shared" si="72"/>
        <v>0</v>
      </c>
      <c r="Z613" s="302">
        <f t="shared" si="72"/>
        <v>0</v>
      </c>
      <c r="AA613" s="231">
        <f t="shared" si="72"/>
        <v>0</v>
      </c>
      <c r="AB613" s="49">
        <f t="shared" si="72"/>
        <v>0</v>
      </c>
      <c r="AC613" s="291">
        <f t="shared" si="72"/>
        <v>0</v>
      </c>
      <c r="AD613" s="302">
        <f t="shared" si="72"/>
        <v>0</v>
      </c>
      <c r="AE613" s="231">
        <f t="shared" si="72"/>
        <v>0</v>
      </c>
      <c r="AF613" s="49">
        <f t="shared" si="72"/>
        <v>0</v>
      </c>
      <c r="AG613" s="291">
        <f t="shared" si="72"/>
        <v>0</v>
      </c>
      <c r="AH613" s="302">
        <f t="shared" si="72"/>
        <v>0</v>
      </c>
      <c r="AI613" s="231">
        <f t="shared" si="72"/>
        <v>0</v>
      </c>
      <c r="AJ613" s="49">
        <f t="shared" si="72"/>
        <v>0</v>
      </c>
      <c r="AK613" s="291">
        <f t="shared" si="72"/>
        <v>0</v>
      </c>
      <c r="AL613" s="302">
        <f t="shared" si="72"/>
        <v>0</v>
      </c>
      <c r="AM613" s="231">
        <f t="shared" si="72"/>
        <v>0</v>
      </c>
      <c r="AN613" s="49">
        <f t="shared" si="72"/>
        <v>0</v>
      </c>
      <c r="AO613" s="291">
        <f t="shared" si="72"/>
        <v>0</v>
      </c>
      <c r="AP613" s="302">
        <f t="shared" si="72"/>
        <v>3753</v>
      </c>
      <c r="AQ613" s="231">
        <f t="shared" si="72"/>
        <v>796</v>
      </c>
      <c r="AR613" s="49">
        <f t="shared" si="72"/>
        <v>3421</v>
      </c>
      <c r="AS613" s="291">
        <f t="shared" si="72"/>
        <v>1149</v>
      </c>
      <c r="AT613" s="302">
        <f t="shared" si="72"/>
        <v>0</v>
      </c>
      <c r="AU613" s="231">
        <f t="shared" si="72"/>
        <v>0</v>
      </c>
      <c r="AV613" s="49">
        <f t="shared" si="72"/>
        <v>0</v>
      </c>
      <c r="AW613" s="291">
        <f t="shared" si="72"/>
        <v>0</v>
      </c>
      <c r="AX613" s="302">
        <f t="shared" si="72"/>
        <v>0</v>
      </c>
      <c r="AY613" s="231">
        <f t="shared" si="72"/>
        <v>0</v>
      </c>
      <c r="AZ613" s="49">
        <f t="shared" si="72"/>
        <v>0</v>
      </c>
      <c r="BA613" s="231">
        <f t="shared" si="72"/>
        <v>0</v>
      </c>
      <c r="BB613" s="49">
        <f t="shared" si="72"/>
        <v>0</v>
      </c>
      <c r="BC613" s="82">
        <f t="shared" si="72"/>
        <v>0</v>
      </c>
      <c r="BD613" s="49">
        <f t="shared" si="72"/>
        <v>0</v>
      </c>
      <c r="BE613" s="82">
        <f t="shared" si="72"/>
        <v>0</v>
      </c>
      <c r="BF613" s="49">
        <f t="shared" si="72"/>
        <v>0</v>
      </c>
      <c r="BG613" s="82">
        <f t="shared" si="72"/>
        <v>0</v>
      </c>
      <c r="BH613" s="49">
        <f t="shared" si="72"/>
        <v>0</v>
      </c>
      <c r="BI613" s="82">
        <f t="shared" si="72"/>
        <v>0</v>
      </c>
      <c r="BJ613" s="49">
        <f t="shared" si="72"/>
        <v>0</v>
      </c>
      <c r="BK613" s="82">
        <f t="shared" si="72"/>
        <v>0</v>
      </c>
    </row>
    <row r="614" spans="1:63" ht="13" x14ac:dyDescent="0.25">
      <c r="A614" s="379"/>
      <c r="B614" s="381" t="s">
        <v>710</v>
      </c>
      <c r="C614" s="235">
        <f>SUM(C319:C350)</f>
        <v>34264</v>
      </c>
      <c r="D614" s="235">
        <f>SUM(D319:D350)</f>
        <v>22026</v>
      </c>
      <c r="E614" s="367">
        <v>0.66688170781772327</v>
      </c>
      <c r="F614" s="49">
        <f t="shared" ref="F614:BK614" si="73">SUM(F319:F350)</f>
        <v>13264</v>
      </c>
      <c r="G614" s="230">
        <f t="shared" si="73"/>
        <v>8521</v>
      </c>
      <c r="H614" s="49">
        <f t="shared" si="73"/>
        <v>13266</v>
      </c>
      <c r="I614" s="291">
        <f t="shared" si="73"/>
        <v>8370</v>
      </c>
      <c r="J614" s="302">
        <f t="shared" si="73"/>
        <v>0</v>
      </c>
      <c r="K614" s="231">
        <f t="shared" si="73"/>
        <v>0</v>
      </c>
      <c r="L614" s="49">
        <f t="shared" si="73"/>
        <v>0</v>
      </c>
      <c r="M614" s="291">
        <f t="shared" si="73"/>
        <v>0</v>
      </c>
      <c r="N614" s="302">
        <f t="shared" si="73"/>
        <v>0</v>
      </c>
      <c r="O614" s="231">
        <f t="shared" si="73"/>
        <v>0</v>
      </c>
      <c r="P614" s="49">
        <f t="shared" si="73"/>
        <v>0</v>
      </c>
      <c r="Q614" s="291">
        <f t="shared" si="73"/>
        <v>0</v>
      </c>
      <c r="R614" s="302">
        <f t="shared" si="73"/>
        <v>0</v>
      </c>
      <c r="S614" s="231">
        <f t="shared" si="73"/>
        <v>0</v>
      </c>
      <c r="T614" s="49">
        <f t="shared" si="73"/>
        <v>0</v>
      </c>
      <c r="U614" s="291">
        <f t="shared" si="73"/>
        <v>0</v>
      </c>
      <c r="V614" s="302">
        <f t="shared" si="73"/>
        <v>0</v>
      </c>
      <c r="W614" s="231">
        <f t="shared" si="73"/>
        <v>0</v>
      </c>
      <c r="X614" s="49">
        <f t="shared" si="73"/>
        <v>0</v>
      </c>
      <c r="Y614" s="291">
        <f t="shared" si="73"/>
        <v>0</v>
      </c>
      <c r="Z614" s="302">
        <f t="shared" si="73"/>
        <v>0</v>
      </c>
      <c r="AA614" s="231">
        <f t="shared" si="73"/>
        <v>0</v>
      </c>
      <c r="AB614" s="49">
        <f t="shared" si="73"/>
        <v>0</v>
      </c>
      <c r="AC614" s="291">
        <f t="shared" si="73"/>
        <v>0</v>
      </c>
      <c r="AD614" s="302">
        <f t="shared" si="73"/>
        <v>0</v>
      </c>
      <c r="AE614" s="231">
        <f t="shared" si="73"/>
        <v>0</v>
      </c>
      <c r="AF614" s="49">
        <f t="shared" si="73"/>
        <v>0</v>
      </c>
      <c r="AG614" s="291">
        <f t="shared" si="73"/>
        <v>0</v>
      </c>
      <c r="AH614" s="302">
        <f t="shared" si="73"/>
        <v>0</v>
      </c>
      <c r="AI614" s="231">
        <f t="shared" si="73"/>
        <v>0</v>
      </c>
      <c r="AJ614" s="49">
        <f t="shared" si="73"/>
        <v>0</v>
      </c>
      <c r="AK614" s="291">
        <f t="shared" si="73"/>
        <v>0</v>
      </c>
      <c r="AL614" s="302">
        <f t="shared" si="73"/>
        <v>0</v>
      </c>
      <c r="AM614" s="231">
        <f t="shared" si="73"/>
        <v>0</v>
      </c>
      <c r="AN614" s="49">
        <f t="shared" si="73"/>
        <v>11221</v>
      </c>
      <c r="AO614" s="291">
        <f t="shared" si="73"/>
        <v>10251</v>
      </c>
      <c r="AP614" s="302">
        <f t="shared" si="73"/>
        <v>14353</v>
      </c>
      <c r="AQ614" s="231">
        <f t="shared" si="73"/>
        <v>7282</v>
      </c>
      <c r="AR614" s="49">
        <f t="shared" si="73"/>
        <v>11010</v>
      </c>
      <c r="AS614" s="291">
        <f t="shared" si="73"/>
        <v>10510</v>
      </c>
      <c r="AT614" s="302">
        <f t="shared" si="73"/>
        <v>0</v>
      </c>
      <c r="AU614" s="231">
        <f t="shared" si="73"/>
        <v>0</v>
      </c>
      <c r="AV614" s="49">
        <f t="shared" si="73"/>
        <v>0</v>
      </c>
      <c r="AW614" s="291">
        <f t="shared" si="73"/>
        <v>0</v>
      </c>
      <c r="AX614" s="302">
        <f t="shared" si="73"/>
        <v>0</v>
      </c>
      <c r="AY614" s="231">
        <f t="shared" si="73"/>
        <v>0</v>
      </c>
      <c r="AZ614" s="49">
        <f t="shared" si="73"/>
        <v>0</v>
      </c>
      <c r="BA614" s="231">
        <f t="shared" si="73"/>
        <v>0</v>
      </c>
      <c r="BB614" s="49">
        <f t="shared" si="73"/>
        <v>0</v>
      </c>
      <c r="BC614" s="82">
        <f t="shared" si="73"/>
        <v>0</v>
      </c>
      <c r="BD614" s="49">
        <f t="shared" si="73"/>
        <v>0</v>
      </c>
      <c r="BE614" s="82">
        <f t="shared" si="73"/>
        <v>0</v>
      </c>
      <c r="BF614" s="49">
        <f t="shared" si="73"/>
        <v>0</v>
      </c>
      <c r="BG614" s="82">
        <f t="shared" si="73"/>
        <v>0</v>
      </c>
      <c r="BH614" s="49">
        <f t="shared" si="73"/>
        <v>0</v>
      </c>
      <c r="BI614" s="82">
        <f t="shared" si="73"/>
        <v>0</v>
      </c>
      <c r="BJ614" s="49">
        <f t="shared" si="73"/>
        <v>0</v>
      </c>
      <c r="BK614" s="82">
        <f t="shared" si="73"/>
        <v>0</v>
      </c>
    </row>
    <row r="615" spans="1:63" ht="13" x14ac:dyDescent="0.25">
      <c r="A615" s="379"/>
      <c r="B615" s="381" t="s">
        <v>711</v>
      </c>
      <c r="C615" s="235">
        <f>SUM(C352:C389)</f>
        <v>40867</v>
      </c>
      <c r="D615" s="235">
        <f>SUM(D352:D389)</f>
        <v>19538</v>
      </c>
      <c r="E615" s="367">
        <v>0.52419968109898196</v>
      </c>
      <c r="F615" s="49">
        <f t="shared" ref="F615:BK615" si="74">SUM(F352:F389)</f>
        <v>9959</v>
      </c>
      <c r="G615" s="230">
        <f t="shared" si="74"/>
        <v>9412</v>
      </c>
      <c r="H615" s="49">
        <f t="shared" si="74"/>
        <v>11041</v>
      </c>
      <c r="I615" s="291">
        <f t="shared" si="74"/>
        <v>8178</v>
      </c>
      <c r="J615" s="302">
        <f t="shared" si="74"/>
        <v>0</v>
      </c>
      <c r="K615" s="231">
        <f t="shared" si="74"/>
        <v>0</v>
      </c>
      <c r="L615" s="49">
        <f t="shared" si="74"/>
        <v>0</v>
      </c>
      <c r="M615" s="291">
        <f t="shared" si="74"/>
        <v>0</v>
      </c>
      <c r="N615" s="302">
        <f t="shared" si="74"/>
        <v>0</v>
      </c>
      <c r="O615" s="231">
        <f t="shared" si="74"/>
        <v>0</v>
      </c>
      <c r="P615" s="49">
        <f t="shared" si="74"/>
        <v>0</v>
      </c>
      <c r="Q615" s="291">
        <f t="shared" si="74"/>
        <v>0</v>
      </c>
      <c r="R615" s="302">
        <f t="shared" si="74"/>
        <v>0</v>
      </c>
      <c r="S615" s="231">
        <f t="shared" si="74"/>
        <v>0</v>
      </c>
      <c r="T615" s="49">
        <f t="shared" si="74"/>
        <v>0</v>
      </c>
      <c r="U615" s="291">
        <f t="shared" si="74"/>
        <v>0</v>
      </c>
      <c r="V615" s="302">
        <f t="shared" si="74"/>
        <v>0</v>
      </c>
      <c r="W615" s="231">
        <f t="shared" si="74"/>
        <v>0</v>
      </c>
      <c r="X615" s="49">
        <f t="shared" si="74"/>
        <v>0</v>
      </c>
      <c r="Y615" s="291">
        <f t="shared" si="74"/>
        <v>0</v>
      </c>
      <c r="Z615" s="302">
        <f t="shared" si="74"/>
        <v>0</v>
      </c>
      <c r="AA615" s="231">
        <f t="shared" si="74"/>
        <v>0</v>
      </c>
      <c r="AB615" s="49">
        <f t="shared" si="74"/>
        <v>0</v>
      </c>
      <c r="AC615" s="291">
        <f t="shared" si="74"/>
        <v>0</v>
      </c>
      <c r="AD615" s="302">
        <f t="shared" si="74"/>
        <v>0</v>
      </c>
      <c r="AE615" s="231">
        <f t="shared" si="74"/>
        <v>0</v>
      </c>
      <c r="AF615" s="49">
        <f t="shared" si="74"/>
        <v>8302</v>
      </c>
      <c r="AG615" s="291">
        <f t="shared" si="74"/>
        <v>10756</v>
      </c>
      <c r="AH615" s="302">
        <f t="shared" si="74"/>
        <v>0</v>
      </c>
      <c r="AI615" s="231">
        <f t="shared" si="74"/>
        <v>0</v>
      </c>
      <c r="AJ615" s="49">
        <f t="shared" si="74"/>
        <v>0</v>
      </c>
      <c r="AK615" s="291">
        <f t="shared" si="74"/>
        <v>0</v>
      </c>
      <c r="AL615" s="302">
        <f t="shared" si="74"/>
        <v>0</v>
      </c>
      <c r="AM615" s="231">
        <f t="shared" si="74"/>
        <v>0</v>
      </c>
      <c r="AN615" s="49">
        <f t="shared" si="74"/>
        <v>0</v>
      </c>
      <c r="AO615" s="291">
        <f t="shared" si="74"/>
        <v>0</v>
      </c>
      <c r="AP615" s="302">
        <f t="shared" si="74"/>
        <v>11235</v>
      </c>
      <c r="AQ615" s="231">
        <f t="shared" si="74"/>
        <v>7946</v>
      </c>
      <c r="AR615" s="49">
        <f t="shared" si="74"/>
        <v>8382</v>
      </c>
      <c r="AS615" s="291">
        <f t="shared" si="74"/>
        <v>10706</v>
      </c>
      <c r="AT615" s="302">
        <f t="shared" si="74"/>
        <v>0</v>
      </c>
      <c r="AU615" s="231">
        <f t="shared" si="74"/>
        <v>0</v>
      </c>
      <c r="AV615" s="49">
        <f t="shared" si="74"/>
        <v>0</v>
      </c>
      <c r="AW615" s="291">
        <f t="shared" si="74"/>
        <v>0</v>
      </c>
      <c r="AX615" s="302">
        <f t="shared" si="74"/>
        <v>0</v>
      </c>
      <c r="AY615" s="231">
        <f t="shared" si="74"/>
        <v>0</v>
      </c>
      <c r="AZ615" s="49">
        <f t="shared" si="74"/>
        <v>0</v>
      </c>
      <c r="BA615" s="231">
        <f t="shared" si="74"/>
        <v>0</v>
      </c>
      <c r="BB615" s="49">
        <f t="shared" si="74"/>
        <v>0</v>
      </c>
      <c r="BC615" s="82">
        <f t="shared" si="74"/>
        <v>0</v>
      </c>
      <c r="BD615" s="49">
        <f t="shared" si="74"/>
        <v>0</v>
      </c>
      <c r="BE615" s="82">
        <f t="shared" si="74"/>
        <v>0</v>
      </c>
      <c r="BF615" s="49">
        <f t="shared" si="74"/>
        <v>0</v>
      </c>
      <c r="BG615" s="82">
        <f t="shared" si="74"/>
        <v>0</v>
      </c>
      <c r="BH615" s="49">
        <f t="shared" si="74"/>
        <v>0</v>
      </c>
      <c r="BI615" s="82">
        <f t="shared" si="74"/>
        <v>0</v>
      </c>
      <c r="BJ615" s="49">
        <f t="shared" si="74"/>
        <v>0</v>
      </c>
      <c r="BK615" s="82">
        <f t="shared" si="74"/>
        <v>0</v>
      </c>
    </row>
    <row r="616" spans="1:63" ht="13" x14ac:dyDescent="0.25">
      <c r="A616" s="379"/>
      <c r="B616" s="381" t="s">
        <v>712</v>
      </c>
      <c r="C616" s="235">
        <f>SUM(C390:C398)</f>
        <v>3430</v>
      </c>
      <c r="D616" s="235">
        <f>SUM(D390:D398)</f>
        <v>1827</v>
      </c>
      <c r="E616" s="367">
        <v>0.55504322766570602</v>
      </c>
      <c r="F616" s="49">
        <f t="shared" ref="F616:BK616" si="75">SUM(F390:F398)</f>
        <v>1343</v>
      </c>
      <c r="G616" s="230">
        <f t="shared" si="75"/>
        <v>468</v>
      </c>
      <c r="H616" s="49">
        <f t="shared" si="75"/>
        <v>1298</v>
      </c>
      <c r="I616" s="291">
        <f t="shared" si="75"/>
        <v>509</v>
      </c>
      <c r="J616" s="302">
        <f t="shared" si="75"/>
        <v>0</v>
      </c>
      <c r="K616" s="231">
        <f t="shared" si="75"/>
        <v>0</v>
      </c>
      <c r="L616" s="49">
        <f t="shared" si="75"/>
        <v>0</v>
      </c>
      <c r="M616" s="291">
        <f t="shared" si="75"/>
        <v>0</v>
      </c>
      <c r="N616" s="302">
        <f t="shared" si="75"/>
        <v>0</v>
      </c>
      <c r="O616" s="231">
        <f t="shared" si="75"/>
        <v>0</v>
      </c>
      <c r="P616" s="49">
        <f t="shared" si="75"/>
        <v>0</v>
      </c>
      <c r="Q616" s="291">
        <f t="shared" si="75"/>
        <v>0</v>
      </c>
      <c r="R616" s="302">
        <f t="shared" si="75"/>
        <v>0</v>
      </c>
      <c r="S616" s="231">
        <f t="shared" si="75"/>
        <v>0</v>
      </c>
      <c r="T616" s="49">
        <f t="shared" si="75"/>
        <v>0</v>
      </c>
      <c r="U616" s="291">
        <f t="shared" si="75"/>
        <v>0</v>
      </c>
      <c r="V616" s="302">
        <f t="shared" si="75"/>
        <v>0</v>
      </c>
      <c r="W616" s="231">
        <f t="shared" si="75"/>
        <v>0</v>
      </c>
      <c r="X616" s="49">
        <f t="shared" si="75"/>
        <v>0</v>
      </c>
      <c r="Y616" s="291">
        <f t="shared" si="75"/>
        <v>0</v>
      </c>
      <c r="Z616" s="302">
        <f t="shared" si="75"/>
        <v>0</v>
      </c>
      <c r="AA616" s="231">
        <f t="shared" si="75"/>
        <v>0</v>
      </c>
      <c r="AB616" s="49">
        <f t="shared" si="75"/>
        <v>0</v>
      </c>
      <c r="AC616" s="291">
        <f t="shared" si="75"/>
        <v>0</v>
      </c>
      <c r="AD616" s="302">
        <f t="shared" si="75"/>
        <v>0</v>
      </c>
      <c r="AE616" s="231">
        <f t="shared" si="75"/>
        <v>0</v>
      </c>
      <c r="AF616" s="49">
        <f t="shared" si="75"/>
        <v>0</v>
      </c>
      <c r="AG616" s="291">
        <f t="shared" si="75"/>
        <v>0</v>
      </c>
      <c r="AH616" s="302">
        <f t="shared" si="75"/>
        <v>0</v>
      </c>
      <c r="AI616" s="231">
        <f t="shared" si="75"/>
        <v>0</v>
      </c>
      <c r="AJ616" s="49">
        <f t="shared" si="75"/>
        <v>0</v>
      </c>
      <c r="AK616" s="291">
        <f t="shared" si="75"/>
        <v>0</v>
      </c>
      <c r="AL616" s="302">
        <f t="shared" si="75"/>
        <v>0</v>
      </c>
      <c r="AM616" s="231">
        <f t="shared" si="75"/>
        <v>0</v>
      </c>
      <c r="AN616" s="49">
        <f t="shared" si="75"/>
        <v>0</v>
      </c>
      <c r="AO616" s="291">
        <f t="shared" si="75"/>
        <v>0</v>
      </c>
      <c r="AP616" s="302">
        <f t="shared" si="75"/>
        <v>1382</v>
      </c>
      <c r="AQ616" s="231">
        <f t="shared" si="75"/>
        <v>405</v>
      </c>
      <c r="AR616" s="49">
        <f t="shared" si="75"/>
        <v>1201</v>
      </c>
      <c r="AS616" s="291">
        <f t="shared" si="75"/>
        <v>596</v>
      </c>
      <c r="AT616" s="302">
        <f t="shared" si="75"/>
        <v>0</v>
      </c>
      <c r="AU616" s="231">
        <f t="shared" si="75"/>
        <v>0</v>
      </c>
      <c r="AV616" s="49">
        <f t="shared" si="75"/>
        <v>0</v>
      </c>
      <c r="AW616" s="291">
        <f t="shared" si="75"/>
        <v>0</v>
      </c>
      <c r="AX616" s="302">
        <f t="shared" si="75"/>
        <v>0</v>
      </c>
      <c r="AY616" s="231">
        <f t="shared" si="75"/>
        <v>0</v>
      </c>
      <c r="AZ616" s="49">
        <f t="shared" si="75"/>
        <v>0</v>
      </c>
      <c r="BA616" s="231">
        <f t="shared" si="75"/>
        <v>0</v>
      </c>
      <c r="BB616" s="49">
        <f t="shared" si="75"/>
        <v>0</v>
      </c>
      <c r="BC616" s="82">
        <f t="shared" si="75"/>
        <v>0</v>
      </c>
      <c r="BD616" s="49">
        <f t="shared" si="75"/>
        <v>0</v>
      </c>
      <c r="BE616" s="82">
        <f t="shared" si="75"/>
        <v>0</v>
      </c>
      <c r="BF616" s="49">
        <f t="shared" si="75"/>
        <v>0</v>
      </c>
      <c r="BG616" s="82">
        <f t="shared" si="75"/>
        <v>0</v>
      </c>
      <c r="BH616" s="49">
        <f t="shared" si="75"/>
        <v>0</v>
      </c>
      <c r="BI616" s="82">
        <f t="shared" si="75"/>
        <v>0</v>
      </c>
      <c r="BJ616" s="49">
        <f t="shared" si="75"/>
        <v>0</v>
      </c>
      <c r="BK616" s="82">
        <f t="shared" si="75"/>
        <v>0</v>
      </c>
    </row>
    <row r="617" spans="1:63" ht="13" x14ac:dyDescent="0.25">
      <c r="A617" s="379"/>
      <c r="B617" s="381" t="s">
        <v>735</v>
      </c>
      <c r="C617" s="235">
        <f>SUM(C399:C400)+C231</f>
        <v>4253</v>
      </c>
      <c r="D617" s="235">
        <f>SUM(D399:D400)+D231</f>
        <v>2235</v>
      </c>
      <c r="E617" s="367">
        <v>0.61385896180215471</v>
      </c>
      <c r="F617" s="49">
        <f t="shared" ref="F617:BK617" si="76">SUM(F399:F400)+F231</f>
        <v>889</v>
      </c>
      <c r="G617" s="230">
        <f t="shared" si="76"/>
        <v>1334</v>
      </c>
      <c r="H617" s="49">
        <f t="shared" si="76"/>
        <v>1115</v>
      </c>
      <c r="I617" s="291">
        <f t="shared" si="76"/>
        <v>1073</v>
      </c>
      <c r="J617" s="302">
        <f t="shared" si="76"/>
        <v>0</v>
      </c>
      <c r="K617" s="231">
        <f t="shared" si="76"/>
        <v>0</v>
      </c>
      <c r="L617" s="49">
        <f t="shared" si="76"/>
        <v>0</v>
      </c>
      <c r="M617" s="291">
        <f t="shared" si="76"/>
        <v>0</v>
      </c>
      <c r="N617" s="302">
        <f t="shared" si="76"/>
        <v>0</v>
      </c>
      <c r="O617" s="231">
        <f t="shared" si="76"/>
        <v>0</v>
      </c>
      <c r="P617" s="49">
        <f t="shared" si="76"/>
        <v>0</v>
      </c>
      <c r="Q617" s="291">
        <f t="shared" si="76"/>
        <v>0</v>
      </c>
      <c r="R617" s="302">
        <f t="shared" si="76"/>
        <v>0</v>
      </c>
      <c r="S617" s="231">
        <f t="shared" si="76"/>
        <v>0</v>
      </c>
      <c r="T617" s="49">
        <f t="shared" si="76"/>
        <v>0</v>
      </c>
      <c r="U617" s="291">
        <f t="shared" si="76"/>
        <v>0</v>
      </c>
      <c r="V617" s="302">
        <f t="shared" si="76"/>
        <v>0</v>
      </c>
      <c r="W617" s="231">
        <f t="shared" si="76"/>
        <v>0</v>
      </c>
      <c r="X617" s="49">
        <f t="shared" si="76"/>
        <v>0</v>
      </c>
      <c r="Y617" s="291">
        <f t="shared" si="76"/>
        <v>0</v>
      </c>
      <c r="Z617" s="302">
        <f t="shared" si="76"/>
        <v>0</v>
      </c>
      <c r="AA617" s="231">
        <f t="shared" si="76"/>
        <v>0</v>
      </c>
      <c r="AB617" s="49">
        <f t="shared" si="76"/>
        <v>0</v>
      </c>
      <c r="AC617" s="291">
        <f t="shared" si="76"/>
        <v>0</v>
      </c>
      <c r="AD617" s="302">
        <f t="shared" si="76"/>
        <v>0</v>
      </c>
      <c r="AE617" s="231">
        <f t="shared" si="76"/>
        <v>0</v>
      </c>
      <c r="AF617" s="49">
        <f t="shared" si="76"/>
        <v>0</v>
      </c>
      <c r="AG617" s="291">
        <f t="shared" si="76"/>
        <v>0</v>
      </c>
      <c r="AH617" s="302">
        <f t="shared" si="76"/>
        <v>0</v>
      </c>
      <c r="AI617" s="231">
        <f t="shared" si="76"/>
        <v>0</v>
      </c>
      <c r="AJ617" s="49">
        <f t="shared" si="76"/>
        <v>0</v>
      </c>
      <c r="AK617" s="291">
        <f t="shared" si="76"/>
        <v>0</v>
      </c>
      <c r="AL617" s="302">
        <f t="shared" si="76"/>
        <v>0</v>
      </c>
      <c r="AM617" s="231">
        <f t="shared" si="76"/>
        <v>0</v>
      </c>
      <c r="AN617" s="49">
        <f t="shared" si="76"/>
        <v>0</v>
      </c>
      <c r="AO617" s="291">
        <f t="shared" si="76"/>
        <v>0</v>
      </c>
      <c r="AP617" s="302">
        <f t="shared" si="76"/>
        <v>1157</v>
      </c>
      <c r="AQ617" s="231">
        <f t="shared" si="76"/>
        <v>1018</v>
      </c>
      <c r="AR617" s="49">
        <f t="shared" si="76"/>
        <v>798</v>
      </c>
      <c r="AS617" s="291">
        <f t="shared" si="76"/>
        <v>1380</v>
      </c>
      <c r="AT617" s="302">
        <f t="shared" si="76"/>
        <v>0</v>
      </c>
      <c r="AU617" s="231">
        <f t="shared" si="76"/>
        <v>0</v>
      </c>
      <c r="AV617" s="49">
        <f t="shared" si="76"/>
        <v>0</v>
      </c>
      <c r="AW617" s="291">
        <f t="shared" si="76"/>
        <v>0</v>
      </c>
      <c r="AX617" s="302">
        <f t="shared" si="76"/>
        <v>0</v>
      </c>
      <c r="AY617" s="231">
        <f t="shared" si="76"/>
        <v>0</v>
      </c>
      <c r="AZ617" s="49">
        <f t="shared" si="76"/>
        <v>0</v>
      </c>
      <c r="BA617" s="231">
        <f t="shared" si="76"/>
        <v>0</v>
      </c>
      <c r="BB617" s="49">
        <f t="shared" si="76"/>
        <v>0</v>
      </c>
      <c r="BC617" s="82">
        <f t="shared" si="76"/>
        <v>0</v>
      </c>
      <c r="BD617" s="49">
        <f t="shared" si="76"/>
        <v>0</v>
      </c>
      <c r="BE617" s="82">
        <f t="shared" si="76"/>
        <v>0</v>
      </c>
      <c r="BF617" s="49">
        <f t="shared" si="76"/>
        <v>0</v>
      </c>
      <c r="BG617" s="82">
        <f t="shared" si="76"/>
        <v>0</v>
      </c>
      <c r="BH617" s="49">
        <f t="shared" si="76"/>
        <v>0</v>
      </c>
      <c r="BI617" s="82">
        <f t="shared" si="76"/>
        <v>0</v>
      </c>
      <c r="BJ617" s="49">
        <f t="shared" si="76"/>
        <v>0</v>
      </c>
      <c r="BK617" s="82">
        <f t="shared" si="76"/>
        <v>0</v>
      </c>
    </row>
    <row r="618" spans="1:63" ht="13" x14ac:dyDescent="0.25">
      <c r="A618" s="379"/>
      <c r="B618" s="381" t="s">
        <v>21</v>
      </c>
      <c r="C618" s="235">
        <f>SUM(C401:C419)</f>
        <v>20186</v>
      </c>
      <c r="D618" s="235">
        <f>SUM(D401:D419)</f>
        <v>10861</v>
      </c>
      <c r="E618" s="367">
        <v>0.57621281692952686</v>
      </c>
      <c r="F618" s="49">
        <f t="shared" ref="F618:BK618" si="77">SUM(F401:F419)</f>
        <v>4905</v>
      </c>
      <c r="G618" s="230">
        <f t="shared" si="77"/>
        <v>5840</v>
      </c>
      <c r="H618" s="49">
        <f t="shared" si="77"/>
        <v>5810</v>
      </c>
      <c r="I618" s="291">
        <f t="shared" si="77"/>
        <v>4854</v>
      </c>
      <c r="J618" s="302">
        <f t="shared" si="77"/>
        <v>0</v>
      </c>
      <c r="K618" s="231">
        <f t="shared" si="77"/>
        <v>0</v>
      </c>
      <c r="L618" s="49">
        <f t="shared" si="77"/>
        <v>0</v>
      </c>
      <c r="M618" s="291">
        <f t="shared" si="77"/>
        <v>0</v>
      </c>
      <c r="N618" s="302">
        <f t="shared" si="77"/>
        <v>0</v>
      </c>
      <c r="O618" s="231">
        <f t="shared" si="77"/>
        <v>0</v>
      </c>
      <c r="P618" s="49">
        <f t="shared" si="77"/>
        <v>0</v>
      </c>
      <c r="Q618" s="291">
        <f t="shared" si="77"/>
        <v>0</v>
      </c>
      <c r="R618" s="302">
        <f t="shared" si="77"/>
        <v>0</v>
      </c>
      <c r="S618" s="231">
        <f t="shared" si="77"/>
        <v>0</v>
      </c>
      <c r="T618" s="49">
        <f t="shared" si="77"/>
        <v>0</v>
      </c>
      <c r="U618" s="291">
        <f t="shared" si="77"/>
        <v>0</v>
      </c>
      <c r="V618" s="302">
        <f t="shared" si="77"/>
        <v>0</v>
      </c>
      <c r="W618" s="231">
        <f t="shared" si="77"/>
        <v>0</v>
      </c>
      <c r="X618" s="49">
        <f t="shared" si="77"/>
        <v>0</v>
      </c>
      <c r="Y618" s="291">
        <f t="shared" si="77"/>
        <v>0</v>
      </c>
      <c r="Z618" s="302">
        <f t="shared" si="77"/>
        <v>0</v>
      </c>
      <c r="AA618" s="231">
        <f t="shared" si="77"/>
        <v>0</v>
      </c>
      <c r="AB618" s="49">
        <f t="shared" si="77"/>
        <v>0</v>
      </c>
      <c r="AC618" s="291">
        <f t="shared" si="77"/>
        <v>0</v>
      </c>
      <c r="AD618" s="302">
        <f t="shared" si="77"/>
        <v>0</v>
      </c>
      <c r="AE618" s="231">
        <f t="shared" si="77"/>
        <v>0</v>
      </c>
      <c r="AF618" s="49">
        <f t="shared" si="77"/>
        <v>0</v>
      </c>
      <c r="AG618" s="291">
        <f t="shared" si="77"/>
        <v>0</v>
      </c>
      <c r="AH618" s="302">
        <f t="shared" si="77"/>
        <v>6102</v>
      </c>
      <c r="AI618" s="231">
        <f t="shared" si="77"/>
        <v>4506</v>
      </c>
      <c r="AJ618" s="49">
        <f t="shared" si="77"/>
        <v>0</v>
      </c>
      <c r="AK618" s="291">
        <f t="shared" si="77"/>
        <v>0</v>
      </c>
      <c r="AL618" s="302">
        <f t="shared" si="77"/>
        <v>0</v>
      </c>
      <c r="AM618" s="231">
        <f t="shared" si="77"/>
        <v>0</v>
      </c>
      <c r="AN618" s="49">
        <f t="shared" si="77"/>
        <v>0</v>
      </c>
      <c r="AO618" s="291">
        <f t="shared" si="77"/>
        <v>0</v>
      </c>
      <c r="AP618" s="302">
        <f t="shared" si="77"/>
        <v>6549</v>
      </c>
      <c r="AQ618" s="231">
        <f t="shared" si="77"/>
        <v>4140</v>
      </c>
      <c r="AR618" s="49">
        <f t="shared" si="77"/>
        <v>4693</v>
      </c>
      <c r="AS618" s="291">
        <f t="shared" si="77"/>
        <v>5922</v>
      </c>
      <c r="AT618" s="302">
        <f t="shared" si="77"/>
        <v>0</v>
      </c>
      <c r="AU618" s="231">
        <f t="shared" si="77"/>
        <v>0</v>
      </c>
      <c r="AV618" s="49">
        <f t="shared" si="77"/>
        <v>0</v>
      </c>
      <c r="AW618" s="291">
        <f t="shared" si="77"/>
        <v>0</v>
      </c>
      <c r="AX618" s="302">
        <f t="shared" si="77"/>
        <v>0</v>
      </c>
      <c r="AY618" s="231">
        <f t="shared" si="77"/>
        <v>0</v>
      </c>
      <c r="AZ618" s="49">
        <f t="shared" si="77"/>
        <v>0</v>
      </c>
      <c r="BA618" s="231">
        <f t="shared" si="77"/>
        <v>0</v>
      </c>
      <c r="BB618" s="49">
        <f t="shared" si="77"/>
        <v>0</v>
      </c>
      <c r="BC618" s="82">
        <f t="shared" si="77"/>
        <v>0</v>
      </c>
      <c r="BD618" s="49">
        <f t="shared" si="77"/>
        <v>0</v>
      </c>
      <c r="BE618" s="82">
        <f t="shared" si="77"/>
        <v>0</v>
      </c>
      <c r="BF618" s="49">
        <f t="shared" si="77"/>
        <v>0</v>
      </c>
      <c r="BG618" s="82">
        <f t="shared" si="77"/>
        <v>0</v>
      </c>
      <c r="BH618" s="49">
        <f t="shared" si="77"/>
        <v>0</v>
      </c>
      <c r="BI618" s="82">
        <f t="shared" si="77"/>
        <v>0</v>
      </c>
      <c r="BJ618" s="49">
        <f t="shared" si="77"/>
        <v>0</v>
      </c>
      <c r="BK618" s="82">
        <f t="shared" si="77"/>
        <v>0</v>
      </c>
    </row>
    <row r="619" spans="1:63" ht="13" x14ac:dyDescent="0.25">
      <c r="A619" s="379"/>
      <c r="B619" s="381" t="s">
        <v>22</v>
      </c>
      <c r="C619" s="235">
        <f>SUM(C429:C471)</f>
        <v>44958</v>
      </c>
      <c r="D619" s="235">
        <f>SUM(D429:D471)</f>
        <v>25250</v>
      </c>
      <c r="E619" s="367">
        <v>0.619247886070316</v>
      </c>
      <c r="F619" s="49">
        <f t="shared" ref="F619:BK619" si="78">SUM(F429:F471)</f>
        <v>10961</v>
      </c>
      <c r="G619" s="230">
        <f t="shared" si="78"/>
        <v>14050</v>
      </c>
      <c r="H619" s="49">
        <f t="shared" si="78"/>
        <v>12864</v>
      </c>
      <c r="I619" s="291">
        <f t="shared" si="78"/>
        <v>11955</v>
      </c>
      <c r="J619" s="302">
        <f t="shared" si="78"/>
        <v>0</v>
      </c>
      <c r="K619" s="231">
        <f t="shared" si="78"/>
        <v>0</v>
      </c>
      <c r="L619" s="49">
        <f t="shared" si="78"/>
        <v>0</v>
      </c>
      <c r="M619" s="291">
        <f t="shared" si="78"/>
        <v>0</v>
      </c>
      <c r="N619" s="302">
        <f t="shared" si="78"/>
        <v>0</v>
      </c>
      <c r="O619" s="231">
        <f t="shared" si="78"/>
        <v>0</v>
      </c>
      <c r="P619" s="49">
        <f t="shared" si="78"/>
        <v>0</v>
      </c>
      <c r="Q619" s="291">
        <f t="shared" si="78"/>
        <v>0</v>
      </c>
      <c r="R619" s="302">
        <f t="shared" si="78"/>
        <v>0</v>
      </c>
      <c r="S619" s="231">
        <f t="shared" si="78"/>
        <v>0</v>
      </c>
      <c r="T619" s="49">
        <f t="shared" si="78"/>
        <v>0</v>
      </c>
      <c r="U619" s="291">
        <f t="shared" si="78"/>
        <v>0</v>
      </c>
      <c r="V619" s="302">
        <f t="shared" si="78"/>
        <v>0</v>
      </c>
      <c r="W619" s="231">
        <f t="shared" si="78"/>
        <v>0</v>
      </c>
      <c r="X619" s="49">
        <f t="shared" si="78"/>
        <v>0</v>
      </c>
      <c r="Y619" s="291">
        <f t="shared" si="78"/>
        <v>0</v>
      </c>
      <c r="Z619" s="302">
        <f t="shared" si="78"/>
        <v>0</v>
      </c>
      <c r="AA619" s="231">
        <f t="shared" si="78"/>
        <v>0</v>
      </c>
      <c r="AB619" s="49">
        <f t="shared" si="78"/>
        <v>0</v>
      </c>
      <c r="AC619" s="291">
        <f t="shared" si="78"/>
        <v>0</v>
      </c>
      <c r="AD619" s="302">
        <f t="shared" si="78"/>
        <v>0</v>
      </c>
      <c r="AE619" s="231">
        <f t="shared" si="78"/>
        <v>0</v>
      </c>
      <c r="AF619" s="49">
        <f t="shared" si="78"/>
        <v>0</v>
      </c>
      <c r="AG619" s="291">
        <f t="shared" si="78"/>
        <v>0</v>
      </c>
      <c r="AH619" s="302">
        <f t="shared" si="78"/>
        <v>0</v>
      </c>
      <c r="AI619" s="231">
        <f t="shared" si="78"/>
        <v>0</v>
      </c>
      <c r="AJ619" s="49">
        <f t="shared" si="78"/>
        <v>0</v>
      </c>
      <c r="AK619" s="291">
        <f t="shared" si="78"/>
        <v>0</v>
      </c>
      <c r="AL619" s="302">
        <f t="shared" si="78"/>
        <v>0</v>
      </c>
      <c r="AM619" s="231">
        <f t="shared" si="78"/>
        <v>0</v>
      </c>
      <c r="AN619" s="49">
        <f t="shared" si="78"/>
        <v>0</v>
      </c>
      <c r="AO619" s="291">
        <f t="shared" si="78"/>
        <v>0</v>
      </c>
      <c r="AP619" s="302">
        <f t="shared" si="78"/>
        <v>15103</v>
      </c>
      <c r="AQ619" s="231">
        <f t="shared" si="78"/>
        <v>9572</v>
      </c>
      <c r="AR619" s="49">
        <f t="shared" si="78"/>
        <v>10808</v>
      </c>
      <c r="AS619" s="291">
        <f t="shared" si="78"/>
        <v>13937</v>
      </c>
      <c r="AT619" s="302">
        <f t="shared" si="78"/>
        <v>0</v>
      </c>
      <c r="AU619" s="231">
        <f t="shared" si="78"/>
        <v>0</v>
      </c>
      <c r="AV619" s="49">
        <f t="shared" si="78"/>
        <v>0</v>
      </c>
      <c r="AW619" s="291">
        <f t="shared" si="78"/>
        <v>0</v>
      </c>
      <c r="AX619" s="302">
        <f t="shared" si="78"/>
        <v>0</v>
      </c>
      <c r="AY619" s="231">
        <f t="shared" si="78"/>
        <v>0</v>
      </c>
      <c r="AZ619" s="49">
        <f t="shared" si="78"/>
        <v>0</v>
      </c>
      <c r="BA619" s="231">
        <f t="shared" si="78"/>
        <v>0</v>
      </c>
      <c r="BB619" s="49">
        <f t="shared" si="78"/>
        <v>0</v>
      </c>
      <c r="BC619" s="82">
        <f t="shared" si="78"/>
        <v>0</v>
      </c>
      <c r="BD619" s="49">
        <f t="shared" si="78"/>
        <v>0</v>
      </c>
      <c r="BE619" s="82">
        <f t="shared" si="78"/>
        <v>0</v>
      </c>
      <c r="BF619" s="49">
        <f t="shared" si="78"/>
        <v>0</v>
      </c>
      <c r="BG619" s="82">
        <f t="shared" si="78"/>
        <v>0</v>
      </c>
      <c r="BH619" s="49">
        <f t="shared" si="78"/>
        <v>0</v>
      </c>
      <c r="BI619" s="82">
        <f t="shared" si="78"/>
        <v>0</v>
      </c>
      <c r="BJ619" s="49">
        <f t="shared" si="78"/>
        <v>0</v>
      </c>
      <c r="BK619" s="82">
        <f t="shared" si="78"/>
        <v>0</v>
      </c>
    </row>
    <row r="620" spans="1:63" ht="13" x14ac:dyDescent="0.25">
      <c r="A620" s="379"/>
      <c r="B620" s="381" t="s">
        <v>23</v>
      </c>
      <c r="C620" s="235">
        <f>SUM(C226:C230)+SUM(C475:C477)</f>
        <v>10312</v>
      </c>
      <c r="D620" s="235">
        <f>SUM(D226:D230)+SUM(D475:D477)</f>
        <v>4756</v>
      </c>
      <c r="E620" s="367">
        <v>0.5242239628662605</v>
      </c>
      <c r="F620" s="49">
        <f t="shared" ref="F620:BK620" si="79">SUM(F226:F230)+SUM(F475:F477)</f>
        <v>1822</v>
      </c>
      <c r="G620" s="230">
        <f t="shared" si="79"/>
        <v>2895</v>
      </c>
      <c r="H620" s="49">
        <f t="shared" si="79"/>
        <v>2429</v>
      </c>
      <c r="I620" s="291">
        <f t="shared" si="79"/>
        <v>2245</v>
      </c>
      <c r="J620" s="302">
        <f t="shared" si="79"/>
        <v>0</v>
      </c>
      <c r="K620" s="231">
        <f t="shared" si="79"/>
        <v>0</v>
      </c>
      <c r="L620" s="49">
        <f t="shared" si="79"/>
        <v>0</v>
      </c>
      <c r="M620" s="291">
        <f t="shared" si="79"/>
        <v>0</v>
      </c>
      <c r="N620" s="302">
        <f t="shared" si="79"/>
        <v>0</v>
      </c>
      <c r="O620" s="231">
        <f t="shared" si="79"/>
        <v>0</v>
      </c>
      <c r="P620" s="49">
        <f t="shared" si="79"/>
        <v>0</v>
      </c>
      <c r="Q620" s="291">
        <f t="shared" si="79"/>
        <v>0</v>
      </c>
      <c r="R620" s="302">
        <f t="shared" si="79"/>
        <v>0</v>
      </c>
      <c r="S620" s="231">
        <f t="shared" si="79"/>
        <v>0</v>
      </c>
      <c r="T620" s="49">
        <f t="shared" si="79"/>
        <v>0</v>
      </c>
      <c r="U620" s="291">
        <f t="shared" si="79"/>
        <v>0</v>
      </c>
      <c r="V620" s="302">
        <f t="shared" si="79"/>
        <v>0</v>
      </c>
      <c r="W620" s="231">
        <f t="shared" si="79"/>
        <v>0</v>
      </c>
      <c r="X620" s="49">
        <f t="shared" si="79"/>
        <v>0</v>
      </c>
      <c r="Y620" s="291">
        <f t="shared" si="79"/>
        <v>0</v>
      </c>
      <c r="Z620" s="302">
        <f t="shared" si="79"/>
        <v>0</v>
      </c>
      <c r="AA620" s="231">
        <f t="shared" si="79"/>
        <v>0</v>
      </c>
      <c r="AB620" s="49">
        <f t="shared" si="79"/>
        <v>0</v>
      </c>
      <c r="AC620" s="291">
        <f t="shared" si="79"/>
        <v>0</v>
      </c>
      <c r="AD620" s="302">
        <f t="shared" si="79"/>
        <v>0</v>
      </c>
      <c r="AE620" s="231">
        <f t="shared" si="79"/>
        <v>0</v>
      </c>
      <c r="AF620" s="49">
        <f t="shared" si="79"/>
        <v>0</v>
      </c>
      <c r="AG620" s="291">
        <f t="shared" si="79"/>
        <v>0</v>
      </c>
      <c r="AH620" s="302">
        <f t="shared" si="79"/>
        <v>0</v>
      </c>
      <c r="AI620" s="231">
        <f t="shared" si="79"/>
        <v>0</v>
      </c>
      <c r="AJ620" s="49">
        <f t="shared" si="79"/>
        <v>0</v>
      </c>
      <c r="AK620" s="291">
        <f t="shared" si="79"/>
        <v>0</v>
      </c>
      <c r="AL620" s="302">
        <f t="shared" si="79"/>
        <v>0</v>
      </c>
      <c r="AM620" s="231">
        <f t="shared" si="79"/>
        <v>0</v>
      </c>
      <c r="AN620" s="49">
        <f t="shared" si="79"/>
        <v>0</v>
      </c>
      <c r="AO620" s="291">
        <f t="shared" si="79"/>
        <v>0</v>
      </c>
      <c r="AP620" s="302">
        <f t="shared" si="79"/>
        <v>2371</v>
      </c>
      <c r="AQ620" s="231">
        <f t="shared" si="79"/>
        <v>2253</v>
      </c>
      <c r="AR620" s="49">
        <f t="shared" si="79"/>
        <v>1672</v>
      </c>
      <c r="AS620" s="291">
        <f t="shared" si="79"/>
        <v>2942</v>
      </c>
      <c r="AT620" s="302">
        <f t="shared" si="79"/>
        <v>0</v>
      </c>
      <c r="AU620" s="231">
        <f t="shared" si="79"/>
        <v>0</v>
      </c>
      <c r="AV620" s="49">
        <f t="shared" si="79"/>
        <v>0</v>
      </c>
      <c r="AW620" s="291">
        <f t="shared" si="79"/>
        <v>0</v>
      </c>
      <c r="AX620" s="302">
        <f t="shared" si="79"/>
        <v>0</v>
      </c>
      <c r="AY620" s="231">
        <f t="shared" si="79"/>
        <v>0</v>
      </c>
      <c r="AZ620" s="49">
        <f t="shared" si="79"/>
        <v>0</v>
      </c>
      <c r="BA620" s="231">
        <f t="shared" si="79"/>
        <v>0</v>
      </c>
      <c r="BB620" s="49">
        <f t="shared" si="79"/>
        <v>0</v>
      </c>
      <c r="BC620" s="82">
        <f t="shared" si="79"/>
        <v>0</v>
      </c>
      <c r="BD620" s="49">
        <f t="shared" si="79"/>
        <v>0</v>
      </c>
      <c r="BE620" s="82">
        <f t="shared" si="79"/>
        <v>0</v>
      </c>
      <c r="BF620" s="49">
        <f t="shared" si="79"/>
        <v>0</v>
      </c>
      <c r="BG620" s="82">
        <f t="shared" si="79"/>
        <v>0</v>
      </c>
      <c r="BH620" s="49">
        <f t="shared" si="79"/>
        <v>0</v>
      </c>
      <c r="BI620" s="82">
        <f t="shared" si="79"/>
        <v>0</v>
      </c>
      <c r="BJ620" s="49">
        <f t="shared" si="79"/>
        <v>0</v>
      </c>
      <c r="BK620" s="82">
        <f t="shared" si="79"/>
        <v>0</v>
      </c>
    </row>
    <row r="621" spans="1:63" ht="13" x14ac:dyDescent="0.25">
      <c r="A621" s="379"/>
      <c r="B621" s="381" t="s">
        <v>24</v>
      </c>
      <c r="C621" s="382">
        <f>SUM(C484:C495)</f>
        <v>12299</v>
      </c>
      <c r="D621" s="382">
        <f>SUM(D484:D495)</f>
        <v>6988</v>
      </c>
      <c r="E621" s="367">
        <v>0.6241588708353849</v>
      </c>
      <c r="F621" s="49">
        <f t="shared" ref="F621:BK621" si="80">SUM(F484:F495)</f>
        <v>2537</v>
      </c>
      <c r="G621" s="230">
        <f t="shared" si="80"/>
        <v>4391</v>
      </c>
      <c r="H621" s="49">
        <f t="shared" si="80"/>
        <v>3374</v>
      </c>
      <c r="I621" s="291">
        <f t="shared" si="80"/>
        <v>3484</v>
      </c>
      <c r="J621" s="302">
        <f t="shared" si="80"/>
        <v>343</v>
      </c>
      <c r="K621" s="231">
        <f t="shared" si="80"/>
        <v>802</v>
      </c>
      <c r="L621" s="49">
        <f t="shared" si="80"/>
        <v>0</v>
      </c>
      <c r="M621" s="291">
        <f t="shared" si="80"/>
        <v>0</v>
      </c>
      <c r="N621" s="302">
        <f t="shared" si="80"/>
        <v>0</v>
      </c>
      <c r="O621" s="231">
        <f t="shared" si="80"/>
        <v>0</v>
      </c>
      <c r="P621" s="49">
        <f t="shared" si="80"/>
        <v>0</v>
      </c>
      <c r="Q621" s="291">
        <f t="shared" si="80"/>
        <v>0</v>
      </c>
      <c r="R621" s="302">
        <f t="shared" si="80"/>
        <v>0</v>
      </c>
      <c r="S621" s="231">
        <f t="shared" si="80"/>
        <v>0</v>
      </c>
      <c r="T621" s="49">
        <f t="shared" si="80"/>
        <v>0</v>
      </c>
      <c r="U621" s="291">
        <f t="shared" si="80"/>
        <v>0</v>
      </c>
      <c r="V621" s="302">
        <f t="shared" si="80"/>
        <v>0</v>
      </c>
      <c r="W621" s="231">
        <f t="shared" si="80"/>
        <v>0</v>
      </c>
      <c r="X621" s="49">
        <f t="shared" si="80"/>
        <v>0</v>
      </c>
      <c r="Y621" s="291">
        <f t="shared" si="80"/>
        <v>0</v>
      </c>
      <c r="Z621" s="302">
        <f t="shared" si="80"/>
        <v>0</v>
      </c>
      <c r="AA621" s="231">
        <f t="shared" si="80"/>
        <v>0</v>
      </c>
      <c r="AB621" s="49">
        <f t="shared" si="80"/>
        <v>0</v>
      </c>
      <c r="AC621" s="291">
        <f t="shared" si="80"/>
        <v>0</v>
      </c>
      <c r="AD621" s="302">
        <f t="shared" si="80"/>
        <v>0</v>
      </c>
      <c r="AE621" s="231">
        <f t="shared" si="80"/>
        <v>0</v>
      </c>
      <c r="AF621" s="49">
        <f t="shared" si="80"/>
        <v>0</v>
      </c>
      <c r="AG621" s="291">
        <f t="shared" si="80"/>
        <v>0</v>
      </c>
      <c r="AH621" s="302">
        <f t="shared" si="80"/>
        <v>0</v>
      </c>
      <c r="AI621" s="231">
        <f t="shared" si="80"/>
        <v>0</v>
      </c>
      <c r="AJ621" s="49">
        <f t="shared" si="80"/>
        <v>2155</v>
      </c>
      <c r="AK621" s="291">
        <f t="shared" si="80"/>
        <v>2779</v>
      </c>
      <c r="AL621" s="302">
        <f t="shared" si="80"/>
        <v>0</v>
      </c>
      <c r="AM621" s="231">
        <f t="shared" si="80"/>
        <v>0</v>
      </c>
      <c r="AN621" s="49">
        <f t="shared" si="80"/>
        <v>0</v>
      </c>
      <c r="AO621" s="291">
        <f t="shared" si="80"/>
        <v>0</v>
      </c>
      <c r="AP621" s="302">
        <f t="shared" si="80"/>
        <v>3915</v>
      </c>
      <c r="AQ621" s="231">
        <f t="shared" si="80"/>
        <v>2925</v>
      </c>
      <c r="AR621" s="49">
        <f t="shared" si="80"/>
        <v>2610</v>
      </c>
      <c r="AS621" s="291">
        <f t="shared" si="80"/>
        <v>4185</v>
      </c>
      <c r="AT621" s="302">
        <f t="shared" si="80"/>
        <v>0</v>
      </c>
      <c r="AU621" s="231">
        <f t="shared" si="80"/>
        <v>0</v>
      </c>
      <c r="AV621" s="49">
        <f t="shared" si="80"/>
        <v>0</v>
      </c>
      <c r="AW621" s="291">
        <f t="shared" si="80"/>
        <v>0</v>
      </c>
      <c r="AX621" s="302">
        <f t="shared" si="80"/>
        <v>0</v>
      </c>
      <c r="AY621" s="231">
        <f t="shared" si="80"/>
        <v>0</v>
      </c>
      <c r="AZ621" s="49">
        <f t="shared" si="80"/>
        <v>0</v>
      </c>
      <c r="BA621" s="231">
        <f t="shared" si="80"/>
        <v>0</v>
      </c>
      <c r="BB621" s="49">
        <f t="shared" si="80"/>
        <v>0</v>
      </c>
      <c r="BC621" s="82">
        <f t="shared" si="80"/>
        <v>0</v>
      </c>
      <c r="BD621" s="49">
        <f t="shared" si="80"/>
        <v>0</v>
      </c>
      <c r="BE621" s="82">
        <f t="shared" si="80"/>
        <v>0</v>
      </c>
      <c r="BF621" s="49">
        <f t="shared" si="80"/>
        <v>0</v>
      </c>
      <c r="BG621" s="82">
        <f t="shared" si="80"/>
        <v>0</v>
      </c>
      <c r="BH621" s="49">
        <f t="shared" si="80"/>
        <v>0</v>
      </c>
      <c r="BI621" s="82">
        <f t="shared" si="80"/>
        <v>0</v>
      </c>
      <c r="BJ621" s="49">
        <f t="shared" si="80"/>
        <v>0</v>
      </c>
      <c r="BK621" s="82">
        <f t="shared" si="80"/>
        <v>0</v>
      </c>
    </row>
    <row r="622" spans="1:63" ht="13" x14ac:dyDescent="0.25">
      <c r="A622" s="379"/>
      <c r="B622" s="381" t="s">
        <v>25</v>
      </c>
      <c r="C622" s="235">
        <f>SUM(C505:C532)</f>
        <v>26644</v>
      </c>
      <c r="D622" s="235">
        <f>SUM(D505:D532)</f>
        <v>13281</v>
      </c>
      <c r="E622" s="367">
        <v>0.53525460617659204</v>
      </c>
      <c r="F622" s="49">
        <f t="shared" ref="F622:BK622" si="81">SUM(F505:F532)</f>
        <v>8847</v>
      </c>
      <c r="G622" s="230">
        <f t="shared" si="81"/>
        <v>4303</v>
      </c>
      <c r="H622" s="49">
        <f t="shared" si="81"/>
        <v>8551</v>
      </c>
      <c r="I622" s="291">
        <f t="shared" si="81"/>
        <v>4492</v>
      </c>
      <c r="J622" s="302">
        <f t="shared" si="81"/>
        <v>0</v>
      </c>
      <c r="K622" s="231">
        <f t="shared" si="81"/>
        <v>0</v>
      </c>
      <c r="L622" s="49">
        <f t="shared" si="81"/>
        <v>0</v>
      </c>
      <c r="M622" s="291">
        <f t="shared" si="81"/>
        <v>0</v>
      </c>
      <c r="N622" s="302">
        <f t="shared" si="81"/>
        <v>0</v>
      </c>
      <c r="O622" s="231">
        <f t="shared" si="81"/>
        <v>0</v>
      </c>
      <c r="P622" s="49">
        <f t="shared" si="81"/>
        <v>0</v>
      </c>
      <c r="Q622" s="291">
        <f t="shared" si="81"/>
        <v>0</v>
      </c>
      <c r="R622" s="302">
        <f t="shared" si="81"/>
        <v>0</v>
      </c>
      <c r="S622" s="231">
        <f t="shared" si="81"/>
        <v>0</v>
      </c>
      <c r="T622" s="49">
        <f t="shared" si="81"/>
        <v>0</v>
      </c>
      <c r="U622" s="291">
        <f t="shared" si="81"/>
        <v>0</v>
      </c>
      <c r="V622" s="302">
        <f t="shared" si="81"/>
        <v>0</v>
      </c>
      <c r="W622" s="231">
        <f t="shared" si="81"/>
        <v>0</v>
      </c>
      <c r="X622" s="49">
        <f t="shared" si="81"/>
        <v>0</v>
      </c>
      <c r="Y622" s="291">
        <f t="shared" si="81"/>
        <v>0</v>
      </c>
      <c r="Z622" s="302">
        <f t="shared" si="81"/>
        <v>0</v>
      </c>
      <c r="AA622" s="231">
        <f t="shared" si="81"/>
        <v>0</v>
      </c>
      <c r="AB622" s="49">
        <f t="shared" si="81"/>
        <v>0</v>
      </c>
      <c r="AC622" s="291">
        <f t="shared" si="81"/>
        <v>0</v>
      </c>
      <c r="AD622" s="302">
        <f t="shared" si="81"/>
        <v>0</v>
      </c>
      <c r="AE622" s="231">
        <f t="shared" si="81"/>
        <v>0</v>
      </c>
      <c r="AF622" s="49">
        <f t="shared" si="81"/>
        <v>0</v>
      </c>
      <c r="AG622" s="291">
        <f t="shared" si="81"/>
        <v>0</v>
      </c>
      <c r="AH622" s="302">
        <f t="shared" si="81"/>
        <v>0</v>
      </c>
      <c r="AI622" s="231">
        <f t="shared" si="81"/>
        <v>0</v>
      </c>
      <c r="AJ622" s="49">
        <f t="shared" si="81"/>
        <v>0</v>
      </c>
      <c r="AK622" s="291">
        <f t="shared" si="81"/>
        <v>0</v>
      </c>
      <c r="AL622" s="302">
        <f t="shared" si="81"/>
        <v>0</v>
      </c>
      <c r="AM622" s="231">
        <f t="shared" si="81"/>
        <v>0</v>
      </c>
      <c r="AN622" s="49">
        <f t="shared" si="81"/>
        <v>0</v>
      </c>
      <c r="AO622" s="291">
        <f t="shared" si="81"/>
        <v>0</v>
      </c>
      <c r="AP622" s="302">
        <f t="shared" si="81"/>
        <v>8404</v>
      </c>
      <c r="AQ622" s="231">
        <f t="shared" si="81"/>
        <v>4568</v>
      </c>
      <c r="AR622" s="49">
        <f t="shared" si="81"/>
        <v>7029</v>
      </c>
      <c r="AS622" s="291">
        <f t="shared" si="81"/>
        <v>6007</v>
      </c>
      <c r="AT622" s="302">
        <f t="shared" si="81"/>
        <v>0</v>
      </c>
      <c r="AU622" s="231">
        <f t="shared" si="81"/>
        <v>0</v>
      </c>
      <c r="AV622" s="49">
        <f t="shared" si="81"/>
        <v>0</v>
      </c>
      <c r="AW622" s="291">
        <f t="shared" si="81"/>
        <v>0</v>
      </c>
      <c r="AX622" s="302">
        <f t="shared" si="81"/>
        <v>0</v>
      </c>
      <c r="AY622" s="231">
        <f t="shared" si="81"/>
        <v>0</v>
      </c>
      <c r="AZ622" s="49">
        <f t="shared" si="81"/>
        <v>0</v>
      </c>
      <c r="BA622" s="231">
        <f t="shared" si="81"/>
        <v>0</v>
      </c>
      <c r="BB622" s="49">
        <f t="shared" si="81"/>
        <v>0</v>
      </c>
      <c r="BC622" s="82">
        <f t="shared" si="81"/>
        <v>0</v>
      </c>
      <c r="BD622" s="49">
        <f t="shared" si="81"/>
        <v>0</v>
      </c>
      <c r="BE622" s="82">
        <f t="shared" si="81"/>
        <v>0</v>
      </c>
      <c r="BF622" s="49">
        <f t="shared" si="81"/>
        <v>0</v>
      </c>
      <c r="BG622" s="82">
        <f t="shared" si="81"/>
        <v>0</v>
      </c>
      <c r="BH622" s="49">
        <f t="shared" si="81"/>
        <v>0</v>
      </c>
      <c r="BI622" s="82">
        <f t="shared" si="81"/>
        <v>0</v>
      </c>
      <c r="BJ622" s="49">
        <f t="shared" si="81"/>
        <v>0</v>
      </c>
      <c r="BK622" s="82">
        <f t="shared" si="81"/>
        <v>0</v>
      </c>
    </row>
    <row r="623" spans="1:63" ht="13" x14ac:dyDescent="0.25">
      <c r="A623" s="379"/>
      <c r="B623" s="381" t="s">
        <v>713</v>
      </c>
      <c r="C623" s="235">
        <f>SUM(C533:C546)</f>
        <v>14300</v>
      </c>
      <c r="D623" s="235">
        <f>SUM(D533:D546)</f>
        <v>7914</v>
      </c>
      <c r="E623" s="367">
        <v>0.59795689896445559</v>
      </c>
      <c r="F623" s="49">
        <f t="shared" ref="F623:BK623" si="82">SUM(F533:F546)</f>
        <v>4741</v>
      </c>
      <c r="G623" s="230">
        <f t="shared" si="82"/>
        <v>3103</v>
      </c>
      <c r="H623" s="49">
        <f t="shared" si="82"/>
        <v>4753</v>
      </c>
      <c r="I623" s="291">
        <f t="shared" si="82"/>
        <v>3005</v>
      </c>
      <c r="J623" s="302">
        <f t="shared" si="82"/>
        <v>0</v>
      </c>
      <c r="K623" s="231">
        <f t="shared" si="82"/>
        <v>0</v>
      </c>
      <c r="L623" s="49">
        <f t="shared" si="82"/>
        <v>0</v>
      </c>
      <c r="M623" s="291">
        <f t="shared" si="82"/>
        <v>0</v>
      </c>
      <c r="N623" s="302">
        <f t="shared" si="82"/>
        <v>0</v>
      </c>
      <c r="O623" s="231">
        <f t="shared" si="82"/>
        <v>0</v>
      </c>
      <c r="P623" s="49">
        <f t="shared" si="82"/>
        <v>0</v>
      </c>
      <c r="Q623" s="291">
        <f t="shared" si="82"/>
        <v>0</v>
      </c>
      <c r="R623" s="302">
        <f t="shared" si="82"/>
        <v>0</v>
      </c>
      <c r="S623" s="231">
        <f t="shared" si="82"/>
        <v>0</v>
      </c>
      <c r="T623" s="49">
        <f t="shared" si="82"/>
        <v>0</v>
      </c>
      <c r="U623" s="291">
        <f t="shared" si="82"/>
        <v>0</v>
      </c>
      <c r="V623" s="302">
        <f t="shared" si="82"/>
        <v>0</v>
      </c>
      <c r="W623" s="231">
        <f t="shared" si="82"/>
        <v>0</v>
      </c>
      <c r="X623" s="49">
        <f t="shared" si="82"/>
        <v>0</v>
      </c>
      <c r="Y623" s="291">
        <f t="shared" si="82"/>
        <v>0</v>
      </c>
      <c r="Z623" s="302">
        <f t="shared" si="82"/>
        <v>0</v>
      </c>
      <c r="AA623" s="231">
        <f t="shared" si="82"/>
        <v>0</v>
      </c>
      <c r="AB623" s="49">
        <f t="shared" si="82"/>
        <v>0</v>
      </c>
      <c r="AC623" s="291">
        <f t="shared" si="82"/>
        <v>0</v>
      </c>
      <c r="AD623" s="302">
        <f t="shared" si="82"/>
        <v>0</v>
      </c>
      <c r="AE623" s="231">
        <f t="shared" si="82"/>
        <v>0</v>
      </c>
      <c r="AF623" s="49">
        <f t="shared" si="82"/>
        <v>0</v>
      </c>
      <c r="AG623" s="291">
        <f t="shared" si="82"/>
        <v>0</v>
      </c>
      <c r="AH623" s="302">
        <f t="shared" si="82"/>
        <v>0</v>
      </c>
      <c r="AI623" s="231">
        <f t="shared" si="82"/>
        <v>0</v>
      </c>
      <c r="AJ623" s="49">
        <f t="shared" si="82"/>
        <v>0</v>
      </c>
      <c r="AK623" s="291">
        <f t="shared" si="82"/>
        <v>0</v>
      </c>
      <c r="AL623" s="302">
        <f t="shared" si="82"/>
        <v>0</v>
      </c>
      <c r="AM623" s="231">
        <f t="shared" si="82"/>
        <v>0</v>
      </c>
      <c r="AN623" s="49">
        <f t="shared" si="82"/>
        <v>0</v>
      </c>
      <c r="AO623" s="291">
        <f t="shared" si="82"/>
        <v>0</v>
      </c>
      <c r="AP623" s="302">
        <f t="shared" si="82"/>
        <v>5426</v>
      </c>
      <c r="AQ623" s="231">
        <f t="shared" si="82"/>
        <v>2305</v>
      </c>
      <c r="AR623" s="49">
        <f t="shared" si="82"/>
        <v>4502</v>
      </c>
      <c r="AS623" s="291">
        <f t="shared" si="82"/>
        <v>3243</v>
      </c>
      <c r="AT623" s="302">
        <f t="shared" si="82"/>
        <v>0</v>
      </c>
      <c r="AU623" s="231">
        <f t="shared" si="82"/>
        <v>0</v>
      </c>
      <c r="AV623" s="49">
        <f t="shared" si="82"/>
        <v>0</v>
      </c>
      <c r="AW623" s="291">
        <f t="shared" si="82"/>
        <v>0</v>
      </c>
      <c r="AX623" s="302">
        <f t="shared" si="82"/>
        <v>0</v>
      </c>
      <c r="AY623" s="231">
        <f t="shared" si="82"/>
        <v>0</v>
      </c>
      <c r="AZ623" s="49">
        <f t="shared" si="82"/>
        <v>0</v>
      </c>
      <c r="BA623" s="231">
        <f t="shared" si="82"/>
        <v>0</v>
      </c>
      <c r="BB623" s="49">
        <f t="shared" si="82"/>
        <v>0</v>
      </c>
      <c r="BC623" s="82">
        <f t="shared" si="82"/>
        <v>0</v>
      </c>
      <c r="BD623" s="49">
        <f t="shared" si="82"/>
        <v>0</v>
      </c>
      <c r="BE623" s="82">
        <f t="shared" si="82"/>
        <v>0</v>
      </c>
      <c r="BF623" s="49">
        <f t="shared" si="82"/>
        <v>0</v>
      </c>
      <c r="BG623" s="82">
        <f t="shared" si="82"/>
        <v>0</v>
      </c>
      <c r="BH623" s="49">
        <f t="shared" si="82"/>
        <v>0</v>
      </c>
      <c r="BI623" s="82">
        <f t="shared" si="82"/>
        <v>0</v>
      </c>
      <c r="BJ623" s="49">
        <f t="shared" si="82"/>
        <v>0</v>
      </c>
      <c r="BK623" s="82">
        <f t="shared" si="82"/>
        <v>0</v>
      </c>
    </row>
    <row r="624" spans="1:63" ht="13" x14ac:dyDescent="0.25">
      <c r="A624" s="379"/>
      <c r="B624" s="381" t="s">
        <v>714</v>
      </c>
      <c r="C624" s="382">
        <f>SUM(C547:C558)</f>
        <v>11251</v>
      </c>
      <c r="D624" s="382">
        <f>SUM(D547:D558)</f>
        <v>6598</v>
      </c>
      <c r="E624" s="367">
        <v>0.64246953118049999</v>
      </c>
      <c r="F624" s="49">
        <f t="shared" ref="F624:BK624" si="83">SUM(F547:F558)</f>
        <v>4069</v>
      </c>
      <c r="G624" s="230">
        <f t="shared" si="83"/>
        <v>2484</v>
      </c>
      <c r="H624" s="49">
        <f t="shared" si="83"/>
        <v>3802</v>
      </c>
      <c r="I624" s="291">
        <f t="shared" si="83"/>
        <v>2679</v>
      </c>
      <c r="J624" s="302">
        <f t="shared" si="83"/>
        <v>0</v>
      </c>
      <c r="K624" s="231">
        <f t="shared" si="83"/>
        <v>0</v>
      </c>
      <c r="L624" s="49">
        <f t="shared" si="83"/>
        <v>0</v>
      </c>
      <c r="M624" s="291">
        <f t="shared" si="83"/>
        <v>0</v>
      </c>
      <c r="N624" s="302">
        <f t="shared" si="83"/>
        <v>0</v>
      </c>
      <c r="O624" s="231">
        <f t="shared" si="83"/>
        <v>0</v>
      </c>
      <c r="P624" s="49">
        <f t="shared" si="83"/>
        <v>0</v>
      </c>
      <c r="Q624" s="291">
        <f t="shared" si="83"/>
        <v>0</v>
      </c>
      <c r="R624" s="302">
        <f t="shared" si="83"/>
        <v>0</v>
      </c>
      <c r="S624" s="231">
        <f t="shared" si="83"/>
        <v>0</v>
      </c>
      <c r="T624" s="49">
        <f t="shared" si="83"/>
        <v>0</v>
      </c>
      <c r="U624" s="291">
        <f t="shared" si="83"/>
        <v>0</v>
      </c>
      <c r="V624" s="302">
        <f t="shared" si="83"/>
        <v>0</v>
      </c>
      <c r="W624" s="231">
        <f t="shared" si="83"/>
        <v>0</v>
      </c>
      <c r="X624" s="49">
        <f t="shared" si="83"/>
        <v>0</v>
      </c>
      <c r="Y624" s="291">
        <f t="shared" si="83"/>
        <v>0</v>
      </c>
      <c r="Z624" s="302">
        <f t="shared" si="83"/>
        <v>0</v>
      </c>
      <c r="AA624" s="231">
        <f t="shared" si="83"/>
        <v>0</v>
      </c>
      <c r="AB624" s="49">
        <f t="shared" si="83"/>
        <v>0</v>
      </c>
      <c r="AC624" s="291">
        <f t="shared" si="83"/>
        <v>0</v>
      </c>
      <c r="AD624" s="302">
        <f t="shared" si="83"/>
        <v>0</v>
      </c>
      <c r="AE624" s="231">
        <f t="shared" si="83"/>
        <v>0</v>
      </c>
      <c r="AF624" s="49">
        <f t="shared" si="83"/>
        <v>0</v>
      </c>
      <c r="AG624" s="291">
        <f t="shared" si="83"/>
        <v>0</v>
      </c>
      <c r="AH624" s="302">
        <f t="shared" si="83"/>
        <v>0</v>
      </c>
      <c r="AI624" s="231">
        <f t="shared" si="83"/>
        <v>0</v>
      </c>
      <c r="AJ624" s="49">
        <f t="shared" si="83"/>
        <v>0</v>
      </c>
      <c r="AK624" s="291">
        <f t="shared" si="83"/>
        <v>0</v>
      </c>
      <c r="AL624" s="302">
        <f t="shared" si="83"/>
        <v>0</v>
      </c>
      <c r="AM624" s="231">
        <f t="shared" si="83"/>
        <v>0</v>
      </c>
      <c r="AN624" s="49">
        <f t="shared" si="83"/>
        <v>0</v>
      </c>
      <c r="AO624" s="291">
        <f t="shared" si="83"/>
        <v>0</v>
      </c>
      <c r="AP624" s="302">
        <f t="shared" si="83"/>
        <v>4478</v>
      </c>
      <c r="AQ624" s="231">
        <f t="shared" si="83"/>
        <v>1993</v>
      </c>
      <c r="AR624" s="49">
        <f t="shared" si="83"/>
        <v>3578</v>
      </c>
      <c r="AS624" s="291">
        <f t="shared" si="83"/>
        <v>2883</v>
      </c>
      <c r="AT624" s="302">
        <f t="shared" si="83"/>
        <v>0</v>
      </c>
      <c r="AU624" s="231">
        <f t="shared" si="83"/>
        <v>0</v>
      </c>
      <c r="AV624" s="49">
        <f t="shared" si="83"/>
        <v>0</v>
      </c>
      <c r="AW624" s="291">
        <f t="shared" si="83"/>
        <v>0</v>
      </c>
      <c r="AX624" s="302">
        <f t="shared" si="83"/>
        <v>0</v>
      </c>
      <c r="AY624" s="231">
        <f t="shared" si="83"/>
        <v>0</v>
      </c>
      <c r="AZ624" s="49">
        <f t="shared" si="83"/>
        <v>0</v>
      </c>
      <c r="BA624" s="231">
        <f t="shared" si="83"/>
        <v>0</v>
      </c>
      <c r="BB624" s="49">
        <f t="shared" si="83"/>
        <v>0</v>
      </c>
      <c r="BC624" s="82">
        <f t="shared" si="83"/>
        <v>0</v>
      </c>
      <c r="BD624" s="49">
        <f t="shared" si="83"/>
        <v>0</v>
      </c>
      <c r="BE624" s="82">
        <f t="shared" si="83"/>
        <v>0</v>
      </c>
      <c r="BF624" s="49">
        <f t="shared" si="83"/>
        <v>0</v>
      </c>
      <c r="BG624" s="82">
        <f t="shared" si="83"/>
        <v>0</v>
      </c>
      <c r="BH624" s="49">
        <f t="shared" si="83"/>
        <v>0</v>
      </c>
      <c r="BI624" s="82">
        <f t="shared" si="83"/>
        <v>0</v>
      </c>
      <c r="BJ624" s="49">
        <f t="shared" si="83"/>
        <v>0</v>
      </c>
      <c r="BK624" s="82">
        <f t="shared" si="83"/>
        <v>0</v>
      </c>
    </row>
    <row r="625" spans="1:63" ht="13" x14ac:dyDescent="0.25">
      <c r="A625" s="379"/>
      <c r="B625" s="381" t="s">
        <v>715</v>
      </c>
      <c r="C625" s="235">
        <f>SUM(C561:C563)</f>
        <v>4051</v>
      </c>
      <c r="D625" s="235">
        <f>SUM(D561:D563)</f>
        <v>1506</v>
      </c>
      <c r="E625" s="367">
        <v>0.4437869822485207</v>
      </c>
      <c r="F625" s="49">
        <f t="shared" ref="F625:BK625" si="84">SUM(F561:F563)</f>
        <v>625</v>
      </c>
      <c r="G625" s="230">
        <f t="shared" si="84"/>
        <v>871</v>
      </c>
      <c r="H625" s="49">
        <f t="shared" si="84"/>
        <v>842</v>
      </c>
      <c r="I625" s="291">
        <f t="shared" si="84"/>
        <v>636</v>
      </c>
      <c r="J625" s="302">
        <f t="shared" si="84"/>
        <v>0</v>
      </c>
      <c r="K625" s="231">
        <f t="shared" si="84"/>
        <v>0</v>
      </c>
      <c r="L625" s="49">
        <f t="shared" si="84"/>
        <v>0</v>
      </c>
      <c r="M625" s="291">
        <f t="shared" si="84"/>
        <v>0</v>
      </c>
      <c r="N625" s="302">
        <f t="shared" si="84"/>
        <v>0</v>
      </c>
      <c r="O625" s="231">
        <f t="shared" si="84"/>
        <v>0</v>
      </c>
      <c r="P625" s="49">
        <f t="shared" si="84"/>
        <v>0</v>
      </c>
      <c r="Q625" s="291">
        <f t="shared" si="84"/>
        <v>0</v>
      </c>
      <c r="R625" s="302">
        <f t="shared" si="84"/>
        <v>0</v>
      </c>
      <c r="S625" s="231">
        <f t="shared" si="84"/>
        <v>0</v>
      </c>
      <c r="T625" s="49">
        <f t="shared" si="84"/>
        <v>0</v>
      </c>
      <c r="U625" s="291">
        <f t="shared" si="84"/>
        <v>0</v>
      </c>
      <c r="V625" s="302">
        <f t="shared" si="84"/>
        <v>0</v>
      </c>
      <c r="W625" s="231">
        <f t="shared" si="84"/>
        <v>0</v>
      </c>
      <c r="X625" s="49">
        <f t="shared" si="84"/>
        <v>0</v>
      </c>
      <c r="Y625" s="291">
        <f t="shared" si="84"/>
        <v>0</v>
      </c>
      <c r="Z625" s="302">
        <f t="shared" si="84"/>
        <v>0</v>
      </c>
      <c r="AA625" s="231">
        <f t="shared" si="84"/>
        <v>0</v>
      </c>
      <c r="AB625" s="49">
        <f t="shared" si="84"/>
        <v>0</v>
      </c>
      <c r="AC625" s="291">
        <f t="shared" si="84"/>
        <v>0</v>
      </c>
      <c r="AD625" s="302">
        <f t="shared" si="84"/>
        <v>0</v>
      </c>
      <c r="AE625" s="231">
        <f t="shared" si="84"/>
        <v>0</v>
      </c>
      <c r="AF625" s="49">
        <f t="shared" si="84"/>
        <v>0</v>
      </c>
      <c r="AG625" s="291">
        <f t="shared" si="84"/>
        <v>0</v>
      </c>
      <c r="AH625" s="302">
        <f t="shared" si="84"/>
        <v>0</v>
      </c>
      <c r="AI625" s="231">
        <f t="shared" si="84"/>
        <v>0</v>
      </c>
      <c r="AJ625" s="49">
        <f t="shared" si="84"/>
        <v>0</v>
      </c>
      <c r="AK625" s="291">
        <f t="shared" si="84"/>
        <v>0</v>
      </c>
      <c r="AL625" s="302">
        <f t="shared" si="84"/>
        <v>0</v>
      </c>
      <c r="AM625" s="231">
        <f t="shared" si="84"/>
        <v>0</v>
      </c>
      <c r="AN625" s="49">
        <f t="shared" si="84"/>
        <v>0</v>
      </c>
      <c r="AO625" s="291">
        <f t="shared" si="84"/>
        <v>0</v>
      </c>
      <c r="AP625" s="302">
        <f t="shared" si="84"/>
        <v>687</v>
      </c>
      <c r="AQ625" s="231">
        <f t="shared" si="84"/>
        <v>781</v>
      </c>
      <c r="AR625" s="49">
        <f t="shared" si="84"/>
        <v>497</v>
      </c>
      <c r="AS625" s="291">
        <f t="shared" si="84"/>
        <v>977</v>
      </c>
      <c r="AT625" s="302">
        <f t="shared" si="84"/>
        <v>0</v>
      </c>
      <c r="AU625" s="231">
        <f t="shared" si="84"/>
        <v>0</v>
      </c>
      <c r="AV625" s="49">
        <f t="shared" si="84"/>
        <v>0</v>
      </c>
      <c r="AW625" s="291">
        <f t="shared" si="84"/>
        <v>0</v>
      </c>
      <c r="AX625" s="302">
        <f t="shared" si="84"/>
        <v>0</v>
      </c>
      <c r="AY625" s="231">
        <f t="shared" si="84"/>
        <v>0</v>
      </c>
      <c r="AZ625" s="49">
        <f t="shared" si="84"/>
        <v>0</v>
      </c>
      <c r="BA625" s="231">
        <f t="shared" si="84"/>
        <v>0</v>
      </c>
      <c r="BB625" s="49">
        <f t="shared" si="84"/>
        <v>0</v>
      </c>
      <c r="BC625" s="82">
        <f t="shared" si="84"/>
        <v>0</v>
      </c>
      <c r="BD625" s="49">
        <f t="shared" si="84"/>
        <v>0</v>
      </c>
      <c r="BE625" s="82">
        <f t="shared" si="84"/>
        <v>0</v>
      </c>
      <c r="BF625" s="49">
        <f t="shared" si="84"/>
        <v>0</v>
      </c>
      <c r="BG625" s="82">
        <f t="shared" si="84"/>
        <v>0</v>
      </c>
      <c r="BH625" s="49">
        <f t="shared" si="84"/>
        <v>0</v>
      </c>
      <c r="BI625" s="82">
        <f t="shared" si="84"/>
        <v>0</v>
      </c>
      <c r="BJ625" s="49">
        <f t="shared" si="84"/>
        <v>0</v>
      </c>
      <c r="BK625" s="82">
        <f t="shared" si="84"/>
        <v>0</v>
      </c>
    </row>
    <row r="626" spans="1:63" ht="13" x14ac:dyDescent="0.25">
      <c r="A626" s="379"/>
      <c r="B626" s="381" t="s">
        <v>10</v>
      </c>
      <c r="C626" s="235">
        <f>SUM(C484)</f>
        <v>581</v>
      </c>
      <c r="D626" s="235">
        <f>SUM(D484)</f>
        <v>179</v>
      </c>
      <c r="E626" s="367">
        <v>0.35776614310645727</v>
      </c>
      <c r="F626" s="49">
        <f t="shared" ref="F626:BK626" si="85">SUM(F484)</f>
        <v>87</v>
      </c>
      <c r="G626" s="230">
        <f t="shared" si="85"/>
        <v>88</v>
      </c>
      <c r="H626" s="49">
        <f t="shared" si="85"/>
        <v>125</v>
      </c>
      <c r="I626" s="291">
        <f t="shared" si="85"/>
        <v>52</v>
      </c>
      <c r="J626" s="302">
        <f t="shared" si="85"/>
        <v>0</v>
      </c>
      <c r="K626" s="231">
        <f t="shared" si="85"/>
        <v>0</v>
      </c>
      <c r="L626" s="49">
        <f t="shared" si="85"/>
        <v>0</v>
      </c>
      <c r="M626" s="291">
        <f t="shared" si="85"/>
        <v>0</v>
      </c>
      <c r="N626" s="302">
        <f t="shared" si="85"/>
        <v>0</v>
      </c>
      <c r="O626" s="231">
        <f t="shared" si="85"/>
        <v>0</v>
      </c>
      <c r="P626" s="49">
        <f t="shared" si="85"/>
        <v>0</v>
      </c>
      <c r="Q626" s="291">
        <f t="shared" si="85"/>
        <v>0</v>
      </c>
      <c r="R626" s="302">
        <f t="shared" si="85"/>
        <v>0</v>
      </c>
      <c r="S626" s="231">
        <f t="shared" si="85"/>
        <v>0</v>
      </c>
      <c r="T626" s="49">
        <f t="shared" si="85"/>
        <v>0</v>
      </c>
      <c r="U626" s="291">
        <f t="shared" si="85"/>
        <v>0</v>
      </c>
      <c r="V626" s="302">
        <f t="shared" si="85"/>
        <v>0</v>
      </c>
      <c r="W626" s="231">
        <f t="shared" si="85"/>
        <v>0</v>
      </c>
      <c r="X626" s="49">
        <f t="shared" si="85"/>
        <v>0</v>
      </c>
      <c r="Y626" s="291">
        <f t="shared" si="85"/>
        <v>0</v>
      </c>
      <c r="Z626" s="302">
        <f t="shared" si="85"/>
        <v>0</v>
      </c>
      <c r="AA626" s="231">
        <f t="shared" si="85"/>
        <v>0</v>
      </c>
      <c r="AB626" s="49">
        <f t="shared" si="85"/>
        <v>0</v>
      </c>
      <c r="AC626" s="291">
        <f t="shared" si="85"/>
        <v>0</v>
      </c>
      <c r="AD626" s="302">
        <f t="shared" si="85"/>
        <v>0</v>
      </c>
      <c r="AE626" s="231">
        <f t="shared" si="85"/>
        <v>0</v>
      </c>
      <c r="AF626" s="49">
        <f t="shared" si="85"/>
        <v>0</v>
      </c>
      <c r="AG626" s="291">
        <f t="shared" si="85"/>
        <v>0</v>
      </c>
      <c r="AH626" s="302">
        <f t="shared" si="85"/>
        <v>0</v>
      </c>
      <c r="AI626" s="231">
        <f t="shared" si="85"/>
        <v>0</v>
      </c>
      <c r="AJ626" s="49">
        <f t="shared" si="85"/>
        <v>0</v>
      </c>
      <c r="AK626" s="291">
        <f t="shared" si="85"/>
        <v>0</v>
      </c>
      <c r="AL626" s="302">
        <f t="shared" si="85"/>
        <v>0</v>
      </c>
      <c r="AM626" s="231">
        <f t="shared" si="85"/>
        <v>0</v>
      </c>
      <c r="AN626" s="49">
        <f t="shared" si="85"/>
        <v>0</v>
      </c>
      <c r="AO626" s="291">
        <f t="shared" si="85"/>
        <v>0</v>
      </c>
      <c r="AP626" s="302">
        <f t="shared" si="85"/>
        <v>102</v>
      </c>
      <c r="AQ626" s="231">
        <f t="shared" si="85"/>
        <v>75</v>
      </c>
      <c r="AR626" s="49">
        <f t="shared" si="85"/>
        <v>76</v>
      </c>
      <c r="AS626" s="291">
        <f t="shared" si="85"/>
        <v>96</v>
      </c>
      <c r="AT626" s="302">
        <f t="shared" si="85"/>
        <v>0</v>
      </c>
      <c r="AU626" s="231">
        <f t="shared" si="85"/>
        <v>0</v>
      </c>
      <c r="AV626" s="49">
        <f t="shared" si="85"/>
        <v>0</v>
      </c>
      <c r="AW626" s="291">
        <f t="shared" si="85"/>
        <v>0</v>
      </c>
      <c r="AX626" s="302">
        <f t="shared" si="85"/>
        <v>0</v>
      </c>
      <c r="AY626" s="231">
        <f t="shared" si="85"/>
        <v>0</v>
      </c>
      <c r="AZ626" s="49">
        <f t="shared" si="85"/>
        <v>0</v>
      </c>
      <c r="BA626" s="231">
        <f t="shared" si="85"/>
        <v>0</v>
      </c>
      <c r="BB626" s="49">
        <f t="shared" si="85"/>
        <v>0</v>
      </c>
      <c r="BC626" s="82">
        <f t="shared" si="85"/>
        <v>0</v>
      </c>
      <c r="BD626" s="49">
        <f t="shared" si="85"/>
        <v>0</v>
      </c>
      <c r="BE626" s="82">
        <f t="shared" si="85"/>
        <v>0</v>
      </c>
      <c r="BF626" s="49">
        <f t="shared" si="85"/>
        <v>0</v>
      </c>
      <c r="BG626" s="82">
        <f t="shared" si="85"/>
        <v>0</v>
      </c>
      <c r="BH626" s="49">
        <f t="shared" si="85"/>
        <v>0</v>
      </c>
      <c r="BI626" s="82">
        <f t="shared" si="85"/>
        <v>0</v>
      </c>
      <c r="BJ626" s="49">
        <f t="shared" si="85"/>
        <v>0</v>
      </c>
      <c r="BK626" s="82">
        <f t="shared" si="85"/>
        <v>0</v>
      </c>
    </row>
    <row r="627" spans="1:63" ht="13" x14ac:dyDescent="0.25">
      <c r="A627" s="379"/>
      <c r="B627" s="381" t="s">
        <v>11</v>
      </c>
      <c r="C627" s="235">
        <f>SUM(C315:C318)</f>
        <v>3145</v>
      </c>
      <c r="D627" s="235">
        <f>SUM(D315:D318)</f>
        <v>2078</v>
      </c>
      <c r="E627" s="367">
        <v>0.71638454167997445</v>
      </c>
      <c r="F627" s="49">
        <f t="shared" ref="F627:BK627" si="86">SUM(F315:F318)</f>
        <v>1483</v>
      </c>
      <c r="G627" s="230">
        <f t="shared" si="86"/>
        <v>579</v>
      </c>
      <c r="H627" s="49">
        <f t="shared" si="86"/>
        <v>1292</v>
      </c>
      <c r="I627" s="291">
        <f t="shared" si="86"/>
        <v>742</v>
      </c>
      <c r="J627" s="302">
        <f t="shared" si="86"/>
        <v>0</v>
      </c>
      <c r="K627" s="231">
        <f t="shared" si="86"/>
        <v>0</v>
      </c>
      <c r="L627" s="49">
        <f t="shared" si="86"/>
        <v>0</v>
      </c>
      <c r="M627" s="291">
        <f t="shared" si="86"/>
        <v>0</v>
      </c>
      <c r="N627" s="302">
        <f t="shared" si="86"/>
        <v>0</v>
      </c>
      <c r="O627" s="231">
        <f t="shared" si="86"/>
        <v>0</v>
      </c>
      <c r="P627" s="49">
        <f t="shared" si="86"/>
        <v>0</v>
      </c>
      <c r="Q627" s="291">
        <f t="shared" si="86"/>
        <v>0</v>
      </c>
      <c r="R627" s="302">
        <f t="shared" si="86"/>
        <v>0</v>
      </c>
      <c r="S627" s="231">
        <f t="shared" si="86"/>
        <v>0</v>
      </c>
      <c r="T627" s="49">
        <f t="shared" si="86"/>
        <v>0</v>
      </c>
      <c r="U627" s="291">
        <f t="shared" si="86"/>
        <v>0</v>
      </c>
      <c r="V627" s="302">
        <f t="shared" si="86"/>
        <v>0</v>
      </c>
      <c r="W627" s="231">
        <f t="shared" si="86"/>
        <v>0</v>
      </c>
      <c r="X627" s="49">
        <f t="shared" si="86"/>
        <v>0</v>
      </c>
      <c r="Y627" s="291">
        <f t="shared" si="86"/>
        <v>0</v>
      </c>
      <c r="Z627" s="302">
        <f t="shared" si="86"/>
        <v>0</v>
      </c>
      <c r="AA627" s="231">
        <f t="shared" si="86"/>
        <v>0</v>
      </c>
      <c r="AB627" s="49">
        <f t="shared" si="86"/>
        <v>0</v>
      </c>
      <c r="AC627" s="291">
        <f t="shared" si="86"/>
        <v>0</v>
      </c>
      <c r="AD627" s="302">
        <f t="shared" si="86"/>
        <v>0</v>
      </c>
      <c r="AE627" s="231">
        <f t="shared" si="86"/>
        <v>0</v>
      </c>
      <c r="AF627" s="49">
        <f t="shared" si="86"/>
        <v>0</v>
      </c>
      <c r="AG627" s="291">
        <f t="shared" si="86"/>
        <v>0</v>
      </c>
      <c r="AH627" s="302">
        <f t="shared" si="86"/>
        <v>0</v>
      </c>
      <c r="AI627" s="231">
        <f t="shared" si="86"/>
        <v>0</v>
      </c>
      <c r="AJ627" s="49">
        <f t="shared" si="86"/>
        <v>0</v>
      </c>
      <c r="AK627" s="291">
        <f t="shared" si="86"/>
        <v>0</v>
      </c>
      <c r="AL627" s="302">
        <f t="shared" si="86"/>
        <v>0</v>
      </c>
      <c r="AM627" s="231">
        <f t="shared" si="86"/>
        <v>0</v>
      </c>
      <c r="AN627" s="49">
        <f t="shared" si="86"/>
        <v>0</v>
      </c>
      <c r="AO627" s="291">
        <f t="shared" si="86"/>
        <v>0</v>
      </c>
      <c r="AP627" s="302">
        <f t="shared" si="86"/>
        <v>1508</v>
      </c>
      <c r="AQ627" s="231">
        <f t="shared" si="86"/>
        <v>530</v>
      </c>
      <c r="AR627" s="49">
        <f t="shared" si="86"/>
        <v>1287</v>
      </c>
      <c r="AS627" s="291">
        <f t="shared" si="86"/>
        <v>729</v>
      </c>
      <c r="AT627" s="302">
        <f t="shared" si="86"/>
        <v>0</v>
      </c>
      <c r="AU627" s="231">
        <f t="shared" si="86"/>
        <v>0</v>
      </c>
      <c r="AV627" s="49">
        <f t="shared" si="86"/>
        <v>0</v>
      </c>
      <c r="AW627" s="291">
        <f t="shared" si="86"/>
        <v>0</v>
      </c>
      <c r="AX627" s="302">
        <f t="shared" si="86"/>
        <v>0</v>
      </c>
      <c r="AY627" s="231">
        <f t="shared" si="86"/>
        <v>0</v>
      </c>
      <c r="AZ627" s="49">
        <f t="shared" si="86"/>
        <v>0</v>
      </c>
      <c r="BA627" s="231">
        <f t="shared" si="86"/>
        <v>0</v>
      </c>
      <c r="BB627" s="49">
        <f t="shared" si="86"/>
        <v>0</v>
      </c>
      <c r="BC627" s="82">
        <f t="shared" si="86"/>
        <v>0</v>
      </c>
      <c r="BD627" s="49">
        <f t="shared" si="86"/>
        <v>0</v>
      </c>
      <c r="BE627" s="82">
        <f t="shared" si="86"/>
        <v>0</v>
      </c>
      <c r="BF627" s="49">
        <f t="shared" si="86"/>
        <v>0</v>
      </c>
      <c r="BG627" s="82">
        <f t="shared" si="86"/>
        <v>0</v>
      </c>
      <c r="BH627" s="49">
        <f t="shared" si="86"/>
        <v>0</v>
      </c>
      <c r="BI627" s="82">
        <f t="shared" si="86"/>
        <v>0</v>
      </c>
      <c r="BJ627" s="49">
        <f t="shared" si="86"/>
        <v>0</v>
      </c>
      <c r="BK627" s="82">
        <f t="shared" si="86"/>
        <v>0</v>
      </c>
    </row>
    <row r="628" spans="1:63" ht="13" x14ac:dyDescent="0.25">
      <c r="A628" s="379"/>
      <c r="B628" s="381" t="s">
        <v>12</v>
      </c>
      <c r="C628" s="235">
        <f>SUM(C351)</f>
        <v>525</v>
      </c>
      <c r="D628" s="235">
        <f>SUM(D351)</f>
        <v>211</v>
      </c>
      <c r="E628" s="367">
        <v>0.36811023622047245</v>
      </c>
      <c r="F628" s="49">
        <f t="shared" ref="F628:BK628" si="87">SUM(F351)</f>
        <v>132</v>
      </c>
      <c r="G628" s="230">
        <f t="shared" si="87"/>
        <v>75</v>
      </c>
      <c r="H628" s="49">
        <f t="shared" si="87"/>
        <v>145</v>
      </c>
      <c r="I628" s="291">
        <f t="shared" si="87"/>
        <v>58</v>
      </c>
      <c r="J628" s="302">
        <f t="shared" si="87"/>
        <v>0</v>
      </c>
      <c r="K628" s="231">
        <f t="shared" si="87"/>
        <v>0</v>
      </c>
      <c r="L628" s="49">
        <f t="shared" si="87"/>
        <v>0</v>
      </c>
      <c r="M628" s="291">
        <f t="shared" si="87"/>
        <v>0</v>
      </c>
      <c r="N628" s="302">
        <f t="shared" si="87"/>
        <v>0</v>
      </c>
      <c r="O628" s="231">
        <f t="shared" si="87"/>
        <v>0</v>
      </c>
      <c r="P628" s="49">
        <f t="shared" si="87"/>
        <v>0</v>
      </c>
      <c r="Q628" s="291">
        <f t="shared" si="87"/>
        <v>0</v>
      </c>
      <c r="R628" s="302">
        <f t="shared" si="87"/>
        <v>0</v>
      </c>
      <c r="S628" s="231">
        <f t="shared" si="87"/>
        <v>0</v>
      </c>
      <c r="T628" s="49">
        <f t="shared" si="87"/>
        <v>0</v>
      </c>
      <c r="U628" s="291">
        <f t="shared" si="87"/>
        <v>0</v>
      </c>
      <c r="V628" s="302">
        <f t="shared" si="87"/>
        <v>0</v>
      </c>
      <c r="W628" s="231">
        <f t="shared" si="87"/>
        <v>0</v>
      </c>
      <c r="X628" s="49">
        <f t="shared" si="87"/>
        <v>0</v>
      </c>
      <c r="Y628" s="291">
        <f t="shared" si="87"/>
        <v>0</v>
      </c>
      <c r="Z628" s="302">
        <f t="shared" si="87"/>
        <v>0</v>
      </c>
      <c r="AA628" s="231">
        <f t="shared" si="87"/>
        <v>0</v>
      </c>
      <c r="AB628" s="49">
        <f t="shared" si="87"/>
        <v>0</v>
      </c>
      <c r="AC628" s="291">
        <f t="shared" si="87"/>
        <v>0</v>
      </c>
      <c r="AD628" s="302">
        <f t="shared" si="87"/>
        <v>0</v>
      </c>
      <c r="AE628" s="231">
        <f t="shared" si="87"/>
        <v>0</v>
      </c>
      <c r="AF628" s="49">
        <f t="shared" si="87"/>
        <v>0</v>
      </c>
      <c r="AG628" s="291">
        <f t="shared" si="87"/>
        <v>0</v>
      </c>
      <c r="AH628" s="302">
        <f t="shared" si="87"/>
        <v>0</v>
      </c>
      <c r="AI628" s="231">
        <f t="shared" si="87"/>
        <v>0</v>
      </c>
      <c r="AJ628" s="49">
        <f t="shared" si="87"/>
        <v>0</v>
      </c>
      <c r="AK628" s="291">
        <f t="shared" si="87"/>
        <v>0</v>
      </c>
      <c r="AL628" s="302">
        <f t="shared" si="87"/>
        <v>0</v>
      </c>
      <c r="AM628" s="231">
        <f t="shared" si="87"/>
        <v>0</v>
      </c>
      <c r="AN628" s="49">
        <f t="shared" si="87"/>
        <v>0</v>
      </c>
      <c r="AO628" s="291">
        <f t="shared" si="87"/>
        <v>0</v>
      </c>
      <c r="AP628" s="302">
        <f t="shared" si="87"/>
        <v>115</v>
      </c>
      <c r="AQ628" s="231">
        <f t="shared" si="87"/>
        <v>89</v>
      </c>
      <c r="AR628" s="49">
        <f t="shared" si="87"/>
        <v>93</v>
      </c>
      <c r="AS628" s="291">
        <f t="shared" si="87"/>
        <v>116</v>
      </c>
      <c r="AT628" s="302">
        <f t="shared" si="87"/>
        <v>0</v>
      </c>
      <c r="AU628" s="231">
        <f t="shared" si="87"/>
        <v>0</v>
      </c>
      <c r="AV628" s="49">
        <f t="shared" si="87"/>
        <v>0</v>
      </c>
      <c r="AW628" s="291">
        <f t="shared" si="87"/>
        <v>0</v>
      </c>
      <c r="AX628" s="302">
        <f t="shared" si="87"/>
        <v>0</v>
      </c>
      <c r="AY628" s="231">
        <f t="shared" si="87"/>
        <v>0</v>
      </c>
      <c r="AZ628" s="49">
        <f t="shared" si="87"/>
        <v>0</v>
      </c>
      <c r="BA628" s="231">
        <f t="shared" si="87"/>
        <v>0</v>
      </c>
      <c r="BB628" s="49">
        <f t="shared" si="87"/>
        <v>0</v>
      </c>
      <c r="BC628" s="82">
        <f t="shared" si="87"/>
        <v>0</v>
      </c>
      <c r="BD628" s="49">
        <f t="shared" si="87"/>
        <v>0</v>
      </c>
      <c r="BE628" s="82">
        <f t="shared" si="87"/>
        <v>0</v>
      </c>
      <c r="BF628" s="49">
        <f t="shared" si="87"/>
        <v>0</v>
      </c>
      <c r="BG628" s="82">
        <f t="shared" si="87"/>
        <v>0</v>
      </c>
      <c r="BH628" s="49">
        <f t="shared" si="87"/>
        <v>0</v>
      </c>
      <c r="BI628" s="82">
        <f t="shared" si="87"/>
        <v>0</v>
      </c>
      <c r="BJ628" s="49">
        <f t="shared" si="87"/>
        <v>0</v>
      </c>
      <c r="BK628" s="82">
        <f t="shared" si="87"/>
        <v>0</v>
      </c>
    </row>
    <row r="629" spans="1:63" ht="13" x14ac:dyDescent="0.25">
      <c r="A629" s="379"/>
      <c r="B629" s="381" t="s">
        <v>13</v>
      </c>
      <c r="C629" s="235">
        <f>SUM(C485:C486)</f>
        <v>2317</v>
      </c>
      <c r="D629" s="235">
        <f>SUM(D485:D486)</f>
        <v>1166</v>
      </c>
      <c r="E629" s="367">
        <v>0.53079308817013737</v>
      </c>
      <c r="F629" s="49">
        <f t="shared" ref="F629:BK629" si="88">SUM(F485:F486)</f>
        <v>510</v>
      </c>
      <c r="G629" s="230">
        <f t="shared" si="88"/>
        <v>646</v>
      </c>
      <c r="H629" s="49">
        <f t="shared" si="88"/>
        <v>701</v>
      </c>
      <c r="I629" s="291">
        <f t="shared" si="88"/>
        <v>453</v>
      </c>
      <c r="J629" s="302">
        <f t="shared" si="88"/>
        <v>343</v>
      </c>
      <c r="K629" s="231">
        <f t="shared" si="88"/>
        <v>802</v>
      </c>
      <c r="L629" s="49">
        <f t="shared" si="88"/>
        <v>0</v>
      </c>
      <c r="M629" s="291">
        <f t="shared" si="88"/>
        <v>0</v>
      </c>
      <c r="N629" s="302">
        <f t="shared" si="88"/>
        <v>0</v>
      </c>
      <c r="O629" s="231">
        <f t="shared" si="88"/>
        <v>0</v>
      </c>
      <c r="P629" s="49">
        <f t="shared" si="88"/>
        <v>0</v>
      </c>
      <c r="Q629" s="291">
        <f t="shared" si="88"/>
        <v>0</v>
      </c>
      <c r="R629" s="302">
        <f t="shared" si="88"/>
        <v>0</v>
      </c>
      <c r="S629" s="231">
        <f t="shared" si="88"/>
        <v>0</v>
      </c>
      <c r="T629" s="49">
        <f t="shared" si="88"/>
        <v>0</v>
      </c>
      <c r="U629" s="291">
        <f t="shared" si="88"/>
        <v>0</v>
      </c>
      <c r="V629" s="302">
        <f t="shared" si="88"/>
        <v>0</v>
      </c>
      <c r="W629" s="231">
        <f t="shared" si="88"/>
        <v>0</v>
      </c>
      <c r="X629" s="49">
        <f t="shared" si="88"/>
        <v>0</v>
      </c>
      <c r="Y629" s="291">
        <f t="shared" si="88"/>
        <v>0</v>
      </c>
      <c r="Z629" s="302">
        <f t="shared" si="88"/>
        <v>0</v>
      </c>
      <c r="AA629" s="231">
        <f t="shared" si="88"/>
        <v>0</v>
      </c>
      <c r="AB629" s="49">
        <f t="shared" si="88"/>
        <v>0</v>
      </c>
      <c r="AC629" s="291">
        <f t="shared" si="88"/>
        <v>0</v>
      </c>
      <c r="AD629" s="302">
        <f t="shared" si="88"/>
        <v>0</v>
      </c>
      <c r="AE629" s="231">
        <f t="shared" si="88"/>
        <v>0</v>
      </c>
      <c r="AF629" s="49">
        <f t="shared" si="88"/>
        <v>0</v>
      </c>
      <c r="AG629" s="291">
        <f t="shared" si="88"/>
        <v>0</v>
      </c>
      <c r="AH629" s="302">
        <f t="shared" si="88"/>
        <v>0</v>
      </c>
      <c r="AI629" s="231">
        <f t="shared" si="88"/>
        <v>0</v>
      </c>
      <c r="AJ629" s="49">
        <f t="shared" si="88"/>
        <v>0</v>
      </c>
      <c r="AK629" s="291">
        <f t="shared" si="88"/>
        <v>0</v>
      </c>
      <c r="AL629" s="302">
        <f t="shared" si="88"/>
        <v>0</v>
      </c>
      <c r="AM629" s="231">
        <f t="shared" si="88"/>
        <v>0</v>
      </c>
      <c r="AN629" s="49">
        <f t="shared" si="88"/>
        <v>0</v>
      </c>
      <c r="AO629" s="291">
        <f t="shared" si="88"/>
        <v>0</v>
      </c>
      <c r="AP629" s="302">
        <f t="shared" si="88"/>
        <v>652</v>
      </c>
      <c r="AQ629" s="231">
        <f t="shared" si="88"/>
        <v>488</v>
      </c>
      <c r="AR629" s="49">
        <f t="shared" si="88"/>
        <v>434</v>
      </c>
      <c r="AS629" s="291">
        <f t="shared" si="88"/>
        <v>697</v>
      </c>
      <c r="AT629" s="302">
        <f t="shared" si="88"/>
        <v>0</v>
      </c>
      <c r="AU629" s="231">
        <f t="shared" si="88"/>
        <v>0</v>
      </c>
      <c r="AV629" s="49">
        <f t="shared" si="88"/>
        <v>0</v>
      </c>
      <c r="AW629" s="291">
        <f t="shared" si="88"/>
        <v>0</v>
      </c>
      <c r="AX629" s="302">
        <f t="shared" si="88"/>
        <v>0</v>
      </c>
      <c r="AY629" s="231">
        <f t="shared" si="88"/>
        <v>0</v>
      </c>
      <c r="AZ629" s="49">
        <f t="shared" si="88"/>
        <v>0</v>
      </c>
      <c r="BA629" s="231">
        <f t="shared" si="88"/>
        <v>0</v>
      </c>
      <c r="BB629" s="49">
        <f t="shared" si="88"/>
        <v>0</v>
      </c>
      <c r="BC629" s="82">
        <f t="shared" si="88"/>
        <v>0</v>
      </c>
      <c r="BD629" s="49">
        <f t="shared" si="88"/>
        <v>0</v>
      </c>
      <c r="BE629" s="82">
        <f t="shared" si="88"/>
        <v>0</v>
      </c>
      <c r="BF629" s="49">
        <f t="shared" si="88"/>
        <v>0</v>
      </c>
      <c r="BG629" s="82">
        <f t="shared" si="88"/>
        <v>0</v>
      </c>
      <c r="BH629" s="49">
        <f t="shared" si="88"/>
        <v>0</v>
      </c>
      <c r="BI629" s="82">
        <f t="shared" si="88"/>
        <v>0</v>
      </c>
      <c r="BJ629" s="49">
        <f t="shared" si="88"/>
        <v>0</v>
      </c>
      <c r="BK629" s="82">
        <f t="shared" si="88"/>
        <v>0</v>
      </c>
    </row>
    <row r="630" spans="1:63" ht="13" x14ac:dyDescent="0.25">
      <c r="A630" s="379"/>
      <c r="B630" s="381" t="s">
        <v>716</v>
      </c>
      <c r="C630" s="235">
        <f>SUM(C420)</f>
        <v>1122</v>
      </c>
      <c r="D630" s="235">
        <f>SUM(D420)</f>
        <v>275</v>
      </c>
      <c r="E630" s="367">
        <v>0.26583407671721676</v>
      </c>
      <c r="F630" s="49">
        <f t="shared" ref="F630:BK630" si="89">SUM(F420)</f>
        <v>160</v>
      </c>
      <c r="G630" s="230">
        <f t="shared" si="89"/>
        <v>114</v>
      </c>
      <c r="H630" s="49">
        <f t="shared" si="89"/>
        <v>188</v>
      </c>
      <c r="I630" s="291">
        <f t="shared" si="89"/>
        <v>77</v>
      </c>
      <c r="J630" s="302">
        <f t="shared" si="89"/>
        <v>0</v>
      </c>
      <c r="K630" s="231">
        <f t="shared" si="89"/>
        <v>0</v>
      </c>
      <c r="L630" s="49">
        <f t="shared" si="89"/>
        <v>0</v>
      </c>
      <c r="M630" s="291">
        <f t="shared" si="89"/>
        <v>0</v>
      </c>
      <c r="N630" s="302">
        <f t="shared" si="89"/>
        <v>0</v>
      </c>
      <c r="O630" s="231">
        <f t="shared" si="89"/>
        <v>0</v>
      </c>
      <c r="P630" s="49">
        <f t="shared" si="89"/>
        <v>0</v>
      </c>
      <c r="Q630" s="291">
        <f t="shared" si="89"/>
        <v>0</v>
      </c>
      <c r="R630" s="302">
        <f t="shared" si="89"/>
        <v>0</v>
      </c>
      <c r="S630" s="231">
        <f t="shared" si="89"/>
        <v>0</v>
      </c>
      <c r="T630" s="49">
        <f t="shared" si="89"/>
        <v>0</v>
      </c>
      <c r="U630" s="291">
        <f t="shared" si="89"/>
        <v>0</v>
      </c>
      <c r="V630" s="302">
        <f t="shared" si="89"/>
        <v>0</v>
      </c>
      <c r="W630" s="231">
        <f t="shared" si="89"/>
        <v>0</v>
      </c>
      <c r="X630" s="49">
        <f t="shared" si="89"/>
        <v>0</v>
      </c>
      <c r="Y630" s="291">
        <f t="shared" si="89"/>
        <v>0</v>
      </c>
      <c r="Z630" s="302">
        <f t="shared" si="89"/>
        <v>0</v>
      </c>
      <c r="AA630" s="231">
        <f t="shared" si="89"/>
        <v>0</v>
      </c>
      <c r="AB630" s="49">
        <f t="shared" si="89"/>
        <v>0</v>
      </c>
      <c r="AC630" s="291">
        <f t="shared" si="89"/>
        <v>0</v>
      </c>
      <c r="AD630" s="302">
        <f t="shared" si="89"/>
        <v>0</v>
      </c>
      <c r="AE630" s="231">
        <f t="shared" si="89"/>
        <v>0</v>
      </c>
      <c r="AF630" s="49">
        <f t="shared" si="89"/>
        <v>0</v>
      </c>
      <c r="AG630" s="291">
        <f t="shared" si="89"/>
        <v>0</v>
      </c>
      <c r="AH630" s="302">
        <f t="shared" si="89"/>
        <v>0</v>
      </c>
      <c r="AI630" s="231">
        <f t="shared" si="89"/>
        <v>0</v>
      </c>
      <c r="AJ630" s="49">
        <f t="shared" si="89"/>
        <v>0</v>
      </c>
      <c r="AK630" s="291">
        <f t="shared" si="89"/>
        <v>0</v>
      </c>
      <c r="AL630" s="302">
        <f t="shared" si="89"/>
        <v>0</v>
      </c>
      <c r="AM630" s="231">
        <f t="shared" si="89"/>
        <v>0</v>
      </c>
      <c r="AN630" s="49">
        <f t="shared" si="89"/>
        <v>0</v>
      </c>
      <c r="AO630" s="291">
        <f t="shared" si="89"/>
        <v>0</v>
      </c>
      <c r="AP630" s="302">
        <f t="shared" si="89"/>
        <v>155</v>
      </c>
      <c r="AQ630" s="231">
        <f t="shared" si="89"/>
        <v>106</v>
      </c>
      <c r="AR630" s="49">
        <f t="shared" si="89"/>
        <v>137</v>
      </c>
      <c r="AS630" s="291">
        <f t="shared" si="89"/>
        <v>134</v>
      </c>
      <c r="AT630" s="302">
        <f t="shared" si="89"/>
        <v>0</v>
      </c>
      <c r="AU630" s="231">
        <f t="shared" si="89"/>
        <v>0</v>
      </c>
      <c r="AV630" s="49">
        <f t="shared" si="89"/>
        <v>0</v>
      </c>
      <c r="AW630" s="291">
        <f t="shared" si="89"/>
        <v>0</v>
      </c>
      <c r="AX630" s="302">
        <f t="shared" si="89"/>
        <v>0</v>
      </c>
      <c r="AY630" s="231">
        <f t="shared" si="89"/>
        <v>0</v>
      </c>
      <c r="AZ630" s="49">
        <f t="shared" si="89"/>
        <v>0</v>
      </c>
      <c r="BA630" s="231">
        <f t="shared" si="89"/>
        <v>0</v>
      </c>
      <c r="BB630" s="49">
        <f t="shared" si="89"/>
        <v>0</v>
      </c>
      <c r="BC630" s="82">
        <f t="shared" si="89"/>
        <v>0</v>
      </c>
      <c r="BD630" s="49">
        <f t="shared" si="89"/>
        <v>0</v>
      </c>
      <c r="BE630" s="82">
        <f t="shared" si="89"/>
        <v>0</v>
      </c>
      <c r="BF630" s="49">
        <f t="shared" si="89"/>
        <v>0</v>
      </c>
      <c r="BG630" s="82">
        <f t="shared" si="89"/>
        <v>0</v>
      </c>
      <c r="BH630" s="49">
        <f t="shared" si="89"/>
        <v>0</v>
      </c>
      <c r="BI630" s="82">
        <f t="shared" si="89"/>
        <v>0</v>
      </c>
      <c r="BJ630" s="49">
        <f t="shared" si="89"/>
        <v>0</v>
      </c>
      <c r="BK630" s="82">
        <f t="shared" si="89"/>
        <v>0</v>
      </c>
    </row>
    <row r="631" spans="1:63" ht="13" x14ac:dyDescent="0.25">
      <c r="A631" s="379"/>
      <c r="B631" s="381" t="s">
        <v>26</v>
      </c>
      <c r="C631" s="235">
        <f>SUM(C421:C423)</f>
        <v>2289</v>
      </c>
      <c r="D631" s="235">
        <f>SUM(D421:D423)</f>
        <v>1565</v>
      </c>
      <c r="E631" s="367">
        <v>0.71292693471681801</v>
      </c>
      <c r="F631" s="49">
        <f t="shared" ref="F631:BK631" si="90">SUM(F421:F423)</f>
        <v>868</v>
      </c>
      <c r="G631" s="230">
        <f t="shared" si="90"/>
        <v>683</v>
      </c>
      <c r="H631" s="49">
        <f t="shared" si="90"/>
        <v>807</v>
      </c>
      <c r="I631" s="291">
        <f t="shared" si="90"/>
        <v>731</v>
      </c>
      <c r="J631" s="302">
        <f t="shared" si="90"/>
        <v>0</v>
      </c>
      <c r="K631" s="231">
        <f t="shared" si="90"/>
        <v>0</v>
      </c>
      <c r="L631" s="49">
        <f t="shared" si="90"/>
        <v>0</v>
      </c>
      <c r="M631" s="291">
        <f t="shared" si="90"/>
        <v>0</v>
      </c>
      <c r="N631" s="302">
        <f t="shared" si="90"/>
        <v>0</v>
      </c>
      <c r="O631" s="231">
        <f t="shared" si="90"/>
        <v>0</v>
      </c>
      <c r="P631" s="49">
        <f t="shared" si="90"/>
        <v>0</v>
      </c>
      <c r="Q631" s="291">
        <f t="shared" si="90"/>
        <v>0</v>
      </c>
      <c r="R631" s="302">
        <f t="shared" si="90"/>
        <v>0</v>
      </c>
      <c r="S631" s="231">
        <f t="shared" si="90"/>
        <v>0</v>
      </c>
      <c r="T631" s="49">
        <f t="shared" si="90"/>
        <v>0</v>
      </c>
      <c r="U631" s="291">
        <f t="shared" si="90"/>
        <v>0</v>
      </c>
      <c r="V631" s="302">
        <f t="shared" si="90"/>
        <v>0</v>
      </c>
      <c r="W631" s="231">
        <f t="shared" si="90"/>
        <v>0</v>
      </c>
      <c r="X631" s="49">
        <f t="shared" si="90"/>
        <v>0</v>
      </c>
      <c r="Y631" s="291">
        <f t="shared" si="90"/>
        <v>0</v>
      </c>
      <c r="Z631" s="302">
        <f t="shared" si="90"/>
        <v>0</v>
      </c>
      <c r="AA631" s="231">
        <f t="shared" si="90"/>
        <v>0</v>
      </c>
      <c r="AB631" s="49">
        <f t="shared" si="90"/>
        <v>0</v>
      </c>
      <c r="AC631" s="291">
        <f t="shared" si="90"/>
        <v>0</v>
      </c>
      <c r="AD631" s="302">
        <f t="shared" si="90"/>
        <v>0</v>
      </c>
      <c r="AE631" s="231">
        <f t="shared" si="90"/>
        <v>0</v>
      </c>
      <c r="AF631" s="49">
        <f t="shared" si="90"/>
        <v>0</v>
      </c>
      <c r="AG631" s="291">
        <f t="shared" si="90"/>
        <v>0</v>
      </c>
      <c r="AH631" s="302">
        <f t="shared" si="90"/>
        <v>0</v>
      </c>
      <c r="AI631" s="231">
        <f t="shared" si="90"/>
        <v>0</v>
      </c>
      <c r="AJ631" s="49">
        <f t="shared" si="90"/>
        <v>0</v>
      </c>
      <c r="AK631" s="291">
        <f t="shared" si="90"/>
        <v>0</v>
      </c>
      <c r="AL631" s="302">
        <f t="shared" si="90"/>
        <v>0</v>
      </c>
      <c r="AM631" s="231">
        <f t="shared" si="90"/>
        <v>0</v>
      </c>
      <c r="AN631" s="49">
        <f t="shared" si="90"/>
        <v>0</v>
      </c>
      <c r="AO631" s="291">
        <f t="shared" si="90"/>
        <v>0</v>
      </c>
      <c r="AP631" s="302">
        <f t="shared" si="90"/>
        <v>1092</v>
      </c>
      <c r="AQ631" s="231">
        <f t="shared" si="90"/>
        <v>449</v>
      </c>
      <c r="AR631" s="49">
        <f t="shared" si="90"/>
        <v>891</v>
      </c>
      <c r="AS631" s="291">
        <f t="shared" si="90"/>
        <v>658</v>
      </c>
      <c r="AT631" s="302">
        <f t="shared" si="90"/>
        <v>0</v>
      </c>
      <c r="AU631" s="231">
        <f t="shared" si="90"/>
        <v>0</v>
      </c>
      <c r="AV631" s="49">
        <f t="shared" si="90"/>
        <v>0</v>
      </c>
      <c r="AW631" s="291">
        <f t="shared" si="90"/>
        <v>0</v>
      </c>
      <c r="AX631" s="302">
        <f t="shared" si="90"/>
        <v>0</v>
      </c>
      <c r="AY631" s="231">
        <f t="shared" si="90"/>
        <v>0</v>
      </c>
      <c r="AZ631" s="49">
        <f t="shared" si="90"/>
        <v>0</v>
      </c>
      <c r="BA631" s="231">
        <f t="shared" si="90"/>
        <v>0</v>
      </c>
      <c r="BB631" s="49">
        <f t="shared" si="90"/>
        <v>0</v>
      </c>
      <c r="BC631" s="82">
        <f t="shared" si="90"/>
        <v>0</v>
      </c>
      <c r="BD631" s="49">
        <f t="shared" si="90"/>
        <v>0</v>
      </c>
      <c r="BE631" s="82">
        <f t="shared" si="90"/>
        <v>0</v>
      </c>
      <c r="BF631" s="49">
        <f t="shared" si="90"/>
        <v>0</v>
      </c>
      <c r="BG631" s="82">
        <f t="shared" si="90"/>
        <v>0</v>
      </c>
      <c r="BH631" s="49">
        <f t="shared" si="90"/>
        <v>0</v>
      </c>
      <c r="BI631" s="82">
        <f t="shared" si="90"/>
        <v>0</v>
      </c>
      <c r="BJ631" s="49">
        <f t="shared" si="90"/>
        <v>0</v>
      </c>
      <c r="BK631" s="82">
        <f t="shared" si="90"/>
        <v>0</v>
      </c>
    </row>
    <row r="632" spans="1:63" ht="13" x14ac:dyDescent="0.25">
      <c r="A632" s="379"/>
      <c r="B632" s="381" t="s">
        <v>27</v>
      </c>
      <c r="C632" s="235">
        <f>SUM(C424)</f>
        <v>1310</v>
      </c>
      <c r="D632" s="235">
        <f>SUM(D424)</f>
        <v>742</v>
      </c>
      <c r="E632" s="367">
        <v>0.58695652173913049</v>
      </c>
      <c r="F632" s="49">
        <f t="shared" ref="F632:BK632" si="91">SUM(F424)</f>
        <v>505</v>
      </c>
      <c r="G632" s="230">
        <f t="shared" si="91"/>
        <v>224</v>
      </c>
      <c r="H632" s="49">
        <f t="shared" si="91"/>
        <v>530</v>
      </c>
      <c r="I632" s="291">
        <f t="shared" si="91"/>
        <v>193</v>
      </c>
      <c r="J632" s="302">
        <f t="shared" si="91"/>
        <v>0</v>
      </c>
      <c r="K632" s="231">
        <f t="shared" si="91"/>
        <v>0</v>
      </c>
      <c r="L632" s="49">
        <f t="shared" si="91"/>
        <v>458</v>
      </c>
      <c r="M632" s="291">
        <f t="shared" si="91"/>
        <v>214</v>
      </c>
      <c r="N632" s="302">
        <f t="shared" si="91"/>
        <v>457</v>
      </c>
      <c r="O632" s="231">
        <f t="shared" si="91"/>
        <v>209</v>
      </c>
      <c r="P632" s="49">
        <f t="shared" si="91"/>
        <v>0</v>
      </c>
      <c r="Q632" s="291">
        <f t="shared" si="91"/>
        <v>0</v>
      </c>
      <c r="R632" s="302">
        <f t="shared" si="91"/>
        <v>0</v>
      </c>
      <c r="S632" s="231">
        <f t="shared" si="91"/>
        <v>0</v>
      </c>
      <c r="T632" s="49">
        <f t="shared" si="91"/>
        <v>0</v>
      </c>
      <c r="U632" s="291">
        <f t="shared" si="91"/>
        <v>0</v>
      </c>
      <c r="V632" s="302">
        <f t="shared" si="91"/>
        <v>0</v>
      </c>
      <c r="W632" s="231">
        <f t="shared" si="91"/>
        <v>0</v>
      </c>
      <c r="X632" s="49">
        <f t="shared" si="91"/>
        <v>0</v>
      </c>
      <c r="Y632" s="291">
        <f t="shared" si="91"/>
        <v>0</v>
      </c>
      <c r="Z632" s="302">
        <f t="shared" si="91"/>
        <v>0</v>
      </c>
      <c r="AA632" s="231">
        <f t="shared" si="91"/>
        <v>0</v>
      </c>
      <c r="AB632" s="49">
        <f t="shared" si="91"/>
        <v>0</v>
      </c>
      <c r="AC632" s="291">
        <f t="shared" si="91"/>
        <v>0</v>
      </c>
      <c r="AD632" s="302">
        <f t="shared" si="91"/>
        <v>0</v>
      </c>
      <c r="AE632" s="231">
        <f t="shared" si="91"/>
        <v>0</v>
      </c>
      <c r="AF632" s="49">
        <f t="shared" si="91"/>
        <v>0</v>
      </c>
      <c r="AG632" s="291">
        <f t="shared" si="91"/>
        <v>0</v>
      </c>
      <c r="AH632" s="302">
        <f t="shared" si="91"/>
        <v>0</v>
      </c>
      <c r="AI632" s="231">
        <f t="shared" si="91"/>
        <v>0</v>
      </c>
      <c r="AJ632" s="49">
        <f t="shared" si="91"/>
        <v>0</v>
      </c>
      <c r="AK632" s="291">
        <f t="shared" si="91"/>
        <v>0</v>
      </c>
      <c r="AL632" s="302">
        <f t="shared" si="91"/>
        <v>0</v>
      </c>
      <c r="AM632" s="231">
        <f t="shared" si="91"/>
        <v>0</v>
      </c>
      <c r="AN632" s="49">
        <f t="shared" si="91"/>
        <v>0</v>
      </c>
      <c r="AO632" s="291">
        <f t="shared" si="91"/>
        <v>0</v>
      </c>
      <c r="AP632" s="302">
        <f t="shared" si="91"/>
        <v>540</v>
      </c>
      <c r="AQ632" s="231">
        <f t="shared" si="91"/>
        <v>167</v>
      </c>
      <c r="AR632" s="49">
        <f t="shared" si="91"/>
        <v>430</v>
      </c>
      <c r="AS632" s="291">
        <f t="shared" si="91"/>
        <v>273</v>
      </c>
      <c r="AT632" s="302">
        <f t="shared" si="91"/>
        <v>0</v>
      </c>
      <c r="AU632" s="231">
        <f t="shared" si="91"/>
        <v>0</v>
      </c>
      <c r="AV632" s="49">
        <f t="shared" si="91"/>
        <v>0</v>
      </c>
      <c r="AW632" s="291">
        <f t="shared" si="91"/>
        <v>0</v>
      </c>
      <c r="AX632" s="302">
        <f t="shared" si="91"/>
        <v>0</v>
      </c>
      <c r="AY632" s="231">
        <f t="shared" si="91"/>
        <v>0</v>
      </c>
      <c r="AZ632" s="49">
        <f t="shared" si="91"/>
        <v>0</v>
      </c>
      <c r="BA632" s="231">
        <f t="shared" si="91"/>
        <v>0</v>
      </c>
      <c r="BB632" s="49">
        <f t="shared" si="91"/>
        <v>0</v>
      </c>
      <c r="BC632" s="82">
        <f t="shared" si="91"/>
        <v>0</v>
      </c>
      <c r="BD632" s="49">
        <f t="shared" si="91"/>
        <v>0</v>
      </c>
      <c r="BE632" s="82">
        <f t="shared" si="91"/>
        <v>0</v>
      </c>
      <c r="BF632" s="49">
        <f t="shared" si="91"/>
        <v>0</v>
      </c>
      <c r="BG632" s="82">
        <f t="shared" si="91"/>
        <v>0</v>
      </c>
      <c r="BH632" s="49">
        <f t="shared" si="91"/>
        <v>0</v>
      </c>
      <c r="BI632" s="82">
        <f t="shared" si="91"/>
        <v>0</v>
      </c>
      <c r="BJ632" s="49">
        <f t="shared" si="91"/>
        <v>0</v>
      </c>
      <c r="BK632" s="82">
        <f t="shared" si="91"/>
        <v>0</v>
      </c>
    </row>
    <row r="633" spans="1:63" ht="13" x14ac:dyDescent="0.25">
      <c r="A633" s="379"/>
      <c r="B633" s="381" t="s">
        <v>14</v>
      </c>
      <c r="C633" s="235">
        <f>SUM(C425:C426)</f>
        <v>2081</v>
      </c>
      <c r="D633" s="235">
        <f>SUM(D425:D426)</f>
        <v>1366</v>
      </c>
      <c r="E633" s="367">
        <v>0.69914040114613185</v>
      </c>
      <c r="F633" s="49">
        <f t="shared" ref="F633:BK633" si="92">SUM(F425:F426)</f>
        <v>834</v>
      </c>
      <c r="G633" s="230">
        <f t="shared" si="92"/>
        <v>514</v>
      </c>
      <c r="H633" s="49">
        <f t="shared" si="92"/>
        <v>743</v>
      </c>
      <c r="I633" s="291">
        <f t="shared" si="92"/>
        <v>592</v>
      </c>
      <c r="J633" s="302">
        <f t="shared" si="92"/>
        <v>0</v>
      </c>
      <c r="K633" s="231">
        <f t="shared" si="92"/>
        <v>0</v>
      </c>
      <c r="L633" s="49">
        <f t="shared" si="92"/>
        <v>0</v>
      </c>
      <c r="M633" s="291">
        <f t="shared" si="92"/>
        <v>0</v>
      </c>
      <c r="N633" s="302">
        <f t="shared" si="92"/>
        <v>0</v>
      </c>
      <c r="O633" s="231">
        <f t="shared" si="92"/>
        <v>0</v>
      </c>
      <c r="P633" s="49">
        <f t="shared" si="92"/>
        <v>0</v>
      </c>
      <c r="Q633" s="291">
        <f t="shared" si="92"/>
        <v>0</v>
      </c>
      <c r="R633" s="302">
        <f t="shared" si="92"/>
        <v>0</v>
      </c>
      <c r="S633" s="231">
        <f t="shared" si="92"/>
        <v>0</v>
      </c>
      <c r="T633" s="49">
        <f t="shared" si="92"/>
        <v>0</v>
      </c>
      <c r="U633" s="291">
        <f t="shared" si="92"/>
        <v>0</v>
      </c>
      <c r="V633" s="302">
        <f t="shared" si="92"/>
        <v>0</v>
      </c>
      <c r="W633" s="231">
        <f t="shared" si="92"/>
        <v>0</v>
      </c>
      <c r="X633" s="49">
        <f t="shared" si="92"/>
        <v>0</v>
      </c>
      <c r="Y633" s="291">
        <f t="shared" si="92"/>
        <v>0</v>
      </c>
      <c r="Z633" s="302">
        <f t="shared" si="92"/>
        <v>0</v>
      </c>
      <c r="AA633" s="231">
        <f t="shared" si="92"/>
        <v>0</v>
      </c>
      <c r="AB633" s="49">
        <f t="shared" si="92"/>
        <v>0</v>
      </c>
      <c r="AC633" s="291">
        <f t="shared" si="92"/>
        <v>0</v>
      </c>
      <c r="AD633" s="302">
        <f t="shared" si="92"/>
        <v>0</v>
      </c>
      <c r="AE633" s="231">
        <f t="shared" si="92"/>
        <v>0</v>
      </c>
      <c r="AF633" s="49">
        <f t="shared" si="92"/>
        <v>0</v>
      </c>
      <c r="AG633" s="291">
        <f t="shared" si="92"/>
        <v>0</v>
      </c>
      <c r="AH633" s="302">
        <f t="shared" si="92"/>
        <v>0</v>
      </c>
      <c r="AI633" s="231">
        <f t="shared" si="92"/>
        <v>0</v>
      </c>
      <c r="AJ633" s="49">
        <f t="shared" si="92"/>
        <v>0</v>
      </c>
      <c r="AK633" s="291">
        <f t="shared" si="92"/>
        <v>0</v>
      </c>
      <c r="AL633" s="302">
        <f t="shared" si="92"/>
        <v>0</v>
      </c>
      <c r="AM633" s="231">
        <f t="shared" si="92"/>
        <v>0</v>
      </c>
      <c r="AN633" s="49">
        <f t="shared" si="92"/>
        <v>0</v>
      </c>
      <c r="AO633" s="291">
        <f t="shared" si="92"/>
        <v>0</v>
      </c>
      <c r="AP633" s="302">
        <f t="shared" si="92"/>
        <v>961</v>
      </c>
      <c r="AQ633" s="231">
        <f t="shared" si="92"/>
        <v>375</v>
      </c>
      <c r="AR633" s="49">
        <f t="shared" si="92"/>
        <v>721</v>
      </c>
      <c r="AS633" s="291">
        <f t="shared" si="92"/>
        <v>616</v>
      </c>
      <c r="AT633" s="302">
        <f t="shared" si="92"/>
        <v>0</v>
      </c>
      <c r="AU633" s="231">
        <f t="shared" si="92"/>
        <v>0</v>
      </c>
      <c r="AV633" s="49">
        <f t="shared" si="92"/>
        <v>0</v>
      </c>
      <c r="AW633" s="291">
        <f t="shared" si="92"/>
        <v>0</v>
      </c>
      <c r="AX633" s="302">
        <f t="shared" si="92"/>
        <v>0</v>
      </c>
      <c r="AY633" s="231">
        <f t="shared" si="92"/>
        <v>0</v>
      </c>
      <c r="AZ633" s="49">
        <f t="shared" si="92"/>
        <v>0</v>
      </c>
      <c r="BA633" s="231">
        <f t="shared" si="92"/>
        <v>0</v>
      </c>
      <c r="BB633" s="49">
        <f t="shared" si="92"/>
        <v>0</v>
      </c>
      <c r="BC633" s="82">
        <f t="shared" si="92"/>
        <v>0</v>
      </c>
      <c r="BD633" s="49">
        <f t="shared" si="92"/>
        <v>0</v>
      </c>
      <c r="BE633" s="82">
        <f t="shared" si="92"/>
        <v>0</v>
      </c>
      <c r="BF633" s="49">
        <f t="shared" si="92"/>
        <v>0</v>
      </c>
      <c r="BG633" s="82">
        <f t="shared" si="92"/>
        <v>0</v>
      </c>
      <c r="BH633" s="49">
        <f t="shared" si="92"/>
        <v>0</v>
      </c>
      <c r="BI633" s="82">
        <f t="shared" si="92"/>
        <v>0</v>
      </c>
      <c r="BJ633" s="49">
        <f t="shared" si="92"/>
        <v>0</v>
      </c>
      <c r="BK633" s="82">
        <f t="shared" si="92"/>
        <v>0</v>
      </c>
    </row>
    <row r="634" spans="1:63" ht="13" x14ac:dyDescent="0.25">
      <c r="A634" s="379"/>
      <c r="B634" s="381" t="s">
        <v>28</v>
      </c>
      <c r="C634" s="296">
        <f>SUM(C427:C428)</f>
        <v>2677</v>
      </c>
      <c r="D634" s="296">
        <f>SUM(D427:D428)</f>
        <v>1159</v>
      </c>
      <c r="E634" s="367">
        <v>0.46010439970171513</v>
      </c>
      <c r="F634" s="49">
        <f t="shared" ref="F634:BK634" si="93">SUM(F427:F428)</f>
        <v>911</v>
      </c>
      <c r="G634" s="230">
        <f t="shared" si="93"/>
        <v>223</v>
      </c>
      <c r="H634" s="49">
        <f t="shared" si="93"/>
        <v>866</v>
      </c>
      <c r="I634" s="291">
        <f t="shared" si="93"/>
        <v>266</v>
      </c>
      <c r="J634" s="302">
        <f t="shared" si="93"/>
        <v>0</v>
      </c>
      <c r="K634" s="231">
        <f t="shared" si="93"/>
        <v>0</v>
      </c>
      <c r="L634" s="49">
        <f t="shared" si="93"/>
        <v>0</v>
      </c>
      <c r="M634" s="291">
        <f t="shared" si="93"/>
        <v>0</v>
      </c>
      <c r="N634" s="302">
        <f t="shared" si="93"/>
        <v>0</v>
      </c>
      <c r="O634" s="231">
        <f t="shared" si="93"/>
        <v>0</v>
      </c>
      <c r="P634" s="49">
        <f t="shared" si="93"/>
        <v>648</v>
      </c>
      <c r="Q634" s="291">
        <f t="shared" si="93"/>
        <v>457</v>
      </c>
      <c r="R634" s="302">
        <f t="shared" si="93"/>
        <v>0</v>
      </c>
      <c r="S634" s="231">
        <f t="shared" si="93"/>
        <v>0</v>
      </c>
      <c r="T634" s="49">
        <f t="shared" si="93"/>
        <v>0</v>
      </c>
      <c r="U634" s="291">
        <f t="shared" si="93"/>
        <v>0</v>
      </c>
      <c r="V634" s="302">
        <f t="shared" si="93"/>
        <v>0</v>
      </c>
      <c r="W634" s="231">
        <f t="shared" si="93"/>
        <v>0</v>
      </c>
      <c r="X634" s="49">
        <f t="shared" si="93"/>
        <v>0</v>
      </c>
      <c r="Y634" s="291">
        <f t="shared" si="93"/>
        <v>0</v>
      </c>
      <c r="Z634" s="302">
        <f t="shared" si="93"/>
        <v>0</v>
      </c>
      <c r="AA634" s="231">
        <f t="shared" si="93"/>
        <v>0</v>
      </c>
      <c r="AB634" s="49">
        <f t="shared" si="93"/>
        <v>0</v>
      </c>
      <c r="AC634" s="291">
        <f t="shared" si="93"/>
        <v>0</v>
      </c>
      <c r="AD634" s="302">
        <f t="shared" si="93"/>
        <v>0</v>
      </c>
      <c r="AE634" s="231">
        <f t="shared" si="93"/>
        <v>0</v>
      </c>
      <c r="AF634" s="49">
        <f t="shared" si="93"/>
        <v>0</v>
      </c>
      <c r="AG634" s="291">
        <f t="shared" si="93"/>
        <v>0</v>
      </c>
      <c r="AH634" s="302">
        <f t="shared" si="93"/>
        <v>0</v>
      </c>
      <c r="AI634" s="231">
        <f t="shared" si="93"/>
        <v>0</v>
      </c>
      <c r="AJ634" s="49">
        <f t="shared" si="93"/>
        <v>0</v>
      </c>
      <c r="AK634" s="291">
        <f t="shared" si="93"/>
        <v>0</v>
      </c>
      <c r="AL634" s="302">
        <f t="shared" si="93"/>
        <v>0</v>
      </c>
      <c r="AM634" s="231">
        <f t="shared" si="93"/>
        <v>0</v>
      </c>
      <c r="AN634" s="49">
        <f t="shared" si="93"/>
        <v>0</v>
      </c>
      <c r="AO634" s="291">
        <f t="shared" si="93"/>
        <v>0</v>
      </c>
      <c r="AP634" s="302">
        <f t="shared" si="93"/>
        <v>697</v>
      </c>
      <c r="AQ634" s="231">
        <f t="shared" si="93"/>
        <v>427</v>
      </c>
      <c r="AR634" s="49">
        <f t="shared" si="93"/>
        <v>639</v>
      </c>
      <c r="AS634" s="291">
        <f t="shared" si="93"/>
        <v>486</v>
      </c>
      <c r="AT634" s="302">
        <f t="shared" si="93"/>
        <v>0</v>
      </c>
      <c r="AU634" s="231">
        <f t="shared" si="93"/>
        <v>0</v>
      </c>
      <c r="AV634" s="49">
        <f t="shared" si="93"/>
        <v>0</v>
      </c>
      <c r="AW634" s="291">
        <f t="shared" si="93"/>
        <v>0</v>
      </c>
      <c r="AX634" s="302">
        <f t="shared" si="93"/>
        <v>0</v>
      </c>
      <c r="AY634" s="231">
        <f t="shared" si="93"/>
        <v>0</v>
      </c>
      <c r="AZ634" s="49">
        <f t="shared" si="93"/>
        <v>0</v>
      </c>
      <c r="BA634" s="231">
        <f t="shared" si="93"/>
        <v>0</v>
      </c>
      <c r="BB634" s="49">
        <f t="shared" si="93"/>
        <v>0</v>
      </c>
      <c r="BC634" s="82">
        <f t="shared" si="93"/>
        <v>0</v>
      </c>
      <c r="BD634" s="49">
        <f t="shared" si="93"/>
        <v>0</v>
      </c>
      <c r="BE634" s="82">
        <f t="shared" si="93"/>
        <v>0</v>
      </c>
      <c r="BF634" s="49">
        <f t="shared" si="93"/>
        <v>0</v>
      </c>
      <c r="BG634" s="82">
        <f t="shared" si="93"/>
        <v>0</v>
      </c>
      <c r="BH634" s="49">
        <f t="shared" si="93"/>
        <v>0</v>
      </c>
      <c r="BI634" s="82">
        <f t="shared" si="93"/>
        <v>0</v>
      </c>
      <c r="BJ634" s="49">
        <f t="shared" si="93"/>
        <v>0</v>
      </c>
      <c r="BK634" s="82">
        <f t="shared" si="93"/>
        <v>0</v>
      </c>
    </row>
    <row r="635" spans="1:63" ht="13" x14ac:dyDescent="0.25">
      <c r="A635" s="379"/>
      <c r="B635" s="381" t="s">
        <v>29</v>
      </c>
      <c r="C635" s="257">
        <f>SUM(C472:C474)</f>
        <v>2600</v>
      </c>
      <c r="D635" s="257">
        <f>SUM(D472:D474)</f>
        <v>1423</v>
      </c>
      <c r="E635" s="367">
        <v>0.56247611769201378</v>
      </c>
      <c r="F635" s="49">
        <f t="shared" ref="F635:BK635" si="94">SUM(F472:F474)</f>
        <v>820</v>
      </c>
      <c r="G635" s="230">
        <f t="shared" si="94"/>
        <v>593</v>
      </c>
      <c r="H635" s="49">
        <f t="shared" si="94"/>
        <v>895</v>
      </c>
      <c r="I635" s="291">
        <f t="shared" si="94"/>
        <v>502</v>
      </c>
      <c r="J635" s="302">
        <f t="shared" si="94"/>
        <v>0</v>
      </c>
      <c r="K635" s="231">
        <f t="shared" si="94"/>
        <v>0</v>
      </c>
      <c r="L635" s="49">
        <f t="shared" si="94"/>
        <v>0</v>
      </c>
      <c r="M635" s="291">
        <f t="shared" si="94"/>
        <v>0</v>
      </c>
      <c r="N635" s="302">
        <f t="shared" si="94"/>
        <v>0</v>
      </c>
      <c r="O635" s="231">
        <f t="shared" si="94"/>
        <v>0</v>
      </c>
      <c r="P635" s="49">
        <f t="shared" si="94"/>
        <v>0</v>
      </c>
      <c r="Q635" s="291">
        <f t="shared" si="94"/>
        <v>0</v>
      </c>
      <c r="R635" s="302">
        <f t="shared" si="94"/>
        <v>0</v>
      </c>
      <c r="S635" s="231">
        <f t="shared" si="94"/>
        <v>0</v>
      </c>
      <c r="T635" s="49">
        <f t="shared" si="94"/>
        <v>0</v>
      </c>
      <c r="U635" s="291">
        <f t="shared" si="94"/>
        <v>0</v>
      </c>
      <c r="V635" s="302">
        <f t="shared" si="94"/>
        <v>0</v>
      </c>
      <c r="W635" s="231">
        <f t="shared" si="94"/>
        <v>0</v>
      </c>
      <c r="X635" s="49">
        <f t="shared" si="94"/>
        <v>0</v>
      </c>
      <c r="Y635" s="291">
        <f t="shared" si="94"/>
        <v>0</v>
      </c>
      <c r="Z635" s="302">
        <f t="shared" si="94"/>
        <v>0</v>
      </c>
      <c r="AA635" s="231">
        <f t="shared" si="94"/>
        <v>0</v>
      </c>
      <c r="AB635" s="49">
        <f t="shared" si="94"/>
        <v>0</v>
      </c>
      <c r="AC635" s="291">
        <f t="shared" si="94"/>
        <v>0</v>
      </c>
      <c r="AD635" s="302">
        <f t="shared" si="94"/>
        <v>0</v>
      </c>
      <c r="AE635" s="231">
        <f t="shared" si="94"/>
        <v>0</v>
      </c>
      <c r="AF635" s="49">
        <f t="shared" si="94"/>
        <v>0</v>
      </c>
      <c r="AG635" s="291">
        <f t="shared" si="94"/>
        <v>0</v>
      </c>
      <c r="AH635" s="302">
        <f t="shared" si="94"/>
        <v>0</v>
      </c>
      <c r="AI635" s="231">
        <f t="shared" si="94"/>
        <v>0</v>
      </c>
      <c r="AJ635" s="49">
        <f t="shared" si="94"/>
        <v>0</v>
      </c>
      <c r="AK635" s="291">
        <f t="shared" si="94"/>
        <v>0</v>
      </c>
      <c r="AL635" s="302">
        <f t="shared" si="94"/>
        <v>0</v>
      </c>
      <c r="AM635" s="231">
        <f t="shared" si="94"/>
        <v>0</v>
      </c>
      <c r="AN635" s="49">
        <f t="shared" si="94"/>
        <v>0</v>
      </c>
      <c r="AO635" s="291">
        <f t="shared" si="94"/>
        <v>0</v>
      </c>
      <c r="AP635" s="302">
        <f t="shared" si="94"/>
        <v>965</v>
      </c>
      <c r="AQ635" s="231">
        <f t="shared" si="94"/>
        <v>439</v>
      </c>
      <c r="AR635" s="49">
        <f t="shared" si="94"/>
        <v>773</v>
      </c>
      <c r="AS635" s="291">
        <f t="shared" si="94"/>
        <v>628</v>
      </c>
      <c r="AT635" s="302">
        <f t="shared" si="94"/>
        <v>0</v>
      </c>
      <c r="AU635" s="231">
        <f t="shared" si="94"/>
        <v>0</v>
      </c>
      <c r="AV635" s="49">
        <f t="shared" si="94"/>
        <v>0</v>
      </c>
      <c r="AW635" s="291">
        <f t="shared" si="94"/>
        <v>0</v>
      </c>
      <c r="AX635" s="302">
        <f t="shared" si="94"/>
        <v>0</v>
      </c>
      <c r="AY635" s="231">
        <f t="shared" si="94"/>
        <v>0</v>
      </c>
      <c r="AZ635" s="49">
        <f t="shared" si="94"/>
        <v>0</v>
      </c>
      <c r="BA635" s="231">
        <f t="shared" si="94"/>
        <v>0</v>
      </c>
      <c r="BB635" s="49">
        <f t="shared" si="94"/>
        <v>0</v>
      </c>
      <c r="BC635" s="82">
        <f t="shared" si="94"/>
        <v>0</v>
      </c>
      <c r="BD635" s="49">
        <f t="shared" si="94"/>
        <v>0</v>
      </c>
      <c r="BE635" s="82">
        <f t="shared" si="94"/>
        <v>0</v>
      </c>
      <c r="BF635" s="49">
        <f t="shared" si="94"/>
        <v>0</v>
      </c>
      <c r="BG635" s="82">
        <f t="shared" si="94"/>
        <v>0</v>
      </c>
      <c r="BH635" s="49">
        <f t="shared" si="94"/>
        <v>0</v>
      </c>
      <c r="BI635" s="82">
        <f t="shared" si="94"/>
        <v>0</v>
      </c>
      <c r="BJ635" s="49">
        <f t="shared" si="94"/>
        <v>0</v>
      </c>
      <c r="BK635" s="82">
        <f t="shared" si="94"/>
        <v>0</v>
      </c>
    </row>
    <row r="636" spans="1:63" ht="13" x14ac:dyDescent="0.25">
      <c r="A636" s="379"/>
      <c r="B636" s="381" t="s">
        <v>717</v>
      </c>
      <c r="C636" s="257">
        <f>SUM(C478:C479)</f>
        <v>2043</v>
      </c>
      <c r="D636" s="257">
        <f>SUM(D478:D479)</f>
        <v>648</v>
      </c>
      <c r="E636" s="367">
        <v>0.3401360544217687</v>
      </c>
      <c r="F636" s="49">
        <f t="shared" ref="F636:BK636" si="95">SUM(F478:F479)</f>
        <v>561</v>
      </c>
      <c r="G636" s="230">
        <f t="shared" si="95"/>
        <v>74</v>
      </c>
      <c r="H636" s="49">
        <f t="shared" si="95"/>
        <v>521</v>
      </c>
      <c r="I636" s="63">
        <f t="shared" si="95"/>
        <v>110</v>
      </c>
      <c r="J636" s="302">
        <f t="shared" si="95"/>
        <v>0</v>
      </c>
      <c r="K636" s="230">
        <f t="shared" si="95"/>
        <v>0</v>
      </c>
      <c r="L636" s="49">
        <f t="shared" si="95"/>
        <v>0</v>
      </c>
      <c r="M636" s="63">
        <f t="shared" si="95"/>
        <v>0</v>
      </c>
      <c r="N636" s="302">
        <f t="shared" si="95"/>
        <v>0</v>
      </c>
      <c r="O636" s="230">
        <f t="shared" si="95"/>
        <v>0</v>
      </c>
      <c r="P636" s="49">
        <f t="shared" si="95"/>
        <v>0</v>
      </c>
      <c r="Q636" s="63">
        <f t="shared" si="95"/>
        <v>0</v>
      </c>
      <c r="R636" s="302">
        <f t="shared" si="95"/>
        <v>380</v>
      </c>
      <c r="S636" s="230">
        <f t="shared" si="95"/>
        <v>233</v>
      </c>
      <c r="T636" s="49">
        <f t="shared" si="95"/>
        <v>0</v>
      </c>
      <c r="U636" s="63">
        <f t="shared" si="95"/>
        <v>0</v>
      </c>
      <c r="V636" s="302">
        <f t="shared" si="95"/>
        <v>0</v>
      </c>
      <c r="W636" s="230">
        <f t="shared" si="95"/>
        <v>0</v>
      </c>
      <c r="X636" s="49">
        <f t="shared" si="95"/>
        <v>0</v>
      </c>
      <c r="Y636" s="63">
        <f t="shared" si="95"/>
        <v>0</v>
      </c>
      <c r="Z636" s="302">
        <f t="shared" si="95"/>
        <v>0</v>
      </c>
      <c r="AA636" s="230">
        <f t="shared" si="95"/>
        <v>0</v>
      </c>
      <c r="AB636" s="49">
        <f t="shared" si="95"/>
        <v>0</v>
      </c>
      <c r="AC636" s="63">
        <f t="shared" si="95"/>
        <v>0</v>
      </c>
      <c r="AD636" s="302">
        <f t="shared" si="95"/>
        <v>0</v>
      </c>
      <c r="AE636" s="230">
        <f t="shared" si="95"/>
        <v>0</v>
      </c>
      <c r="AF636" s="49">
        <f t="shared" si="95"/>
        <v>0</v>
      </c>
      <c r="AG636" s="63">
        <f t="shared" si="95"/>
        <v>0</v>
      </c>
      <c r="AH636" s="302">
        <f t="shared" si="95"/>
        <v>0</v>
      </c>
      <c r="AI636" s="230">
        <f t="shared" si="95"/>
        <v>0</v>
      </c>
      <c r="AJ636" s="49">
        <f t="shared" si="95"/>
        <v>0</v>
      </c>
      <c r="AK636" s="63">
        <f t="shared" si="95"/>
        <v>0</v>
      </c>
      <c r="AL636" s="302">
        <f t="shared" si="95"/>
        <v>0</v>
      </c>
      <c r="AM636" s="230">
        <f t="shared" si="95"/>
        <v>0</v>
      </c>
      <c r="AN636" s="49">
        <f t="shared" si="95"/>
        <v>0</v>
      </c>
      <c r="AO636" s="63">
        <f t="shared" si="95"/>
        <v>0</v>
      </c>
      <c r="AP636" s="302">
        <f t="shared" si="95"/>
        <v>440</v>
      </c>
      <c r="AQ636" s="230">
        <f t="shared" si="95"/>
        <v>190</v>
      </c>
      <c r="AR636" s="49">
        <f t="shared" si="95"/>
        <v>399</v>
      </c>
      <c r="AS636" s="63">
        <f t="shared" si="95"/>
        <v>232</v>
      </c>
      <c r="AT636" s="302">
        <f t="shared" si="95"/>
        <v>0</v>
      </c>
      <c r="AU636" s="230">
        <f t="shared" si="95"/>
        <v>0</v>
      </c>
      <c r="AV636" s="49">
        <f t="shared" si="95"/>
        <v>0</v>
      </c>
      <c r="AW636" s="63">
        <f t="shared" si="95"/>
        <v>0</v>
      </c>
      <c r="AX636" s="302">
        <f t="shared" si="95"/>
        <v>0</v>
      </c>
      <c r="AY636" s="230">
        <f t="shared" si="95"/>
        <v>0</v>
      </c>
      <c r="AZ636" s="49">
        <f t="shared" si="95"/>
        <v>0</v>
      </c>
      <c r="BA636" s="230">
        <f t="shared" si="95"/>
        <v>0</v>
      </c>
      <c r="BB636" s="49">
        <f t="shared" si="95"/>
        <v>0</v>
      </c>
      <c r="BC636" s="50">
        <f t="shared" si="95"/>
        <v>0</v>
      </c>
      <c r="BD636" s="49">
        <f t="shared" si="95"/>
        <v>0</v>
      </c>
      <c r="BE636" s="50">
        <f t="shared" si="95"/>
        <v>0</v>
      </c>
      <c r="BF636" s="49">
        <f t="shared" si="95"/>
        <v>0</v>
      </c>
      <c r="BG636" s="50">
        <f t="shared" si="95"/>
        <v>0</v>
      </c>
      <c r="BH636" s="49">
        <f t="shared" si="95"/>
        <v>0</v>
      </c>
      <c r="BI636" s="50">
        <f t="shared" si="95"/>
        <v>0</v>
      </c>
      <c r="BJ636" s="49">
        <f t="shared" si="95"/>
        <v>0</v>
      </c>
      <c r="BK636" s="50">
        <f t="shared" si="95"/>
        <v>0</v>
      </c>
    </row>
    <row r="637" spans="1:63" ht="13" x14ac:dyDescent="0.25">
      <c r="A637" s="379"/>
      <c r="B637" s="381" t="s">
        <v>718</v>
      </c>
      <c r="C637" s="257">
        <f>SUM(C480:C481)</f>
        <v>2157</v>
      </c>
      <c r="D637" s="257">
        <f>SUM(D480:D481)</f>
        <v>668</v>
      </c>
      <c r="E637" s="367">
        <v>0.33011049723756908</v>
      </c>
      <c r="F637" s="49">
        <f t="shared" ref="F637:BK637" si="96">SUM(F480:F481)</f>
        <v>417</v>
      </c>
      <c r="G637" s="230">
        <f t="shared" si="96"/>
        <v>244</v>
      </c>
      <c r="H637" s="49">
        <f t="shared" si="96"/>
        <v>466</v>
      </c>
      <c r="I637" s="63">
        <f t="shared" si="96"/>
        <v>192</v>
      </c>
      <c r="J637" s="302">
        <f t="shared" si="96"/>
        <v>0</v>
      </c>
      <c r="K637" s="230">
        <f t="shared" si="96"/>
        <v>0</v>
      </c>
      <c r="L637" s="49">
        <f t="shared" si="96"/>
        <v>0</v>
      </c>
      <c r="M637" s="63">
        <f t="shared" si="96"/>
        <v>0</v>
      </c>
      <c r="N637" s="302">
        <f t="shared" si="96"/>
        <v>0</v>
      </c>
      <c r="O637" s="230">
        <f t="shared" si="96"/>
        <v>0</v>
      </c>
      <c r="P637" s="49">
        <f t="shared" si="96"/>
        <v>0</v>
      </c>
      <c r="Q637" s="63">
        <f t="shared" si="96"/>
        <v>0</v>
      </c>
      <c r="R637" s="302">
        <f t="shared" si="96"/>
        <v>0</v>
      </c>
      <c r="S637" s="230">
        <f t="shared" si="96"/>
        <v>0</v>
      </c>
      <c r="T637" s="49">
        <f t="shared" si="96"/>
        <v>0</v>
      </c>
      <c r="U637" s="63">
        <f t="shared" si="96"/>
        <v>0</v>
      </c>
      <c r="V637" s="302">
        <f t="shared" si="96"/>
        <v>0</v>
      </c>
      <c r="W637" s="230">
        <f t="shared" si="96"/>
        <v>0</v>
      </c>
      <c r="X637" s="49">
        <f t="shared" si="96"/>
        <v>0</v>
      </c>
      <c r="Y637" s="63">
        <f t="shared" si="96"/>
        <v>0</v>
      </c>
      <c r="Z637" s="302">
        <f t="shared" si="96"/>
        <v>0</v>
      </c>
      <c r="AA637" s="230">
        <f t="shared" si="96"/>
        <v>0</v>
      </c>
      <c r="AB637" s="49">
        <f t="shared" si="96"/>
        <v>0</v>
      </c>
      <c r="AC637" s="63">
        <f t="shared" si="96"/>
        <v>0</v>
      </c>
      <c r="AD637" s="302">
        <f t="shared" si="96"/>
        <v>0</v>
      </c>
      <c r="AE637" s="230">
        <f t="shared" si="96"/>
        <v>0</v>
      </c>
      <c r="AF637" s="49">
        <f t="shared" si="96"/>
        <v>0</v>
      </c>
      <c r="AG637" s="63">
        <f t="shared" si="96"/>
        <v>0</v>
      </c>
      <c r="AH637" s="302">
        <f t="shared" si="96"/>
        <v>0</v>
      </c>
      <c r="AI637" s="230">
        <f t="shared" si="96"/>
        <v>0</v>
      </c>
      <c r="AJ637" s="49">
        <f t="shared" si="96"/>
        <v>0</v>
      </c>
      <c r="AK637" s="63">
        <f t="shared" si="96"/>
        <v>0</v>
      </c>
      <c r="AL637" s="302">
        <f t="shared" si="96"/>
        <v>0</v>
      </c>
      <c r="AM637" s="230">
        <f t="shared" si="96"/>
        <v>0</v>
      </c>
      <c r="AN637" s="49">
        <f t="shared" si="96"/>
        <v>0</v>
      </c>
      <c r="AO637" s="63">
        <f t="shared" si="96"/>
        <v>0</v>
      </c>
      <c r="AP637" s="302">
        <f t="shared" si="96"/>
        <v>400</v>
      </c>
      <c r="AQ637" s="230">
        <f t="shared" si="96"/>
        <v>251</v>
      </c>
      <c r="AR637" s="49">
        <f t="shared" si="96"/>
        <v>336</v>
      </c>
      <c r="AS637" s="63">
        <f t="shared" si="96"/>
        <v>318</v>
      </c>
      <c r="AT637" s="302">
        <f t="shared" si="96"/>
        <v>0</v>
      </c>
      <c r="AU637" s="230">
        <f t="shared" si="96"/>
        <v>0</v>
      </c>
      <c r="AV637" s="49">
        <f t="shared" si="96"/>
        <v>0</v>
      </c>
      <c r="AW637" s="63">
        <f t="shared" si="96"/>
        <v>0</v>
      </c>
      <c r="AX637" s="302">
        <f t="shared" si="96"/>
        <v>0</v>
      </c>
      <c r="AY637" s="230">
        <f t="shared" si="96"/>
        <v>0</v>
      </c>
      <c r="AZ637" s="49">
        <f t="shared" si="96"/>
        <v>0</v>
      </c>
      <c r="BA637" s="230">
        <f t="shared" si="96"/>
        <v>0</v>
      </c>
      <c r="BB637" s="49">
        <f t="shared" si="96"/>
        <v>0</v>
      </c>
      <c r="BC637" s="50">
        <f t="shared" si="96"/>
        <v>0</v>
      </c>
      <c r="BD637" s="49">
        <f t="shared" si="96"/>
        <v>0</v>
      </c>
      <c r="BE637" s="50">
        <f t="shared" si="96"/>
        <v>0</v>
      </c>
      <c r="BF637" s="49">
        <f t="shared" si="96"/>
        <v>0</v>
      </c>
      <c r="BG637" s="50">
        <f t="shared" si="96"/>
        <v>0</v>
      </c>
      <c r="BH637" s="49">
        <f t="shared" si="96"/>
        <v>0</v>
      </c>
      <c r="BI637" s="50">
        <f t="shared" si="96"/>
        <v>0</v>
      </c>
      <c r="BJ637" s="49">
        <f t="shared" si="96"/>
        <v>0</v>
      </c>
      <c r="BK637" s="50">
        <f t="shared" si="96"/>
        <v>0</v>
      </c>
    </row>
    <row r="638" spans="1:63" ht="13" x14ac:dyDescent="0.25">
      <c r="A638" s="379"/>
      <c r="B638" s="381" t="s">
        <v>30</v>
      </c>
      <c r="C638" s="257">
        <f>SUM(C482:C483)</f>
        <v>2774</v>
      </c>
      <c r="D638" s="257">
        <f>SUM(D482:D483)</f>
        <v>1743</v>
      </c>
      <c r="E638" s="367">
        <v>0.65182186234817818</v>
      </c>
      <c r="F638" s="70">
        <f t="shared" ref="F638:BK638" si="97">SUM(F482:F483)</f>
        <v>1273</v>
      </c>
      <c r="G638" s="237">
        <f t="shared" si="97"/>
        <v>457</v>
      </c>
      <c r="H638" s="70">
        <f t="shared" si="97"/>
        <v>1109</v>
      </c>
      <c r="I638" s="72">
        <f t="shared" si="97"/>
        <v>591</v>
      </c>
      <c r="J638" s="362">
        <f t="shared" si="97"/>
        <v>0</v>
      </c>
      <c r="K638" s="237">
        <f t="shared" si="97"/>
        <v>0</v>
      </c>
      <c r="L638" s="70">
        <f t="shared" si="97"/>
        <v>0</v>
      </c>
      <c r="M638" s="72">
        <f t="shared" si="97"/>
        <v>0</v>
      </c>
      <c r="N638" s="362">
        <f t="shared" si="97"/>
        <v>0</v>
      </c>
      <c r="O638" s="237">
        <f t="shared" si="97"/>
        <v>0</v>
      </c>
      <c r="P638" s="70">
        <f t="shared" si="97"/>
        <v>0</v>
      </c>
      <c r="Q638" s="72">
        <f t="shared" si="97"/>
        <v>0</v>
      </c>
      <c r="R638" s="362">
        <f t="shared" si="97"/>
        <v>0</v>
      </c>
      <c r="S638" s="237">
        <f t="shared" si="97"/>
        <v>0</v>
      </c>
      <c r="T638" s="70">
        <f t="shared" si="97"/>
        <v>1223</v>
      </c>
      <c r="U638" s="72">
        <f t="shared" si="97"/>
        <v>337</v>
      </c>
      <c r="V638" s="362">
        <f t="shared" si="97"/>
        <v>1230</v>
      </c>
      <c r="W638" s="237">
        <f t="shared" si="97"/>
        <v>330</v>
      </c>
      <c r="X638" s="70">
        <f t="shared" si="97"/>
        <v>1176</v>
      </c>
      <c r="Y638" s="72">
        <f t="shared" si="97"/>
        <v>453</v>
      </c>
      <c r="Z638" s="362">
        <f t="shared" si="97"/>
        <v>1246</v>
      </c>
      <c r="AA638" s="237">
        <f t="shared" si="97"/>
        <v>403</v>
      </c>
      <c r="AB638" s="70">
        <f t="shared" si="97"/>
        <v>0</v>
      </c>
      <c r="AC638" s="72">
        <f t="shared" si="97"/>
        <v>0</v>
      </c>
      <c r="AD638" s="362">
        <f t="shared" si="97"/>
        <v>0</v>
      </c>
      <c r="AE638" s="237">
        <f t="shared" si="97"/>
        <v>0</v>
      </c>
      <c r="AF638" s="70">
        <f t="shared" si="97"/>
        <v>0</v>
      </c>
      <c r="AG638" s="72">
        <f t="shared" si="97"/>
        <v>0</v>
      </c>
      <c r="AH638" s="362">
        <f t="shared" si="97"/>
        <v>0</v>
      </c>
      <c r="AI638" s="237">
        <f t="shared" si="97"/>
        <v>0</v>
      </c>
      <c r="AJ638" s="70">
        <f t="shared" si="97"/>
        <v>0</v>
      </c>
      <c r="AK638" s="72">
        <f t="shared" si="97"/>
        <v>0</v>
      </c>
      <c r="AL638" s="362">
        <f t="shared" si="97"/>
        <v>0</v>
      </c>
      <c r="AM638" s="237">
        <f t="shared" si="97"/>
        <v>0</v>
      </c>
      <c r="AN638" s="70">
        <f t="shared" si="97"/>
        <v>0</v>
      </c>
      <c r="AO638" s="72">
        <f t="shared" si="97"/>
        <v>0</v>
      </c>
      <c r="AP638" s="362">
        <f t="shared" si="97"/>
        <v>1308</v>
      </c>
      <c r="AQ638" s="237">
        <f t="shared" si="97"/>
        <v>364</v>
      </c>
      <c r="AR638" s="70">
        <f t="shared" si="97"/>
        <v>1135</v>
      </c>
      <c r="AS638" s="72">
        <f t="shared" si="97"/>
        <v>532</v>
      </c>
      <c r="AT638" s="362">
        <f t="shared" si="97"/>
        <v>0</v>
      </c>
      <c r="AU638" s="237">
        <f t="shared" si="97"/>
        <v>0</v>
      </c>
      <c r="AV638" s="70">
        <f t="shared" si="97"/>
        <v>0</v>
      </c>
      <c r="AW638" s="72">
        <f t="shared" si="97"/>
        <v>0</v>
      </c>
      <c r="AX638" s="362">
        <f t="shared" si="97"/>
        <v>0</v>
      </c>
      <c r="AY638" s="237">
        <f t="shared" si="97"/>
        <v>0</v>
      </c>
      <c r="AZ638" s="70">
        <f t="shared" si="97"/>
        <v>0</v>
      </c>
      <c r="BA638" s="237">
        <f t="shared" si="97"/>
        <v>0</v>
      </c>
      <c r="BB638" s="70">
        <f t="shared" si="97"/>
        <v>0</v>
      </c>
      <c r="BC638" s="71">
        <f t="shared" si="97"/>
        <v>0</v>
      </c>
      <c r="BD638" s="70">
        <f t="shared" si="97"/>
        <v>0</v>
      </c>
      <c r="BE638" s="71">
        <f t="shared" si="97"/>
        <v>0</v>
      </c>
      <c r="BF638" s="70">
        <f t="shared" si="97"/>
        <v>0</v>
      </c>
      <c r="BG638" s="71">
        <f t="shared" si="97"/>
        <v>0</v>
      </c>
      <c r="BH638" s="70">
        <f t="shared" si="97"/>
        <v>0</v>
      </c>
      <c r="BI638" s="71">
        <f t="shared" si="97"/>
        <v>0</v>
      </c>
      <c r="BJ638" s="70">
        <f t="shared" si="97"/>
        <v>0</v>
      </c>
      <c r="BK638" s="71">
        <f t="shared" si="97"/>
        <v>0</v>
      </c>
    </row>
    <row r="639" spans="1:63" ht="13" x14ac:dyDescent="0.25">
      <c r="A639" s="379"/>
      <c r="B639" s="381" t="s">
        <v>31</v>
      </c>
      <c r="C639" s="257">
        <f>SUM(C496:C497)</f>
        <v>2054</v>
      </c>
      <c r="D639" s="257">
        <f>SUM(D496:D497)</f>
        <v>1127</v>
      </c>
      <c r="E639" s="367">
        <v>0.58276533592989288</v>
      </c>
      <c r="F639" s="49">
        <f t="shared" ref="F639:BK639" si="98">SUM(F496:F497)</f>
        <v>665</v>
      </c>
      <c r="G639" s="230">
        <f t="shared" si="98"/>
        <v>457</v>
      </c>
      <c r="H639" s="49">
        <f t="shared" si="98"/>
        <v>679</v>
      </c>
      <c r="I639" s="63">
        <f t="shared" si="98"/>
        <v>424</v>
      </c>
      <c r="J639" s="302">
        <f t="shared" si="98"/>
        <v>0</v>
      </c>
      <c r="K639" s="230">
        <f t="shared" si="98"/>
        <v>0</v>
      </c>
      <c r="L639" s="49">
        <f t="shared" si="98"/>
        <v>0</v>
      </c>
      <c r="M639" s="63">
        <f t="shared" si="98"/>
        <v>0</v>
      </c>
      <c r="N639" s="302">
        <f t="shared" si="98"/>
        <v>0</v>
      </c>
      <c r="O639" s="230">
        <f t="shared" si="98"/>
        <v>0</v>
      </c>
      <c r="P639" s="49">
        <f t="shared" si="98"/>
        <v>0</v>
      </c>
      <c r="Q639" s="63">
        <f t="shared" si="98"/>
        <v>0</v>
      </c>
      <c r="R639" s="302">
        <f t="shared" si="98"/>
        <v>0</v>
      </c>
      <c r="S639" s="230">
        <f t="shared" si="98"/>
        <v>0</v>
      </c>
      <c r="T639" s="49">
        <f t="shared" si="98"/>
        <v>0</v>
      </c>
      <c r="U639" s="63">
        <f t="shared" si="98"/>
        <v>0</v>
      </c>
      <c r="V639" s="302">
        <f t="shared" si="98"/>
        <v>0</v>
      </c>
      <c r="W639" s="230">
        <f t="shared" si="98"/>
        <v>0</v>
      </c>
      <c r="X639" s="49">
        <f t="shared" si="98"/>
        <v>0</v>
      </c>
      <c r="Y639" s="63">
        <f t="shared" si="98"/>
        <v>0</v>
      </c>
      <c r="Z639" s="302">
        <f t="shared" si="98"/>
        <v>0</v>
      </c>
      <c r="AA639" s="230">
        <f t="shared" si="98"/>
        <v>0</v>
      </c>
      <c r="AB639" s="49">
        <f t="shared" si="98"/>
        <v>0</v>
      </c>
      <c r="AC639" s="63">
        <f t="shared" si="98"/>
        <v>0</v>
      </c>
      <c r="AD639" s="302">
        <f t="shared" si="98"/>
        <v>0</v>
      </c>
      <c r="AE639" s="230">
        <f t="shared" si="98"/>
        <v>0</v>
      </c>
      <c r="AF639" s="49">
        <f t="shared" si="98"/>
        <v>0</v>
      </c>
      <c r="AG639" s="63">
        <f t="shared" si="98"/>
        <v>0</v>
      </c>
      <c r="AH639" s="302">
        <f t="shared" si="98"/>
        <v>0</v>
      </c>
      <c r="AI639" s="230">
        <f t="shared" si="98"/>
        <v>0</v>
      </c>
      <c r="AJ639" s="49">
        <f t="shared" si="98"/>
        <v>0</v>
      </c>
      <c r="AK639" s="63">
        <f t="shared" si="98"/>
        <v>0</v>
      </c>
      <c r="AL639" s="302">
        <f t="shared" si="98"/>
        <v>0</v>
      </c>
      <c r="AM639" s="230">
        <f t="shared" si="98"/>
        <v>0</v>
      </c>
      <c r="AN639" s="49">
        <f t="shared" si="98"/>
        <v>0</v>
      </c>
      <c r="AO639" s="63">
        <f t="shared" si="98"/>
        <v>0</v>
      </c>
      <c r="AP639" s="302">
        <f t="shared" si="98"/>
        <v>714</v>
      </c>
      <c r="AQ639" s="230">
        <f t="shared" si="98"/>
        <v>376</v>
      </c>
      <c r="AR639" s="49">
        <f t="shared" si="98"/>
        <v>533</v>
      </c>
      <c r="AS639" s="63">
        <f t="shared" si="98"/>
        <v>565</v>
      </c>
      <c r="AT639" s="302">
        <f t="shared" si="98"/>
        <v>0</v>
      </c>
      <c r="AU639" s="230">
        <f t="shared" si="98"/>
        <v>0</v>
      </c>
      <c r="AV639" s="49">
        <f t="shared" si="98"/>
        <v>0</v>
      </c>
      <c r="AW639" s="63">
        <f t="shared" si="98"/>
        <v>0</v>
      </c>
      <c r="AX639" s="302">
        <f t="shared" si="98"/>
        <v>0</v>
      </c>
      <c r="AY639" s="230">
        <f t="shared" si="98"/>
        <v>0</v>
      </c>
      <c r="AZ639" s="49">
        <f t="shared" si="98"/>
        <v>0</v>
      </c>
      <c r="BA639" s="230">
        <f t="shared" si="98"/>
        <v>0</v>
      </c>
      <c r="BB639" s="49">
        <f t="shared" si="98"/>
        <v>0</v>
      </c>
      <c r="BC639" s="50">
        <f t="shared" si="98"/>
        <v>0</v>
      </c>
      <c r="BD639" s="49">
        <f t="shared" si="98"/>
        <v>0</v>
      </c>
      <c r="BE639" s="50">
        <f t="shared" si="98"/>
        <v>0</v>
      </c>
      <c r="BF639" s="49">
        <f t="shared" si="98"/>
        <v>0</v>
      </c>
      <c r="BG639" s="50">
        <f t="shared" si="98"/>
        <v>0</v>
      </c>
      <c r="BH639" s="49">
        <f t="shared" si="98"/>
        <v>0</v>
      </c>
      <c r="BI639" s="50">
        <f t="shared" si="98"/>
        <v>0</v>
      </c>
      <c r="BJ639" s="49">
        <f t="shared" si="98"/>
        <v>0</v>
      </c>
      <c r="BK639" s="50">
        <f t="shared" si="98"/>
        <v>0</v>
      </c>
    </row>
    <row r="640" spans="1:63" ht="13" x14ac:dyDescent="0.25">
      <c r="A640" s="379"/>
      <c r="B640" s="381" t="s">
        <v>15</v>
      </c>
      <c r="C640" s="257">
        <f>SUM(C487)</f>
        <v>768</v>
      </c>
      <c r="D640" s="257">
        <f>SUM(D487)</f>
        <v>483</v>
      </c>
      <c r="E640" s="367">
        <v>0.69129287598944589</v>
      </c>
      <c r="F640" s="49">
        <f t="shared" ref="F640:BK640" si="99">SUM(F487)</f>
        <v>146</v>
      </c>
      <c r="G640" s="230">
        <f t="shared" si="99"/>
        <v>331</v>
      </c>
      <c r="H640" s="49">
        <f t="shared" si="99"/>
        <v>174</v>
      </c>
      <c r="I640" s="63">
        <f t="shared" si="99"/>
        <v>302</v>
      </c>
      <c r="J640" s="302">
        <f t="shared" si="99"/>
        <v>0</v>
      </c>
      <c r="K640" s="230">
        <f t="shared" si="99"/>
        <v>0</v>
      </c>
      <c r="L640" s="49">
        <f t="shared" si="99"/>
        <v>0</v>
      </c>
      <c r="M640" s="63">
        <f t="shared" si="99"/>
        <v>0</v>
      </c>
      <c r="N640" s="302">
        <f t="shared" si="99"/>
        <v>0</v>
      </c>
      <c r="O640" s="230">
        <f t="shared" si="99"/>
        <v>0</v>
      </c>
      <c r="P640" s="49">
        <f t="shared" si="99"/>
        <v>0</v>
      </c>
      <c r="Q640" s="63">
        <f t="shared" si="99"/>
        <v>0</v>
      </c>
      <c r="R640" s="302">
        <f t="shared" si="99"/>
        <v>0</v>
      </c>
      <c r="S640" s="230">
        <f t="shared" si="99"/>
        <v>0</v>
      </c>
      <c r="T640" s="49">
        <f t="shared" si="99"/>
        <v>0</v>
      </c>
      <c r="U640" s="63">
        <f t="shared" si="99"/>
        <v>0</v>
      </c>
      <c r="V640" s="302">
        <f t="shared" si="99"/>
        <v>0</v>
      </c>
      <c r="W640" s="230">
        <f t="shared" si="99"/>
        <v>0</v>
      </c>
      <c r="X640" s="49">
        <f t="shared" si="99"/>
        <v>0</v>
      </c>
      <c r="Y640" s="63">
        <f t="shared" si="99"/>
        <v>0</v>
      </c>
      <c r="Z640" s="302">
        <f t="shared" si="99"/>
        <v>0</v>
      </c>
      <c r="AA640" s="230">
        <f t="shared" si="99"/>
        <v>0</v>
      </c>
      <c r="AB640" s="49">
        <f t="shared" si="99"/>
        <v>0</v>
      </c>
      <c r="AC640" s="63">
        <f t="shared" si="99"/>
        <v>0</v>
      </c>
      <c r="AD640" s="302">
        <f t="shared" si="99"/>
        <v>0</v>
      </c>
      <c r="AE640" s="230">
        <f t="shared" si="99"/>
        <v>0</v>
      </c>
      <c r="AF640" s="49">
        <f t="shared" si="99"/>
        <v>0</v>
      </c>
      <c r="AG640" s="63">
        <f t="shared" si="99"/>
        <v>0</v>
      </c>
      <c r="AH640" s="302">
        <f t="shared" si="99"/>
        <v>0</v>
      </c>
      <c r="AI640" s="230">
        <f t="shared" si="99"/>
        <v>0</v>
      </c>
      <c r="AJ640" s="49">
        <f t="shared" si="99"/>
        <v>0</v>
      </c>
      <c r="AK640" s="63">
        <f t="shared" si="99"/>
        <v>0</v>
      </c>
      <c r="AL640" s="302">
        <f t="shared" si="99"/>
        <v>0</v>
      </c>
      <c r="AM640" s="230">
        <f t="shared" si="99"/>
        <v>0</v>
      </c>
      <c r="AN640" s="49">
        <f t="shared" si="99"/>
        <v>0</v>
      </c>
      <c r="AO640" s="63">
        <f t="shared" si="99"/>
        <v>0</v>
      </c>
      <c r="AP640" s="302">
        <f t="shared" si="99"/>
        <v>272</v>
      </c>
      <c r="AQ640" s="230">
        <f t="shared" si="99"/>
        <v>200</v>
      </c>
      <c r="AR640" s="49">
        <f t="shared" si="99"/>
        <v>172</v>
      </c>
      <c r="AS640" s="63">
        <f t="shared" si="99"/>
        <v>289</v>
      </c>
      <c r="AT640" s="302">
        <f t="shared" si="99"/>
        <v>0</v>
      </c>
      <c r="AU640" s="230">
        <f t="shared" si="99"/>
        <v>0</v>
      </c>
      <c r="AV640" s="49">
        <f t="shared" si="99"/>
        <v>0</v>
      </c>
      <c r="AW640" s="63">
        <f t="shared" si="99"/>
        <v>0</v>
      </c>
      <c r="AX640" s="302">
        <f t="shared" si="99"/>
        <v>0</v>
      </c>
      <c r="AY640" s="230">
        <f t="shared" si="99"/>
        <v>0</v>
      </c>
      <c r="AZ640" s="49">
        <f t="shared" si="99"/>
        <v>0</v>
      </c>
      <c r="BA640" s="230">
        <f t="shared" si="99"/>
        <v>0</v>
      </c>
      <c r="BB640" s="49">
        <f t="shared" si="99"/>
        <v>0</v>
      </c>
      <c r="BC640" s="50">
        <f t="shared" si="99"/>
        <v>0</v>
      </c>
      <c r="BD640" s="49">
        <f t="shared" si="99"/>
        <v>0</v>
      </c>
      <c r="BE640" s="50">
        <f t="shared" si="99"/>
        <v>0</v>
      </c>
      <c r="BF640" s="49">
        <f t="shared" si="99"/>
        <v>0</v>
      </c>
      <c r="BG640" s="50">
        <f t="shared" si="99"/>
        <v>0</v>
      </c>
      <c r="BH640" s="49">
        <f t="shared" si="99"/>
        <v>0</v>
      </c>
      <c r="BI640" s="50">
        <f t="shared" si="99"/>
        <v>0</v>
      </c>
      <c r="BJ640" s="49">
        <f t="shared" si="99"/>
        <v>0</v>
      </c>
      <c r="BK640" s="50">
        <f t="shared" si="99"/>
        <v>0</v>
      </c>
    </row>
    <row r="641" spans="1:63" ht="13" x14ac:dyDescent="0.25">
      <c r="A641" s="379"/>
      <c r="B641" s="381" t="s">
        <v>719</v>
      </c>
      <c r="C641" s="257">
        <f>SUM(C498:C501)</f>
        <v>3025</v>
      </c>
      <c r="D641" s="257">
        <f>SUM(D498:D501)</f>
        <v>1570</v>
      </c>
      <c r="E641" s="367">
        <v>0.51426675514266751</v>
      </c>
      <c r="F641" s="49">
        <f t="shared" ref="F641:BK641" si="100">SUM(F498:F501)</f>
        <v>924</v>
      </c>
      <c r="G641" s="230">
        <f t="shared" si="100"/>
        <v>619</v>
      </c>
      <c r="H641" s="49">
        <f t="shared" si="100"/>
        <v>1048</v>
      </c>
      <c r="I641" s="63">
        <f t="shared" si="100"/>
        <v>493</v>
      </c>
      <c r="J641" s="302">
        <f t="shared" si="100"/>
        <v>0</v>
      </c>
      <c r="K641" s="230">
        <f t="shared" si="100"/>
        <v>0</v>
      </c>
      <c r="L641" s="49">
        <f t="shared" si="100"/>
        <v>0</v>
      </c>
      <c r="M641" s="63">
        <f t="shared" si="100"/>
        <v>0</v>
      </c>
      <c r="N641" s="302">
        <f t="shared" si="100"/>
        <v>0</v>
      </c>
      <c r="O641" s="230">
        <f t="shared" si="100"/>
        <v>0</v>
      </c>
      <c r="P641" s="49">
        <f t="shared" si="100"/>
        <v>0</v>
      </c>
      <c r="Q641" s="63">
        <f t="shared" si="100"/>
        <v>0</v>
      </c>
      <c r="R641" s="302">
        <f t="shared" si="100"/>
        <v>0</v>
      </c>
      <c r="S641" s="230">
        <f t="shared" si="100"/>
        <v>0</v>
      </c>
      <c r="T641" s="49">
        <f t="shared" si="100"/>
        <v>0</v>
      </c>
      <c r="U641" s="63">
        <f t="shared" si="100"/>
        <v>0</v>
      </c>
      <c r="V641" s="302">
        <f t="shared" si="100"/>
        <v>0</v>
      </c>
      <c r="W641" s="230">
        <f t="shared" si="100"/>
        <v>0</v>
      </c>
      <c r="X641" s="49">
        <f t="shared" si="100"/>
        <v>0</v>
      </c>
      <c r="Y641" s="63">
        <f t="shared" si="100"/>
        <v>0</v>
      </c>
      <c r="Z641" s="302">
        <f t="shared" si="100"/>
        <v>0</v>
      </c>
      <c r="AA641" s="230">
        <f t="shared" si="100"/>
        <v>0</v>
      </c>
      <c r="AB641" s="49">
        <f t="shared" si="100"/>
        <v>0</v>
      </c>
      <c r="AC641" s="63">
        <f t="shared" si="100"/>
        <v>0</v>
      </c>
      <c r="AD641" s="302">
        <f t="shared" si="100"/>
        <v>0</v>
      </c>
      <c r="AE641" s="230">
        <f t="shared" si="100"/>
        <v>0</v>
      </c>
      <c r="AF641" s="49">
        <f t="shared" si="100"/>
        <v>0</v>
      </c>
      <c r="AG641" s="63">
        <f t="shared" si="100"/>
        <v>0</v>
      </c>
      <c r="AH641" s="302">
        <f t="shared" si="100"/>
        <v>0</v>
      </c>
      <c r="AI641" s="230">
        <f t="shared" si="100"/>
        <v>0</v>
      </c>
      <c r="AJ641" s="49">
        <f t="shared" si="100"/>
        <v>0</v>
      </c>
      <c r="AK641" s="63">
        <f t="shared" si="100"/>
        <v>0</v>
      </c>
      <c r="AL641" s="302">
        <f t="shared" si="100"/>
        <v>0</v>
      </c>
      <c r="AM641" s="230">
        <f t="shared" si="100"/>
        <v>0</v>
      </c>
      <c r="AN641" s="49">
        <f t="shared" si="100"/>
        <v>0</v>
      </c>
      <c r="AO641" s="63">
        <f t="shared" si="100"/>
        <v>0</v>
      </c>
      <c r="AP641" s="302">
        <f t="shared" si="100"/>
        <v>1056</v>
      </c>
      <c r="AQ641" s="230">
        <f t="shared" si="100"/>
        <v>478</v>
      </c>
      <c r="AR641" s="49">
        <f t="shared" si="100"/>
        <v>826</v>
      </c>
      <c r="AS641" s="63">
        <f t="shared" si="100"/>
        <v>692</v>
      </c>
      <c r="AT641" s="302">
        <f t="shared" si="100"/>
        <v>0</v>
      </c>
      <c r="AU641" s="230">
        <f t="shared" si="100"/>
        <v>0</v>
      </c>
      <c r="AV641" s="49">
        <f t="shared" si="100"/>
        <v>0</v>
      </c>
      <c r="AW641" s="63">
        <f t="shared" si="100"/>
        <v>0</v>
      </c>
      <c r="AX641" s="302">
        <f t="shared" si="100"/>
        <v>0</v>
      </c>
      <c r="AY641" s="230">
        <f t="shared" si="100"/>
        <v>0</v>
      </c>
      <c r="AZ641" s="49">
        <f t="shared" si="100"/>
        <v>0</v>
      </c>
      <c r="BA641" s="230">
        <f t="shared" si="100"/>
        <v>0</v>
      </c>
      <c r="BB641" s="49">
        <f t="shared" si="100"/>
        <v>0</v>
      </c>
      <c r="BC641" s="50">
        <f t="shared" si="100"/>
        <v>0</v>
      </c>
      <c r="BD641" s="49">
        <f t="shared" si="100"/>
        <v>0</v>
      </c>
      <c r="BE641" s="50">
        <f t="shared" si="100"/>
        <v>0</v>
      </c>
      <c r="BF641" s="49">
        <f t="shared" si="100"/>
        <v>0</v>
      </c>
      <c r="BG641" s="50">
        <f t="shared" si="100"/>
        <v>0</v>
      </c>
      <c r="BH641" s="49">
        <f t="shared" si="100"/>
        <v>0</v>
      </c>
      <c r="BI641" s="50">
        <f t="shared" si="100"/>
        <v>0</v>
      </c>
      <c r="BJ641" s="49">
        <f t="shared" si="100"/>
        <v>0</v>
      </c>
      <c r="BK641" s="50">
        <f t="shared" si="100"/>
        <v>0</v>
      </c>
    </row>
    <row r="642" spans="1:63" ht="13" x14ac:dyDescent="0.25">
      <c r="A642" s="379"/>
      <c r="B642" s="381" t="s">
        <v>720</v>
      </c>
      <c r="C642" s="257">
        <f>SUM(C502:C504)</f>
        <v>3781</v>
      </c>
      <c r="D642" s="257">
        <f>SUM(D502:D504)</f>
        <v>1875</v>
      </c>
      <c r="E642" s="367">
        <v>0.52646980579941471</v>
      </c>
      <c r="F642" s="49">
        <f t="shared" ref="F642:BK642" si="101">SUM(F502:F504)</f>
        <v>1488</v>
      </c>
      <c r="G642" s="230">
        <f t="shared" si="101"/>
        <v>377</v>
      </c>
      <c r="H642" s="49">
        <f t="shared" si="101"/>
        <v>1459</v>
      </c>
      <c r="I642" s="63">
        <f t="shared" si="101"/>
        <v>393</v>
      </c>
      <c r="J642" s="302">
        <f t="shared" si="101"/>
        <v>0</v>
      </c>
      <c r="K642" s="230">
        <f t="shared" si="101"/>
        <v>0</v>
      </c>
      <c r="L642" s="49">
        <f t="shared" si="101"/>
        <v>0</v>
      </c>
      <c r="M642" s="63">
        <f t="shared" si="101"/>
        <v>0</v>
      </c>
      <c r="N642" s="302">
        <f t="shared" si="101"/>
        <v>0</v>
      </c>
      <c r="O642" s="230">
        <f t="shared" si="101"/>
        <v>0</v>
      </c>
      <c r="P642" s="49">
        <f t="shared" si="101"/>
        <v>0</v>
      </c>
      <c r="Q642" s="63">
        <f t="shared" si="101"/>
        <v>0</v>
      </c>
      <c r="R642" s="302">
        <f t="shared" si="101"/>
        <v>0</v>
      </c>
      <c r="S642" s="230">
        <f t="shared" si="101"/>
        <v>0</v>
      </c>
      <c r="T642" s="49">
        <f t="shared" si="101"/>
        <v>0</v>
      </c>
      <c r="U642" s="63">
        <f t="shared" si="101"/>
        <v>0</v>
      </c>
      <c r="V642" s="302">
        <f t="shared" si="101"/>
        <v>0</v>
      </c>
      <c r="W642" s="230">
        <f t="shared" si="101"/>
        <v>0</v>
      </c>
      <c r="X642" s="49">
        <f t="shared" si="101"/>
        <v>0</v>
      </c>
      <c r="Y642" s="63">
        <f t="shared" si="101"/>
        <v>0</v>
      </c>
      <c r="Z642" s="302">
        <f t="shared" si="101"/>
        <v>0</v>
      </c>
      <c r="AA642" s="230">
        <f t="shared" si="101"/>
        <v>0</v>
      </c>
      <c r="AB642" s="49">
        <f t="shared" si="101"/>
        <v>0</v>
      </c>
      <c r="AC642" s="63">
        <f t="shared" si="101"/>
        <v>0</v>
      </c>
      <c r="AD642" s="302">
        <f t="shared" si="101"/>
        <v>0</v>
      </c>
      <c r="AE642" s="230">
        <f t="shared" si="101"/>
        <v>0</v>
      </c>
      <c r="AF642" s="49">
        <f t="shared" si="101"/>
        <v>0</v>
      </c>
      <c r="AG642" s="63">
        <f t="shared" si="101"/>
        <v>0</v>
      </c>
      <c r="AH642" s="302">
        <f t="shared" si="101"/>
        <v>0</v>
      </c>
      <c r="AI642" s="230">
        <f t="shared" si="101"/>
        <v>0</v>
      </c>
      <c r="AJ642" s="49">
        <f t="shared" si="101"/>
        <v>0</v>
      </c>
      <c r="AK642" s="63">
        <f t="shared" si="101"/>
        <v>0</v>
      </c>
      <c r="AL642" s="302">
        <f t="shared" si="101"/>
        <v>0</v>
      </c>
      <c r="AM642" s="230">
        <f t="shared" si="101"/>
        <v>0</v>
      </c>
      <c r="AN642" s="49">
        <f t="shared" si="101"/>
        <v>0</v>
      </c>
      <c r="AO642" s="63">
        <f t="shared" si="101"/>
        <v>0</v>
      </c>
      <c r="AP642" s="302">
        <f t="shared" si="101"/>
        <v>1381</v>
      </c>
      <c r="AQ642" s="230">
        <f t="shared" si="101"/>
        <v>455</v>
      </c>
      <c r="AR642" s="49">
        <f t="shared" si="101"/>
        <v>1251</v>
      </c>
      <c r="AS642" s="63">
        <f t="shared" si="101"/>
        <v>584</v>
      </c>
      <c r="AT642" s="302">
        <f t="shared" si="101"/>
        <v>0</v>
      </c>
      <c r="AU642" s="230">
        <f t="shared" si="101"/>
        <v>0</v>
      </c>
      <c r="AV642" s="49">
        <f t="shared" si="101"/>
        <v>0</v>
      </c>
      <c r="AW642" s="63">
        <f t="shared" si="101"/>
        <v>0</v>
      </c>
      <c r="AX642" s="302">
        <f t="shared" si="101"/>
        <v>0</v>
      </c>
      <c r="AY642" s="230">
        <f t="shared" si="101"/>
        <v>0</v>
      </c>
      <c r="AZ642" s="49">
        <f t="shared" si="101"/>
        <v>0</v>
      </c>
      <c r="BA642" s="230">
        <f t="shared" si="101"/>
        <v>0</v>
      </c>
      <c r="BB642" s="49">
        <f t="shared" si="101"/>
        <v>0</v>
      </c>
      <c r="BC642" s="50">
        <f t="shared" si="101"/>
        <v>0</v>
      </c>
      <c r="BD642" s="49">
        <f t="shared" si="101"/>
        <v>0</v>
      </c>
      <c r="BE642" s="50">
        <f t="shared" si="101"/>
        <v>0</v>
      </c>
      <c r="BF642" s="49">
        <f t="shared" si="101"/>
        <v>0</v>
      </c>
      <c r="BG642" s="50">
        <f t="shared" si="101"/>
        <v>0</v>
      </c>
      <c r="BH642" s="49">
        <f t="shared" si="101"/>
        <v>0</v>
      </c>
      <c r="BI642" s="50">
        <f t="shared" si="101"/>
        <v>0</v>
      </c>
      <c r="BJ642" s="49">
        <f t="shared" si="101"/>
        <v>0</v>
      </c>
      <c r="BK642" s="50">
        <f t="shared" si="101"/>
        <v>0</v>
      </c>
    </row>
    <row r="643" spans="1:63" ht="13" x14ac:dyDescent="0.25">
      <c r="A643" s="379"/>
      <c r="B643" s="381" t="s">
        <v>32</v>
      </c>
      <c r="C643" s="257">
        <f>SUM(C559:C560)</f>
        <v>1922</v>
      </c>
      <c r="D643" s="257">
        <f>SUM(D559:D560)</f>
        <v>1188</v>
      </c>
      <c r="E643" s="367">
        <v>0.64825429911412191</v>
      </c>
      <c r="F643" s="49">
        <f t="shared" ref="F643:BK643" si="102">SUM(F559:F560)</f>
        <v>820</v>
      </c>
      <c r="G643" s="230">
        <f t="shared" si="102"/>
        <v>362</v>
      </c>
      <c r="H643" s="49">
        <f t="shared" si="102"/>
        <v>751</v>
      </c>
      <c r="I643" s="63">
        <f t="shared" si="102"/>
        <v>422</v>
      </c>
      <c r="J643" s="302">
        <f t="shared" si="102"/>
        <v>0</v>
      </c>
      <c r="K643" s="230">
        <f t="shared" si="102"/>
        <v>0</v>
      </c>
      <c r="L643" s="49">
        <f t="shared" si="102"/>
        <v>0</v>
      </c>
      <c r="M643" s="63">
        <f t="shared" si="102"/>
        <v>0</v>
      </c>
      <c r="N643" s="302">
        <f t="shared" si="102"/>
        <v>0</v>
      </c>
      <c r="O643" s="230">
        <f t="shared" si="102"/>
        <v>0</v>
      </c>
      <c r="P643" s="49">
        <f t="shared" si="102"/>
        <v>0</v>
      </c>
      <c r="Q643" s="63">
        <f t="shared" si="102"/>
        <v>0</v>
      </c>
      <c r="R643" s="302">
        <f t="shared" si="102"/>
        <v>0</v>
      </c>
      <c r="S643" s="230">
        <f t="shared" si="102"/>
        <v>0</v>
      </c>
      <c r="T643" s="49">
        <f t="shared" si="102"/>
        <v>0</v>
      </c>
      <c r="U643" s="63">
        <f t="shared" si="102"/>
        <v>0</v>
      </c>
      <c r="V643" s="302">
        <f t="shared" si="102"/>
        <v>0</v>
      </c>
      <c r="W643" s="230">
        <f t="shared" si="102"/>
        <v>0</v>
      </c>
      <c r="X643" s="49">
        <f t="shared" si="102"/>
        <v>0</v>
      </c>
      <c r="Y643" s="63">
        <f t="shared" si="102"/>
        <v>0</v>
      </c>
      <c r="Z643" s="302">
        <f t="shared" si="102"/>
        <v>0</v>
      </c>
      <c r="AA643" s="230">
        <f t="shared" si="102"/>
        <v>0</v>
      </c>
      <c r="AB643" s="49">
        <f t="shared" si="102"/>
        <v>974</v>
      </c>
      <c r="AC643" s="63">
        <f t="shared" si="102"/>
        <v>196</v>
      </c>
      <c r="AD643" s="302">
        <f t="shared" si="102"/>
        <v>0</v>
      </c>
      <c r="AE643" s="230">
        <f t="shared" si="102"/>
        <v>0</v>
      </c>
      <c r="AF643" s="49">
        <f t="shared" si="102"/>
        <v>0</v>
      </c>
      <c r="AG643" s="63">
        <f t="shared" si="102"/>
        <v>0</v>
      </c>
      <c r="AH643" s="302">
        <f t="shared" si="102"/>
        <v>0</v>
      </c>
      <c r="AI643" s="230">
        <f t="shared" si="102"/>
        <v>0</v>
      </c>
      <c r="AJ643" s="49">
        <f t="shared" si="102"/>
        <v>0</v>
      </c>
      <c r="AK643" s="63">
        <f t="shared" si="102"/>
        <v>0</v>
      </c>
      <c r="AL643" s="302">
        <f t="shared" si="102"/>
        <v>0</v>
      </c>
      <c r="AM643" s="230">
        <f t="shared" si="102"/>
        <v>0</v>
      </c>
      <c r="AN643" s="49">
        <f t="shared" si="102"/>
        <v>0</v>
      </c>
      <c r="AO643" s="63">
        <f t="shared" si="102"/>
        <v>0</v>
      </c>
      <c r="AP643" s="302">
        <f t="shared" si="102"/>
        <v>897</v>
      </c>
      <c r="AQ643" s="230">
        <f t="shared" si="102"/>
        <v>268</v>
      </c>
      <c r="AR643" s="49">
        <f t="shared" si="102"/>
        <v>709</v>
      </c>
      <c r="AS643" s="63">
        <f t="shared" si="102"/>
        <v>446</v>
      </c>
      <c r="AT643" s="302">
        <f t="shared" si="102"/>
        <v>0</v>
      </c>
      <c r="AU643" s="230">
        <f t="shared" si="102"/>
        <v>0</v>
      </c>
      <c r="AV643" s="49">
        <f t="shared" si="102"/>
        <v>0</v>
      </c>
      <c r="AW643" s="63">
        <f t="shared" si="102"/>
        <v>0</v>
      </c>
      <c r="AX643" s="302">
        <f t="shared" si="102"/>
        <v>0</v>
      </c>
      <c r="AY643" s="230">
        <f t="shared" si="102"/>
        <v>0</v>
      </c>
      <c r="AZ643" s="49">
        <f t="shared" si="102"/>
        <v>0</v>
      </c>
      <c r="BA643" s="230">
        <f t="shared" si="102"/>
        <v>0</v>
      </c>
      <c r="BB643" s="49">
        <f t="shared" si="102"/>
        <v>0</v>
      </c>
      <c r="BC643" s="50">
        <f t="shared" si="102"/>
        <v>0</v>
      </c>
      <c r="BD643" s="49">
        <f t="shared" si="102"/>
        <v>0</v>
      </c>
      <c r="BE643" s="50">
        <f t="shared" si="102"/>
        <v>0</v>
      </c>
      <c r="BF643" s="49">
        <f t="shared" si="102"/>
        <v>0</v>
      </c>
      <c r="BG643" s="50">
        <f t="shared" si="102"/>
        <v>0</v>
      </c>
      <c r="BH643" s="49">
        <f t="shared" si="102"/>
        <v>0</v>
      </c>
      <c r="BI643" s="50">
        <f t="shared" si="102"/>
        <v>0</v>
      </c>
      <c r="BJ643" s="49">
        <f t="shared" si="102"/>
        <v>0</v>
      </c>
      <c r="BK643" s="50">
        <f t="shared" si="102"/>
        <v>0</v>
      </c>
    </row>
    <row r="644" spans="1:63" ht="13" x14ac:dyDescent="0.25">
      <c r="A644" s="379"/>
      <c r="B644" s="381" t="s">
        <v>721</v>
      </c>
      <c r="C644" s="257">
        <f>SUM(C564:C565)</f>
        <v>2662</v>
      </c>
      <c r="D644" s="257">
        <f>SUM(D564:D565)</f>
        <v>1086</v>
      </c>
      <c r="E644" s="367">
        <v>0.45582100872203263</v>
      </c>
      <c r="F644" s="49">
        <f t="shared" ref="F644:BK644" si="103">SUM(F564:F565)</f>
        <v>905</v>
      </c>
      <c r="G644" s="230">
        <f t="shared" si="103"/>
        <v>163</v>
      </c>
      <c r="H644" s="49">
        <f t="shared" si="103"/>
        <v>817</v>
      </c>
      <c r="I644" s="63">
        <f t="shared" si="103"/>
        <v>244</v>
      </c>
      <c r="J644" s="302">
        <f t="shared" si="103"/>
        <v>0</v>
      </c>
      <c r="K644" s="230">
        <f t="shared" si="103"/>
        <v>0</v>
      </c>
      <c r="L644" s="49">
        <f t="shared" si="103"/>
        <v>0</v>
      </c>
      <c r="M644" s="63">
        <f t="shared" si="103"/>
        <v>0</v>
      </c>
      <c r="N644" s="302">
        <f t="shared" si="103"/>
        <v>0</v>
      </c>
      <c r="O644" s="230">
        <f t="shared" si="103"/>
        <v>0</v>
      </c>
      <c r="P644" s="49">
        <f t="shared" si="103"/>
        <v>0</v>
      </c>
      <c r="Q644" s="63">
        <f t="shared" si="103"/>
        <v>0</v>
      </c>
      <c r="R644" s="302">
        <f t="shared" si="103"/>
        <v>0</v>
      </c>
      <c r="S644" s="230">
        <f t="shared" si="103"/>
        <v>0</v>
      </c>
      <c r="T644" s="49">
        <f t="shared" si="103"/>
        <v>0</v>
      </c>
      <c r="U644" s="63">
        <f t="shared" si="103"/>
        <v>0</v>
      </c>
      <c r="V644" s="302">
        <f t="shared" si="103"/>
        <v>0</v>
      </c>
      <c r="W644" s="230">
        <f t="shared" si="103"/>
        <v>0</v>
      </c>
      <c r="X644" s="49">
        <f t="shared" si="103"/>
        <v>0</v>
      </c>
      <c r="Y644" s="63">
        <f t="shared" si="103"/>
        <v>0</v>
      </c>
      <c r="Z644" s="302">
        <f t="shared" si="103"/>
        <v>0</v>
      </c>
      <c r="AA644" s="230">
        <f t="shared" si="103"/>
        <v>0</v>
      </c>
      <c r="AB644" s="49">
        <f t="shared" si="103"/>
        <v>0</v>
      </c>
      <c r="AC644" s="63">
        <f t="shared" si="103"/>
        <v>0</v>
      </c>
      <c r="AD644" s="302">
        <f t="shared" si="103"/>
        <v>584</v>
      </c>
      <c r="AE644" s="230">
        <f t="shared" si="103"/>
        <v>470</v>
      </c>
      <c r="AF644" s="49">
        <f t="shared" si="103"/>
        <v>0</v>
      </c>
      <c r="AG644" s="63">
        <f t="shared" si="103"/>
        <v>0</v>
      </c>
      <c r="AH644" s="302">
        <f t="shared" si="103"/>
        <v>0</v>
      </c>
      <c r="AI644" s="230">
        <f t="shared" si="103"/>
        <v>0</v>
      </c>
      <c r="AJ644" s="49">
        <f t="shared" si="103"/>
        <v>0</v>
      </c>
      <c r="AK644" s="63">
        <f t="shared" si="103"/>
        <v>0</v>
      </c>
      <c r="AL644" s="302">
        <f t="shared" si="103"/>
        <v>0</v>
      </c>
      <c r="AM644" s="230">
        <f t="shared" si="103"/>
        <v>0</v>
      </c>
      <c r="AN644" s="49">
        <f t="shared" si="103"/>
        <v>0</v>
      </c>
      <c r="AO644" s="63">
        <f t="shared" si="103"/>
        <v>0</v>
      </c>
      <c r="AP644" s="302">
        <f t="shared" si="103"/>
        <v>714</v>
      </c>
      <c r="AQ644" s="230">
        <f t="shared" si="103"/>
        <v>355</v>
      </c>
      <c r="AR644" s="49">
        <f t="shared" si="103"/>
        <v>649</v>
      </c>
      <c r="AS644" s="63">
        <f t="shared" si="103"/>
        <v>418</v>
      </c>
      <c r="AT644" s="302">
        <f t="shared" si="103"/>
        <v>0</v>
      </c>
      <c r="AU644" s="230">
        <f t="shared" si="103"/>
        <v>0</v>
      </c>
      <c r="AV644" s="49">
        <f t="shared" si="103"/>
        <v>0</v>
      </c>
      <c r="AW644" s="63">
        <f t="shared" si="103"/>
        <v>0</v>
      </c>
      <c r="AX644" s="302">
        <f t="shared" si="103"/>
        <v>0</v>
      </c>
      <c r="AY644" s="230">
        <f t="shared" si="103"/>
        <v>0</v>
      </c>
      <c r="AZ644" s="49">
        <f t="shared" si="103"/>
        <v>0</v>
      </c>
      <c r="BA644" s="230">
        <f t="shared" si="103"/>
        <v>0</v>
      </c>
      <c r="BB644" s="49">
        <f t="shared" si="103"/>
        <v>0</v>
      </c>
      <c r="BC644" s="50">
        <f t="shared" si="103"/>
        <v>0</v>
      </c>
      <c r="BD644" s="49">
        <f t="shared" si="103"/>
        <v>0</v>
      </c>
      <c r="BE644" s="50">
        <f t="shared" si="103"/>
        <v>0</v>
      </c>
      <c r="BF644" s="49">
        <f t="shared" si="103"/>
        <v>0</v>
      </c>
      <c r="BG644" s="50">
        <f t="shared" si="103"/>
        <v>0</v>
      </c>
      <c r="BH644" s="49">
        <f t="shared" si="103"/>
        <v>0</v>
      </c>
      <c r="BI644" s="50">
        <f t="shared" si="103"/>
        <v>0</v>
      </c>
      <c r="BJ644" s="49">
        <f t="shared" si="103"/>
        <v>0</v>
      </c>
      <c r="BK644" s="50">
        <f t="shared" si="103"/>
        <v>0</v>
      </c>
    </row>
    <row r="645" spans="1:63" ht="13" x14ac:dyDescent="0.25">
      <c r="A645" s="379"/>
      <c r="B645" s="381" t="s">
        <v>833</v>
      </c>
      <c r="C645" s="257">
        <f>SUM(C4:C204)+SUM(C209:C212)+SUM(C233:C263)+SUM(C275:C295)+SUM(C297:C298)+SUM(C301)+SUM(C315:C351)+SUM(C390:C398)+SUM(C401:C424)+SUM(C427:C428)+SUM(C482:C483)+SUM(C496:C504)+SUM(C509)+SUM(C513)+SUM(C515:C516)+SUM(C533:C560)</f>
        <v>398311</v>
      </c>
      <c r="D645" s="257">
        <f>SUM(D4:D204)+SUM(D209:D212)+SUM(D233:D263)+SUM(D275:D295)+SUM(D297:D298)+SUM(D301)+SUM(D315:D351)+SUM(D390:D398)+SUM(D401:D424)+SUM(D427:D428)+SUM(D482:D483)+SUM(D496:D504)+SUM(D509)+SUM(D513)+SUM(D515:D516)+SUM(D533:D560)</f>
        <v>189739</v>
      </c>
      <c r="E645" s="367">
        <v>0.50087430156369339</v>
      </c>
      <c r="F645" s="49">
        <f t="shared" ref="F645:AK645" si="104">SUM(F26)+SUM(F29:F30)+SUM(F48:F64)+SUM(F67:F68)+SUM(F70:F91)+SUM(F101:F153)+SUM(F155:F157)+SUM(F159:F191)+SUM(F203:F206)+SUM(F211:F236)+SUM(F253:F261)+SUM(F293:F299)+SUM(F300:F307)+SUM(F350:F387)+SUM(F397:F398)+SUM(F399:F421)+SUM(F423:F424)+SUM(F427:F469)+SUM(F473:F475)+SUM(F476:F477)+SUM(F482:F493)+SUM(F496:F499)+SUM(F506)+SUM(F522)+SUM(F529)+SUM(F514)+SUM(F532)+SUM(F534)+SUM(F539:F540)+SUM(F545:F556)+SUM(F559:F561)</f>
        <v>102265</v>
      </c>
      <c r="G645" s="230">
        <f t="shared" si="104"/>
        <v>61703</v>
      </c>
      <c r="H645" s="49">
        <f t="shared" si="104"/>
        <v>104736</v>
      </c>
      <c r="I645" s="63">
        <f t="shared" si="104"/>
        <v>58102</v>
      </c>
      <c r="J645" s="302">
        <f t="shared" si="104"/>
        <v>343</v>
      </c>
      <c r="K645" s="230">
        <f t="shared" si="104"/>
        <v>802</v>
      </c>
      <c r="L645" s="49">
        <f t="shared" si="104"/>
        <v>458</v>
      </c>
      <c r="M645" s="63">
        <f t="shared" si="104"/>
        <v>214</v>
      </c>
      <c r="N645" s="302">
        <f t="shared" si="104"/>
        <v>457</v>
      </c>
      <c r="O645" s="230">
        <f t="shared" si="104"/>
        <v>209</v>
      </c>
      <c r="P645" s="49">
        <f t="shared" si="104"/>
        <v>648</v>
      </c>
      <c r="Q645" s="63">
        <f t="shared" si="104"/>
        <v>457</v>
      </c>
      <c r="R645" s="302">
        <f t="shared" si="104"/>
        <v>0</v>
      </c>
      <c r="S645" s="230">
        <f t="shared" si="104"/>
        <v>0</v>
      </c>
      <c r="T645" s="49">
        <f t="shared" si="104"/>
        <v>1223</v>
      </c>
      <c r="U645" s="63">
        <f t="shared" si="104"/>
        <v>337</v>
      </c>
      <c r="V645" s="302">
        <f t="shared" si="104"/>
        <v>1230</v>
      </c>
      <c r="W645" s="230">
        <f t="shared" si="104"/>
        <v>330</v>
      </c>
      <c r="X645" s="49">
        <f t="shared" si="104"/>
        <v>1176</v>
      </c>
      <c r="Y645" s="63">
        <f t="shared" si="104"/>
        <v>453</v>
      </c>
      <c r="Z645" s="302">
        <f t="shared" si="104"/>
        <v>1246</v>
      </c>
      <c r="AA645" s="230">
        <f t="shared" si="104"/>
        <v>403</v>
      </c>
      <c r="AB645" s="49">
        <f t="shared" si="104"/>
        <v>974</v>
      </c>
      <c r="AC645" s="63">
        <f t="shared" si="104"/>
        <v>196</v>
      </c>
      <c r="AD645" s="302">
        <f t="shared" si="104"/>
        <v>0</v>
      </c>
      <c r="AE645" s="230">
        <f t="shared" si="104"/>
        <v>0</v>
      </c>
      <c r="AF645" s="49">
        <f t="shared" si="104"/>
        <v>7917</v>
      </c>
      <c r="AG645" s="63">
        <f t="shared" si="104"/>
        <v>10275</v>
      </c>
      <c r="AH645" s="302">
        <f t="shared" si="104"/>
        <v>6102</v>
      </c>
      <c r="AI645" s="230">
        <f t="shared" si="104"/>
        <v>4506</v>
      </c>
      <c r="AJ645" s="49">
        <f t="shared" si="104"/>
        <v>1671</v>
      </c>
      <c r="AK645" s="63">
        <f t="shared" si="104"/>
        <v>2266</v>
      </c>
      <c r="AL645" s="302">
        <f t="shared" ref="AL645:BK645" si="105">SUM(AL26)+SUM(AL29:AL30)+SUM(AL48:AL64)+SUM(AL67:AL68)+SUM(AL70:AL91)+SUM(AL101:AL153)+SUM(AL155:AL157)+SUM(AL159:AL191)+SUM(AL203:AL206)+SUM(AL211:AL236)+SUM(AL253:AL261)+SUM(AL293:AL299)+SUM(AL300:AL307)+SUM(AL350:AL387)+SUM(AL397:AL398)+SUM(AL399:AL421)+SUM(AL423:AL424)+SUM(AL427:AL469)+SUM(AL473:AL475)+SUM(AL476:AL477)+SUM(AL482:AL493)+SUM(AL496:AL499)+SUM(AL506)+SUM(AL522)+SUM(AL529)+SUM(AL514)+SUM(AL532)+SUM(AL534)+SUM(AL539:AL540)+SUM(AL545:AL556)+SUM(AL559:AL561)</f>
        <v>0</v>
      </c>
      <c r="AM645" s="230">
        <f t="shared" si="105"/>
        <v>3</v>
      </c>
      <c r="AN645" s="49">
        <f t="shared" si="105"/>
        <v>368</v>
      </c>
      <c r="AO645" s="63">
        <f t="shared" si="105"/>
        <v>351</v>
      </c>
      <c r="AP645" s="302">
        <f t="shared" si="105"/>
        <v>108117</v>
      </c>
      <c r="AQ645" s="230">
        <f t="shared" si="105"/>
        <v>53716</v>
      </c>
      <c r="AR645" s="49">
        <f t="shared" si="105"/>
        <v>88511</v>
      </c>
      <c r="AS645" s="63">
        <f t="shared" si="105"/>
        <v>72973</v>
      </c>
      <c r="AT645" s="302">
        <f t="shared" si="105"/>
        <v>759</v>
      </c>
      <c r="AU645" s="230">
        <f t="shared" si="105"/>
        <v>506</v>
      </c>
      <c r="AV645" s="49">
        <f t="shared" si="105"/>
        <v>26490</v>
      </c>
      <c r="AW645" s="63">
        <f t="shared" si="105"/>
        <v>26892</v>
      </c>
      <c r="AX645" s="302">
        <f t="shared" si="105"/>
        <v>31092</v>
      </c>
      <c r="AY645" s="230">
        <f t="shared" si="105"/>
        <v>17208</v>
      </c>
      <c r="AZ645" s="49">
        <f t="shared" si="105"/>
        <v>17581</v>
      </c>
      <c r="BA645" s="230">
        <f t="shared" si="105"/>
        <v>34059</v>
      </c>
      <c r="BB645" s="49">
        <f t="shared" si="105"/>
        <v>0</v>
      </c>
      <c r="BC645" s="50">
        <f t="shared" si="105"/>
        <v>0</v>
      </c>
      <c r="BD645" s="49">
        <f t="shared" si="105"/>
        <v>0</v>
      </c>
      <c r="BE645" s="50">
        <f t="shared" si="105"/>
        <v>0</v>
      </c>
      <c r="BF645" s="49">
        <f t="shared" si="105"/>
        <v>0</v>
      </c>
      <c r="BG645" s="50">
        <f t="shared" si="105"/>
        <v>0</v>
      </c>
      <c r="BH645" s="49">
        <f t="shared" si="105"/>
        <v>0</v>
      </c>
      <c r="BI645" s="50">
        <f t="shared" si="105"/>
        <v>0</v>
      </c>
      <c r="BJ645" s="49">
        <f t="shared" si="105"/>
        <v>0</v>
      </c>
      <c r="BK645" s="50">
        <f t="shared" si="105"/>
        <v>0</v>
      </c>
    </row>
    <row r="646" spans="1:63" ht="13" x14ac:dyDescent="0.25">
      <c r="A646" s="379"/>
      <c r="B646" s="381" t="s">
        <v>834</v>
      </c>
      <c r="C646" s="257">
        <f>SUM(C205:C208)+SUM(C213:C232)+SUM(C264:C274)+SUM(C295:C300)+SUM(C302:C314)+SUM(C352:C389)+SUM(C399:C400)+SUM(C425:C426)+SUM(C429:C481)+SUM(C484:C495)+SUM(C505:C508)+SUM(C510:C512)+SUM(C514)+SUM(C517:C532)+SUM(C561:C565)</f>
        <v>202585</v>
      </c>
      <c r="D646" s="257">
        <f>SUM(D205:D208)+SUM(D213:D232)+SUM(D264:D274)+SUM(D295:D300)+SUM(D302:D314)+SUM(D352:D389)+SUM(D399:D400)+SUM(D425:D426)+SUM(D429:D481)+SUM(D484:D495)+SUM(D505:D508)+SUM(D510:D512)+SUM(D514)+SUM(D517:D532)+SUM(D561:D565)</f>
        <v>100683</v>
      </c>
      <c r="E646" s="367">
        <v>0.54319858394478171</v>
      </c>
      <c r="F646" s="49">
        <f t="shared" ref="F646:AK646" si="106">SUM(F2:F25)+SUM(F27:F28)+SUM(F31:F47)+SUM(F92:F100)+SUM(F154)+SUM(F158)+SUM(F192:F202)+SUM(F207:F210)+SUM(F237:F243)+SUM(F244:F251)+SUM(F262:F292)+SUM(F308:F312)+SUM(F313:F349)+SUM(F388:F396)+SUM(F422)+SUM(F425:F426)+SUM(F470:F472)+SUM(F478:F481)+SUM(F494:F495)+SUM(F500:F502)+SUM(F503:F505)+SUM(F507:F513)+SUM(F515:F521)+SUM(F523:F528)+SUM(F530)+SUM(F531)+SUM(F533)+SUM(F535:F538)+SUM(F541:F544)+SUM(F557:F558)+SUM(F562:F563)</f>
        <v>81524</v>
      </c>
      <c r="G646" s="230">
        <f t="shared" si="106"/>
        <v>37612</v>
      </c>
      <c r="H646" s="49">
        <f t="shared" si="106"/>
        <v>79815</v>
      </c>
      <c r="I646" s="63">
        <f t="shared" si="106"/>
        <v>38502</v>
      </c>
      <c r="J646" s="302">
        <f t="shared" si="106"/>
        <v>0</v>
      </c>
      <c r="K646" s="230">
        <f t="shared" si="106"/>
        <v>0</v>
      </c>
      <c r="L646" s="49">
        <f t="shared" si="106"/>
        <v>0</v>
      </c>
      <c r="M646" s="63">
        <f t="shared" si="106"/>
        <v>0</v>
      </c>
      <c r="N646" s="302">
        <f t="shared" si="106"/>
        <v>0</v>
      </c>
      <c r="O646" s="230">
        <f t="shared" si="106"/>
        <v>0</v>
      </c>
      <c r="P646" s="49">
        <f t="shared" si="106"/>
        <v>0</v>
      </c>
      <c r="Q646" s="63">
        <f t="shared" si="106"/>
        <v>0</v>
      </c>
      <c r="R646" s="302">
        <f t="shared" si="106"/>
        <v>380</v>
      </c>
      <c r="S646" s="230">
        <f t="shared" si="106"/>
        <v>233</v>
      </c>
      <c r="T646" s="49">
        <f t="shared" si="106"/>
        <v>0</v>
      </c>
      <c r="U646" s="63">
        <f t="shared" si="106"/>
        <v>0</v>
      </c>
      <c r="V646" s="302">
        <f t="shared" si="106"/>
        <v>0</v>
      </c>
      <c r="W646" s="230">
        <f t="shared" si="106"/>
        <v>0</v>
      </c>
      <c r="X646" s="49">
        <f t="shared" si="106"/>
        <v>0</v>
      </c>
      <c r="Y646" s="63">
        <f t="shared" si="106"/>
        <v>0</v>
      </c>
      <c r="Z646" s="302">
        <f t="shared" si="106"/>
        <v>0</v>
      </c>
      <c r="AA646" s="230">
        <f t="shared" si="106"/>
        <v>0</v>
      </c>
      <c r="AB646" s="49">
        <f t="shared" si="106"/>
        <v>0</v>
      </c>
      <c r="AC646" s="63">
        <f t="shared" si="106"/>
        <v>0</v>
      </c>
      <c r="AD646" s="302">
        <f t="shared" si="106"/>
        <v>0</v>
      </c>
      <c r="AE646" s="230">
        <f t="shared" si="106"/>
        <v>0</v>
      </c>
      <c r="AF646" s="49">
        <f t="shared" si="106"/>
        <v>385</v>
      </c>
      <c r="AG646" s="63">
        <f t="shared" si="106"/>
        <v>481</v>
      </c>
      <c r="AH646" s="302">
        <f t="shared" si="106"/>
        <v>0</v>
      </c>
      <c r="AI646" s="230">
        <f t="shared" si="106"/>
        <v>0</v>
      </c>
      <c r="AJ646" s="49">
        <f t="shared" si="106"/>
        <v>484</v>
      </c>
      <c r="AK646" s="63">
        <f t="shared" si="106"/>
        <v>513</v>
      </c>
      <c r="AL646" s="302">
        <f t="shared" ref="AL646:BK646" si="107">SUM(AL2:AL25)+SUM(AL27:AL28)+SUM(AL31:AL47)+SUM(AL92:AL100)+SUM(AL154)+SUM(AL158)+SUM(AL192:AL202)+SUM(AL207:AL210)+SUM(AL237:AL243)+SUM(AL244:AL251)+SUM(AL262:AL292)+SUM(AL308:AL312)+SUM(AL313:AL349)+SUM(AL388:AL396)+SUM(AL422)+SUM(AL425:AL426)+SUM(AL470:AL472)+SUM(AL478:AL481)+SUM(AL494:AL495)+SUM(AL500:AL502)+SUM(AL503:AL505)+SUM(AL507:AL513)+SUM(AL515:AL521)+SUM(AL523:AL528)+SUM(AL530)+SUM(AL531)+SUM(AL533)+SUM(AL535:AL538)+SUM(AL541:AL544)+SUM(AL557:AL558)+SUM(AL562:AL563)</f>
        <v>0</v>
      </c>
      <c r="AM646" s="230">
        <f t="shared" si="107"/>
        <v>0</v>
      </c>
      <c r="AN646" s="49">
        <f t="shared" si="107"/>
        <v>10853</v>
      </c>
      <c r="AO646" s="63">
        <f t="shared" si="107"/>
        <v>9900</v>
      </c>
      <c r="AP646" s="302">
        <f t="shared" si="107"/>
        <v>83439</v>
      </c>
      <c r="AQ646" s="230">
        <f t="shared" si="107"/>
        <v>34317</v>
      </c>
      <c r="AR646" s="49">
        <f t="shared" si="107"/>
        <v>69176</v>
      </c>
      <c r="AS646" s="63">
        <f t="shared" si="107"/>
        <v>48160</v>
      </c>
      <c r="AT646" s="302">
        <f t="shared" si="107"/>
        <v>800</v>
      </c>
      <c r="AU646" s="230">
        <f t="shared" si="107"/>
        <v>431</v>
      </c>
      <c r="AV646" s="49">
        <f t="shared" si="107"/>
        <v>17112</v>
      </c>
      <c r="AW646" s="63">
        <f t="shared" si="107"/>
        <v>13798</v>
      </c>
      <c r="AX646" s="302">
        <f t="shared" si="107"/>
        <v>18160</v>
      </c>
      <c r="AY646" s="230">
        <f t="shared" si="107"/>
        <v>9213</v>
      </c>
      <c r="AZ646" s="49">
        <f t="shared" si="107"/>
        <v>7674</v>
      </c>
      <c r="BA646" s="230">
        <f t="shared" si="107"/>
        <v>21999</v>
      </c>
      <c r="BB646" s="49">
        <f t="shared" si="107"/>
        <v>890</v>
      </c>
      <c r="BC646" s="50">
        <f t="shared" si="107"/>
        <v>817</v>
      </c>
      <c r="BD646" s="49">
        <f t="shared" si="107"/>
        <v>1073</v>
      </c>
      <c r="BE646" s="50">
        <f t="shared" si="107"/>
        <v>1243</v>
      </c>
      <c r="BF646" s="49">
        <f t="shared" si="107"/>
        <v>1087</v>
      </c>
      <c r="BG646" s="50">
        <f t="shared" si="107"/>
        <v>1237</v>
      </c>
      <c r="BH646" s="49">
        <f t="shared" si="107"/>
        <v>1604</v>
      </c>
      <c r="BI646" s="50">
        <f t="shared" si="107"/>
        <v>815</v>
      </c>
      <c r="BJ646" s="49">
        <f t="shared" si="107"/>
        <v>442</v>
      </c>
      <c r="BK646" s="50">
        <f t="shared" si="107"/>
        <v>79</v>
      </c>
    </row>
    <row r="647" spans="1:63" ht="13" x14ac:dyDescent="0.25">
      <c r="A647" s="379"/>
      <c r="B647" s="381" t="s">
        <v>835</v>
      </c>
      <c r="C647" s="257">
        <f>SUM(C16)+SUM(C28:C35)+SUM(C37:C39)+SUM(C42:C49)+SUM(C70:C73)+SUM(C86:C89)+SUM(C92)+SUM(C105)+SUM(C112)+SUM(C233:C245)+SUM(C254)+SUM(C319:C350)+SUM(C397)+SUM(C496:C497)+SUM(C547:C560)</f>
        <v>97747</v>
      </c>
      <c r="D647" s="257">
        <f>SUM(D16)+SUM(D28:D35)+SUM(D37:D39)+SUM(D42:D49)+SUM(D70:D73)+SUM(D86:D89)+SUM(D92)+SUM(D105)+SUM(D112)+SUM(D233:D245)+SUM(D254)+SUM(D319:D350)+SUM(D397)+SUM(D496:D497)+SUM(D547:D560)</f>
        <v>54172</v>
      </c>
      <c r="E647" s="367">
        <v>0.58752756551618035</v>
      </c>
      <c r="F647" s="49">
        <f t="shared" ref="F647:AK647" si="108">SUM(F16)+SUM(F28:F35)+SUM(F37:F39)+SUM(F42:F49)+SUM(F70:F73)+SUM(F86:F89)+SUM(F92)+SUM(F105)+SUM(F112)+SUM(F233:F245)+SUM(F254)+SUM(F319:F350)+SUM(F397)+SUM(F496:F497)+SUM(F547:F560)</f>
        <v>36023</v>
      </c>
      <c r="G647" s="230">
        <f t="shared" si="108"/>
        <v>17623</v>
      </c>
      <c r="H647" s="49">
        <f t="shared" si="108"/>
        <v>34520</v>
      </c>
      <c r="I647" s="63">
        <f t="shared" si="108"/>
        <v>18750</v>
      </c>
      <c r="J647" s="302">
        <f t="shared" si="108"/>
        <v>0</v>
      </c>
      <c r="K647" s="230">
        <f t="shared" si="108"/>
        <v>0</v>
      </c>
      <c r="L647" s="49">
        <f t="shared" si="108"/>
        <v>0</v>
      </c>
      <c r="M647" s="63">
        <f t="shared" si="108"/>
        <v>0</v>
      </c>
      <c r="N647" s="302">
        <f t="shared" si="108"/>
        <v>0</v>
      </c>
      <c r="O647" s="230">
        <f t="shared" si="108"/>
        <v>0</v>
      </c>
      <c r="P647" s="49">
        <f t="shared" si="108"/>
        <v>0</v>
      </c>
      <c r="Q647" s="63">
        <f t="shared" si="108"/>
        <v>0</v>
      </c>
      <c r="R647" s="302">
        <f t="shared" si="108"/>
        <v>0</v>
      </c>
      <c r="S647" s="230">
        <f t="shared" si="108"/>
        <v>0</v>
      </c>
      <c r="T647" s="49">
        <f t="shared" si="108"/>
        <v>0</v>
      </c>
      <c r="U647" s="63">
        <f t="shared" si="108"/>
        <v>0</v>
      </c>
      <c r="V647" s="302">
        <f t="shared" si="108"/>
        <v>0</v>
      </c>
      <c r="W647" s="230">
        <f t="shared" si="108"/>
        <v>0</v>
      </c>
      <c r="X647" s="49">
        <f t="shared" si="108"/>
        <v>0</v>
      </c>
      <c r="Y647" s="63">
        <f t="shared" si="108"/>
        <v>0</v>
      </c>
      <c r="Z647" s="302">
        <f t="shared" si="108"/>
        <v>0</v>
      </c>
      <c r="AA647" s="230">
        <f t="shared" si="108"/>
        <v>0</v>
      </c>
      <c r="AB647" s="49">
        <f t="shared" si="108"/>
        <v>974</v>
      </c>
      <c r="AC647" s="63">
        <f t="shared" si="108"/>
        <v>196</v>
      </c>
      <c r="AD647" s="302">
        <f t="shared" si="108"/>
        <v>0</v>
      </c>
      <c r="AE647" s="230">
        <f t="shared" si="108"/>
        <v>0</v>
      </c>
      <c r="AF647" s="49">
        <f t="shared" si="108"/>
        <v>0</v>
      </c>
      <c r="AG647" s="63">
        <f t="shared" si="108"/>
        <v>0</v>
      </c>
      <c r="AH647" s="302">
        <f t="shared" si="108"/>
        <v>0</v>
      </c>
      <c r="AI647" s="230">
        <f t="shared" si="108"/>
        <v>0</v>
      </c>
      <c r="AJ647" s="49">
        <f t="shared" si="108"/>
        <v>0</v>
      </c>
      <c r="AK647" s="63">
        <f t="shared" si="108"/>
        <v>0</v>
      </c>
      <c r="AL647" s="302">
        <f t="shared" ref="AL647:BK647" si="109">SUM(AL16)+SUM(AL28:AL35)+SUM(AL37:AL39)+SUM(AL42:AL49)+SUM(AL70:AL73)+SUM(AL86:AL89)+SUM(AL92)+SUM(AL105)+SUM(AL112)+SUM(AL233:AL245)+SUM(AL254)+SUM(AL319:AL350)+SUM(AL397)+SUM(AL496:AL497)+SUM(AL547:AL560)</f>
        <v>0</v>
      </c>
      <c r="AM647" s="230">
        <f t="shared" si="109"/>
        <v>3</v>
      </c>
      <c r="AN647" s="49">
        <f t="shared" si="109"/>
        <v>11221</v>
      </c>
      <c r="AO647" s="63">
        <f t="shared" si="109"/>
        <v>10251</v>
      </c>
      <c r="AP647" s="302">
        <f t="shared" si="109"/>
        <v>37097</v>
      </c>
      <c r="AQ647" s="230">
        <f t="shared" si="109"/>
        <v>15985</v>
      </c>
      <c r="AR647" s="49">
        <f t="shared" si="109"/>
        <v>29995</v>
      </c>
      <c r="AS647" s="63">
        <f t="shared" si="109"/>
        <v>22834</v>
      </c>
      <c r="AT647" s="302">
        <f t="shared" si="109"/>
        <v>0</v>
      </c>
      <c r="AU647" s="230">
        <f t="shared" si="109"/>
        <v>0</v>
      </c>
      <c r="AV647" s="49">
        <f t="shared" si="109"/>
        <v>8822</v>
      </c>
      <c r="AW647" s="63">
        <f t="shared" si="109"/>
        <v>7114</v>
      </c>
      <c r="AX647" s="302">
        <f t="shared" si="109"/>
        <v>9495</v>
      </c>
      <c r="AY647" s="230">
        <f t="shared" si="109"/>
        <v>4665</v>
      </c>
      <c r="AZ647" s="49">
        <f t="shared" si="109"/>
        <v>4184</v>
      </c>
      <c r="BA647" s="230">
        <f t="shared" si="109"/>
        <v>11137</v>
      </c>
      <c r="BB647" s="49">
        <f t="shared" si="109"/>
        <v>0</v>
      </c>
      <c r="BC647" s="50">
        <f t="shared" si="109"/>
        <v>0</v>
      </c>
      <c r="BD647" s="49">
        <f t="shared" si="109"/>
        <v>0</v>
      </c>
      <c r="BE647" s="50">
        <f t="shared" si="109"/>
        <v>0</v>
      </c>
      <c r="BF647" s="49">
        <f t="shared" si="109"/>
        <v>0</v>
      </c>
      <c r="BG647" s="50">
        <f t="shared" si="109"/>
        <v>0</v>
      </c>
      <c r="BH647" s="49">
        <f t="shared" si="109"/>
        <v>0</v>
      </c>
      <c r="BI647" s="50">
        <f t="shared" si="109"/>
        <v>0</v>
      </c>
      <c r="BJ647" s="49">
        <f t="shared" si="109"/>
        <v>0</v>
      </c>
      <c r="BK647" s="50">
        <f t="shared" si="109"/>
        <v>0</v>
      </c>
    </row>
    <row r="648" spans="1:63" ht="13" x14ac:dyDescent="0.25">
      <c r="A648" s="379"/>
      <c r="B648" s="381" t="s">
        <v>763</v>
      </c>
      <c r="C648" s="257">
        <f>SUM(C119:C127)+SUM(C165:C171)+SUM(C173)+SUM(C194:C204)+SUM(C205:C231)+SUM(C246:C263)+SUM(C287:C309)+SUM(C352:C389)+SUM(C399:C419)+SUM(C421:C423)+SUM(C425:C426)+SUM(C429:C477)+SUM(C484:C495)+SUM(C508)+SUM(C524)+SUM(C531)+SUM(C534:C546)+SUM(C561:C563)</f>
        <v>252216</v>
      </c>
      <c r="D648" s="257">
        <f>SUM(D119:D127)+SUM(D165:D171)+SUM(D173)+SUM(D194:D204)+SUM(D205:D231)+SUM(D246:D263)+SUM(D287:D309)+SUM(D352:D389)+SUM(D399:D419)+SUM(D421:D423)+SUM(D425:D426)+SUM(D429:D477)+SUM(D484:D495)+SUM(D508)+SUM(D524)+SUM(D531)+SUM(D534:D546)+SUM(D561:D563)</f>
        <v>129299</v>
      </c>
      <c r="E648" s="367">
        <v>0.55507168060014622</v>
      </c>
      <c r="F648" s="49">
        <f t="shared" ref="F648:AK648" si="110">SUM(F119:F127)+SUM(F165:F171)+SUM(F173)+SUM(F194:F204)+SUM(F205:F231)+SUM(F246:F263)+SUM(F287:F309)+SUM(F352:F389)+SUM(F399:F419)+SUM(F421:F423)+SUM(F425:F426)+SUM(F429:F477)+SUM(F484:F495)+SUM(F508)+SUM(F524)+SUM(F531)+SUM(F534:F546)+SUM(F561:F563)</f>
        <v>68831</v>
      </c>
      <c r="G648" s="230">
        <f t="shared" si="110"/>
        <v>59252</v>
      </c>
      <c r="H648" s="49">
        <f t="shared" si="110"/>
        <v>73922</v>
      </c>
      <c r="I648" s="63">
        <f t="shared" si="110"/>
        <v>53089</v>
      </c>
      <c r="J648" s="302">
        <f t="shared" si="110"/>
        <v>343</v>
      </c>
      <c r="K648" s="230">
        <f t="shared" si="110"/>
        <v>802</v>
      </c>
      <c r="L648" s="49">
        <f t="shared" si="110"/>
        <v>0</v>
      </c>
      <c r="M648" s="63">
        <f t="shared" si="110"/>
        <v>0</v>
      </c>
      <c r="N648" s="302">
        <f t="shared" si="110"/>
        <v>0</v>
      </c>
      <c r="O648" s="230">
        <f t="shared" si="110"/>
        <v>0</v>
      </c>
      <c r="P648" s="49">
        <f t="shared" si="110"/>
        <v>0</v>
      </c>
      <c r="Q648" s="63">
        <f t="shared" si="110"/>
        <v>0</v>
      </c>
      <c r="R648" s="302">
        <f t="shared" si="110"/>
        <v>0</v>
      </c>
      <c r="S648" s="230">
        <f t="shared" si="110"/>
        <v>0</v>
      </c>
      <c r="T648" s="49">
        <f t="shared" si="110"/>
        <v>0</v>
      </c>
      <c r="U648" s="63">
        <f t="shared" si="110"/>
        <v>0</v>
      </c>
      <c r="V648" s="302">
        <f t="shared" si="110"/>
        <v>0</v>
      </c>
      <c r="W648" s="230">
        <f t="shared" si="110"/>
        <v>0</v>
      </c>
      <c r="X648" s="49">
        <f t="shared" si="110"/>
        <v>0</v>
      </c>
      <c r="Y648" s="63">
        <f t="shared" si="110"/>
        <v>0</v>
      </c>
      <c r="Z648" s="302">
        <f t="shared" si="110"/>
        <v>0</v>
      </c>
      <c r="AA648" s="230">
        <f t="shared" si="110"/>
        <v>0</v>
      </c>
      <c r="AB648" s="49">
        <f t="shared" si="110"/>
        <v>0</v>
      </c>
      <c r="AC648" s="63">
        <f t="shared" si="110"/>
        <v>0</v>
      </c>
      <c r="AD648" s="302">
        <f t="shared" si="110"/>
        <v>0</v>
      </c>
      <c r="AE648" s="230">
        <f t="shared" si="110"/>
        <v>0</v>
      </c>
      <c r="AF648" s="49">
        <f t="shared" si="110"/>
        <v>8302</v>
      </c>
      <c r="AG648" s="63">
        <f t="shared" si="110"/>
        <v>10756</v>
      </c>
      <c r="AH648" s="302">
        <f t="shared" si="110"/>
        <v>6102</v>
      </c>
      <c r="AI648" s="230">
        <f t="shared" si="110"/>
        <v>4506</v>
      </c>
      <c r="AJ648" s="49">
        <f t="shared" si="110"/>
        <v>2155</v>
      </c>
      <c r="AK648" s="63">
        <f t="shared" si="110"/>
        <v>2779</v>
      </c>
      <c r="AL648" s="302">
        <f t="shared" ref="AL648:BK648" si="111">SUM(AL119:AL127)+SUM(AL165:AL171)+SUM(AL173)+SUM(AL194:AL204)+SUM(AL205:AL231)+SUM(AL246:AL263)+SUM(AL287:AL309)+SUM(AL352:AL389)+SUM(AL399:AL419)+SUM(AL421:AL423)+SUM(AL425:AL426)+SUM(AL429:AL477)+SUM(AL484:AL495)+SUM(AL508)+SUM(AL524)+SUM(AL531)+SUM(AL534:AL546)+SUM(AL561:AL563)</f>
        <v>0</v>
      </c>
      <c r="AM648" s="230">
        <f t="shared" si="111"/>
        <v>3</v>
      </c>
      <c r="AN648" s="49">
        <f t="shared" si="111"/>
        <v>0</v>
      </c>
      <c r="AO648" s="63">
        <f t="shared" si="111"/>
        <v>0</v>
      </c>
      <c r="AP648" s="302">
        <f t="shared" si="111"/>
        <v>80506</v>
      </c>
      <c r="AQ648" s="230">
        <f t="shared" si="111"/>
        <v>46077</v>
      </c>
      <c r="AR648" s="49">
        <f t="shared" si="111"/>
        <v>61980</v>
      </c>
      <c r="AS648" s="63">
        <f t="shared" si="111"/>
        <v>64405</v>
      </c>
      <c r="AT648" s="302">
        <f t="shared" si="111"/>
        <v>1559</v>
      </c>
      <c r="AU648" s="230">
        <f t="shared" si="111"/>
        <v>937</v>
      </c>
      <c r="AV648" s="49">
        <f t="shared" si="111"/>
        <v>2688</v>
      </c>
      <c r="AW648" s="63">
        <f t="shared" si="111"/>
        <v>4052</v>
      </c>
      <c r="AX648" s="302">
        <f t="shared" si="111"/>
        <v>3620</v>
      </c>
      <c r="AY648" s="230">
        <f t="shared" si="111"/>
        <v>2539</v>
      </c>
      <c r="AZ648" s="49">
        <f t="shared" si="111"/>
        <v>1659</v>
      </c>
      <c r="BA648" s="230">
        <f t="shared" si="111"/>
        <v>4850</v>
      </c>
      <c r="BB648" s="49">
        <f t="shared" si="111"/>
        <v>0</v>
      </c>
      <c r="BC648" s="50">
        <f t="shared" si="111"/>
        <v>0</v>
      </c>
      <c r="BD648" s="49">
        <f t="shared" si="111"/>
        <v>0</v>
      </c>
      <c r="BE648" s="50">
        <f t="shared" si="111"/>
        <v>0</v>
      </c>
      <c r="BF648" s="49">
        <f t="shared" si="111"/>
        <v>0</v>
      </c>
      <c r="BG648" s="50">
        <f t="shared" si="111"/>
        <v>0</v>
      </c>
      <c r="BH648" s="49">
        <f t="shared" si="111"/>
        <v>0</v>
      </c>
      <c r="BI648" s="50">
        <f t="shared" si="111"/>
        <v>0</v>
      </c>
      <c r="BJ648" s="49">
        <f t="shared" si="111"/>
        <v>0</v>
      </c>
      <c r="BK648" s="50">
        <f t="shared" si="111"/>
        <v>0</v>
      </c>
    </row>
    <row r="649" spans="1:63" ht="13" x14ac:dyDescent="0.25">
      <c r="A649" s="379"/>
      <c r="B649" s="381" t="s">
        <v>836</v>
      </c>
      <c r="C649" s="235">
        <f>SUM(C4:C15)+SUM(C17:C27)+SUM(C36)+SUM(C40:C41)+SUM(C50:C69)+SUM(C74:C85)+SUM(C90:C91)+SUM(C93:C104)+SUM(C106:C111)+SUM(C113:C118)+SUM(C122:C193)+SUM(C275:C286)+SUM(C310:C318)+SUM(C351)+SUM(C391:C396)+SUM(C398)+SUM(C420)+SUM(C424)+SUM(C427:C428)+SUM(C478:C483)+SUM(C498:C507)+SUM(C509:C514)+SUM(C516:C523)+SUM(C525:C530)+SUM(C532:C533)+SUM(C564:C565)</f>
        <v>251255</v>
      </c>
      <c r="D649" s="235">
        <f t="shared" ref="D649" si="112">SUM(D4:D15)+SUM(D17:D27)+SUM(D36)+SUM(D40:D41)+SUM(D50:D69)+SUM(D74:D85)+SUM(D90:D91)+SUM(D93:D104)+SUM(D106:D111)+SUM(D113:D118)+SUM(D122:D193)+SUM(D275:D286)+SUM(D310:D318)+SUM(D351)+SUM(D391:D396)+SUM(D398)+SUM(D420)+SUM(D424)+SUM(D427:D428)+SUM(D478:D483)+SUM(D498:D507)+SUM(D509:D514)+SUM(D516:D523)+SUM(D525:D530)+SUM(D532:D533)+SUM(D564:D565)</f>
        <v>105682</v>
      </c>
      <c r="E649" s="367">
        <v>0.44056436127708803</v>
      </c>
      <c r="F649" s="49">
        <f t="shared" ref="F649:BK649" si="113">SUM(F4:F15)+SUM(F17:F27)+SUM(F36)+SUM(F40:F41)+SUM(F50:F69)+SUM(F74:F85)+SUM(F90:F91)+SUM(F93:F104)+SUM(F106:F111)+SUM(F113:F118)+SUM(F122:F193)+SUM(F275:F286)+SUM(F310:F318)+SUM(F351)+SUM(F391:F396)+SUM(F398)+SUM(F420)+SUM(F424)+SUM(F427:F428)+SUM(F478:F483)+SUM(F498:F507)+SUM(F509:F514)+SUM(F516:F523)+SUM(F525:F530)+SUM(F532:F533)+SUM(F564:F565)</f>
        <v>81556</v>
      </c>
      <c r="G649" s="230">
        <f t="shared" si="113"/>
        <v>23134</v>
      </c>
      <c r="H649" s="49">
        <f t="shared" si="113"/>
        <v>78722</v>
      </c>
      <c r="I649" s="63">
        <f t="shared" si="113"/>
        <v>25443</v>
      </c>
      <c r="J649" s="302">
        <f t="shared" si="113"/>
        <v>0</v>
      </c>
      <c r="K649" s="230">
        <f t="shared" si="113"/>
        <v>0</v>
      </c>
      <c r="L649" s="49">
        <f t="shared" si="113"/>
        <v>458</v>
      </c>
      <c r="M649" s="63">
        <f t="shared" si="113"/>
        <v>214</v>
      </c>
      <c r="N649" s="302">
        <f t="shared" si="113"/>
        <v>457</v>
      </c>
      <c r="O649" s="230">
        <f t="shared" si="113"/>
        <v>209</v>
      </c>
      <c r="P649" s="49">
        <f t="shared" si="113"/>
        <v>648</v>
      </c>
      <c r="Q649" s="63">
        <f t="shared" si="113"/>
        <v>457</v>
      </c>
      <c r="R649" s="302">
        <f t="shared" si="113"/>
        <v>380</v>
      </c>
      <c r="S649" s="230">
        <f t="shared" si="113"/>
        <v>233</v>
      </c>
      <c r="T649" s="49">
        <f t="shared" si="113"/>
        <v>1223</v>
      </c>
      <c r="U649" s="63">
        <f t="shared" si="113"/>
        <v>337</v>
      </c>
      <c r="V649" s="302">
        <f t="shared" si="113"/>
        <v>1230</v>
      </c>
      <c r="W649" s="230">
        <f t="shared" si="113"/>
        <v>330</v>
      </c>
      <c r="X649" s="49">
        <f t="shared" si="113"/>
        <v>1176</v>
      </c>
      <c r="Y649" s="63">
        <f t="shared" si="113"/>
        <v>453</v>
      </c>
      <c r="Z649" s="302">
        <f t="shared" si="113"/>
        <v>1246</v>
      </c>
      <c r="AA649" s="230">
        <f t="shared" si="113"/>
        <v>403</v>
      </c>
      <c r="AB649" s="49">
        <f t="shared" si="113"/>
        <v>0</v>
      </c>
      <c r="AC649" s="63">
        <f t="shared" si="113"/>
        <v>0</v>
      </c>
      <c r="AD649" s="302">
        <f t="shared" si="113"/>
        <v>584</v>
      </c>
      <c r="AE649" s="230">
        <f t="shared" si="113"/>
        <v>470</v>
      </c>
      <c r="AF649" s="49">
        <f t="shared" si="113"/>
        <v>0</v>
      </c>
      <c r="AG649" s="63">
        <f t="shared" si="113"/>
        <v>0</v>
      </c>
      <c r="AH649" s="302">
        <f t="shared" si="113"/>
        <v>0</v>
      </c>
      <c r="AI649" s="230">
        <f t="shared" si="113"/>
        <v>0</v>
      </c>
      <c r="AJ649" s="49">
        <f t="shared" si="113"/>
        <v>0</v>
      </c>
      <c r="AK649" s="63">
        <f t="shared" si="113"/>
        <v>0</v>
      </c>
      <c r="AL649" s="302">
        <f t="shared" si="113"/>
        <v>0</v>
      </c>
      <c r="AM649" s="230">
        <f t="shared" si="113"/>
        <v>0</v>
      </c>
      <c r="AN649" s="49">
        <f t="shared" si="113"/>
        <v>0</v>
      </c>
      <c r="AO649" s="63">
        <f t="shared" si="113"/>
        <v>0</v>
      </c>
      <c r="AP649" s="302">
        <f t="shared" si="113"/>
        <v>76547</v>
      </c>
      <c r="AQ649" s="230">
        <f t="shared" si="113"/>
        <v>26679</v>
      </c>
      <c r="AR649" s="49">
        <f t="shared" si="113"/>
        <v>68059</v>
      </c>
      <c r="AS649" s="63">
        <f t="shared" si="113"/>
        <v>34816</v>
      </c>
      <c r="AT649" s="302">
        <f t="shared" si="113"/>
        <v>0</v>
      </c>
      <c r="AU649" s="230">
        <f t="shared" si="113"/>
        <v>0</v>
      </c>
      <c r="AV649" s="49">
        <f t="shared" si="113"/>
        <v>34927</v>
      </c>
      <c r="AW649" s="63">
        <f t="shared" si="113"/>
        <v>33296</v>
      </c>
      <c r="AX649" s="302">
        <f t="shared" si="113"/>
        <v>39767</v>
      </c>
      <c r="AY649" s="230">
        <f t="shared" si="113"/>
        <v>21614</v>
      </c>
      <c r="AZ649" s="49">
        <f t="shared" si="113"/>
        <v>21364</v>
      </c>
      <c r="BA649" s="230">
        <f t="shared" si="113"/>
        <v>44519</v>
      </c>
      <c r="BB649" s="49">
        <f t="shared" si="113"/>
        <v>0</v>
      </c>
      <c r="BC649" s="50">
        <f t="shared" si="113"/>
        <v>0</v>
      </c>
      <c r="BD649" s="49">
        <f t="shared" si="113"/>
        <v>0</v>
      </c>
      <c r="BE649" s="50">
        <f t="shared" si="113"/>
        <v>0</v>
      </c>
      <c r="BF649" s="49">
        <f t="shared" si="113"/>
        <v>0</v>
      </c>
      <c r="BG649" s="50">
        <f t="shared" si="113"/>
        <v>0</v>
      </c>
      <c r="BH649" s="49">
        <f t="shared" si="113"/>
        <v>0</v>
      </c>
      <c r="BI649" s="50">
        <f t="shared" si="113"/>
        <v>0</v>
      </c>
      <c r="BJ649" s="49">
        <f t="shared" si="113"/>
        <v>442</v>
      </c>
      <c r="BK649" s="50">
        <f t="shared" si="113"/>
        <v>79</v>
      </c>
    </row>
    <row r="650" spans="1:63" ht="13" x14ac:dyDescent="0.25">
      <c r="A650" s="379"/>
      <c r="B650" s="381" t="s">
        <v>837</v>
      </c>
      <c r="C650" s="235">
        <f t="shared" ref="C650:D650" si="114">SUM(C4:C15)+SUM(C41)+SUM(C50:C54)+SUM(C66:C69)+SUM(C74:C80)+SUM(C113:C118)+SUM(C122:C132)+SUM(C163:C177)+SUM(C179)+SUM(C181)+SUM(C183)+SUM(C185:C193)</f>
        <v>85654</v>
      </c>
      <c r="D650" s="235">
        <f t="shared" si="114"/>
        <v>30025</v>
      </c>
      <c r="E650" s="367">
        <v>0.36986141570621994</v>
      </c>
      <c r="F650" s="49">
        <f t="shared" ref="F650:BK650" si="115">SUM(F4:F15)+SUM(F41)+SUM(F50:F54)+SUM(F66:F69)+SUM(F74:F80)+SUM(F113:F118)+SUM(F122:F132)+SUM(F163:F177)+SUM(F179)+SUM(F181)+SUM(F183)+SUM(F185:F193)</f>
        <v>22946</v>
      </c>
      <c r="G650" s="230">
        <f t="shared" si="115"/>
        <v>6808</v>
      </c>
      <c r="H650" s="49">
        <f t="shared" si="115"/>
        <v>22866</v>
      </c>
      <c r="I650" s="63">
        <f t="shared" si="115"/>
        <v>6836</v>
      </c>
      <c r="J650" s="302">
        <f t="shared" si="115"/>
        <v>0</v>
      </c>
      <c r="K650" s="230">
        <f t="shared" si="115"/>
        <v>0</v>
      </c>
      <c r="L650" s="49">
        <f t="shared" si="115"/>
        <v>0</v>
      </c>
      <c r="M650" s="63">
        <f t="shared" si="115"/>
        <v>0</v>
      </c>
      <c r="N650" s="302">
        <f t="shared" si="115"/>
        <v>0</v>
      </c>
      <c r="O650" s="230">
        <f t="shared" si="115"/>
        <v>0</v>
      </c>
      <c r="P650" s="49">
        <f t="shared" si="115"/>
        <v>0</v>
      </c>
      <c r="Q650" s="63">
        <f t="shared" si="115"/>
        <v>0</v>
      </c>
      <c r="R650" s="302">
        <f t="shared" si="115"/>
        <v>0</v>
      </c>
      <c r="S650" s="230">
        <f t="shared" si="115"/>
        <v>0</v>
      </c>
      <c r="T650" s="49">
        <f t="shared" si="115"/>
        <v>0</v>
      </c>
      <c r="U650" s="63">
        <f t="shared" si="115"/>
        <v>0</v>
      </c>
      <c r="V650" s="302">
        <f t="shared" si="115"/>
        <v>0</v>
      </c>
      <c r="W650" s="230">
        <f t="shared" si="115"/>
        <v>0</v>
      </c>
      <c r="X650" s="49">
        <f t="shared" si="115"/>
        <v>0</v>
      </c>
      <c r="Y650" s="63">
        <f t="shared" si="115"/>
        <v>0</v>
      </c>
      <c r="Z650" s="302">
        <f t="shared" si="115"/>
        <v>0</v>
      </c>
      <c r="AA650" s="230">
        <f t="shared" si="115"/>
        <v>0</v>
      </c>
      <c r="AB650" s="49">
        <f t="shared" si="115"/>
        <v>0</v>
      </c>
      <c r="AC650" s="63">
        <f t="shared" si="115"/>
        <v>0</v>
      </c>
      <c r="AD650" s="302">
        <f t="shared" si="115"/>
        <v>0</v>
      </c>
      <c r="AE650" s="230">
        <f t="shared" si="115"/>
        <v>0</v>
      </c>
      <c r="AF650" s="49">
        <f t="shared" si="115"/>
        <v>0</v>
      </c>
      <c r="AG650" s="63">
        <f t="shared" si="115"/>
        <v>0</v>
      </c>
      <c r="AH650" s="302">
        <f t="shared" si="115"/>
        <v>0</v>
      </c>
      <c r="AI650" s="230">
        <f t="shared" si="115"/>
        <v>0</v>
      </c>
      <c r="AJ650" s="49">
        <f t="shared" si="115"/>
        <v>0</v>
      </c>
      <c r="AK650" s="63">
        <f t="shared" si="115"/>
        <v>0</v>
      </c>
      <c r="AL650" s="302">
        <f t="shared" si="115"/>
        <v>0</v>
      </c>
      <c r="AM650" s="230">
        <f t="shared" si="115"/>
        <v>0</v>
      </c>
      <c r="AN650" s="49">
        <f t="shared" si="115"/>
        <v>0</v>
      </c>
      <c r="AO650" s="63">
        <f t="shared" si="115"/>
        <v>0</v>
      </c>
      <c r="AP650" s="302">
        <f t="shared" si="115"/>
        <v>21728</v>
      </c>
      <c r="AQ650" s="230">
        <f t="shared" si="115"/>
        <v>7594</v>
      </c>
      <c r="AR650" s="49">
        <f t="shared" si="115"/>
        <v>19085</v>
      </c>
      <c r="AS650" s="63">
        <f t="shared" si="115"/>
        <v>10086</v>
      </c>
      <c r="AT650" s="302">
        <f t="shared" si="115"/>
        <v>0</v>
      </c>
      <c r="AU650" s="230">
        <f t="shared" si="115"/>
        <v>0</v>
      </c>
      <c r="AV650" s="49">
        <f t="shared" si="115"/>
        <v>14493</v>
      </c>
      <c r="AW650" s="63">
        <f t="shared" si="115"/>
        <v>14776</v>
      </c>
      <c r="AX650" s="302">
        <f t="shared" si="115"/>
        <v>17014</v>
      </c>
      <c r="AY650" s="230">
        <f t="shared" si="115"/>
        <v>9403</v>
      </c>
      <c r="AZ650" s="49">
        <f t="shared" si="115"/>
        <v>8479</v>
      </c>
      <c r="BA650" s="230">
        <f t="shared" si="115"/>
        <v>19675</v>
      </c>
      <c r="BB650" s="49">
        <f t="shared" si="115"/>
        <v>0</v>
      </c>
      <c r="BC650" s="50">
        <f t="shared" si="115"/>
        <v>0</v>
      </c>
      <c r="BD650" s="49">
        <f t="shared" si="115"/>
        <v>0</v>
      </c>
      <c r="BE650" s="50">
        <f t="shared" si="115"/>
        <v>0</v>
      </c>
      <c r="BF650" s="49">
        <f t="shared" si="115"/>
        <v>0</v>
      </c>
      <c r="BG650" s="50">
        <f t="shared" si="115"/>
        <v>0</v>
      </c>
      <c r="BH650" s="49">
        <f t="shared" si="115"/>
        <v>0</v>
      </c>
      <c r="BI650" s="50">
        <f t="shared" si="115"/>
        <v>0</v>
      </c>
      <c r="BJ650" s="49">
        <f t="shared" si="115"/>
        <v>0</v>
      </c>
      <c r="BK650" s="50">
        <f t="shared" si="115"/>
        <v>0</v>
      </c>
    </row>
    <row r="651" spans="1:63" ht="13" x14ac:dyDescent="0.25">
      <c r="A651" s="379"/>
      <c r="B651" s="381" t="s">
        <v>838</v>
      </c>
      <c r="C651" s="235">
        <f t="shared" ref="C651:D651" si="116">SUM(C81:C85)+SUM(C90:C91)+SUM(C93)+SUM(C103:C104)+SUM(C106:C111)+SUM(C133:C135)+SUM(C136:C153)+SUM(C154:C162)+SUM(C178)+SUM(C180)+SUM(C182)+SUM(C184)+SUM(C275:C286)+SUM(C420)+SUM(C498:C501)+SUM(C513)+SUM(C516)</f>
        <v>73541</v>
      </c>
      <c r="D651" s="235">
        <f t="shared" si="116"/>
        <v>29302</v>
      </c>
      <c r="E651" s="367">
        <v>0.41204167230415373</v>
      </c>
      <c r="F651" s="49">
        <f t="shared" ref="F651:BK651" si="117">SUM(F81:F85)+SUM(F90:F91)+SUM(F93)+SUM(F103:F104)+SUM(F106:F111)+SUM(F133:F135)+SUM(F136:F153)+SUM(F154:F162)+SUM(F178)+SUM(F180)+SUM(F182)+SUM(F184)+SUM(F275:F286)+SUM(F420)+SUM(F498:F501)+SUM(F513)+SUM(F516)</f>
        <v>23293</v>
      </c>
      <c r="G651" s="230">
        <f t="shared" si="117"/>
        <v>5762</v>
      </c>
      <c r="H651" s="49">
        <f t="shared" si="117"/>
        <v>22664</v>
      </c>
      <c r="I651" s="63">
        <f t="shared" si="117"/>
        <v>6246</v>
      </c>
      <c r="J651" s="302">
        <f t="shared" si="117"/>
        <v>0</v>
      </c>
      <c r="K651" s="230">
        <f t="shared" si="117"/>
        <v>0</v>
      </c>
      <c r="L651" s="49">
        <f t="shared" si="117"/>
        <v>0</v>
      </c>
      <c r="M651" s="63">
        <f t="shared" si="117"/>
        <v>0</v>
      </c>
      <c r="N651" s="302">
        <f t="shared" si="117"/>
        <v>0</v>
      </c>
      <c r="O651" s="230">
        <f t="shared" si="117"/>
        <v>0</v>
      </c>
      <c r="P651" s="49">
        <f t="shared" si="117"/>
        <v>0</v>
      </c>
      <c r="Q651" s="63">
        <f t="shared" si="117"/>
        <v>0</v>
      </c>
      <c r="R651" s="302">
        <f t="shared" si="117"/>
        <v>0</v>
      </c>
      <c r="S651" s="230">
        <f t="shared" si="117"/>
        <v>0</v>
      </c>
      <c r="T651" s="49">
        <f t="shared" si="117"/>
        <v>0</v>
      </c>
      <c r="U651" s="63">
        <f t="shared" si="117"/>
        <v>0</v>
      </c>
      <c r="V651" s="302">
        <f t="shared" si="117"/>
        <v>0</v>
      </c>
      <c r="W651" s="230">
        <f t="shared" si="117"/>
        <v>0</v>
      </c>
      <c r="X651" s="49">
        <f t="shared" si="117"/>
        <v>0</v>
      </c>
      <c r="Y651" s="63">
        <f t="shared" si="117"/>
        <v>0</v>
      </c>
      <c r="Z651" s="302">
        <f t="shared" si="117"/>
        <v>0</v>
      </c>
      <c r="AA651" s="230">
        <f t="shared" si="117"/>
        <v>0</v>
      </c>
      <c r="AB651" s="49">
        <f t="shared" si="117"/>
        <v>0</v>
      </c>
      <c r="AC651" s="63">
        <f t="shared" si="117"/>
        <v>0</v>
      </c>
      <c r="AD651" s="302">
        <f t="shared" si="117"/>
        <v>0</v>
      </c>
      <c r="AE651" s="230">
        <f t="shared" si="117"/>
        <v>0</v>
      </c>
      <c r="AF651" s="49">
        <f t="shared" si="117"/>
        <v>0</v>
      </c>
      <c r="AG651" s="63">
        <f t="shared" si="117"/>
        <v>0</v>
      </c>
      <c r="AH651" s="302">
        <f t="shared" si="117"/>
        <v>0</v>
      </c>
      <c r="AI651" s="230">
        <f t="shared" si="117"/>
        <v>0</v>
      </c>
      <c r="AJ651" s="49">
        <f t="shared" si="117"/>
        <v>0</v>
      </c>
      <c r="AK651" s="63">
        <f t="shared" si="117"/>
        <v>0</v>
      </c>
      <c r="AL651" s="302">
        <f t="shared" si="117"/>
        <v>0</v>
      </c>
      <c r="AM651" s="230">
        <f t="shared" si="117"/>
        <v>0</v>
      </c>
      <c r="AN651" s="49">
        <f t="shared" si="117"/>
        <v>0</v>
      </c>
      <c r="AO651" s="63">
        <f t="shared" si="117"/>
        <v>0</v>
      </c>
      <c r="AP651" s="302">
        <f t="shared" si="117"/>
        <v>21619</v>
      </c>
      <c r="AQ651" s="230">
        <f t="shared" si="117"/>
        <v>7018</v>
      </c>
      <c r="AR651" s="49">
        <f t="shared" si="117"/>
        <v>19647</v>
      </c>
      <c r="AS651" s="63">
        <f t="shared" si="117"/>
        <v>8840</v>
      </c>
      <c r="AT651" s="302">
        <f t="shared" si="117"/>
        <v>0</v>
      </c>
      <c r="AU651" s="230">
        <f t="shared" si="117"/>
        <v>0</v>
      </c>
      <c r="AV651" s="49">
        <f t="shared" si="117"/>
        <v>10401</v>
      </c>
      <c r="AW651" s="63">
        <f t="shared" si="117"/>
        <v>10373</v>
      </c>
      <c r="AX651" s="302">
        <f t="shared" si="117"/>
        <v>12171</v>
      </c>
      <c r="AY651" s="230">
        <f t="shared" si="117"/>
        <v>6668</v>
      </c>
      <c r="AZ651" s="49">
        <f t="shared" si="117"/>
        <v>7364</v>
      </c>
      <c r="BA651" s="230">
        <f t="shared" si="117"/>
        <v>12805</v>
      </c>
      <c r="BB651" s="49">
        <f t="shared" si="117"/>
        <v>0</v>
      </c>
      <c r="BC651" s="50">
        <f t="shared" si="117"/>
        <v>0</v>
      </c>
      <c r="BD651" s="49">
        <f t="shared" si="117"/>
        <v>0</v>
      </c>
      <c r="BE651" s="50">
        <f t="shared" si="117"/>
        <v>0</v>
      </c>
      <c r="BF651" s="49">
        <f t="shared" si="117"/>
        <v>0</v>
      </c>
      <c r="BG651" s="50">
        <f t="shared" si="117"/>
        <v>0</v>
      </c>
      <c r="BH651" s="49">
        <f t="shared" si="117"/>
        <v>0</v>
      </c>
      <c r="BI651" s="50">
        <f t="shared" si="117"/>
        <v>0</v>
      </c>
      <c r="BJ651" s="49">
        <f t="shared" si="117"/>
        <v>442</v>
      </c>
      <c r="BK651" s="50">
        <f t="shared" si="117"/>
        <v>79</v>
      </c>
    </row>
    <row r="652" spans="1:63" ht="13" x14ac:dyDescent="0.25">
      <c r="A652" s="379"/>
      <c r="B652" s="381" t="s">
        <v>839</v>
      </c>
      <c r="C652" s="236">
        <f t="shared" ref="C652:D652" si="118">SUM(C17:C27)+SUM(C36)+SUM(C40)+SUM(C55:C65)+SUM(C94:C102)+SUM(C310:C318)+SUM(C351)+SUM(C391:C396)+SUM(C398)+SUM(C424)+SUM(C427:C428)+SUM(C478:C483)+SUM(C502:C504)+SUM(C505:C507)+SUM(C509:C512)+SUM(C514)+SUM(C517:C523)+SUM(C525:C530)+SUM(C532)+SUM(C533)+SUM(C564:C565)</f>
        <v>92060</v>
      </c>
      <c r="D652" s="236">
        <f t="shared" si="118"/>
        <v>46355</v>
      </c>
      <c r="E652" s="367">
        <v>0.52944824659710354</v>
      </c>
      <c r="F652" s="49">
        <f t="shared" ref="F652:BK652" si="119">SUM(F17:F27)+SUM(F36)+SUM(F40)+SUM(F55:F65)+SUM(F94:F102)+SUM(F310:F318)+SUM(F351)+SUM(F391:F396)+SUM(F398)+SUM(F424)+SUM(F427:F428)+SUM(F478:F483)+SUM(F502:F504)+SUM(F505:F507)+SUM(F509:F512)+SUM(F514)+SUM(F517:F523)+SUM(F525:F530)+SUM(F532)+SUM(F533)+SUM(F564:F565)</f>
        <v>35317</v>
      </c>
      <c r="G652" s="230">
        <f t="shared" si="119"/>
        <v>10564</v>
      </c>
      <c r="H652" s="49">
        <f t="shared" si="119"/>
        <v>33192</v>
      </c>
      <c r="I652" s="63">
        <f t="shared" si="119"/>
        <v>12361</v>
      </c>
      <c r="J652" s="302">
        <f t="shared" si="119"/>
        <v>0</v>
      </c>
      <c r="K652" s="230">
        <f t="shared" si="119"/>
        <v>0</v>
      </c>
      <c r="L652" s="49">
        <f t="shared" si="119"/>
        <v>458</v>
      </c>
      <c r="M652" s="63">
        <f t="shared" si="119"/>
        <v>214</v>
      </c>
      <c r="N652" s="302">
        <f t="shared" si="119"/>
        <v>457</v>
      </c>
      <c r="O652" s="230">
        <f t="shared" si="119"/>
        <v>209</v>
      </c>
      <c r="P652" s="49">
        <f t="shared" si="119"/>
        <v>648</v>
      </c>
      <c r="Q652" s="63">
        <f t="shared" si="119"/>
        <v>457</v>
      </c>
      <c r="R652" s="302">
        <f t="shared" si="119"/>
        <v>380</v>
      </c>
      <c r="S652" s="230">
        <f t="shared" si="119"/>
        <v>233</v>
      </c>
      <c r="T652" s="49">
        <f t="shared" si="119"/>
        <v>1223</v>
      </c>
      <c r="U652" s="63">
        <f t="shared" si="119"/>
        <v>337</v>
      </c>
      <c r="V652" s="302">
        <f t="shared" si="119"/>
        <v>1230</v>
      </c>
      <c r="W652" s="230">
        <f t="shared" si="119"/>
        <v>330</v>
      </c>
      <c r="X652" s="49">
        <f t="shared" si="119"/>
        <v>1176</v>
      </c>
      <c r="Y652" s="63">
        <f t="shared" si="119"/>
        <v>453</v>
      </c>
      <c r="Z652" s="302">
        <f t="shared" si="119"/>
        <v>1246</v>
      </c>
      <c r="AA652" s="230">
        <f t="shared" si="119"/>
        <v>403</v>
      </c>
      <c r="AB652" s="49">
        <f t="shared" si="119"/>
        <v>0</v>
      </c>
      <c r="AC652" s="63">
        <f t="shared" si="119"/>
        <v>0</v>
      </c>
      <c r="AD652" s="302">
        <f t="shared" si="119"/>
        <v>584</v>
      </c>
      <c r="AE652" s="230">
        <f t="shared" si="119"/>
        <v>470</v>
      </c>
      <c r="AF652" s="49">
        <f t="shared" si="119"/>
        <v>0</v>
      </c>
      <c r="AG652" s="63">
        <f t="shared" si="119"/>
        <v>0</v>
      </c>
      <c r="AH652" s="302">
        <f t="shared" si="119"/>
        <v>0</v>
      </c>
      <c r="AI652" s="230">
        <f t="shared" si="119"/>
        <v>0</v>
      </c>
      <c r="AJ652" s="49">
        <f t="shared" si="119"/>
        <v>0</v>
      </c>
      <c r="AK652" s="63">
        <f t="shared" si="119"/>
        <v>0</v>
      </c>
      <c r="AL652" s="302">
        <f t="shared" si="119"/>
        <v>0</v>
      </c>
      <c r="AM652" s="230">
        <f t="shared" si="119"/>
        <v>0</v>
      </c>
      <c r="AN652" s="49">
        <f t="shared" si="119"/>
        <v>0</v>
      </c>
      <c r="AO652" s="63">
        <f t="shared" si="119"/>
        <v>0</v>
      </c>
      <c r="AP652" s="302">
        <f t="shared" si="119"/>
        <v>33200</v>
      </c>
      <c r="AQ652" s="230">
        <f t="shared" si="119"/>
        <v>12067</v>
      </c>
      <c r="AR652" s="49">
        <f t="shared" si="119"/>
        <v>29327</v>
      </c>
      <c r="AS652" s="63">
        <f t="shared" si="119"/>
        <v>15890</v>
      </c>
      <c r="AT652" s="302">
        <f t="shared" si="119"/>
        <v>0</v>
      </c>
      <c r="AU652" s="230">
        <f t="shared" si="119"/>
        <v>0</v>
      </c>
      <c r="AV652" s="49">
        <f t="shared" si="119"/>
        <v>10033</v>
      </c>
      <c r="AW652" s="63">
        <f t="shared" si="119"/>
        <v>8147</v>
      </c>
      <c r="AX652" s="302">
        <f t="shared" si="119"/>
        <v>10582</v>
      </c>
      <c r="AY652" s="230">
        <f t="shared" si="119"/>
        <v>5543</v>
      </c>
      <c r="AZ652" s="49">
        <f t="shared" si="119"/>
        <v>5521</v>
      </c>
      <c r="BA652" s="230">
        <f t="shared" si="119"/>
        <v>12039</v>
      </c>
      <c r="BB652" s="49">
        <f t="shared" si="119"/>
        <v>0</v>
      </c>
      <c r="BC652" s="50">
        <f t="shared" si="119"/>
        <v>0</v>
      </c>
      <c r="BD652" s="49">
        <f t="shared" si="119"/>
        <v>0</v>
      </c>
      <c r="BE652" s="50">
        <f t="shared" si="119"/>
        <v>0</v>
      </c>
      <c r="BF652" s="49">
        <f t="shared" si="119"/>
        <v>0</v>
      </c>
      <c r="BG652" s="50">
        <f t="shared" si="119"/>
        <v>0</v>
      </c>
      <c r="BH652" s="49">
        <f t="shared" si="119"/>
        <v>0</v>
      </c>
      <c r="BI652" s="50">
        <f t="shared" si="119"/>
        <v>0</v>
      </c>
      <c r="BJ652" s="49">
        <f t="shared" si="119"/>
        <v>0</v>
      </c>
      <c r="BK652" s="50">
        <f t="shared" si="119"/>
        <v>0</v>
      </c>
    </row>
    <row r="653" spans="1:63" ht="13" x14ac:dyDescent="0.25">
      <c r="A653" s="379"/>
      <c r="B653" s="381" t="s">
        <v>840</v>
      </c>
      <c r="C653" s="236">
        <f t="shared" ref="C653:D653" si="120">SUM(C16)+SUM(C28:C35)+SUM(C37:C39)+SUM(C42:C49)+SUM(C70:C73)+SUM(C86:C89)+SUM(C92)+SUM(C105)+SUM(C112)+SUM(C233:C245)+SUM(C254)+SUM(C319:C350)+SUM(C397)+SUM(C496:C497)+SUM(C547:C560)</f>
        <v>97747</v>
      </c>
      <c r="D653" s="236">
        <f t="shared" si="120"/>
        <v>54172</v>
      </c>
      <c r="E653" s="367">
        <v>0.58752756551618035</v>
      </c>
      <c r="F653" s="49">
        <f t="shared" ref="F653:BK653" si="121">SUM(F16)+SUM(F28:F35)+SUM(F37:F39)+SUM(F42:F49)+SUM(F70:F73)+SUM(F86:F89)+SUM(F92)+SUM(F105)+SUM(F112)+SUM(F233:F245)+SUM(F254)+SUM(F319:F350)+SUM(F397)+SUM(F496:F497)+SUM(F547:F560)</f>
        <v>36023</v>
      </c>
      <c r="G653" s="230">
        <f t="shared" si="121"/>
        <v>17623</v>
      </c>
      <c r="H653" s="49">
        <f t="shared" si="121"/>
        <v>34520</v>
      </c>
      <c r="I653" s="63">
        <f t="shared" si="121"/>
        <v>18750</v>
      </c>
      <c r="J653" s="302">
        <f t="shared" si="121"/>
        <v>0</v>
      </c>
      <c r="K653" s="230">
        <f t="shared" si="121"/>
        <v>0</v>
      </c>
      <c r="L653" s="49">
        <f t="shared" si="121"/>
        <v>0</v>
      </c>
      <c r="M653" s="63">
        <f t="shared" si="121"/>
        <v>0</v>
      </c>
      <c r="N653" s="302">
        <f t="shared" si="121"/>
        <v>0</v>
      </c>
      <c r="O653" s="230">
        <f t="shared" si="121"/>
        <v>0</v>
      </c>
      <c r="P653" s="49">
        <f t="shared" si="121"/>
        <v>0</v>
      </c>
      <c r="Q653" s="63">
        <f t="shared" si="121"/>
        <v>0</v>
      </c>
      <c r="R653" s="302">
        <f t="shared" si="121"/>
        <v>0</v>
      </c>
      <c r="S653" s="230">
        <f t="shared" si="121"/>
        <v>0</v>
      </c>
      <c r="T653" s="49">
        <f t="shared" si="121"/>
        <v>0</v>
      </c>
      <c r="U653" s="63">
        <f t="shared" si="121"/>
        <v>0</v>
      </c>
      <c r="V653" s="302">
        <f t="shared" si="121"/>
        <v>0</v>
      </c>
      <c r="W653" s="230">
        <f t="shared" si="121"/>
        <v>0</v>
      </c>
      <c r="X653" s="49">
        <f t="shared" si="121"/>
        <v>0</v>
      </c>
      <c r="Y653" s="63">
        <f t="shared" si="121"/>
        <v>0</v>
      </c>
      <c r="Z653" s="302">
        <f t="shared" si="121"/>
        <v>0</v>
      </c>
      <c r="AA653" s="230">
        <f t="shared" si="121"/>
        <v>0</v>
      </c>
      <c r="AB653" s="49">
        <f t="shared" si="121"/>
        <v>974</v>
      </c>
      <c r="AC653" s="63">
        <f t="shared" si="121"/>
        <v>196</v>
      </c>
      <c r="AD653" s="302">
        <f t="shared" si="121"/>
        <v>0</v>
      </c>
      <c r="AE653" s="230">
        <f t="shared" si="121"/>
        <v>0</v>
      </c>
      <c r="AF653" s="49">
        <f t="shared" si="121"/>
        <v>0</v>
      </c>
      <c r="AG653" s="63">
        <f t="shared" si="121"/>
        <v>0</v>
      </c>
      <c r="AH653" s="302">
        <f t="shared" si="121"/>
        <v>0</v>
      </c>
      <c r="AI653" s="230">
        <f t="shared" si="121"/>
        <v>0</v>
      </c>
      <c r="AJ653" s="49">
        <f t="shared" si="121"/>
        <v>0</v>
      </c>
      <c r="AK653" s="63">
        <f t="shared" si="121"/>
        <v>0</v>
      </c>
      <c r="AL653" s="302">
        <f t="shared" si="121"/>
        <v>0</v>
      </c>
      <c r="AM653" s="230">
        <f t="shared" si="121"/>
        <v>3</v>
      </c>
      <c r="AN653" s="49">
        <f t="shared" si="121"/>
        <v>11221</v>
      </c>
      <c r="AO653" s="63">
        <f t="shared" si="121"/>
        <v>10251</v>
      </c>
      <c r="AP653" s="302">
        <f t="shared" si="121"/>
        <v>37097</v>
      </c>
      <c r="AQ653" s="230">
        <f t="shared" si="121"/>
        <v>15985</v>
      </c>
      <c r="AR653" s="49">
        <f t="shared" si="121"/>
        <v>29995</v>
      </c>
      <c r="AS653" s="63">
        <f t="shared" si="121"/>
        <v>22834</v>
      </c>
      <c r="AT653" s="302">
        <f t="shared" si="121"/>
        <v>0</v>
      </c>
      <c r="AU653" s="230">
        <f t="shared" si="121"/>
        <v>0</v>
      </c>
      <c r="AV653" s="49">
        <f t="shared" si="121"/>
        <v>8822</v>
      </c>
      <c r="AW653" s="63">
        <f t="shared" si="121"/>
        <v>7114</v>
      </c>
      <c r="AX653" s="302">
        <f t="shared" si="121"/>
        <v>9495</v>
      </c>
      <c r="AY653" s="230">
        <f t="shared" si="121"/>
        <v>4665</v>
      </c>
      <c r="AZ653" s="49">
        <f t="shared" si="121"/>
        <v>4184</v>
      </c>
      <c r="BA653" s="230">
        <f t="shared" si="121"/>
        <v>11137</v>
      </c>
      <c r="BB653" s="49">
        <f t="shared" si="121"/>
        <v>0</v>
      </c>
      <c r="BC653" s="50">
        <f t="shared" si="121"/>
        <v>0</v>
      </c>
      <c r="BD653" s="49">
        <f t="shared" si="121"/>
        <v>0</v>
      </c>
      <c r="BE653" s="50">
        <f t="shared" si="121"/>
        <v>0</v>
      </c>
      <c r="BF653" s="49">
        <f t="shared" si="121"/>
        <v>0</v>
      </c>
      <c r="BG653" s="50">
        <f t="shared" si="121"/>
        <v>0</v>
      </c>
      <c r="BH653" s="49">
        <f t="shared" si="121"/>
        <v>0</v>
      </c>
      <c r="BI653" s="50">
        <f t="shared" si="121"/>
        <v>0</v>
      </c>
      <c r="BJ653" s="49">
        <f t="shared" si="121"/>
        <v>0</v>
      </c>
      <c r="BK653" s="50">
        <f t="shared" si="121"/>
        <v>0</v>
      </c>
    </row>
    <row r="654" spans="1:63" ht="13" x14ac:dyDescent="0.25">
      <c r="A654" s="379"/>
      <c r="B654" s="381" t="s">
        <v>841</v>
      </c>
      <c r="C654" s="235">
        <f t="shared" ref="C654:D654" si="122">SUM(C194:C204)+SUM(C209:C225)+SUM(C246:C253)+SUM(C255:C263)+SUM(C287:C309)+SUM(C390)+SUM(C421:C423)+SUM(C425:C426)+SUM(C472:C474)+SUM(C534:C546)</f>
        <v>86212</v>
      </c>
      <c r="D654" s="235">
        <f t="shared" si="122"/>
        <v>47174</v>
      </c>
      <c r="E654" s="367">
        <v>0.5816518447999629</v>
      </c>
      <c r="F654" s="49">
        <f t="shared" ref="F654:BK654" si="123">SUM(F194:F204)+SUM(F209:F225)+SUM(F246:F253)+SUM(F255:F263)+SUM(F287:F309)+SUM(F390)+SUM(F421:F423)+SUM(F425:F426)+SUM(F472:F474)+SUM(F534:F546)</f>
        <v>29973</v>
      </c>
      <c r="G654" s="230">
        <f t="shared" si="123"/>
        <v>16732</v>
      </c>
      <c r="H654" s="49">
        <f t="shared" si="123"/>
        <v>28794</v>
      </c>
      <c r="I654" s="63">
        <f t="shared" si="123"/>
        <v>17474</v>
      </c>
      <c r="J654" s="302">
        <f t="shared" si="123"/>
        <v>0</v>
      </c>
      <c r="K654" s="230">
        <f t="shared" si="123"/>
        <v>0</v>
      </c>
      <c r="L654" s="49">
        <f t="shared" si="123"/>
        <v>0</v>
      </c>
      <c r="M654" s="63">
        <f t="shared" si="123"/>
        <v>0</v>
      </c>
      <c r="N654" s="302">
        <f t="shared" si="123"/>
        <v>0</v>
      </c>
      <c r="O654" s="230">
        <f t="shared" si="123"/>
        <v>0</v>
      </c>
      <c r="P654" s="49">
        <f t="shared" si="123"/>
        <v>0</v>
      </c>
      <c r="Q654" s="63">
        <f t="shared" si="123"/>
        <v>0</v>
      </c>
      <c r="R654" s="302">
        <f t="shared" si="123"/>
        <v>0</v>
      </c>
      <c r="S654" s="230">
        <f t="shared" si="123"/>
        <v>0</v>
      </c>
      <c r="T654" s="49">
        <f t="shared" si="123"/>
        <v>0</v>
      </c>
      <c r="U654" s="63">
        <f t="shared" si="123"/>
        <v>0</v>
      </c>
      <c r="V654" s="302">
        <f t="shared" si="123"/>
        <v>0</v>
      </c>
      <c r="W654" s="230">
        <f t="shared" si="123"/>
        <v>0</v>
      </c>
      <c r="X654" s="49">
        <f t="shared" si="123"/>
        <v>0</v>
      </c>
      <c r="Y654" s="63">
        <f t="shared" si="123"/>
        <v>0</v>
      </c>
      <c r="Z654" s="302">
        <f t="shared" si="123"/>
        <v>0</v>
      </c>
      <c r="AA654" s="230">
        <f t="shared" si="123"/>
        <v>0</v>
      </c>
      <c r="AB654" s="49">
        <f t="shared" si="123"/>
        <v>0</v>
      </c>
      <c r="AC654" s="63">
        <f t="shared" si="123"/>
        <v>0</v>
      </c>
      <c r="AD654" s="302">
        <f t="shared" si="123"/>
        <v>0</v>
      </c>
      <c r="AE654" s="230">
        <f t="shared" si="123"/>
        <v>0</v>
      </c>
      <c r="AF654" s="49">
        <f t="shared" si="123"/>
        <v>0</v>
      </c>
      <c r="AG654" s="63">
        <f t="shared" si="123"/>
        <v>0</v>
      </c>
      <c r="AH654" s="302">
        <f t="shared" si="123"/>
        <v>0</v>
      </c>
      <c r="AI654" s="230">
        <f t="shared" si="123"/>
        <v>0</v>
      </c>
      <c r="AJ654" s="49">
        <f t="shared" si="123"/>
        <v>0</v>
      </c>
      <c r="AK654" s="63">
        <f t="shared" si="123"/>
        <v>0</v>
      </c>
      <c r="AL654" s="302">
        <f t="shared" si="123"/>
        <v>0</v>
      </c>
      <c r="AM654" s="230">
        <f t="shared" si="123"/>
        <v>0</v>
      </c>
      <c r="AN654" s="49">
        <f t="shared" si="123"/>
        <v>0</v>
      </c>
      <c r="AO654" s="63">
        <f t="shared" si="123"/>
        <v>0</v>
      </c>
      <c r="AP654" s="302">
        <f t="shared" si="123"/>
        <v>32415</v>
      </c>
      <c r="AQ654" s="230">
        <f t="shared" si="123"/>
        <v>13785</v>
      </c>
      <c r="AR654" s="49">
        <f t="shared" si="123"/>
        <v>26715</v>
      </c>
      <c r="AS654" s="63">
        <f t="shared" si="123"/>
        <v>19468</v>
      </c>
      <c r="AT654" s="302">
        <f t="shared" si="123"/>
        <v>0</v>
      </c>
      <c r="AU654" s="230">
        <f t="shared" si="123"/>
        <v>0</v>
      </c>
      <c r="AV654" s="49">
        <f t="shared" si="123"/>
        <v>0</v>
      </c>
      <c r="AW654" s="63">
        <f t="shared" si="123"/>
        <v>0</v>
      </c>
      <c r="AX654" s="302">
        <f t="shared" si="123"/>
        <v>0</v>
      </c>
      <c r="AY654" s="230">
        <f t="shared" si="123"/>
        <v>0</v>
      </c>
      <c r="AZ654" s="49">
        <f t="shared" si="123"/>
        <v>0</v>
      </c>
      <c r="BA654" s="230">
        <f t="shared" si="123"/>
        <v>0</v>
      </c>
      <c r="BB654" s="49">
        <f t="shared" si="123"/>
        <v>0</v>
      </c>
      <c r="BC654" s="50">
        <f t="shared" si="123"/>
        <v>0</v>
      </c>
      <c r="BD654" s="49">
        <f t="shared" si="123"/>
        <v>0</v>
      </c>
      <c r="BE654" s="50">
        <f t="shared" si="123"/>
        <v>0</v>
      </c>
      <c r="BF654" s="49">
        <f t="shared" si="123"/>
        <v>0</v>
      </c>
      <c r="BG654" s="50">
        <f t="shared" si="123"/>
        <v>0</v>
      </c>
      <c r="BH654" s="49">
        <f t="shared" si="123"/>
        <v>0</v>
      </c>
      <c r="BI654" s="50">
        <f t="shared" si="123"/>
        <v>0</v>
      </c>
      <c r="BJ654" s="49">
        <f t="shared" si="123"/>
        <v>0</v>
      </c>
      <c r="BK654" s="50">
        <f t="shared" si="123"/>
        <v>0</v>
      </c>
    </row>
    <row r="655" spans="1:63" ht="13" x14ac:dyDescent="0.25">
      <c r="A655" s="379"/>
      <c r="B655" s="381" t="s">
        <v>842</v>
      </c>
      <c r="C655" s="235">
        <f t="shared" ref="C655:D655" si="124">SUM(C226:C232)+SUM(C264:C274)+SUM(C352:C389)+SUM(C399:C400)+SUM(C475:C477)+SUM(C485:C487)+SUM(C493)+SUM(C508)+SUM(C515)+SUM(C524)+SUM(C531)+SUM(C561:C563)</f>
        <v>79033</v>
      </c>
      <c r="D655" s="235">
        <f t="shared" si="124"/>
        <v>36559</v>
      </c>
      <c r="E655" s="367">
        <v>0.51001309649446258</v>
      </c>
      <c r="F655" s="70">
        <f t="shared" ref="F655:BK655" si="125">SUM(F226:F232)+SUM(F264:F274)+SUM(F352:F389)+SUM(F399:F400)+SUM(F475:F477)+SUM(F485:F487)+SUM(F493)+SUM(F508)+SUM(F515)+SUM(F524)+SUM(F531)+SUM(F561:F563)</f>
        <v>18594</v>
      </c>
      <c r="G655" s="237">
        <f t="shared" si="125"/>
        <v>17646</v>
      </c>
      <c r="H655" s="70">
        <f t="shared" si="125"/>
        <v>20990</v>
      </c>
      <c r="I655" s="72">
        <f t="shared" si="125"/>
        <v>14952</v>
      </c>
      <c r="J655" s="362">
        <f t="shared" si="125"/>
        <v>343</v>
      </c>
      <c r="K655" s="237">
        <f t="shared" si="125"/>
        <v>802</v>
      </c>
      <c r="L655" s="70">
        <f t="shared" si="125"/>
        <v>0</v>
      </c>
      <c r="M655" s="72">
        <f t="shared" si="125"/>
        <v>0</v>
      </c>
      <c r="N655" s="362">
        <f t="shared" si="125"/>
        <v>0</v>
      </c>
      <c r="O655" s="237">
        <f t="shared" si="125"/>
        <v>0</v>
      </c>
      <c r="P655" s="70">
        <f t="shared" si="125"/>
        <v>0</v>
      </c>
      <c r="Q655" s="72">
        <f t="shared" si="125"/>
        <v>0</v>
      </c>
      <c r="R655" s="362">
        <f t="shared" si="125"/>
        <v>0</v>
      </c>
      <c r="S655" s="237">
        <f t="shared" si="125"/>
        <v>0</v>
      </c>
      <c r="T655" s="70">
        <f t="shared" si="125"/>
        <v>0</v>
      </c>
      <c r="U655" s="72">
        <f t="shared" si="125"/>
        <v>0</v>
      </c>
      <c r="V655" s="362">
        <f t="shared" si="125"/>
        <v>0</v>
      </c>
      <c r="W655" s="237">
        <f t="shared" si="125"/>
        <v>0</v>
      </c>
      <c r="X655" s="70">
        <f t="shared" si="125"/>
        <v>0</v>
      </c>
      <c r="Y655" s="72">
        <f t="shared" si="125"/>
        <v>0</v>
      </c>
      <c r="Z655" s="362">
        <f t="shared" si="125"/>
        <v>0</v>
      </c>
      <c r="AA655" s="237">
        <f t="shared" si="125"/>
        <v>0</v>
      </c>
      <c r="AB655" s="70">
        <f t="shared" si="125"/>
        <v>0</v>
      </c>
      <c r="AC655" s="72">
        <f t="shared" si="125"/>
        <v>0</v>
      </c>
      <c r="AD655" s="362">
        <f t="shared" si="125"/>
        <v>0</v>
      </c>
      <c r="AE655" s="237">
        <f t="shared" si="125"/>
        <v>0</v>
      </c>
      <c r="AF655" s="70">
        <f t="shared" si="125"/>
        <v>8302</v>
      </c>
      <c r="AG655" s="72">
        <f t="shared" si="125"/>
        <v>10756</v>
      </c>
      <c r="AH655" s="362">
        <f t="shared" si="125"/>
        <v>0</v>
      </c>
      <c r="AI655" s="237">
        <f t="shared" si="125"/>
        <v>0</v>
      </c>
      <c r="AJ655" s="70">
        <f t="shared" si="125"/>
        <v>151</v>
      </c>
      <c r="AK655" s="72">
        <f t="shared" si="125"/>
        <v>190</v>
      </c>
      <c r="AL655" s="362">
        <f t="shared" si="125"/>
        <v>0</v>
      </c>
      <c r="AM655" s="237">
        <f t="shared" si="125"/>
        <v>0</v>
      </c>
      <c r="AN655" s="70">
        <f t="shared" si="125"/>
        <v>0</v>
      </c>
      <c r="AO655" s="72">
        <f t="shared" si="125"/>
        <v>0</v>
      </c>
      <c r="AP655" s="362">
        <f t="shared" si="125"/>
        <v>20497</v>
      </c>
      <c r="AQ655" s="237">
        <f t="shared" si="125"/>
        <v>15241</v>
      </c>
      <c r="AR655" s="70">
        <f t="shared" si="125"/>
        <v>15441</v>
      </c>
      <c r="AS655" s="72">
        <f t="shared" si="125"/>
        <v>20196</v>
      </c>
      <c r="AT655" s="362">
        <f t="shared" si="125"/>
        <v>0</v>
      </c>
      <c r="AU655" s="237">
        <f t="shared" si="125"/>
        <v>0</v>
      </c>
      <c r="AV655" s="70">
        <f t="shared" si="125"/>
        <v>0</v>
      </c>
      <c r="AW655" s="72">
        <f t="shared" si="125"/>
        <v>0</v>
      </c>
      <c r="AX655" s="362">
        <f t="shared" si="125"/>
        <v>0</v>
      </c>
      <c r="AY655" s="237">
        <f t="shared" si="125"/>
        <v>0</v>
      </c>
      <c r="AZ655" s="70">
        <f t="shared" si="125"/>
        <v>0</v>
      </c>
      <c r="BA655" s="237">
        <f t="shared" si="125"/>
        <v>0</v>
      </c>
      <c r="BB655" s="70">
        <f t="shared" si="125"/>
        <v>890</v>
      </c>
      <c r="BC655" s="71">
        <f t="shared" si="125"/>
        <v>817</v>
      </c>
      <c r="BD655" s="70">
        <f t="shared" si="125"/>
        <v>1073</v>
      </c>
      <c r="BE655" s="71">
        <f t="shared" si="125"/>
        <v>1243</v>
      </c>
      <c r="BF655" s="70">
        <f t="shared" si="125"/>
        <v>1087</v>
      </c>
      <c r="BG655" s="71">
        <f t="shared" si="125"/>
        <v>1237</v>
      </c>
      <c r="BH655" s="70">
        <f t="shared" si="125"/>
        <v>1604</v>
      </c>
      <c r="BI655" s="71">
        <f t="shared" si="125"/>
        <v>815</v>
      </c>
      <c r="BJ655" s="70">
        <f t="shared" si="125"/>
        <v>0</v>
      </c>
      <c r="BK655" s="71">
        <f t="shared" si="125"/>
        <v>0</v>
      </c>
    </row>
    <row r="656" spans="1:63" ht="13" x14ac:dyDescent="0.25">
      <c r="A656" s="379"/>
      <c r="B656" s="381" t="s">
        <v>843</v>
      </c>
      <c r="C656" s="235">
        <f t="shared" ref="C656:D656" si="126">SUM(C119:C121)+SUM(C205:C208)+SUM(C401:C419)+SUM(C429:C471)+SUM(C484)+SUM(C488:C492)+SUM(C494:C495)</f>
        <v>83219</v>
      </c>
      <c r="D656" s="235">
        <f t="shared" si="126"/>
        <v>45164</v>
      </c>
      <c r="E656" s="367">
        <v>0.5914016078294303</v>
      </c>
      <c r="F656" s="49">
        <f t="shared" ref="F656:BK656" si="127">SUM(F119:F121)+SUM(F205:F208)+SUM(F401:F419)+SUM(F429:F471)+SUM(F484)+SUM(F488:F492)+SUM(F494:F495)</f>
        <v>20029</v>
      </c>
      <c r="G656" s="230">
        <f t="shared" si="127"/>
        <v>24684</v>
      </c>
      <c r="H656" s="49">
        <f t="shared" si="127"/>
        <v>23744</v>
      </c>
      <c r="I656" s="63">
        <f t="shared" si="127"/>
        <v>20638</v>
      </c>
      <c r="J656" s="302">
        <f t="shared" si="127"/>
        <v>0</v>
      </c>
      <c r="K656" s="230">
        <f t="shared" si="127"/>
        <v>0</v>
      </c>
      <c r="L656" s="49">
        <f t="shared" si="127"/>
        <v>0</v>
      </c>
      <c r="M656" s="63">
        <f t="shared" si="127"/>
        <v>0</v>
      </c>
      <c r="N656" s="302">
        <f t="shared" si="127"/>
        <v>0</v>
      </c>
      <c r="O656" s="230">
        <f t="shared" si="127"/>
        <v>0</v>
      </c>
      <c r="P656" s="49">
        <f t="shared" si="127"/>
        <v>0</v>
      </c>
      <c r="Q656" s="63">
        <f t="shared" si="127"/>
        <v>0</v>
      </c>
      <c r="R656" s="302">
        <f t="shared" si="127"/>
        <v>0</v>
      </c>
      <c r="S656" s="230">
        <f t="shared" si="127"/>
        <v>0</v>
      </c>
      <c r="T656" s="49">
        <f t="shared" si="127"/>
        <v>0</v>
      </c>
      <c r="U656" s="63">
        <f t="shared" si="127"/>
        <v>0</v>
      </c>
      <c r="V656" s="302">
        <f t="shared" si="127"/>
        <v>0</v>
      </c>
      <c r="W656" s="230">
        <f t="shared" si="127"/>
        <v>0</v>
      </c>
      <c r="X656" s="49">
        <f t="shared" si="127"/>
        <v>0</v>
      </c>
      <c r="Y656" s="63">
        <f t="shared" si="127"/>
        <v>0</v>
      </c>
      <c r="Z656" s="302">
        <f t="shared" si="127"/>
        <v>0</v>
      </c>
      <c r="AA656" s="230">
        <f t="shared" si="127"/>
        <v>0</v>
      </c>
      <c r="AB656" s="49">
        <f t="shared" si="127"/>
        <v>0</v>
      </c>
      <c r="AC656" s="63">
        <f t="shared" si="127"/>
        <v>0</v>
      </c>
      <c r="AD656" s="302">
        <f t="shared" si="127"/>
        <v>0</v>
      </c>
      <c r="AE656" s="230">
        <f t="shared" si="127"/>
        <v>0</v>
      </c>
      <c r="AF656" s="49">
        <f t="shared" si="127"/>
        <v>0</v>
      </c>
      <c r="AG656" s="63">
        <f t="shared" si="127"/>
        <v>0</v>
      </c>
      <c r="AH656" s="302">
        <f t="shared" si="127"/>
        <v>6102</v>
      </c>
      <c r="AI656" s="230">
        <f t="shared" si="127"/>
        <v>4506</v>
      </c>
      <c r="AJ656" s="49">
        <f t="shared" si="127"/>
        <v>2004</v>
      </c>
      <c r="AK656" s="63">
        <f t="shared" si="127"/>
        <v>2589</v>
      </c>
      <c r="AL656" s="302">
        <f t="shared" si="127"/>
        <v>0</v>
      </c>
      <c r="AM656" s="230">
        <f t="shared" si="127"/>
        <v>0</v>
      </c>
      <c r="AN656" s="49">
        <f t="shared" si="127"/>
        <v>0</v>
      </c>
      <c r="AO656" s="63">
        <f t="shared" si="127"/>
        <v>0</v>
      </c>
      <c r="AP656" s="302">
        <f t="shared" si="127"/>
        <v>27046</v>
      </c>
      <c r="AQ656" s="230">
        <f t="shared" si="127"/>
        <v>17173</v>
      </c>
      <c r="AR656" s="49">
        <f t="shared" si="127"/>
        <v>19362</v>
      </c>
      <c r="AS656" s="63">
        <f t="shared" si="127"/>
        <v>24801</v>
      </c>
      <c r="AT656" s="302">
        <f t="shared" si="127"/>
        <v>1559</v>
      </c>
      <c r="AU656" s="230">
        <f t="shared" si="127"/>
        <v>937</v>
      </c>
      <c r="AV656" s="49">
        <f t="shared" si="127"/>
        <v>501</v>
      </c>
      <c r="AW656" s="63">
        <f t="shared" si="127"/>
        <v>959</v>
      </c>
      <c r="AX656" s="302">
        <f t="shared" si="127"/>
        <v>756</v>
      </c>
      <c r="AY656" s="230">
        <f t="shared" si="127"/>
        <v>577</v>
      </c>
      <c r="AZ656" s="49">
        <f t="shared" si="127"/>
        <v>240</v>
      </c>
      <c r="BA656" s="230">
        <f t="shared" si="127"/>
        <v>1161</v>
      </c>
      <c r="BB656" s="49">
        <f t="shared" si="127"/>
        <v>0</v>
      </c>
      <c r="BC656" s="50">
        <f t="shared" si="127"/>
        <v>0</v>
      </c>
      <c r="BD656" s="49">
        <f t="shared" si="127"/>
        <v>0</v>
      </c>
      <c r="BE656" s="50">
        <f t="shared" si="127"/>
        <v>0</v>
      </c>
      <c r="BF656" s="49">
        <f t="shared" si="127"/>
        <v>0</v>
      </c>
      <c r="BG656" s="50">
        <f t="shared" si="127"/>
        <v>0</v>
      </c>
      <c r="BH656" s="49">
        <f t="shared" si="127"/>
        <v>0</v>
      </c>
      <c r="BI656" s="50">
        <f t="shared" si="127"/>
        <v>0</v>
      </c>
      <c r="BJ656" s="49">
        <f t="shared" si="127"/>
        <v>0</v>
      </c>
      <c r="BK656" s="50">
        <f t="shared" si="127"/>
        <v>0</v>
      </c>
    </row>
    <row r="657" spans="1:63" ht="13" x14ac:dyDescent="0.25">
      <c r="A657" s="379"/>
      <c r="B657" s="381" t="s">
        <v>785</v>
      </c>
      <c r="C657" s="235">
        <f>SUM(C28:C32)+C43+C48+SUM(C52:C53)+SUM(C66:C67)+SUM(C69:C86)+SUM(C88:C89)+C92+SUM(C105:C106)+SUM(C112:C118)+C122+C129+C132+SUM(C134:C135)+C176+SUM(C178:C179)+C182+SUM(C187:C188)+SUM(C191:C192)</f>
        <v>64401</v>
      </c>
      <c r="D657" s="235">
        <f>SUM(D28:D32)+D43+D48+SUM(D52:D53)+SUM(D66:D67)+SUM(D69:D86)+SUM(D88:D89)+D92+SUM(D105:D106)+SUM(D112:D118)+D122+D129+D132+SUM(D134:D135)+D176+SUM(D178:D179)+D182+SUM(D187:D188)+SUM(D191:D192)</f>
        <v>18420</v>
      </c>
      <c r="E657" s="367">
        <v>0.30489049740163326</v>
      </c>
      <c r="F657" s="49">
        <f t="shared" ref="F657:AK657" si="128">SUM(F26:F30)+F41+F46+SUM(F50:F51)+SUM(F64:F65)+SUM(F67:F84)+SUM(F86:F87)+F90+SUM(F103:F104)+SUM(F110:F116)+F120+F127+F130+SUM(F132:F133)+F174+SUM(F176:F177)+F180+SUM(F185:F186)+SUM(F189:F190)</f>
        <v>19810</v>
      </c>
      <c r="G657" s="230">
        <f t="shared" si="128"/>
        <v>3868</v>
      </c>
      <c r="H657" s="49">
        <f t="shared" si="128"/>
        <v>19032</v>
      </c>
      <c r="I657" s="63">
        <f t="shared" si="128"/>
        <v>4601</v>
      </c>
      <c r="J657" s="302">
        <f t="shared" si="128"/>
        <v>0</v>
      </c>
      <c r="K657" s="230">
        <f t="shared" si="128"/>
        <v>0</v>
      </c>
      <c r="L657" s="49">
        <f t="shared" si="128"/>
        <v>0</v>
      </c>
      <c r="M657" s="63">
        <f t="shared" si="128"/>
        <v>0</v>
      </c>
      <c r="N657" s="302">
        <f t="shared" si="128"/>
        <v>0</v>
      </c>
      <c r="O657" s="230">
        <f t="shared" si="128"/>
        <v>0</v>
      </c>
      <c r="P657" s="49">
        <f t="shared" si="128"/>
        <v>0</v>
      </c>
      <c r="Q657" s="63">
        <f t="shared" si="128"/>
        <v>0</v>
      </c>
      <c r="R657" s="302">
        <f t="shared" si="128"/>
        <v>0</v>
      </c>
      <c r="S657" s="230">
        <f t="shared" si="128"/>
        <v>0</v>
      </c>
      <c r="T657" s="49">
        <f t="shared" si="128"/>
        <v>0</v>
      </c>
      <c r="U657" s="63">
        <f t="shared" si="128"/>
        <v>0</v>
      </c>
      <c r="V657" s="302">
        <f t="shared" si="128"/>
        <v>0</v>
      </c>
      <c r="W657" s="230">
        <f t="shared" si="128"/>
        <v>0</v>
      </c>
      <c r="X657" s="49">
        <f t="shared" si="128"/>
        <v>0</v>
      </c>
      <c r="Y657" s="63">
        <f t="shared" si="128"/>
        <v>0</v>
      </c>
      <c r="Z657" s="302">
        <f t="shared" si="128"/>
        <v>0</v>
      </c>
      <c r="AA657" s="230">
        <f t="shared" si="128"/>
        <v>0</v>
      </c>
      <c r="AB657" s="49">
        <f t="shared" si="128"/>
        <v>0</v>
      </c>
      <c r="AC657" s="63">
        <f t="shared" si="128"/>
        <v>0</v>
      </c>
      <c r="AD657" s="302">
        <f t="shared" si="128"/>
        <v>0</v>
      </c>
      <c r="AE657" s="230">
        <f t="shared" si="128"/>
        <v>0</v>
      </c>
      <c r="AF657" s="49">
        <f t="shared" si="128"/>
        <v>0</v>
      </c>
      <c r="AG657" s="63">
        <f t="shared" si="128"/>
        <v>0</v>
      </c>
      <c r="AH657" s="302">
        <f t="shared" si="128"/>
        <v>0</v>
      </c>
      <c r="AI657" s="230">
        <f t="shared" si="128"/>
        <v>0</v>
      </c>
      <c r="AJ657" s="49">
        <f t="shared" si="128"/>
        <v>0</v>
      </c>
      <c r="AK657" s="63">
        <f t="shared" si="128"/>
        <v>0</v>
      </c>
      <c r="AL657" s="302">
        <f t="shared" ref="AL657:BK657" si="129">SUM(AL26:AL30)+AL41+AL46+SUM(AL50:AL51)+SUM(AL64:AL65)+SUM(AL67:AL84)+SUM(AL86:AL87)+AL90+SUM(AL103:AL104)+SUM(AL110:AL116)+AL120+AL127+AL130+SUM(AL132:AL133)+AL174+SUM(AL176:AL177)+AL180+SUM(AL185:AL186)+SUM(AL189:AL190)</f>
        <v>0</v>
      </c>
      <c r="AM657" s="230">
        <f t="shared" si="129"/>
        <v>0</v>
      </c>
      <c r="AN657" s="49">
        <f t="shared" si="129"/>
        <v>0</v>
      </c>
      <c r="AO657" s="63">
        <f t="shared" si="129"/>
        <v>0</v>
      </c>
      <c r="AP657" s="302">
        <f t="shared" si="129"/>
        <v>18132</v>
      </c>
      <c r="AQ657" s="230">
        <f t="shared" si="129"/>
        <v>5182</v>
      </c>
      <c r="AR657" s="49">
        <f t="shared" si="129"/>
        <v>16594</v>
      </c>
      <c r="AS657" s="63">
        <f t="shared" si="129"/>
        <v>6603</v>
      </c>
      <c r="AT657" s="302">
        <f t="shared" si="129"/>
        <v>0</v>
      </c>
      <c r="AU657" s="230">
        <f t="shared" si="129"/>
        <v>0</v>
      </c>
      <c r="AV657" s="49">
        <f t="shared" si="129"/>
        <v>11916</v>
      </c>
      <c r="AW657" s="63">
        <f t="shared" si="129"/>
        <v>11346</v>
      </c>
      <c r="AX657" s="302">
        <f t="shared" si="129"/>
        <v>13945</v>
      </c>
      <c r="AY657" s="230">
        <f t="shared" si="129"/>
        <v>7002</v>
      </c>
      <c r="AZ657" s="49">
        <f t="shared" si="129"/>
        <v>7689</v>
      </c>
      <c r="BA657" s="230">
        <f t="shared" si="129"/>
        <v>14790</v>
      </c>
      <c r="BB657" s="49">
        <f t="shared" si="129"/>
        <v>0</v>
      </c>
      <c r="BC657" s="50">
        <f t="shared" si="129"/>
        <v>0</v>
      </c>
      <c r="BD657" s="49">
        <f t="shared" si="129"/>
        <v>0</v>
      </c>
      <c r="BE657" s="50">
        <f t="shared" si="129"/>
        <v>0</v>
      </c>
      <c r="BF657" s="49">
        <f t="shared" si="129"/>
        <v>0</v>
      </c>
      <c r="BG657" s="50">
        <f t="shared" si="129"/>
        <v>0</v>
      </c>
      <c r="BH657" s="49">
        <f t="shared" si="129"/>
        <v>0</v>
      </c>
      <c r="BI657" s="50">
        <f t="shared" si="129"/>
        <v>0</v>
      </c>
      <c r="BJ657" s="49">
        <f t="shared" si="129"/>
        <v>0</v>
      </c>
      <c r="BK657" s="50">
        <f t="shared" si="129"/>
        <v>0</v>
      </c>
    </row>
    <row r="658" spans="1:63" ht="13" x14ac:dyDescent="0.25">
      <c r="A658" s="379"/>
      <c r="B658" s="381" t="s">
        <v>764</v>
      </c>
      <c r="C658" s="235">
        <f>SUM(C17:C18)+C20+C22+SUM(C24:C25)+SUM(C55:C61)+C64+C87+SUM(C90:C91)+C93+SUM(C94:C102)+SUM(C103:C104)+SUM(C107:C111)+C133+SUM(C136:C141)+SUM(C144:C149)+SUM(C151:C153)+SUM(C154:C155)+SUM(C158:C159)+SUM(C161:C162)+C175+C177+SUM(C180:C181)+SUM(C183:C185)+C189+SUM(C391:C395)+C420+SUM(C498:C501)</f>
        <v>77801</v>
      </c>
      <c r="D658" s="235">
        <f>SUM(D17:D18)+D20+D22+SUM(D24:D25)+SUM(D55:D61)+D64+D87+SUM(D90:D91)+D93+SUM(D94:D102)+SUM(D103:D104)+SUM(D107:D111)+D133+SUM(D136:D141)+SUM(D144:D149)+SUM(D151:D153)+SUM(D154:D155)+SUM(D158:D159)+SUM(D161:D162)+D175+D177+SUM(D180:D181)+SUM(D183:D185)+D189+SUM(D391:D395)+D420+SUM(D498:D501)</f>
        <v>34974</v>
      </c>
      <c r="E658" s="367">
        <v>0.46839036169338266</v>
      </c>
      <c r="F658" s="49">
        <f t="shared" ref="F658:AK658" si="130">SUM(F15:F16)+F18+F20+SUM(F22:F23)+SUM(F53:F59)+F62+F85+SUM(F88:F89)+F91+SUM(F92:F100)+SUM(F101:F102)+SUM(F105:F109)+F131+SUM(F134:F139)+SUM(F142:F147)+SUM(F149:F151)+SUM(F152:F153)+SUM(F156:F157)+SUM(F159:F160)+F173+F175+SUM(F178:F179)+SUM(F181:F183)+F187+SUM(F389:F393)+F418+SUM(F496:F499)</f>
        <v>26497</v>
      </c>
      <c r="G658" s="230">
        <f t="shared" si="130"/>
        <v>6378</v>
      </c>
      <c r="H658" s="49">
        <f t="shared" si="130"/>
        <v>25287</v>
      </c>
      <c r="I658" s="63">
        <f t="shared" si="130"/>
        <v>7415</v>
      </c>
      <c r="J658" s="302">
        <f t="shared" si="130"/>
        <v>0</v>
      </c>
      <c r="K658" s="230">
        <f t="shared" si="130"/>
        <v>0</v>
      </c>
      <c r="L658" s="49">
        <f t="shared" si="130"/>
        <v>0</v>
      </c>
      <c r="M658" s="63">
        <f t="shared" si="130"/>
        <v>0</v>
      </c>
      <c r="N658" s="302">
        <f t="shared" si="130"/>
        <v>0</v>
      </c>
      <c r="O658" s="230">
        <f t="shared" si="130"/>
        <v>0</v>
      </c>
      <c r="P658" s="49">
        <f t="shared" si="130"/>
        <v>0</v>
      </c>
      <c r="Q658" s="63">
        <f t="shared" si="130"/>
        <v>0</v>
      </c>
      <c r="R658" s="302">
        <f t="shared" si="130"/>
        <v>0</v>
      </c>
      <c r="S658" s="230">
        <f t="shared" si="130"/>
        <v>0</v>
      </c>
      <c r="T658" s="49">
        <f t="shared" si="130"/>
        <v>0</v>
      </c>
      <c r="U658" s="63">
        <f t="shared" si="130"/>
        <v>0</v>
      </c>
      <c r="V658" s="302">
        <f t="shared" si="130"/>
        <v>0</v>
      </c>
      <c r="W658" s="230">
        <f t="shared" si="130"/>
        <v>0</v>
      </c>
      <c r="X658" s="49">
        <f t="shared" si="130"/>
        <v>0</v>
      </c>
      <c r="Y658" s="63">
        <f t="shared" si="130"/>
        <v>0</v>
      </c>
      <c r="Z658" s="302">
        <f t="shared" si="130"/>
        <v>0</v>
      </c>
      <c r="AA658" s="230">
        <f t="shared" si="130"/>
        <v>0</v>
      </c>
      <c r="AB658" s="49">
        <f t="shared" si="130"/>
        <v>0</v>
      </c>
      <c r="AC658" s="63">
        <f t="shared" si="130"/>
        <v>0</v>
      </c>
      <c r="AD658" s="302">
        <f t="shared" si="130"/>
        <v>0</v>
      </c>
      <c r="AE658" s="230">
        <f t="shared" si="130"/>
        <v>0</v>
      </c>
      <c r="AF658" s="49">
        <f t="shared" si="130"/>
        <v>120</v>
      </c>
      <c r="AG658" s="63">
        <f t="shared" si="130"/>
        <v>208</v>
      </c>
      <c r="AH658" s="302">
        <f t="shared" si="130"/>
        <v>311</v>
      </c>
      <c r="AI658" s="230">
        <f t="shared" si="130"/>
        <v>119</v>
      </c>
      <c r="AJ658" s="49">
        <f t="shared" si="130"/>
        <v>0</v>
      </c>
      <c r="AK658" s="63">
        <f t="shared" si="130"/>
        <v>0</v>
      </c>
      <c r="AL658" s="302">
        <f t="shared" ref="AL658:BK658" si="131">SUM(AL15:AL16)+AL18+AL20+SUM(AL22:AL23)+SUM(AL53:AL59)+AL62+AL85+SUM(AL88:AL89)+AL91+SUM(AL92:AL100)+SUM(AL101:AL102)+SUM(AL105:AL109)+AL131+SUM(AL134:AL139)+SUM(AL142:AL147)+SUM(AL149:AL151)+SUM(AL152:AL153)+SUM(AL156:AL157)+SUM(AL159:AL160)+AL173+AL175+SUM(AL178:AL179)+SUM(AL181:AL183)+AL187+SUM(AL389:AL393)+AL418+SUM(AL496:AL499)</f>
        <v>0</v>
      </c>
      <c r="AM658" s="230">
        <f t="shared" si="131"/>
        <v>0</v>
      </c>
      <c r="AN658" s="49">
        <f t="shared" si="131"/>
        <v>0</v>
      </c>
      <c r="AO658" s="63">
        <f t="shared" si="131"/>
        <v>0</v>
      </c>
      <c r="AP658" s="302">
        <f t="shared" si="131"/>
        <v>24237</v>
      </c>
      <c r="AQ658" s="230">
        <f t="shared" si="131"/>
        <v>8187</v>
      </c>
      <c r="AR658" s="49">
        <f t="shared" si="131"/>
        <v>21999</v>
      </c>
      <c r="AS658" s="63">
        <f t="shared" si="131"/>
        <v>10286</v>
      </c>
      <c r="AT658" s="302">
        <f t="shared" si="131"/>
        <v>0</v>
      </c>
      <c r="AU658" s="230">
        <f t="shared" si="131"/>
        <v>0</v>
      </c>
      <c r="AV658" s="49">
        <f t="shared" si="131"/>
        <v>15199</v>
      </c>
      <c r="AW658" s="63">
        <f t="shared" si="131"/>
        <v>13759</v>
      </c>
      <c r="AX658" s="302">
        <f t="shared" si="131"/>
        <v>16819</v>
      </c>
      <c r="AY658" s="230">
        <f t="shared" si="131"/>
        <v>9248</v>
      </c>
      <c r="AZ658" s="49">
        <f t="shared" si="131"/>
        <v>9250</v>
      </c>
      <c r="BA658" s="230">
        <f t="shared" si="131"/>
        <v>18758</v>
      </c>
      <c r="BB658" s="49">
        <f t="shared" si="131"/>
        <v>0</v>
      </c>
      <c r="BC658" s="50">
        <f t="shared" si="131"/>
        <v>0</v>
      </c>
      <c r="BD658" s="49">
        <f t="shared" si="131"/>
        <v>0</v>
      </c>
      <c r="BE658" s="50">
        <f t="shared" si="131"/>
        <v>0</v>
      </c>
      <c r="BF658" s="49">
        <f t="shared" si="131"/>
        <v>0</v>
      </c>
      <c r="BG658" s="50">
        <f t="shared" si="131"/>
        <v>0</v>
      </c>
      <c r="BH658" s="49">
        <f t="shared" si="131"/>
        <v>0</v>
      </c>
      <c r="BI658" s="50">
        <f t="shared" si="131"/>
        <v>0</v>
      </c>
      <c r="BJ658" s="49">
        <f t="shared" si="131"/>
        <v>0</v>
      </c>
      <c r="BK658" s="50">
        <f t="shared" si="131"/>
        <v>0</v>
      </c>
    </row>
    <row r="659" spans="1:63" ht="13" x14ac:dyDescent="0.25">
      <c r="A659" s="379"/>
      <c r="B659" s="381" t="s">
        <v>765</v>
      </c>
      <c r="C659" s="235">
        <f>SUM(C62:C63)+C65+SUM(C142:C143)+C150+SUM(C156:C157)+C160+SUM(C213:C225)+SUM(C264:C274)+SUM(C310:C314)+SUM(C315:C318)+C351+SUM(C427:C428)+SUM(C472:C474)+SUM(C478:C481)+SUM(C502:C504)+SUM(C505:C507)+SUM(C509:C523)+SUM(C525:C532)+SUM(C564:C565)</f>
        <v>84526</v>
      </c>
      <c r="D659" s="235">
        <f>SUM(D62:D63)+D65+SUM(D142:D143)+D150+SUM(D156:D157)+D160+SUM(D213:D225)+SUM(D264:D274)+SUM(D310:D314)+SUM(D315:D318)+D351+SUM(D427:D428)+SUM(D472:D474)+SUM(D478:D481)+SUM(D502:D504)+SUM(D505:D507)+SUM(D509:D523)+SUM(D525:D532)+SUM(D564:D565)</f>
        <v>38974</v>
      </c>
      <c r="E659" s="367">
        <v>0.49590994813767092</v>
      </c>
      <c r="F659" s="49">
        <f t="shared" ref="F659:AK659" si="132">SUM(F60:F61)+F63+SUM(F140:F141)+F148+SUM(F154:F155)+F158+SUM(F211:F223)+SUM(F262:F272)+SUM(F308:F312)+SUM(F313:F316)+F349+SUM(F425:F426)+SUM(F470:F472)+SUM(F476:F479)+SUM(F500:F502)+SUM(F503:F505)+SUM(F507:F521)+SUM(F523:F530)+SUM(F562:F563)</f>
        <v>28383</v>
      </c>
      <c r="G659" s="230">
        <f t="shared" si="132"/>
        <v>12117</v>
      </c>
      <c r="H659" s="49">
        <f t="shared" si="132"/>
        <v>27018</v>
      </c>
      <c r="I659" s="63">
        <f t="shared" si="132"/>
        <v>13148</v>
      </c>
      <c r="J659" s="302">
        <f t="shared" si="132"/>
        <v>0</v>
      </c>
      <c r="K659" s="230">
        <f t="shared" si="132"/>
        <v>0</v>
      </c>
      <c r="L659" s="49">
        <f t="shared" si="132"/>
        <v>0</v>
      </c>
      <c r="M659" s="63">
        <f t="shared" si="132"/>
        <v>0</v>
      </c>
      <c r="N659" s="302">
        <f t="shared" si="132"/>
        <v>0</v>
      </c>
      <c r="O659" s="230">
        <f t="shared" si="132"/>
        <v>0</v>
      </c>
      <c r="P659" s="49">
        <f t="shared" si="132"/>
        <v>0</v>
      </c>
      <c r="Q659" s="63">
        <f t="shared" si="132"/>
        <v>0</v>
      </c>
      <c r="R659" s="302">
        <f t="shared" si="132"/>
        <v>380</v>
      </c>
      <c r="S659" s="230">
        <f t="shared" si="132"/>
        <v>233</v>
      </c>
      <c r="T659" s="49">
        <f t="shared" si="132"/>
        <v>0</v>
      </c>
      <c r="U659" s="63">
        <f t="shared" si="132"/>
        <v>0</v>
      </c>
      <c r="V659" s="302">
        <f t="shared" si="132"/>
        <v>0</v>
      </c>
      <c r="W659" s="230">
        <f t="shared" si="132"/>
        <v>0</v>
      </c>
      <c r="X659" s="49">
        <f t="shared" si="132"/>
        <v>0</v>
      </c>
      <c r="Y659" s="63">
        <f t="shared" si="132"/>
        <v>0</v>
      </c>
      <c r="Z659" s="302">
        <f t="shared" si="132"/>
        <v>0</v>
      </c>
      <c r="AA659" s="230">
        <f t="shared" si="132"/>
        <v>0</v>
      </c>
      <c r="AB659" s="49">
        <f t="shared" si="132"/>
        <v>0</v>
      </c>
      <c r="AC659" s="63">
        <f t="shared" si="132"/>
        <v>0</v>
      </c>
      <c r="AD659" s="302">
        <f t="shared" si="132"/>
        <v>0</v>
      </c>
      <c r="AE659" s="230">
        <f t="shared" si="132"/>
        <v>0</v>
      </c>
      <c r="AF659" s="49">
        <f t="shared" si="132"/>
        <v>0</v>
      </c>
      <c r="AG659" s="63">
        <f t="shared" si="132"/>
        <v>0</v>
      </c>
      <c r="AH659" s="302">
        <f t="shared" si="132"/>
        <v>0</v>
      </c>
      <c r="AI659" s="230">
        <f t="shared" si="132"/>
        <v>0</v>
      </c>
      <c r="AJ659" s="49">
        <f t="shared" si="132"/>
        <v>0</v>
      </c>
      <c r="AK659" s="63">
        <f t="shared" si="132"/>
        <v>0</v>
      </c>
      <c r="AL659" s="302">
        <f t="shared" ref="AL659:BK659" si="133">SUM(AL60:AL61)+AL63+SUM(AL140:AL141)+AL148+SUM(AL154:AL155)+AL158+SUM(AL211:AL223)+SUM(AL262:AL272)+SUM(AL308:AL312)+SUM(AL313:AL316)+AL349+SUM(AL425:AL426)+SUM(AL470:AL472)+SUM(AL476:AL479)+SUM(AL500:AL502)+SUM(AL503:AL505)+SUM(AL507:AL521)+SUM(AL523:AL530)+SUM(AL562:AL563)</f>
        <v>0</v>
      </c>
      <c r="AM659" s="230">
        <f t="shared" si="133"/>
        <v>0</v>
      </c>
      <c r="AN659" s="49">
        <f t="shared" si="133"/>
        <v>262</v>
      </c>
      <c r="AO659" s="63">
        <f t="shared" si="133"/>
        <v>185</v>
      </c>
      <c r="AP659" s="302">
        <f t="shared" si="133"/>
        <v>27009</v>
      </c>
      <c r="AQ659" s="230">
        <f t="shared" si="133"/>
        <v>13008</v>
      </c>
      <c r="AR659" s="49">
        <f t="shared" si="133"/>
        <v>23134</v>
      </c>
      <c r="AS659" s="63">
        <f t="shared" si="133"/>
        <v>16951</v>
      </c>
      <c r="AT659" s="302">
        <f t="shared" si="133"/>
        <v>0</v>
      </c>
      <c r="AU659" s="230">
        <f t="shared" si="133"/>
        <v>0</v>
      </c>
      <c r="AV659" s="49">
        <f t="shared" si="133"/>
        <v>1980</v>
      </c>
      <c r="AW659" s="63">
        <f t="shared" si="133"/>
        <v>1872</v>
      </c>
      <c r="AX659" s="302">
        <f t="shared" si="133"/>
        <v>2086</v>
      </c>
      <c r="AY659" s="230">
        <f t="shared" si="133"/>
        <v>1423</v>
      </c>
      <c r="AZ659" s="49">
        <f t="shared" si="133"/>
        <v>1388</v>
      </c>
      <c r="BA659" s="230">
        <f t="shared" si="133"/>
        <v>2384</v>
      </c>
      <c r="BB659" s="49">
        <f t="shared" si="133"/>
        <v>890</v>
      </c>
      <c r="BC659" s="50">
        <f t="shared" si="133"/>
        <v>817</v>
      </c>
      <c r="BD659" s="49">
        <f t="shared" si="133"/>
        <v>853</v>
      </c>
      <c r="BE659" s="50">
        <f t="shared" si="133"/>
        <v>948</v>
      </c>
      <c r="BF659" s="49">
        <f t="shared" si="133"/>
        <v>865</v>
      </c>
      <c r="BG659" s="50">
        <f t="shared" si="133"/>
        <v>936</v>
      </c>
      <c r="BH659" s="49">
        <f t="shared" si="133"/>
        <v>1242</v>
      </c>
      <c r="BI659" s="50">
        <f t="shared" si="133"/>
        <v>637</v>
      </c>
      <c r="BJ659" s="49">
        <f t="shared" si="133"/>
        <v>0</v>
      </c>
      <c r="BK659" s="50">
        <f t="shared" si="133"/>
        <v>0</v>
      </c>
    </row>
    <row r="660" spans="1:63" ht="13" x14ac:dyDescent="0.25">
      <c r="A660" s="379"/>
      <c r="B660" s="381" t="s">
        <v>786</v>
      </c>
      <c r="C660" s="235">
        <f>SUM(C4:C16)+C19+C21+C23+C26+C27+SUM(C33:C42)+SUM(C44:C47)+SUM(C49:C51)+C54+C68+SUM(C275:C286)+SUM(C319:C350)+C396+C424+SUM(C482:C483)+SUM(C496:C497)</f>
        <v>98542</v>
      </c>
      <c r="D660" s="235">
        <f>SUM(D4:D16)+D19+D21+D23+D26+D27+SUM(D33:D42)+SUM(D44:D47)+SUM(D49:D51)+D54+D68+SUM(D275:D286)+SUM(D319:D350)+D396+D424+SUM(D482:D483)+SUM(D496:D497)</f>
        <v>55979</v>
      </c>
      <c r="E660" s="367">
        <v>0.58696051610795807</v>
      </c>
      <c r="F660" s="49">
        <f t="shared" ref="F660:AK660" si="134">SUM(F2:F14)+F17+F19+F21+F24+F25+SUM(F31:F40)+SUM(F42:F45)+SUM(F47:F49)+F52+F66+SUM(F273:F284)+SUM(F317:F348)+F394+F422+SUM(F480:F481)+SUM(F494:F495)</f>
        <v>34948</v>
      </c>
      <c r="G660" s="230">
        <f t="shared" si="134"/>
        <v>16050</v>
      </c>
      <c r="H660" s="49">
        <f t="shared" si="134"/>
        <v>34502</v>
      </c>
      <c r="I660" s="63">
        <f t="shared" si="134"/>
        <v>16227</v>
      </c>
      <c r="J660" s="302">
        <f t="shared" si="134"/>
        <v>0</v>
      </c>
      <c r="K660" s="230">
        <f t="shared" si="134"/>
        <v>0</v>
      </c>
      <c r="L660" s="49">
        <f t="shared" si="134"/>
        <v>0</v>
      </c>
      <c r="M660" s="63">
        <f t="shared" si="134"/>
        <v>0</v>
      </c>
      <c r="N660" s="302">
        <f t="shared" si="134"/>
        <v>0</v>
      </c>
      <c r="O660" s="230">
        <f t="shared" si="134"/>
        <v>0</v>
      </c>
      <c r="P660" s="49">
        <f t="shared" si="134"/>
        <v>0</v>
      </c>
      <c r="Q660" s="63">
        <f t="shared" si="134"/>
        <v>0</v>
      </c>
      <c r="R660" s="302">
        <f t="shared" si="134"/>
        <v>0</v>
      </c>
      <c r="S660" s="230">
        <f t="shared" si="134"/>
        <v>0</v>
      </c>
      <c r="T660" s="49">
        <f t="shared" si="134"/>
        <v>0</v>
      </c>
      <c r="U660" s="63">
        <f t="shared" si="134"/>
        <v>0</v>
      </c>
      <c r="V660" s="302">
        <f t="shared" si="134"/>
        <v>0</v>
      </c>
      <c r="W660" s="230">
        <f t="shared" si="134"/>
        <v>0</v>
      </c>
      <c r="X660" s="49">
        <f t="shared" si="134"/>
        <v>0</v>
      </c>
      <c r="Y660" s="63">
        <f t="shared" si="134"/>
        <v>0</v>
      </c>
      <c r="Z660" s="302">
        <f t="shared" si="134"/>
        <v>0</v>
      </c>
      <c r="AA660" s="230">
        <f t="shared" si="134"/>
        <v>0</v>
      </c>
      <c r="AB660" s="49">
        <f t="shared" si="134"/>
        <v>0</v>
      </c>
      <c r="AC660" s="63">
        <f t="shared" si="134"/>
        <v>0</v>
      </c>
      <c r="AD660" s="302">
        <f t="shared" si="134"/>
        <v>0</v>
      </c>
      <c r="AE660" s="230">
        <f t="shared" si="134"/>
        <v>0</v>
      </c>
      <c r="AF660" s="49">
        <f t="shared" si="134"/>
        <v>0</v>
      </c>
      <c r="AG660" s="63">
        <f t="shared" si="134"/>
        <v>0</v>
      </c>
      <c r="AH660" s="302">
        <f t="shared" si="134"/>
        <v>0</v>
      </c>
      <c r="AI660" s="230">
        <f t="shared" si="134"/>
        <v>0</v>
      </c>
      <c r="AJ660" s="49">
        <f t="shared" si="134"/>
        <v>484</v>
      </c>
      <c r="AK660" s="63">
        <f t="shared" si="134"/>
        <v>513</v>
      </c>
      <c r="AL660" s="302">
        <f t="shared" ref="AL660:BK660" si="135">SUM(AL2:AL14)+AL17+AL19+AL21+AL24+AL25+SUM(AL31:AL40)+SUM(AL42:AL45)+SUM(AL47:AL49)+AL52+AL66+SUM(AL273:AL284)+SUM(AL317:AL348)+AL394+AL422+SUM(AL480:AL481)+SUM(AL494:AL495)</f>
        <v>0</v>
      </c>
      <c r="AM660" s="230">
        <f t="shared" si="135"/>
        <v>0</v>
      </c>
      <c r="AN660" s="49">
        <f t="shared" si="135"/>
        <v>10591</v>
      </c>
      <c r="AO660" s="63">
        <f t="shared" si="135"/>
        <v>9715</v>
      </c>
      <c r="AP660" s="302">
        <f t="shared" si="135"/>
        <v>35950</v>
      </c>
      <c r="AQ660" s="230">
        <f t="shared" si="135"/>
        <v>14512</v>
      </c>
      <c r="AR660" s="49">
        <f t="shared" si="135"/>
        <v>29263</v>
      </c>
      <c r="AS660" s="63">
        <f t="shared" si="135"/>
        <v>20864</v>
      </c>
      <c r="AT660" s="302">
        <f t="shared" si="135"/>
        <v>0</v>
      </c>
      <c r="AU660" s="230">
        <f t="shared" si="135"/>
        <v>0</v>
      </c>
      <c r="AV660" s="49">
        <f t="shared" si="135"/>
        <v>11481</v>
      </c>
      <c r="AW660" s="63">
        <f t="shared" si="135"/>
        <v>9536</v>
      </c>
      <c r="AX660" s="302">
        <f t="shared" si="135"/>
        <v>12501</v>
      </c>
      <c r="AY660" s="230">
        <f t="shared" si="135"/>
        <v>6058</v>
      </c>
      <c r="AZ660" s="49">
        <f t="shared" si="135"/>
        <v>5003</v>
      </c>
      <c r="BA660" s="230">
        <f t="shared" si="135"/>
        <v>15107</v>
      </c>
      <c r="BB660" s="49">
        <f t="shared" si="135"/>
        <v>0</v>
      </c>
      <c r="BC660" s="50">
        <f t="shared" si="135"/>
        <v>0</v>
      </c>
      <c r="BD660" s="49">
        <f t="shared" si="135"/>
        <v>220</v>
      </c>
      <c r="BE660" s="50">
        <f t="shared" si="135"/>
        <v>295</v>
      </c>
      <c r="BF660" s="49">
        <f t="shared" si="135"/>
        <v>222</v>
      </c>
      <c r="BG660" s="50">
        <f t="shared" si="135"/>
        <v>301</v>
      </c>
      <c r="BH660" s="49">
        <f t="shared" si="135"/>
        <v>362</v>
      </c>
      <c r="BI660" s="50">
        <f t="shared" si="135"/>
        <v>178</v>
      </c>
      <c r="BJ660" s="49">
        <f t="shared" si="135"/>
        <v>442</v>
      </c>
      <c r="BK660" s="50">
        <f t="shared" si="135"/>
        <v>79</v>
      </c>
    </row>
    <row r="661" spans="1:63" ht="13" x14ac:dyDescent="0.25">
      <c r="A661" s="379"/>
      <c r="B661" s="380" t="s">
        <v>844</v>
      </c>
      <c r="C661" s="235">
        <f>SUM(C194:C204)+SUM(C209:C212)+SUM(C233:C238)+SUM(C239:C263)+SUM(C287:C309)+C390+SUM(C397:C398)+SUM(C421:C423)+SUM(C425:C426)+SUM(C533:C560)</f>
        <v>96736</v>
      </c>
      <c r="D661" s="235">
        <f>SUM(D194:D204)+SUM(D209:D212)+SUM(D233:D238)+SUM(D239:D263)+SUM(D287:D309)+D390+SUM(D397:D398)+SUM(D421:D423)+SUM(D425:D426)+SUM(D533:D560)</f>
        <v>55877</v>
      </c>
      <c r="E661" s="367">
        <v>0.61559749992226132</v>
      </c>
      <c r="F661" s="49">
        <f t="shared" ref="F661:AK661" si="136">SUM(F192:F202)+SUM(F207:F210)+SUM(F231:F236)+SUM(F237:F261)+SUM(F285:F307)+F388+SUM(F395:F396)+SUM(F419:F421)+SUM(F423:F424)+SUM(F531:F558)</f>
        <v>34241</v>
      </c>
      <c r="G661" s="230">
        <f t="shared" si="136"/>
        <v>20998</v>
      </c>
      <c r="H661" s="49">
        <f t="shared" si="136"/>
        <v>33607</v>
      </c>
      <c r="I661" s="63">
        <f t="shared" si="136"/>
        <v>21107</v>
      </c>
      <c r="J661" s="302">
        <f t="shared" si="136"/>
        <v>0</v>
      </c>
      <c r="K661" s="230">
        <f t="shared" si="136"/>
        <v>0</v>
      </c>
      <c r="L661" s="49">
        <f t="shared" si="136"/>
        <v>458</v>
      </c>
      <c r="M661" s="63">
        <f t="shared" si="136"/>
        <v>214</v>
      </c>
      <c r="N661" s="302">
        <f t="shared" si="136"/>
        <v>457</v>
      </c>
      <c r="O661" s="230">
        <f t="shared" si="136"/>
        <v>209</v>
      </c>
      <c r="P661" s="49">
        <f t="shared" si="136"/>
        <v>0</v>
      </c>
      <c r="Q661" s="63">
        <f t="shared" si="136"/>
        <v>0</v>
      </c>
      <c r="R661" s="302">
        <f t="shared" si="136"/>
        <v>0</v>
      </c>
      <c r="S661" s="230">
        <f t="shared" si="136"/>
        <v>0</v>
      </c>
      <c r="T661" s="49">
        <f t="shared" si="136"/>
        <v>0</v>
      </c>
      <c r="U661" s="63">
        <f t="shared" si="136"/>
        <v>0</v>
      </c>
      <c r="V661" s="302">
        <f t="shared" si="136"/>
        <v>0</v>
      </c>
      <c r="W661" s="230">
        <f t="shared" si="136"/>
        <v>0</v>
      </c>
      <c r="X661" s="49">
        <f t="shared" si="136"/>
        <v>0</v>
      </c>
      <c r="Y661" s="63">
        <f t="shared" si="136"/>
        <v>0</v>
      </c>
      <c r="Z661" s="302">
        <f t="shared" si="136"/>
        <v>0</v>
      </c>
      <c r="AA661" s="230">
        <f t="shared" si="136"/>
        <v>0</v>
      </c>
      <c r="AB661" s="49">
        <f t="shared" si="136"/>
        <v>0</v>
      </c>
      <c r="AC661" s="63">
        <f t="shared" si="136"/>
        <v>0</v>
      </c>
      <c r="AD661" s="302">
        <f t="shared" si="136"/>
        <v>0</v>
      </c>
      <c r="AE661" s="230">
        <f t="shared" si="136"/>
        <v>0</v>
      </c>
      <c r="AF661" s="49">
        <f t="shared" si="136"/>
        <v>265</v>
      </c>
      <c r="AG661" s="63">
        <f t="shared" si="136"/>
        <v>273</v>
      </c>
      <c r="AH661" s="302">
        <f t="shared" si="136"/>
        <v>366</v>
      </c>
      <c r="AI661" s="230">
        <f t="shared" si="136"/>
        <v>232</v>
      </c>
      <c r="AJ661" s="49">
        <f t="shared" si="136"/>
        <v>0</v>
      </c>
      <c r="AK661" s="63">
        <f t="shared" si="136"/>
        <v>0</v>
      </c>
      <c r="AL661" s="302">
        <f t="shared" ref="AL661:BK661" si="137">SUM(AL192:AL202)+SUM(AL207:AL210)+SUM(AL231:AL236)+SUM(AL237:AL261)+SUM(AL285:AL307)+AL388+SUM(AL395:AL396)+SUM(AL419:AL421)+SUM(AL423:AL424)+SUM(AL531:AL558)</f>
        <v>0</v>
      </c>
      <c r="AM661" s="230">
        <f t="shared" si="137"/>
        <v>3</v>
      </c>
      <c r="AN661" s="49">
        <f t="shared" si="137"/>
        <v>0</v>
      </c>
      <c r="AO661" s="63">
        <f t="shared" si="137"/>
        <v>0</v>
      </c>
      <c r="AP661" s="302">
        <f t="shared" si="137"/>
        <v>38154</v>
      </c>
      <c r="AQ661" s="230">
        <f t="shared" si="137"/>
        <v>16381</v>
      </c>
      <c r="AR661" s="49">
        <f t="shared" si="137"/>
        <v>30850</v>
      </c>
      <c r="AS661" s="63">
        <f t="shared" si="137"/>
        <v>23606</v>
      </c>
      <c r="AT661" s="302">
        <f t="shared" si="137"/>
        <v>800</v>
      </c>
      <c r="AU661" s="230">
        <f t="shared" si="137"/>
        <v>431</v>
      </c>
      <c r="AV661" s="49">
        <f t="shared" si="137"/>
        <v>219</v>
      </c>
      <c r="AW661" s="63">
        <f t="shared" si="137"/>
        <v>283</v>
      </c>
      <c r="AX661" s="302">
        <f t="shared" si="137"/>
        <v>257</v>
      </c>
      <c r="AY661" s="230">
        <f t="shared" si="137"/>
        <v>197</v>
      </c>
      <c r="AZ661" s="49">
        <f t="shared" si="137"/>
        <v>150</v>
      </c>
      <c r="BA661" s="230">
        <f t="shared" si="137"/>
        <v>331</v>
      </c>
      <c r="BB661" s="49">
        <f t="shared" si="137"/>
        <v>0</v>
      </c>
      <c r="BC661" s="50">
        <f t="shared" si="137"/>
        <v>0</v>
      </c>
      <c r="BD661" s="49">
        <f t="shared" si="137"/>
        <v>0</v>
      </c>
      <c r="BE661" s="50">
        <f t="shared" si="137"/>
        <v>0</v>
      </c>
      <c r="BF661" s="49">
        <f t="shared" si="137"/>
        <v>0</v>
      </c>
      <c r="BG661" s="50">
        <f t="shared" si="137"/>
        <v>0</v>
      </c>
      <c r="BH661" s="49">
        <f t="shared" si="137"/>
        <v>0</v>
      </c>
      <c r="BI661" s="50">
        <f t="shared" si="137"/>
        <v>0</v>
      </c>
      <c r="BJ661" s="49">
        <f t="shared" si="137"/>
        <v>0</v>
      </c>
      <c r="BK661" s="50">
        <f t="shared" si="137"/>
        <v>0</v>
      </c>
    </row>
    <row r="662" spans="1:63" ht="13" x14ac:dyDescent="0.25">
      <c r="A662" s="379"/>
      <c r="B662" s="380" t="s">
        <v>723</v>
      </c>
      <c r="C662" s="235">
        <f>SUM(C205:C208)+SUM(C352:C389)+SUM(C429:C471)+C508+C524</f>
        <v>94007</v>
      </c>
      <c r="D662" s="235">
        <f>SUM(D205:D208)+SUM(D352:D389)+SUM(D429:D471)+D508+D524</f>
        <v>48477</v>
      </c>
      <c r="E662" s="367">
        <v>0.56453091684434964</v>
      </c>
      <c r="F662" s="49">
        <f t="shared" ref="F662:AK662" si="138">SUM(F203:F206)+SUM(F350:F387)+SUM(F427:F469)+F506+F522</f>
        <v>23472</v>
      </c>
      <c r="G662" s="230">
        <f t="shared" si="138"/>
        <v>23976</v>
      </c>
      <c r="H662" s="49">
        <f t="shared" si="138"/>
        <v>26313</v>
      </c>
      <c r="I662" s="63">
        <f t="shared" si="138"/>
        <v>20778</v>
      </c>
      <c r="J662" s="302">
        <f t="shared" si="138"/>
        <v>0</v>
      </c>
      <c r="K662" s="230">
        <f t="shared" si="138"/>
        <v>0</v>
      </c>
      <c r="L662" s="49">
        <f t="shared" si="138"/>
        <v>0</v>
      </c>
      <c r="M662" s="63">
        <f t="shared" si="138"/>
        <v>0</v>
      </c>
      <c r="N662" s="302">
        <f t="shared" si="138"/>
        <v>0</v>
      </c>
      <c r="O662" s="230">
        <f t="shared" si="138"/>
        <v>0</v>
      </c>
      <c r="P662" s="49">
        <f t="shared" si="138"/>
        <v>648</v>
      </c>
      <c r="Q662" s="63">
        <f t="shared" si="138"/>
        <v>457</v>
      </c>
      <c r="R662" s="302">
        <f t="shared" si="138"/>
        <v>0</v>
      </c>
      <c r="S662" s="230">
        <f t="shared" si="138"/>
        <v>0</v>
      </c>
      <c r="T662" s="49">
        <f t="shared" si="138"/>
        <v>0</v>
      </c>
      <c r="U662" s="63">
        <f t="shared" si="138"/>
        <v>0</v>
      </c>
      <c r="V662" s="302">
        <f t="shared" si="138"/>
        <v>0</v>
      </c>
      <c r="W662" s="230">
        <f t="shared" si="138"/>
        <v>0</v>
      </c>
      <c r="X662" s="49">
        <f t="shared" si="138"/>
        <v>0</v>
      </c>
      <c r="Y662" s="63">
        <f t="shared" si="138"/>
        <v>0</v>
      </c>
      <c r="Z662" s="302">
        <f t="shared" si="138"/>
        <v>0</v>
      </c>
      <c r="AA662" s="230">
        <f t="shared" si="138"/>
        <v>0</v>
      </c>
      <c r="AB662" s="49">
        <f t="shared" si="138"/>
        <v>0</v>
      </c>
      <c r="AC662" s="63">
        <f t="shared" si="138"/>
        <v>0</v>
      </c>
      <c r="AD662" s="302">
        <f t="shared" si="138"/>
        <v>0</v>
      </c>
      <c r="AE662" s="230">
        <f t="shared" si="138"/>
        <v>0</v>
      </c>
      <c r="AF662" s="49">
        <f t="shared" si="138"/>
        <v>7917</v>
      </c>
      <c r="AG662" s="63">
        <f t="shared" si="138"/>
        <v>10275</v>
      </c>
      <c r="AH662" s="302">
        <f t="shared" si="138"/>
        <v>0</v>
      </c>
      <c r="AI662" s="230">
        <f t="shared" si="138"/>
        <v>0</v>
      </c>
      <c r="AJ662" s="49">
        <f t="shared" si="138"/>
        <v>0</v>
      </c>
      <c r="AK662" s="63">
        <f t="shared" si="138"/>
        <v>0</v>
      </c>
      <c r="AL662" s="302">
        <f t="shared" ref="AL662:BK662" si="139">SUM(AL203:AL206)+SUM(AL350:AL387)+SUM(AL427:AL469)+AL506+AL522</f>
        <v>0</v>
      </c>
      <c r="AM662" s="230">
        <f t="shared" si="139"/>
        <v>0</v>
      </c>
      <c r="AN662" s="49">
        <f t="shared" si="139"/>
        <v>368</v>
      </c>
      <c r="AO662" s="63">
        <f t="shared" si="139"/>
        <v>351</v>
      </c>
      <c r="AP662" s="302">
        <f t="shared" si="139"/>
        <v>28545</v>
      </c>
      <c r="AQ662" s="230">
        <f t="shared" si="139"/>
        <v>18338</v>
      </c>
      <c r="AR662" s="49">
        <f t="shared" si="139"/>
        <v>21220</v>
      </c>
      <c r="AS662" s="63">
        <f t="shared" si="139"/>
        <v>25644</v>
      </c>
      <c r="AT662" s="302">
        <f t="shared" si="139"/>
        <v>759</v>
      </c>
      <c r="AU662" s="230">
        <f t="shared" si="139"/>
        <v>506</v>
      </c>
      <c r="AV662" s="49">
        <f t="shared" si="139"/>
        <v>0</v>
      </c>
      <c r="AW662" s="63">
        <f t="shared" si="139"/>
        <v>0</v>
      </c>
      <c r="AX662" s="302">
        <f t="shared" si="139"/>
        <v>0</v>
      </c>
      <c r="AY662" s="230">
        <f t="shared" si="139"/>
        <v>0</v>
      </c>
      <c r="AZ662" s="49">
        <f t="shared" si="139"/>
        <v>0</v>
      </c>
      <c r="BA662" s="230">
        <f t="shared" si="139"/>
        <v>0</v>
      </c>
      <c r="BB662" s="49">
        <f t="shared" si="139"/>
        <v>0</v>
      </c>
      <c r="BC662" s="50">
        <f t="shared" si="139"/>
        <v>0</v>
      </c>
      <c r="BD662" s="49">
        <f t="shared" si="139"/>
        <v>0</v>
      </c>
      <c r="BE662" s="50">
        <f t="shared" si="139"/>
        <v>0</v>
      </c>
      <c r="BF662" s="49">
        <f t="shared" si="139"/>
        <v>0</v>
      </c>
      <c r="BG662" s="50">
        <f t="shared" si="139"/>
        <v>0</v>
      </c>
      <c r="BH662" s="49">
        <f t="shared" si="139"/>
        <v>0</v>
      </c>
      <c r="BI662" s="50">
        <f t="shared" si="139"/>
        <v>0</v>
      </c>
      <c r="BJ662" s="49">
        <f t="shared" si="139"/>
        <v>0</v>
      </c>
      <c r="BK662" s="50">
        <f t="shared" si="139"/>
        <v>0</v>
      </c>
    </row>
    <row r="663" spans="1:63" ht="13.5" thickBot="1" x14ac:dyDescent="0.3">
      <c r="A663" s="383"/>
      <c r="B663" s="410" t="s">
        <v>845</v>
      </c>
      <c r="C663" s="286">
        <f>SUM(C119:C121)+SUM(C123:C128)+C130+C131+SUM(C163:C174)+C186+C190+C193+SUM(C226:C231)+SUM(C399:C419)+SUM(C475:C477)+SUM(C484:C495)+SUM(C561:C563)</f>
        <v>80862</v>
      </c>
      <c r="D663" s="286">
        <f>SUM(D119:D121)+SUM(D123:D128)+D130+D131+SUM(D163:D174)+D186+D190+D193+SUM(D226:D231)+SUM(D399:D419)+SUM(D475:D477)+SUM(D484:D495)+SUM(D561:D563)</f>
        <v>35743</v>
      </c>
      <c r="E663" s="368">
        <v>0.48314927056607049</v>
      </c>
      <c r="F663" s="245">
        <f t="shared" ref="F663:AK663" si="140">SUM(F117:F119)+SUM(F121:F126)+F128+F129+SUM(F161:F172)+F184+F188+F191+SUM(F224:F229)+SUM(F397:F417)+SUM(F473:F475)+SUM(F482:F493)+SUM(F559:F561)</f>
        <v>17623</v>
      </c>
      <c r="G663" s="246">
        <f t="shared" si="140"/>
        <v>15829</v>
      </c>
      <c r="H663" s="245">
        <f t="shared" si="140"/>
        <v>19820</v>
      </c>
      <c r="I663" s="411">
        <f t="shared" si="140"/>
        <v>13378</v>
      </c>
      <c r="J663" s="303">
        <f t="shared" si="140"/>
        <v>343</v>
      </c>
      <c r="K663" s="246">
        <f t="shared" si="140"/>
        <v>802</v>
      </c>
      <c r="L663" s="245">
        <f t="shared" si="140"/>
        <v>0</v>
      </c>
      <c r="M663" s="411">
        <f t="shared" si="140"/>
        <v>0</v>
      </c>
      <c r="N663" s="303">
        <f t="shared" si="140"/>
        <v>0</v>
      </c>
      <c r="O663" s="246">
        <f t="shared" si="140"/>
        <v>0</v>
      </c>
      <c r="P663" s="245">
        <f t="shared" si="140"/>
        <v>0</v>
      </c>
      <c r="Q663" s="411">
        <f t="shared" si="140"/>
        <v>0</v>
      </c>
      <c r="R663" s="303">
        <f t="shared" si="140"/>
        <v>0</v>
      </c>
      <c r="S663" s="246">
        <f t="shared" si="140"/>
        <v>0</v>
      </c>
      <c r="T663" s="245">
        <f t="shared" si="140"/>
        <v>1223</v>
      </c>
      <c r="U663" s="411">
        <f t="shared" si="140"/>
        <v>337</v>
      </c>
      <c r="V663" s="303">
        <f t="shared" si="140"/>
        <v>1230</v>
      </c>
      <c r="W663" s="246">
        <f t="shared" si="140"/>
        <v>330</v>
      </c>
      <c r="X663" s="245">
        <f t="shared" si="140"/>
        <v>1176</v>
      </c>
      <c r="Y663" s="411">
        <f t="shared" si="140"/>
        <v>453</v>
      </c>
      <c r="Z663" s="303">
        <f t="shared" si="140"/>
        <v>1246</v>
      </c>
      <c r="AA663" s="246">
        <f t="shared" si="140"/>
        <v>403</v>
      </c>
      <c r="AB663" s="245">
        <f t="shared" si="140"/>
        <v>974</v>
      </c>
      <c r="AC663" s="411">
        <f t="shared" si="140"/>
        <v>196</v>
      </c>
      <c r="AD663" s="303">
        <f t="shared" si="140"/>
        <v>0</v>
      </c>
      <c r="AE663" s="246">
        <f t="shared" si="140"/>
        <v>0</v>
      </c>
      <c r="AF663" s="245">
        <f t="shared" si="140"/>
        <v>0</v>
      </c>
      <c r="AG663" s="411">
        <f t="shared" si="140"/>
        <v>0</v>
      </c>
      <c r="AH663" s="303">
        <f t="shared" si="140"/>
        <v>5425</v>
      </c>
      <c r="AI663" s="246">
        <f t="shared" si="140"/>
        <v>4155</v>
      </c>
      <c r="AJ663" s="245">
        <f t="shared" si="140"/>
        <v>1671</v>
      </c>
      <c r="AK663" s="411">
        <f t="shared" si="140"/>
        <v>2266</v>
      </c>
      <c r="AL663" s="303">
        <f t="shared" ref="AL663:BK663" si="141">SUM(AL117:AL119)+SUM(AL121:AL126)+AL128+AL129+SUM(AL161:AL172)+AL184+AL188+AL191+SUM(AL224:AL229)+SUM(AL397:AL417)+SUM(AL473:AL475)+SUM(AL482:AL493)+SUM(AL559:AL561)</f>
        <v>0</v>
      </c>
      <c r="AM663" s="246">
        <f t="shared" si="141"/>
        <v>0</v>
      </c>
      <c r="AN663" s="245">
        <f t="shared" si="141"/>
        <v>0</v>
      </c>
      <c r="AO663" s="411">
        <f t="shared" si="141"/>
        <v>0</v>
      </c>
      <c r="AP663" s="303">
        <f t="shared" si="141"/>
        <v>20486</v>
      </c>
      <c r="AQ663" s="246">
        <f t="shared" si="141"/>
        <v>12550</v>
      </c>
      <c r="AR663" s="245">
        <f t="shared" si="141"/>
        <v>15604</v>
      </c>
      <c r="AS663" s="411">
        <f t="shared" si="141"/>
        <v>17282</v>
      </c>
      <c r="AT663" s="303">
        <f t="shared" si="141"/>
        <v>0</v>
      </c>
      <c r="AU663" s="246">
        <f t="shared" si="141"/>
        <v>0</v>
      </c>
      <c r="AV663" s="245">
        <f t="shared" si="141"/>
        <v>3455</v>
      </c>
      <c r="AW663" s="411">
        <f t="shared" si="141"/>
        <v>4573</v>
      </c>
      <c r="AX663" s="303">
        <f t="shared" si="141"/>
        <v>4410</v>
      </c>
      <c r="AY663" s="246">
        <f t="shared" si="141"/>
        <v>2928</v>
      </c>
      <c r="AZ663" s="245">
        <f t="shared" si="141"/>
        <v>2308</v>
      </c>
      <c r="BA663" s="246">
        <f t="shared" si="141"/>
        <v>5447</v>
      </c>
      <c r="BB663" s="245">
        <f t="shared" si="141"/>
        <v>0</v>
      </c>
      <c r="BC663" s="250">
        <f t="shared" si="141"/>
        <v>0</v>
      </c>
      <c r="BD663" s="245">
        <f t="shared" si="141"/>
        <v>0</v>
      </c>
      <c r="BE663" s="250">
        <f t="shared" si="141"/>
        <v>0</v>
      </c>
      <c r="BF663" s="245">
        <f t="shared" si="141"/>
        <v>0</v>
      </c>
      <c r="BG663" s="250">
        <f t="shared" si="141"/>
        <v>0</v>
      </c>
      <c r="BH663" s="245">
        <f t="shared" si="141"/>
        <v>0</v>
      </c>
      <c r="BI663" s="250">
        <f t="shared" si="141"/>
        <v>0</v>
      </c>
      <c r="BJ663" s="245">
        <f t="shared" si="141"/>
        <v>0</v>
      </c>
      <c r="BK663" s="250">
        <f t="shared" si="141"/>
        <v>0</v>
      </c>
    </row>
    <row r="664" spans="1:63" ht="13" thickTop="1" x14ac:dyDescent="0.25"/>
  </sheetData>
  <mergeCells count="30">
    <mergeCell ref="BH1:BI2"/>
    <mergeCell ref="BJ1:BK2"/>
    <mergeCell ref="BD1:BE2"/>
    <mergeCell ref="A1:E2"/>
    <mergeCell ref="L1:M2"/>
    <mergeCell ref="Z1:AA2"/>
    <mergeCell ref="AB1:AC2"/>
    <mergeCell ref="AD1:AE2"/>
    <mergeCell ref="X1:Y2"/>
    <mergeCell ref="F1:G2"/>
    <mergeCell ref="H1:I2"/>
    <mergeCell ref="J1:K2"/>
    <mergeCell ref="N1:O2"/>
    <mergeCell ref="P1:Q2"/>
    <mergeCell ref="R1:S2"/>
    <mergeCell ref="BB1:BC2"/>
    <mergeCell ref="BF1:BG2"/>
    <mergeCell ref="T1:U2"/>
    <mergeCell ref="V1:W2"/>
    <mergeCell ref="AZ1:BA2"/>
    <mergeCell ref="AF1:AG2"/>
    <mergeCell ref="AH1:AI2"/>
    <mergeCell ref="AJ1:AK2"/>
    <mergeCell ref="AT1:AU2"/>
    <mergeCell ref="AL1:AM2"/>
    <mergeCell ref="AN1:AO2"/>
    <mergeCell ref="AP1:AQ2"/>
    <mergeCell ref="AR1:AS2"/>
    <mergeCell ref="AV1:AW2"/>
    <mergeCell ref="AX1:AY2"/>
  </mergeCells>
  <phoneticPr fontId="10" type="noConversion"/>
  <pageMargins left="0.75" right="0.75" top="1" bottom="1" header="0.5" footer="0.5"/>
  <pageSetup paperSize="5" orientation="landscape" r:id="rId1"/>
  <headerFooter alignWithMargins="0">
    <oddFooter>&amp;C&amp;"Californian FB,Italic"(Pg. &amp;P of &amp;N)</oddFooter>
  </headerFooter>
  <colBreaks count="2" manualBreakCount="2">
    <brk id="31" max="1048575" man="1"/>
    <brk id="47" max="1048575" man="1"/>
  </colBreaks>
  <ignoredErrors>
    <ignoredError sqref="C570:D596 C650:D663 D649 F570:BK596 F647:K660 L647:BI660 L646:BK646 L661:BK663 BJ647:BK660 AF645:AU645 R645:S645 C619:C634 C607:C615 C599 C600:C601 C605 C597:D598 C606:D606 D605 C602:D604 D600:D601 D599 C616:D618 D607:D615 D619:D634 F597:BK644" formulaRange="1"/>
    <ignoredError sqref="C645:D648 D638:D644 D635 C636:D637 C635 C638:C644" formulaRange="1" unlockedFormula="1"/>
    <ignoredError sqref="E56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Judicial</vt:lpstr>
      <vt:lpstr>Cincinnati</vt:lpstr>
      <vt:lpstr>Other Cities</vt:lpstr>
      <vt:lpstr>Villages</vt:lpstr>
      <vt:lpstr>Townships</vt:lpstr>
      <vt:lpstr>Boards of Education</vt:lpstr>
      <vt:lpstr>Issues</vt:lpstr>
      <vt:lpstr>'Boards of Education'!Print_Area</vt:lpstr>
      <vt:lpstr>Cincinnati!Print_Area</vt:lpstr>
      <vt:lpstr>Judicial!Print_Area</vt:lpstr>
      <vt:lpstr>'Other Cities'!Print_Area</vt:lpstr>
      <vt:lpstr>Townships!Print_Area</vt:lpstr>
      <vt:lpstr>Villages!Print_Area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dpredmor</dc:creator>
  <cp:lastModifiedBy>Todd Cooper</cp:lastModifiedBy>
  <cp:lastPrinted>2021-08-13T12:55:55Z</cp:lastPrinted>
  <dcterms:created xsi:type="dcterms:W3CDTF">2009-08-04T10:04:26Z</dcterms:created>
  <dcterms:modified xsi:type="dcterms:W3CDTF">2023-12-13T17:44:16Z</dcterms:modified>
</cp:coreProperties>
</file>